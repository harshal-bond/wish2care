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ference &amp; Weights" sheetId="2" state="visible" r:id="rId4"/>
    <sheet name="Field Data Entry" sheetId="3" state="visible" r:id="rId5"/>
  </sheets>
  <definedNames>
    <definedName function="false" hidden="false" name="AnaemiaWeight" vbProcedure="false">'Reference &amp; Weights'!$C$4</definedName>
    <definedName function="false" hidden="false" name="BPWeight" vbProcedure="false">'Reference &amp; Weights'!$C$8</definedName>
    <definedName function="false" hidden="false" name="MetabolicWeight" vbProcedure="false">'Reference &amp; Weights'!$C$6</definedName>
    <definedName function="false" hidden="false" name="OralWeight" vbProcedure="false">'Reference &amp; Weights'!$C$9</definedName>
    <definedName function="false" hidden="false" name="OverweightWeight" vbProcedure="false">'Reference &amp; Weights'!$C$5</definedName>
    <definedName function="false" hidden="false" name="RespiratoryWeight" vbProcedure="false">'Reference &amp; Weights'!$C$10</definedName>
    <definedName function="false" hidden="false" name="UndernutritionWeight" vbProcedure="false">'Reference &amp; Weights'!$C$7</definedName>
    <definedName function="false" hidden="false" name="VisionWeight" vbProcedure="false">'Reference &amp; Weights'!$C$11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<sst xmlns="http://schemas.openxmlformats.org/spreadsheetml/2006/main" count="148" uniqueCount="126">
  <si>
    <t xml:space="preserve">Wish2Care SAFE Field Test — Wellness Score Tool</t>
  </si>
  <si>
    <t xml:space="preserve">Companion workbook to "SAFE Physical Health Field Test &amp; the Wish2Care Wellness Score — Design Brief." Prepared jointly by Research Director and Jarvis for Wish2Care Wellness.</t>
  </si>
  <si>
    <t xml:space="preserve">What this workbook is</t>
  </si>
  <si>
    <t xml:space="preserve">A field data-capture and auto-scoring tool for the SAFE Physical Health Field Test. Field staff enter raw measurements per student on the "Field Data Entry" tab; the workbook automatically computes each domain's subscore, the composite Wish2Care Wellness Score, the score band, and any mandatory referral flags — using the exact weighting method set out in Section 10.4 of the design brief.</t>
  </si>
  <si>
    <t xml:space="preserve">This is a pilot index, not a diagnostic tool</t>
  </si>
  <si>
    <t xml:space="preserve">Every score this workbook produces is a screening signal, not a diagnosis. See the design brief, Section 10.12, for the full limitations statement before using this in the field.</t>
  </si>
  <si>
    <t xml:space="preserve">Colour legend</t>
  </si>
  <si>
    <t xml:space="preserve">Blue text = cells the field team types into (raw measurements, and classifications selected using the official clinical reference chart).</t>
  </si>
  <si>
    <t xml:space="preserve">Black text = formula cells. Do not type over these — they compute automatically from the blue cells.</t>
  </si>
  <si>
    <t xml:space="preserve">Row 4 on "Field Data Entry" is a worked EXAMPLE with realistic values — overwrite or delete it before real data collection.</t>
  </si>
  <si>
    <t xml:space="preserve">Important — five classifications require the official clinical reference chart, not just this spreadsheet</t>
  </si>
  <si>
    <t xml:space="preserve">For Undernutrition, Overweight/Obesity, Anaemia, Blood Pressure, and Metabolic Risk, the examiner selects a Normal / Caution / High-risk classification from a dropdown after checking the student's measurement against the official age/sex-specific reference chart (WHO growth references, WHO/NFHS haemoglobin cutoffs, pediatric BP percentile charts). This workbook deliberately does NOT embed those numeric cutoff tables, because getting a clinical cutoff wrong in a spreadsheet formula is more dangerous than asking a trained examiner to read it off the real chart. Vision, Oral Health, and Respiratory classifications ARE computed automatically, because their field thresholds are simple, objective values already stated in the design brief (Section 9.4).</t>
  </si>
  <si>
    <t xml:space="preserve">Domain weights used (design brief, Section 10.4)</t>
  </si>
  <si>
    <t xml:space="preserve">Anaemia 15% · Overweight/Obesity 15% · Metabolic Risk 15% · Undernutrition 13% · Blood Pressure 13% · Oral Health 11% · Respiratory 10% · Vision 8%. Weights and the subscore rule (Normal=100, Caution=60, High-risk=20) live on the "Reference &amp; Weights" tab — change them there, not in the data-entry formulas, if the weighting is ever revised after the Phase 2 validation study.</t>
  </si>
  <si>
    <t xml:space="preserve">TB and mental-wellbeing screens are NOT part of the score</t>
  </si>
  <si>
    <t xml:space="preserve">Per Section 10.6 of the design brief, these are independent red-flag screens with mandatory same-day escalation, shown alongside the score but never blended into the 0–100 number. The mental-wellbeing result must be entered only by the on-site counsellor, from the private written screener — never in view of the student's classmates or the general data-entry team.</t>
  </si>
  <si>
    <t xml:space="preserve">Missing data</t>
  </si>
  <si>
    <t xml:space="preserve">If a domain wasn't measured for a student, leave its classification cell blank. The composite score automatically excludes that domain and renormalises the remaining weights (Section 10.7) — it will never silently guess a value.</t>
  </si>
  <si>
    <t xml:space="preserve">Tabs: Read Me  →  Reference &amp; Weights  →  Field Data Entry</t>
  </si>
  <si>
    <t xml:space="preserve">Domain Weights &amp; Reference Values</t>
  </si>
  <si>
    <t xml:space="preserve">Domain</t>
  </si>
  <si>
    <t xml:space="preserve">Type</t>
  </si>
  <si>
    <t xml:space="preserve">Weight (%)</t>
  </si>
  <si>
    <t xml:space="preserve">Prevalence (1-5)</t>
  </si>
  <si>
    <t xml:space="preserve">Severity (1-5)</t>
  </si>
  <si>
    <t xml:space="preserve">Source (see design brief Evidence Table)</t>
  </si>
  <si>
    <t xml:space="preserve">Anaemia</t>
  </si>
  <si>
    <t xml:space="preserve">Scored</t>
  </si>
  <si>
    <t xml:space="preserve">NFHS-5, 2019-21 (67.1% children 6-59m; 59.1% girls 15-19)</t>
  </si>
  <si>
    <t xml:space="preserve">Overweight / Obesity</t>
  </si>
  <si>
    <t xml:space="preserve">ICMR-INDIAB 2023 (adult); CNNS/NFHS (child 4.18-4.99%)</t>
  </si>
  <si>
    <t xml:space="preserve">Metabolic Risk (proxy)</t>
  </si>
  <si>
    <t xml:space="preserve">ICMR-INDIAB 2023 (101M diabetes, 136M prediabetes, adult)</t>
  </si>
  <si>
    <t xml:space="preserve">Undernutrition (stunting/thinness)</t>
  </si>
  <si>
    <t xml:space="preserve">CNNS-based analysis, 2022 (stunting 27.4%, thinness 24.4%, 10-19y)</t>
  </si>
  <si>
    <t xml:space="preserve">Blood Pressure</t>
  </si>
  <si>
    <t xml:space="preserve">ICMR-INDIAB 2023 (315M adults, adult figure only)</t>
  </si>
  <si>
    <t xml:space="preserve">Oral Health (dental caries)</t>
  </si>
  <si>
    <t xml:space="preserve">Meta-analysis, 2021 (52% pooled, ages 3-18)</t>
  </si>
  <si>
    <t xml:space="preserve">Respiratory (asthma/symptoms)</t>
  </si>
  <si>
    <t xml:space="preserve">Meta-analysis, 2022 (7.9% pooled, children)</t>
  </si>
  <si>
    <t xml:space="preserve">Vision (refractive error)</t>
  </si>
  <si>
    <t xml:space="preserve">Meta-analysis, 2020 (7.5% pooled 5-15y; 10.7% adolescents)</t>
  </si>
  <si>
    <t xml:space="preserve">Tuberculosis</t>
  </si>
  <si>
    <t xml:space="preserve">Red-flag screen (not scored)</t>
  </si>
  <si>
    <t xml:space="preserve">-</t>
  </si>
  <si>
    <t xml:space="preserve">WHO Global TB Report 2024/25 (~25% of global cases)</t>
  </si>
  <si>
    <t xml:space="preserve">Mental Wellbeing</t>
  </si>
  <si>
    <t xml:space="preserve">National Mental Health Survey 2015-16 (10.6% current morbidity, adult)</t>
  </si>
  <si>
    <t xml:space="preserve">TOTAL (scored domains)</t>
  </si>
  <si>
    <t xml:space="preserve">Subscore rule</t>
  </si>
  <si>
    <t xml:space="preserve">Normal</t>
  </si>
  <si>
    <t xml:space="preserve">Caution</t>
  </si>
  <si>
    <t xml:space="preserve">High-risk</t>
  </si>
  <si>
    <t xml:space="preserve">Score bands</t>
  </si>
  <si>
    <t xml:space="preserve">Green - On Track</t>
  </si>
  <si>
    <t xml:space="preserve">80-100</t>
  </si>
  <si>
    <t xml:space="preserve">Amber - Monitor</t>
  </si>
  <si>
    <t xml:space="preserve">60-79</t>
  </si>
  <si>
    <t xml:space="preserve">Red - Refer</t>
  </si>
  <si>
    <t xml:space="preserve">Below 60</t>
  </si>
  <si>
    <t xml:space="preserve">Student</t>
  </si>
  <si>
    <t xml:space="preserve">1. Undernutrition</t>
  </si>
  <si>
    <t xml:space="preserve">2. Overweight/Obesity</t>
  </si>
  <si>
    <t xml:space="preserve">3. Anaemia</t>
  </si>
  <si>
    <t xml:space="preserve">4. Blood Pressure</t>
  </si>
  <si>
    <t xml:space="preserve">5. Metabolic Risk</t>
  </si>
  <si>
    <t xml:space="preserve">6. Vision</t>
  </si>
  <si>
    <t xml:space="preserve">7. Oral Health</t>
  </si>
  <si>
    <t xml:space="preserve">8. Respiratory</t>
  </si>
  <si>
    <t xml:space="preserve">TB Red-Flag Screen</t>
  </si>
  <si>
    <t xml:space="preserve">Mental Wellbeing Red-Flag</t>
  </si>
  <si>
    <t xml:space="preserve">Composite Score &amp; Action</t>
  </si>
  <si>
    <t xml:space="preserve">Student Code</t>
  </si>
  <si>
    <t xml:space="preserve">School</t>
  </si>
  <si>
    <t xml:space="preserve">Date</t>
  </si>
  <si>
    <t xml:space="preserve">Age (yrs)</t>
  </si>
  <si>
    <t xml:space="preserve">Sex (M/F)</t>
  </si>
  <si>
    <t xml:space="preserve">Height (cm)</t>
  </si>
  <si>
    <t xml:space="preserve">Weight (kg)</t>
  </si>
  <si>
    <t xml:space="preserve">BMI</t>
  </si>
  <si>
    <t xml:space="preserve">Undernutrition Class.</t>
  </si>
  <si>
    <t xml:space="preserve">Undernutrition Subscore</t>
  </si>
  <si>
    <t xml:space="preserve">Overweight/Obesity Class.</t>
  </si>
  <si>
    <t xml:space="preserve">Overweight/Obesity Subscore</t>
  </si>
  <si>
    <t xml:space="preserve">Hb (g/dL)</t>
  </si>
  <si>
    <t xml:space="preserve">Anaemia Class.</t>
  </si>
  <si>
    <t xml:space="preserve">Anaemia Subscore</t>
  </si>
  <si>
    <t xml:space="preserve">Systolic (mmHg)</t>
  </si>
  <si>
    <t xml:space="preserve">Diastolic (mmHg)</t>
  </si>
  <si>
    <t xml:space="preserve">BP Class.</t>
  </si>
  <si>
    <t xml:space="preserve">BP Subscore</t>
  </si>
  <si>
    <t xml:space="preserve">Waist Circumf. (cm)</t>
  </si>
  <si>
    <t xml:space="preserve">Family Hx Count (0-2)</t>
  </si>
  <si>
    <t xml:space="preserve">Metabolic Risk Class.</t>
  </si>
  <si>
    <t xml:space="preserve">Metabolic Risk Subscore</t>
  </si>
  <si>
    <t xml:space="preserve">Right Eye Acuity (decimal)</t>
  </si>
  <si>
    <t xml:space="preserve">Left Eye Acuity (decimal)</t>
  </si>
  <si>
    <t xml:space="preserve">Vision Class.</t>
  </si>
  <si>
    <t xml:space="preserve">Vision Subscore</t>
  </si>
  <si>
    <t xml:space="preserve">Decayed Teeth Count</t>
  </si>
  <si>
    <t xml:space="preserve">Oral Health Class.</t>
  </si>
  <si>
    <t xml:space="preserve">Oral Health Subscore</t>
  </si>
  <si>
    <t xml:space="preserve">Wheeze Symptom (Y/N)</t>
  </si>
  <si>
    <t xml:space="preserve">Measured PEFR (L/min)</t>
  </si>
  <si>
    <t xml:space="preserve">Predicted PEFR (L/min)</t>
  </si>
  <si>
    <t xml:space="preserve">% Predicted PEFR</t>
  </si>
  <si>
    <t xml:space="preserve">Respiratory Class.</t>
  </si>
  <si>
    <t xml:space="preserve">Respiratory Subscore</t>
  </si>
  <si>
    <t xml:space="preserve">TB: Cough&gt;2wk (Y/N)</t>
  </si>
  <si>
    <t xml:space="preserve">TB: Fever (Y/N)</t>
  </si>
  <si>
    <t xml:space="preserve">TB: Night Sweats (Y/N)</t>
  </si>
  <si>
    <t xml:space="preserve">TB: Weight Loss (Y/N)</t>
  </si>
  <si>
    <t xml:space="preserve">TB Screen Result</t>
  </si>
  <si>
    <t xml:space="preserve">Mental Wellbeing Result</t>
  </si>
  <si>
    <t xml:space="preserve">Domains Completed (of 8)</t>
  </si>
  <si>
    <t xml:space="preserve">Wellness Score (0-100)</t>
  </si>
  <si>
    <t xml:space="preserve">Score Band</t>
  </si>
  <si>
    <t xml:space="preserve">High-Risk Override</t>
  </si>
  <si>
    <t xml:space="preserve">Overall Action Summary</t>
  </si>
  <si>
    <t xml:space="preserve">STU-0001 (EXAMPLE)</t>
  </si>
  <si>
    <t xml:space="preserve">Green Valley Public School</t>
  </si>
  <si>
    <t xml:space="preserve">2026-07-18</t>
  </si>
  <si>
    <t xml:space="preserve">F</t>
  </si>
  <si>
    <t xml:space="preserve">No</t>
  </si>
  <si>
    <t xml:space="preserve">Clear</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</si>
</sst>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5B2A86"/>
      <name val="Arial"/>
      <family val="0"/>
      <charset val="1"/>
    </font>
    <font>
      <sz val="10.5"/>
      <color rgb="FF222222"/>
      <name val="Arial"/>
      <family val="0"/>
      <charset val="1"/>
    </font>
    <font>
      <b val="true"/>
      <sz val="12"/>
      <color rgb="FF1F6F4A"/>
      <name val="Arial"/>
      <family val="0"/>
      <charset val="1"/>
    </font>
    <font>
      <sz val="10.5"/>
      <color rgb="FF0000FF"/>
      <name val="Arial"/>
      <family val="0"/>
      <charset val="1"/>
    </font>
    <font>
      <sz val="10.5"/>
      <color rgb="FF000000"/>
      <name val="Arial"/>
      <family val="0"/>
      <charset val="1"/>
    </font>
    <font>
      <i val="true"/>
      <sz val="10.5"/>
      <color rgb="FFB36B00"/>
      <name val="Arial"/>
      <family val="0"/>
      <charset val="1"/>
    </font>
    <font>
      <b val="true"/>
      <sz val="10.5"/>
      <color rgb="FF5B2A86"/>
      <name val="Arial"/>
      <family val="0"/>
      <charset val="1"/>
    </font>
    <font>
      <b val="true"/>
      <sz val="14"/>
      <color rgb="FF5B2A86"/>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6F4A"/>
      <name val="Arial"/>
      <family val="0"/>
      <charset val="1"/>
    </font>
    <font>
      <b val="true"/>
      <sz val="9"/>
      <color rgb="FFFFFFFF"/>
      <name val="Arial"/>
      <family val="0"/>
      <charset val="1"/>
    </font>
    <font>
      <i val="true"/>
      <sz val="9"/>
      <color rgb="FF0000FF"/>
      <name val="Arial"/>
      <family val="0"/>
      <charset val="1"/>
    </font>
    <font>
      <sz val="9"/>
      <color rgb="FF000000"/>
      <name val="Arial"/>
      <family val="0"/>
      <charset val="1"/>
    </font>
    <font>
      <sz val="9"/>
      <color rgb="FF0000FF"/>
      <name val="Arial"/>
      <family val="0"/>
      <charset val="1"/>
    </font>
  </fonts>
  <fills count="8">
    <fill>
      <patternFill patternType="none"/>
    </fill>
    <fill>
      <patternFill patternType="gray125"/>
    </fill>
    <fill>
      <patternFill patternType="solid">
        <fgColor rgb="FF5B2A86"/>
        <bgColor rgb="FF3D1D5E"/>
      </patternFill>
    </fill>
    <fill>
      <patternFill patternType="solid">
        <fgColor rgb="FF808080"/>
        <bgColor rgb="FF969696"/>
      </patternFill>
    </fill>
    <fill>
      <patternFill patternType="solid">
        <fgColor rgb="FFB00020"/>
        <bgColor rgb="FF800000"/>
      </patternFill>
    </fill>
    <fill>
      <patternFill patternType="solid">
        <fgColor rgb="FF1F6F4A"/>
        <bgColor rgb="FF008080"/>
      </patternFill>
    </fill>
    <fill>
      <patternFill patternType="solid">
        <fgColor rgb="FF3D1D5E"/>
        <bgColor rgb="FF5B2A86"/>
      </patternFill>
    </fill>
    <fill>
      <patternFill patternType="solid">
        <fgColor rgb="FFFFF6E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5" fontId="18" fillId="7" borderId="1"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6EFE0"/>
        </patternFill>
      </fill>
    </dxf>
    <dxf>
      <fill>
        <patternFill>
          <bgColor rgb="FFFCEBC9"/>
        </patternFill>
      </fill>
    </dxf>
    <dxf>
      <fill>
        <patternFill>
          <bgColor rgb="FFF8D1D6"/>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B36B00"/>
      <rgbColor rgb="FF800080"/>
      <rgbColor rgb="FF1F6F4A"/>
      <rgbColor rgb="FFBFBFBF"/>
      <rgbColor rgb="FF808080"/>
      <rgbColor rgb="FF9999FF"/>
      <rgbColor rgb="FF993366"/>
      <rgbColor rgb="FFFFF6E5"/>
      <rgbColor rgb="FFCCFFFF"/>
      <rgbColor rgb="FF3D1D5E"/>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FE0"/>
      <rgbColor rgb="FFFCEBC9"/>
      <rgbColor rgb="FF99CCFF"/>
      <rgbColor rgb="FFFF99CC"/>
      <rgbColor rgb="FFCC99FF"/>
      <rgbColor rgb="FFF8D1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2A86"/>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19.7" hidden="false" customHeight="false" outlineLevel="0" collapsed="false">
      <c r="B2" s="1" t="s">
        <v>0</v>
      </c>
    </row>
    <row r="4" customFormat="false" ht="30" hidden="false" customHeight="true" outlineLevel="0" collapsed="false">
      <c r="B4" s="2" t="s">
        <v>1</v>
      </c>
    </row>
    <row r="6" customFormat="false" ht="15" hidden="false" customHeight="false" outlineLevel="0" collapsed="false">
      <c r="B6" s="3" t="s">
        <v>2</v>
      </c>
    </row>
    <row r="7" customFormat="false" ht="60" hidden="false" customHeight="true" outlineLevel="0" collapsed="false">
      <c r="B7" s="2" t="s">
        <v>3</v>
      </c>
    </row>
    <row r="9" customFormat="false" ht="15" hidden="false" customHeight="false" outlineLevel="0" collapsed="false">
      <c r="B9" s="3" t="s">
        <v>4</v>
      </c>
    </row>
    <row r="10" customFormat="false" ht="30" hidden="false" customHeight="true" outlineLevel="0" collapsed="false">
      <c r="B10" s="2" t="s">
        <v>5</v>
      </c>
    </row>
    <row r="12" customFormat="false" ht="15" hidden="false" customHeight="false" outlineLevel="0" collapsed="false">
      <c r="B12" s="3" t="s">
        <v>6</v>
      </c>
    </row>
    <row r="13" customFormat="false" ht="15" hidden="false" customHeight="false" outlineLevel="0" collapsed="false">
      <c r="B13" s="4" t="s">
        <v>7</v>
      </c>
    </row>
    <row r="14" customFormat="false" ht="15" hidden="false" customHeight="false" outlineLevel="0" collapsed="false">
      <c r="B14" s="5" t="s">
        <v>8</v>
      </c>
    </row>
    <row r="15" customFormat="false" ht="15" hidden="false" customHeight="false" outlineLevel="0" collapsed="false">
      <c r="B15" s="6" t="s">
        <v>9</v>
      </c>
    </row>
    <row r="17" customFormat="false" ht="15" hidden="false" customHeight="false" outlineLevel="0" collapsed="false">
      <c r="B17" s="3" t="s">
        <v>10</v>
      </c>
    </row>
    <row r="18" customFormat="false" ht="105" hidden="false" customHeight="true" outlineLevel="0" collapsed="false">
      <c r="B18" s="2" t="s">
        <v>11</v>
      </c>
    </row>
    <row r="20" customFormat="false" ht="15" hidden="false" customHeight="false" outlineLevel="0" collapsed="false">
      <c r="B20" s="3" t="s">
        <v>12</v>
      </c>
    </row>
    <row r="21" customFormat="false" ht="60" hidden="false" customHeight="true" outlineLevel="0" collapsed="false">
      <c r="B21" s="2" t="s">
        <v>13</v>
      </c>
    </row>
    <row r="23" customFormat="false" ht="15" hidden="false" customHeight="false" outlineLevel="0" collapsed="false">
      <c r="B23" s="3" t="s">
        <v>14</v>
      </c>
    </row>
    <row r="24" customFormat="false" ht="60" hidden="false" customHeight="true" outlineLevel="0" collapsed="false">
      <c r="B24" s="2" t="s">
        <v>15</v>
      </c>
    </row>
    <row r="26" customFormat="false" ht="15" hidden="false" customHeight="false" outlineLevel="0" collapsed="false">
      <c r="B26" s="3" t="s">
        <v>16</v>
      </c>
    </row>
    <row r="27" customFormat="false" ht="45" hidden="false" customHeight="true" outlineLevel="0" collapsed="false">
      <c r="B27" s="2" t="s">
        <v>17</v>
      </c>
    </row>
    <row r="30" customFormat="false" ht="15" hidden="false" customHeight="false" outlineLevel="0" collapsed="false">
      <c r="B30" s="7"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44"/>
  </cols>
  <sheetData>
    <row r="1" customFormat="false" ht="17.35" hidden="false" customHeight="false" outlineLevel="0" collapsed="false">
      <c r="A1" s="8" t="s">
        <v>19</v>
      </c>
      <c r="B1" s="8"/>
      <c r="C1" s="8"/>
      <c r="D1" s="8"/>
      <c r="E1" s="8"/>
      <c r="F1" s="8"/>
    </row>
    <row r="3" customFormat="false" ht="23.85" hidden="false" customHeight="false" outlineLevel="0" collapsed="false">
      <c r="A3" s="9" t="s">
        <v>20</v>
      </c>
      <c r="B3" s="9" t="s">
        <v>21</v>
      </c>
      <c r="C3" s="9" t="s">
        <v>22</v>
      </c>
      <c r="D3" s="9" t="s">
        <v>23</v>
      </c>
      <c r="E3" s="9" t="s">
        <v>24</v>
      </c>
      <c r="F3" s="9" t="s">
        <v>25</v>
      </c>
    </row>
    <row r="4" customFormat="false" ht="23.85" hidden="false" customHeight="false" outlineLevel="0" collapsed="false">
      <c r="A4" s="10" t="s">
        <v>26</v>
      </c>
      <c r="B4" s="11" t="s">
        <v>27</v>
      </c>
      <c r="C4" s="11" t="n">
        <v>15</v>
      </c>
      <c r="D4" s="11" t="n">
        <v>5</v>
      </c>
      <c r="E4" s="11" t="n">
        <v>4</v>
      </c>
      <c r="F4" s="11" t="s">
        <v>28</v>
      </c>
    </row>
    <row r="5" customFormat="false" ht="23.85" hidden="false" customHeight="false" outlineLevel="0" collapsed="false">
      <c r="A5" s="10" t="s">
        <v>29</v>
      </c>
      <c r="B5" s="11" t="s">
        <v>27</v>
      </c>
      <c r="C5" s="11" t="n">
        <v>15</v>
      </c>
      <c r="D5" s="11" t="n">
        <v>4</v>
      </c>
      <c r="E5" s="11" t="n">
        <v>5</v>
      </c>
      <c r="F5" s="11" t="s">
        <v>30</v>
      </c>
    </row>
    <row r="6" customFormat="false" ht="23.85" hidden="false" customHeight="false" outlineLevel="0" collapsed="false">
      <c r="A6" s="10" t="s">
        <v>31</v>
      </c>
      <c r="B6" s="11" t="s">
        <v>27</v>
      </c>
      <c r="C6" s="11" t="n">
        <v>15</v>
      </c>
      <c r="D6" s="11" t="n">
        <v>4</v>
      </c>
      <c r="E6" s="11" t="n">
        <v>5</v>
      </c>
      <c r="F6" s="11" t="s">
        <v>32</v>
      </c>
    </row>
    <row r="7" customFormat="false" ht="23.85" hidden="false" customHeight="false" outlineLevel="0" collapsed="false">
      <c r="A7" s="10" t="s">
        <v>33</v>
      </c>
      <c r="B7" s="11" t="s">
        <v>27</v>
      </c>
      <c r="C7" s="11" t="n">
        <v>13</v>
      </c>
      <c r="D7" s="11" t="n">
        <v>4</v>
      </c>
      <c r="E7" s="11" t="n">
        <v>4</v>
      </c>
      <c r="F7" s="11" t="s">
        <v>34</v>
      </c>
    </row>
    <row r="8" customFormat="false" ht="15" hidden="false" customHeight="false" outlineLevel="0" collapsed="false">
      <c r="A8" s="10" t="s">
        <v>35</v>
      </c>
      <c r="B8" s="11" t="s">
        <v>27</v>
      </c>
      <c r="C8" s="11" t="n">
        <v>13</v>
      </c>
      <c r="D8" s="11" t="n">
        <v>3</v>
      </c>
      <c r="E8" s="11" t="n">
        <v>5</v>
      </c>
      <c r="F8" s="11" t="s">
        <v>36</v>
      </c>
    </row>
    <row r="9" customFormat="false" ht="15" hidden="false" customHeight="false" outlineLevel="0" collapsed="false">
      <c r="A9" s="10" t="s">
        <v>37</v>
      </c>
      <c r="B9" s="11" t="s">
        <v>27</v>
      </c>
      <c r="C9" s="11" t="n">
        <v>11</v>
      </c>
      <c r="D9" s="11" t="n">
        <v>5</v>
      </c>
      <c r="E9" s="11" t="n">
        <v>2</v>
      </c>
      <c r="F9" s="11" t="s">
        <v>38</v>
      </c>
    </row>
    <row r="10" customFormat="false" ht="23.85" hidden="false" customHeight="false" outlineLevel="0" collapsed="false">
      <c r="A10" s="10" t="s">
        <v>39</v>
      </c>
      <c r="B10" s="11" t="s">
        <v>27</v>
      </c>
      <c r="C10" s="11" t="n">
        <v>10</v>
      </c>
      <c r="D10" s="11" t="n">
        <v>2</v>
      </c>
      <c r="E10" s="11" t="n">
        <v>4</v>
      </c>
      <c r="F10" s="11" t="s">
        <v>40</v>
      </c>
    </row>
    <row r="11" customFormat="false" ht="23.85" hidden="false" customHeight="false" outlineLevel="0" collapsed="false">
      <c r="A11" s="10" t="s">
        <v>41</v>
      </c>
      <c r="B11" s="11" t="s">
        <v>27</v>
      </c>
      <c r="C11" s="11" t="n">
        <v>8</v>
      </c>
      <c r="D11" s="11" t="n">
        <v>3</v>
      </c>
      <c r="E11" s="11" t="n">
        <v>2</v>
      </c>
      <c r="F11" s="11" t="s">
        <v>42</v>
      </c>
    </row>
    <row r="12" customFormat="false" ht="23.85" hidden="false" customHeight="false" outlineLevel="0" collapsed="false">
      <c r="A12" s="10" t="s">
        <v>43</v>
      </c>
      <c r="B12" s="11" t="s">
        <v>44</v>
      </c>
      <c r="C12" s="11" t="s">
        <v>45</v>
      </c>
      <c r="D12" s="11" t="s">
        <v>45</v>
      </c>
      <c r="E12" s="11" t="s">
        <v>45</v>
      </c>
      <c r="F12" s="11" t="s">
        <v>46</v>
      </c>
    </row>
    <row r="13" customFormat="false" ht="23.85" hidden="false" customHeight="false" outlineLevel="0" collapsed="false">
      <c r="A13" s="10" t="s">
        <v>47</v>
      </c>
      <c r="B13" s="11" t="s">
        <v>44</v>
      </c>
      <c r="C13" s="11" t="s">
        <v>45</v>
      </c>
      <c r="D13" s="11" t="s">
        <v>45</v>
      </c>
      <c r="E13" s="11" t="s">
        <v>45</v>
      </c>
      <c r="F13" s="11" t="s">
        <v>48</v>
      </c>
    </row>
    <row r="14" customFormat="false" ht="15" hidden="false" customHeight="false" outlineLevel="0" collapsed="false">
      <c r="A14" s="12" t="s">
        <v>49</v>
      </c>
      <c r="C14" s="13" t="n">
        <f aca="false">SUM(C4:C11)</f>
        <v>100</v>
      </c>
    </row>
    <row r="16" customFormat="false" ht="15" hidden="false" customHeight="false" outlineLevel="0" collapsed="false">
      <c r="A16" s="14" t="s">
        <v>50</v>
      </c>
    </row>
    <row r="17" customFormat="false" ht="15" hidden="false" customHeight="false" outlineLevel="0" collapsed="false">
      <c r="A17" s="15" t="s">
        <v>51</v>
      </c>
      <c r="B17" s="15" t="n">
        <v>100</v>
      </c>
    </row>
    <row r="18" customFormat="false" ht="15" hidden="false" customHeight="false" outlineLevel="0" collapsed="false">
      <c r="A18" s="15" t="s">
        <v>52</v>
      </c>
      <c r="B18" s="15" t="n">
        <v>60</v>
      </c>
    </row>
    <row r="19" customFormat="false" ht="15" hidden="false" customHeight="false" outlineLevel="0" collapsed="false">
      <c r="A19" s="15" t="s">
        <v>53</v>
      </c>
      <c r="B19" s="15" t="n">
        <v>20</v>
      </c>
    </row>
    <row r="21" customFormat="false" ht="15" hidden="false" customHeight="false" outlineLevel="0" collapsed="false">
      <c r="A21" s="14" t="s">
        <v>54</v>
      </c>
    </row>
    <row r="22" customFormat="false" ht="15" hidden="false" customHeight="false" outlineLevel="0" collapsed="false">
      <c r="A22" s="15" t="s">
        <v>55</v>
      </c>
      <c r="B22" s="15" t="s">
        <v>56</v>
      </c>
    </row>
    <row r="23" customFormat="false" ht="15" hidden="false" customHeight="false" outlineLevel="0" collapsed="false">
      <c r="A23" s="15" t="s">
        <v>57</v>
      </c>
      <c r="B23" s="15" t="s">
        <v>58</v>
      </c>
    </row>
    <row r="24" customFormat="false" ht="15" hidden="false" customHeight="false" outlineLevel="0" collapsed="false">
      <c r="A24" s="15" t="s">
        <v>59</v>
      </c>
      <c r="B24" s="15" t="s">
        <v>60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U6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47" min="1" style="0" width="13"/>
  </cols>
  <sheetData>
    <row r="2" customFormat="false" ht="18" hidden="false" customHeight="true" outlineLevel="0" collapsed="false">
      <c r="A2" s="16" t="s">
        <v>61</v>
      </c>
      <c r="B2" s="16"/>
      <c r="C2" s="16"/>
      <c r="D2" s="16"/>
      <c r="E2" s="16"/>
      <c r="F2" s="17" t="s">
        <v>62</v>
      </c>
      <c r="G2" s="17"/>
      <c r="H2" s="17"/>
      <c r="I2" s="17"/>
      <c r="J2" s="17"/>
      <c r="K2" s="17" t="s">
        <v>63</v>
      </c>
      <c r="L2" s="17"/>
      <c r="M2" s="17" t="s">
        <v>64</v>
      </c>
      <c r="N2" s="17"/>
      <c r="O2" s="17"/>
      <c r="P2" s="17" t="s">
        <v>65</v>
      </c>
      <c r="Q2" s="17"/>
      <c r="R2" s="17"/>
      <c r="S2" s="17"/>
      <c r="T2" s="17" t="s">
        <v>66</v>
      </c>
      <c r="U2" s="17"/>
      <c r="V2" s="17"/>
      <c r="W2" s="17"/>
      <c r="X2" s="17" t="s">
        <v>67</v>
      </c>
      <c r="Y2" s="17"/>
      <c r="Z2" s="17"/>
      <c r="AA2" s="17"/>
      <c r="AB2" s="17" t="s">
        <v>68</v>
      </c>
      <c r="AC2" s="17"/>
      <c r="AD2" s="17"/>
      <c r="AE2" s="17" t="s">
        <v>69</v>
      </c>
      <c r="AF2" s="17"/>
      <c r="AG2" s="17"/>
      <c r="AH2" s="17"/>
      <c r="AI2" s="17"/>
      <c r="AJ2" s="17"/>
      <c r="AK2" s="18" t="s">
        <v>70</v>
      </c>
      <c r="AL2" s="18"/>
      <c r="AM2" s="18"/>
      <c r="AN2" s="18"/>
      <c r="AO2" s="18"/>
      <c r="AP2" s="18" t="s">
        <v>71</v>
      </c>
      <c r="AQ2" s="19" t="s">
        <v>72</v>
      </c>
      <c r="AR2" s="19"/>
      <c r="AS2" s="19"/>
      <c r="AT2" s="19"/>
      <c r="AU2" s="19"/>
    </row>
    <row r="3" customFormat="false" ht="39.75" hidden="false" customHeight="true" outlineLevel="0" collapsed="false">
      <c r="A3" s="20" t="s">
        <v>73</v>
      </c>
      <c r="B3" s="20" t="s">
        <v>74</v>
      </c>
      <c r="C3" s="20" t="s">
        <v>75</v>
      </c>
      <c r="D3" s="20" t="s">
        <v>76</v>
      </c>
      <c r="E3" s="20" t="s">
        <v>77</v>
      </c>
      <c r="F3" s="20" t="s">
        <v>78</v>
      </c>
      <c r="G3" s="20" t="s">
        <v>79</v>
      </c>
      <c r="H3" s="21" t="s">
        <v>80</v>
      </c>
      <c r="I3" s="20" t="s">
        <v>81</v>
      </c>
      <c r="J3" s="21" t="s">
        <v>82</v>
      </c>
      <c r="K3" s="20" t="s">
        <v>83</v>
      </c>
      <c r="L3" s="21" t="s">
        <v>84</v>
      </c>
      <c r="M3" s="20" t="s">
        <v>85</v>
      </c>
      <c r="N3" s="20" t="s">
        <v>86</v>
      </c>
      <c r="O3" s="21" t="s">
        <v>87</v>
      </c>
      <c r="P3" s="20" t="s">
        <v>88</v>
      </c>
      <c r="Q3" s="20" t="s">
        <v>89</v>
      </c>
      <c r="R3" s="20" t="s">
        <v>90</v>
      </c>
      <c r="S3" s="21" t="s">
        <v>91</v>
      </c>
      <c r="T3" s="20" t="s">
        <v>92</v>
      </c>
      <c r="U3" s="20" t="s">
        <v>93</v>
      </c>
      <c r="V3" s="20" t="s">
        <v>94</v>
      </c>
      <c r="W3" s="21" t="s">
        <v>95</v>
      </c>
      <c r="X3" s="20" t="s">
        <v>96</v>
      </c>
      <c r="Y3" s="20" t="s">
        <v>97</v>
      </c>
      <c r="Z3" s="21" t="s">
        <v>98</v>
      </c>
      <c r="AA3" s="21" t="s">
        <v>99</v>
      </c>
      <c r="AB3" s="20" t="s">
        <v>100</v>
      </c>
      <c r="AC3" s="21" t="s">
        <v>101</v>
      </c>
      <c r="AD3" s="21" t="s">
        <v>102</v>
      </c>
      <c r="AE3" s="20" t="s">
        <v>103</v>
      </c>
      <c r="AF3" s="20" t="s">
        <v>104</v>
      </c>
      <c r="AG3" s="20" t="s">
        <v>105</v>
      </c>
      <c r="AH3" s="21" t="s">
        <v>106</v>
      </c>
      <c r="AI3" s="21" t="s">
        <v>107</v>
      </c>
      <c r="AJ3" s="21" t="s">
        <v>108</v>
      </c>
      <c r="AK3" s="20" t="s">
        <v>109</v>
      </c>
      <c r="AL3" s="20" t="s">
        <v>110</v>
      </c>
      <c r="AM3" s="20" t="s">
        <v>111</v>
      </c>
      <c r="AN3" s="20" t="s">
        <v>112</v>
      </c>
      <c r="AO3" s="21" t="s">
        <v>113</v>
      </c>
      <c r="AP3" s="20" t="s">
        <v>114</v>
      </c>
      <c r="AQ3" s="21" t="s">
        <v>115</v>
      </c>
      <c r="AR3" s="21" t="s">
        <v>116</v>
      </c>
      <c r="AS3" s="21" t="s">
        <v>117</v>
      </c>
      <c r="AT3" s="21" t="s">
        <v>118</v>
      </c>
      <c r="AU3" s="21" t="s">
        <v>119</v>
      </c>
    </row>
    <row r="4" customFormat="false" ht="15.75" hidden="false" customHeight="true" outlineLevel="0" collapsed="false">
      <c r="A4" s="22" t="s">
        <v>120</v>
      </c>
      <c r="B4" s="22" t="s">
        <v>121</v>
      </c>
      <c r="C4" s="22" t="s">
        <v>122</v>
      </c>
      <c r="D4" s="22" t="n">
        <v>13</v>
      </c>
      <c r="E4" s="22" t="s">
        <v>123</v>
      </c>
      <c r="F4" s="22" t="n">
        <v>152</v>
      </c>
      <c r="G4" s="22" t="n">
        <v>41</v>
      </c>
      <c r="H4" s="23" t="n">
        <f aca="false">IF(AND(F4&lt;&gt;"",G4&lt;&gt;""),G4/((F4/100)^2),"")</f>
        <v>17.7458448753463</v>
      </c>
      <c r="I4" s="22" t="s">
        <v>51</v>
      </c>
      <c r="J4" s="23" t="n">
        <f aca="false">IF(I4="","",IF(I4="Normal",100,IF(I4="Caution",60,IF(I4="High-risk",20,""))))</f>
        <v>100</v>
      </c>
      <c r="K4" s="22" t="s">
        <v>52</v>
      </c>
      <c r="L4" s="23" t="n">
        <f aca="false">IF(K4="","",IF(K4="Normal",100,IF(K4="Caution",60,IF(K4="High-risk",20,""))))</f>
        <v>60</v>
      </c>
      <c r="M4" s="22" t="n">
        <v>10.8</v>
      </c>
      <c r="N4" s="22" t="s">
        <v>53</v>
      </c>
      <c r="O4" s="23" t="n">
        <f aca="false">IF(N4="","",IF(N4="Normal",100,IF(N4="Caution",60,IF(N4="High-risk",20,""))))</f>
        <v>20</v>
      </c>
      <c r="P4" s="22" t="n">
        <v>108</v>
      </c>
      <c r="Q4" s="22" t="n">
        <v>70</v>
      </c>
      <c r="R4" s="22" t="s">
        <v>51</v>
      </c>
      <c r="S4" s="23" t="n">
        <f aca="false">IF(R4="","",IF(R4="Normal",100,IF(R4="Caution",60,IF(R4="High-risk",20,""))))</f>
        <v>100</v>
      </c>
      <c r="T4" s="22" t="n">
        <v>68</v>
      </c>
      <c r="U4" s="22" t="n">
        <v>1</v>
      </c>
      <c r="V4" s="22" t="s">
        <v>52</v>
      </c>
      <c r="W4" s="23" t="n">
        <f aca="false">IF(V4="","",IF(V4="Normal",100,IF(V4="Caution",60,IF(V4="High-risk",20,""))))</f>
        <v>60</v>
      </c>
      <c r="X4" s="22" t="n">
        <v>1</v>
      </c>
      <c r="Y4" s="22" t="n">
        <v>0.67</v>
      </c>
      <c r="Z4" s="23" t="str">
        <f aca="false">IF(OR(X4="",Y4=""),"",IF(MIN(X4,Y4)&gt;=0.67,"Normal",IF(MIN(X4,Y4)&gt;=0.5,"Caution","High-risk")))</f>
        <v>Normal</v>
      </c>
      <c r="AA4" s="23" t="n">
        <f aca="false">IF(Z4="","",IF(Z4="Normal",100,IF(Z4="Caution",60,20)))</f>
        <v>100</v>
      </c>
      <c r="AB4" s="22" t="n">
        <v>1</v>
      </c>
      <c r="AC4" s="23" t="str">
        <f aca="false">IF(AB4="","",IF(AB4=0,"Normal",IF(AB4&lt;3,"Caution","High-risk")))</f>
        <v>Caution</v>
      </c>
      <c r="AD4" s="23" t="n">
        <f aca="false">IF(AC4="","",IF(AC4="Normal",100,IF(AC4="Caution",60,20)))</f>
        <v>60</v>
      </c>
      <c r="AE4" s="22" t="s">
        <v>124</v>
      </c>
      <c r="AF4" s="22" t="n">
        <v>260</v>
      </c>
      <c r="AG4" s="22" t="n">
        <v>300</v>
      </c>
      <c r="AH4" s="23" t="n">
        <f aca="false">IF(OR(AF4="",AG4="",AG4=0),"",AF4/AG4)</f>
        <v>0.866666666666667</v>
      </c>
      <c r="AI4" s="23" t="str">
        <f aca="false">IF(AND(AE4="",AF4=""),"",IF(AND(AH4&lt;&gt;"",AH4&lt;0.5),"High-risk",IF(OR(AE4="Yes",AND(AH4&lt;&gt;"",AH4&lt;0.8)),"Caution","Normal")))</f>
        <v>Normal</v>
      </c>
      <c r="AJ4" s="23" t="n">
        <f aca="false">IF(AI4="","",IF(AI4="Normal",100,IF(AI4="Caution",60,20)))</f>
        <v>100</v>
      </c>
      <c r="AK4" s="22" t="s">
        <v>124</v>
      </c>
      <c r="AL4" s="22" t="s">
        <v>124</v>
      </c>
      <c r="AM4" s="22" t="s">
        <v>124</v>
      </c>
      <c r="AN4" s="22" t="s">
        <v>124</v>
      </c>
      <c r="AO4" s="24" t="str">
        <f aca="false">IF(COUNTBLANK(AK4:AN4)=4,"",IF(COUNTIF(AK4:AN4,"Yes")&gt;0,"REFER - TB symptom screen positive","Clear"))</f>
        <v>Clear</v>
      </c>
      <c r="AP4" s="22" t="s">
        <v>125</v>
      </c>
      <c r="AQ4" s="23" t="n">
        <f aca="false">COUNT(J4,L4,O4,S4,W4,AA4,AD4,AJ4)</f>
        <v>8</v>
      </c>
      <c r="AR4" s="23" t="n">
        <f aca="false">IF(AQ4=0,"",((IF(J4&lt;&gt;"",J4*UndernutritionWeight,0)+IF(L4&lt;&gt;"",L4*OverweightWeight,0)+IF(O4&lt;&gt;"",O4*AnaemiaWeight,0)+IF(S4&lt;&gt;"",S4*BPWeight,0)+IF(W4&lt;&gt;"",W4*MetabolicWeight,0)+IF(AA4&lt;&gt;"",AA4*VisionWeight,0)+IF(AD4&lt;&gt;"",AD4*OralWeight,0)+IF(AJ4&lt;&gt;"",AJ4*RespiratoryWeight,0))/(IF(J4&lt;&gt;"",UndernutritionWeight,0)+IF(L4&lt;&gt;"",OverweightWeight,0)+IF(O4&lt;&gt;"",AnaemiaWeight,0)+IF(S4&lt;&gt;"",BPWeight,0)+IF(W4&lt;&gt;"",MetabolicWeight,0)+IF(AA4&lt;&gt;"",VisionWeight,0)+IF(AD4&lt;&gt;"",OralWeight,0)+IF(AJ4&lt;&gt;"",RespiratoryWeight,0))))</f>
        <v>71.6</v>
      </c>
      <c r="AS4" s="24" t="str">
        <f aca="false">IF(AR4="","Incomplete",IF(AR4&gt;=80,"Green - On Track",IF(AR4&gt;=60,"Amber - Monitor","Red - Refer")))</f>
        <v>Amber - Monitor</v>
      </c>
      <c r="AT4" s="24" t="str">
        <f aca="false">IF(OR(I4="High-risk",K4="High-risk",N4="High-risk",R4="High-risk",V4="High-risk",Z4="High-risk",AC4="High-risk",AI4="High-risk"),"OVERRIDE - Individual referral required","")</f>
        <v>OVERRIDE - Individual referral required</v>
      </c>
      <c r="AU4" s="23" t="str">
        <f aca="false">TRIM(AS4&amp;IF(AT4&lt;&gt;""," | "&amp;AT4,"")&amp;IF(AND(AO4&lt;&gt;"",AO4&lt;&gt;"Clear")," | "&amp;AO4,"")&amp;IF(AND(AP4&lt;&gt;"",AP4&lt;&gt;"Clear")," | Mental wellbeing: "&amp;AP4,""))</f>
        <v>Amber - Monitor | OVERRIDE - Individual referral required</v>
      </c>
    </row>
    <row r="5" customFormat="false" ht="15" hidden="false" customHeight="false" outlineLevel="0" collapsed="false">
      <c r="A5" s="25"/>
      <c r="B5" s="25"/>
      <c r="C5" s="25"/>
      <c r="D5" s="25"/>
      <c r="E5" s="25"/>
      <c r="F5" s="25"/>
      <c r="G5" s="25"/>
      <c r="H5" s="26" t="str">
        <f aca="false">IF(AND(F5&lt;&gt;"",G5&lt;&gt;""),G5/((F5/100)^2),"")</f>
        <v/>
      </c>
      <c r="I5" s="25"/>
      <c r="J5" s="26" t="str">
        <f aca="false">IF(I5="","",IF(I5="Normal",100,IF(I5="Caution",60,IF(I5="High-risk",20,""))))</f>
        <v/>
      </c>
      <c r="K5" s="25"/>
      <c r="L5" s="26" t="str">
        <f aca="false">IF(K5="","",IF(K5="Normal",100,IF(K5="Caution",60,IF(K5="High-risk",20,""))))</f>
        <v/>
      </c>
      <c r="M5" s="25"/>
      <c r="N5" s="25"/>
      <c r="O5" s="26" t="str">
        <f aca="false">IF(N5="","",IF(N5="Normal",100,IF(N5="Caution",60,IF(N5="High-risk",20,""))))</f>
        <v/>
      </c>
      <c r="P5" s="25"/>
      <c r="Q5" s="25"/>
      <c r="R5" s="25"/>
      <c r="S5" s="26" t="str">
        <f aca="false">IF(R5="","",IF(R5="Normal",100,IF(R5="Caution",60,IF(R5="High-risk",20,""))))</f>
        <v/>
      </c>
      <c r="T5" s="25"/>
      <c r="U5" s="25"/>
      <c r="V5" s="25"/>
      <c r="W5" s="26" t="str">
        <f aca="false">IF(V5="","",IF(V5="Normal",100,IF(V5="Caution",60,IF(V5="High-risk",20,""))))</f>
        <v/>
      </c>
      <c r="X5" s="25"/>
      <c r="Y5" s="25"/>
      <c r="Z5" s="26" t="str">
        <f aca="false">IF(OR(X5="",Y5=""),"",IF(MIN(X5,Y5)&gt;=0.67,"Normal",IF(MIN(X5,Y5)&gt;=0.5,"Caution","High-risk")))</f>
        <v/>
      </c>
      <c r="AA5" s="26" t="str">
        <f aca="false">IF(Z5="","",IF(Z5="Normal",100,IF(Z5="Caution",60,20)))</f>
        <v/>
      </c>
      <c r="AB5" s="25"/>
      <c r="AC5" s="26" t="str">
        <f aca="false">IF(AB5="","",IF(AB5=0,"Normal",IF(AB5&lt;3,"Caution","High-risk")))</f>
        <v/>
      </c>
      <c r="AD5" s="26" t="str">
        <f aca="false">IF(AC5="","",IF(AC5="Normal",100,IF(AC5="Caution",60,20)))</f>
        <v/>
      </c>
      <c r="AE5" s="25"/>
      <c r="AF5" s="25"/>
      <c r="AG5" s="25"/>
      <c r="AH5" s="26" t="str">
        <f aca="false">IF(OR(AF5="",AG5="",AG5=0),"",AF5/AG5)</f>
        <v/>
      </c>
      <c r="AI5" s="26" t="str">
        <f aca="false">IF(AND(AE5="",AF5=""),"",IF(AND(AH5&lt;&gt;"",AH5&lt;0.5),"High-risk",IF(OR(AE5="Yes",AND(AH5&lt;&gt;"",AH5&lt;0.8)),"Caution","Normal")))</f>
        <v/>
      </c>
      <c r="AJ5" s="26" t="str">
        <f aca="false">IF(AI5="","",IF(AI5="Normal",100,IF(AI5="Caution",60,20)))</f>
        <v/>
      </c>
      <c r="AK5" s="25"/>
      <c r="AL5" s="25"/>
      <c r="AM5" s="25"/>
      <c r="AN5" s="25"/>
      <c r="AO5" s="26" t="str">
        <f aca="false">IF(COUNTBLANK(AK5:AN5)=4,"",IF(COUNTIF(AK5:AN5,"Yes")&gt;0,"REFER - TB symptom screen positive","Clear"))</f>
        <v/>
      </c>
      <c r="AP5" s="25"/>
      <c r="AQ5" s="26" t="n">
        <f aca="false">COUNT(J5,L5,O5,S5,W5,AA5,AD5,AJ5)</f>
        <v>0</v>
      </c>
      <c r="AR5" s="26" t="str">
        <f aca="false">IF(AQ5=0,"",((IF(J5&lt;&gt;"",J5*UndernutritionWeight,0)+IF(L5&lt;&gt;"",L5*OverweightWeight,0)+IF(O5&lt;&gt;"",O5*AnaemiaWeight,0)+IF(S5&lt;&gt;"",S5*BPWeight,0)+IF(W5&lt;&gt;"",W5*MetabolicWeight,0)+IF(AA5&lt;&gt;"",AA5*VisionWeight,0)+IF(AD5&lt;&gt;"",AD5*OralWeight,0)+IF(AJ5&lt;&gt;"",AJ5*RespiratoryWeight,0))/(IF(J5&lt;&gt;"",UndernutritionWeight,0)+IF(L5&lt;&gt;"",OverweightWeight,0)+IF(O5&lt;&gt;"",AnaemiaWeight,0)+IF(S5&lt;&gt;"",BPWeight,0)+IF(W5&lt;&gt;"",MetabolicWeight,0)+IF(AA5&lt;&gt;"",VisionWeight,0)+IF(AD5&lt;&gt;"",OralWeight,0)+IF(AJ5&lt;&gt;"",RespiratoryWeight,0))))</f>
        <v/>
      </c>
      <c r="AS5" s="26" t="str">
        <f aca="false">IF(AR5="","Incomplete",IF(AR5&gt;=80,"Green - On Track",IF(AR5&gt;=60,"Amber - Monitor","Red - Refer")))</f>
        <v>Incomplete</v>
      </c>
      <c r="AT5" s="26" t="str">
        <f aca="false">IF(OR(I5="High-risk",K5="High-risk",N5="High-risk",R5="High-risk",V5="High-risk",Z5="High-risk",AC5="High-risk",AI5="High-risk"),"OVERRIDE - Individual referral required","")</f>
        <v/>
      </c>
      <c r="AU5" s="26" t="str">
        <f aca="false">TRIM(AS5&amp;IF(AT5&lt;&gt;""," | "&amp;AT5,"")&amp;IF(AND(AO5&lt;&gt;"",AO5&lt;&gt;"Clear")," | "&amp;AO5,"")&amp;IF(AND(AP5&lt;&gt;"",AP5&lt;&gt;"Clear")," | Mental wellbeing: "&amp;AP5,""))</f>
        <v>Incomplete</v>
      </c>
    </row>
    <row r="6" customFormat="false" ht="15" hidden="false" customHeight="false" outlineLevel="0" collapsed="false">
      <c r="A6" s="25"/>
      <c r="B6" s="25"/>
      <c r="C6" s="25"/>
      <c r="D6" s="25"/>
      <c r="E6" s="25"/>
      <c r="F6" s="25"/>
      <c r="G6" s="25"/>
      <c r="H6" s="26" t="str">
        <f aca="false">IF(AND(F6&lt;&gt;"",G6&lt;&gt;""),G6/((F6/100)^2),"")</f>
        <v/>
      </c>
      <c r="I6" s="25"/>
      <c r="J6" s="26" t="str">
        <f aca="false">IF(I6="","",IF(I6="Normal",100,IF(I6="Caution",60,IF(I6="High-risk",20,""))))</f>
        <v/>
      </c>
      <c r="K6" s="25"/>
      <c r="L6" s="26" t="str">
        <f aca="false">IF(K6="","",IF(K6="Normal",100,IF(K6="Caution",60,IF(K6="High-risk",20,""))))</f>
        <v/>
      </c>
      <c r="M6" s="25"/>
      <c r="N6" s="25"/>
      <c r="O6" s="26" t="str">
        <f aca="false">IF(N6="","",IF(N6="Normal",100,IF(N6="Caution",60,IF(N6="High-risk",20,""))))</f>
        <v/>
      </c>
      <c r="P6" s="25"/>
      <c r="Q6" s="25"/>
      <c r="R6" s="25"/>
      <c r="S6" s="26" t="str">
        <f aca="false">IF(R6="","",IF(R6="Normal",100,IF(R6="Caution",60,IF(R6="High-risk",20,""))))</f>
        <v/>
      </c>
      <c r="T6" s="25"/>
      <c r="U6" s="25"/>
      <c r="V6" s="25"/>
      <c r="W6" s="26" t="str">
        <f aca="false">IF(V6="","",IF(V6="Normal",100,IF(V6="Caution",60,IF(V6="High-risk",20,""))))</f>
        <v/>
      </c>
      <c r="X6" s="25"/>
      <c r="Y6" s="25"/>
      <c r="Z6" s="26" t="str">
        <f aca="false">IF(OR(X6="",Y6=""),"",IF(MIN(X6,Y6)&gt;=0.67,"Normal",IF(MIN(X6,Y6)&gt;=0.5,"Caution","High-risk")))</f>
        <v/>
      </c>
      <c r="AA6" s="26" t="str">
        <f aca="false">IF(Z6="","",IF(Z6="Normal",100,IF(Z6="Caution",60,20)))</f>
        <v/>
      </c>
      <c r="AB6" s="25"/>
      <c r="AC6" s="26" t="str">
        <f aca="false">IF(AB6="","",IF(AB6=0,"Normal",IF(AB6&lt;3,"Caution","High-risk")))</f>
        <v/>
      </c>
      <c r="AD6" s="26" t="str">
        <f aca="false">IF(AC6="","",IF(AC6="Normal",100,IF(AC6="Caution",60,20)))</f>
        <v/>
      </c>
      <c r="AE6" s="25"/>
      <c r="AF6" s="25"/>
      <c r="AG6" s="25"/>
      <c r="AH6" s="26" t="str">
        <f aca="false">IF(OR(AF6="",AG6="",AG6=0),"",AF6/AG6)</f>
        <v/>
      </c>
      <c r="AI6" s="26" t="str">
        <f aca="false">IF(AND(AE6="",AF6=""),"",IF(AND(AH6&lt;&gt;"",AH6&lt;0.5),"High-risk",IF(OR(AE6="Yes",AND(AH6&lt;&gt;"",AH6&lt;0.8)),"Caution","Normal")))</f>
        <v/>
      </c>
      <c r="AJ6" s="26" t="str">
        <f aca="false">IF(AI6="","",IF(AI6="Normal",100,IF(AI6="Caution",60,20)))</f>
        <v/>
      </c>
      <c r="AK6" s="25"/>
      <c r="AL6" s="25"/>
      <c r="AM6" s="25"/>
      <c r="AN6" s="25"/>
      <c r="AO6" s="26" t="str">
        <f aca="false">IF(COUNTBLANK(AK6:AN6)=4,"",IF(COUNTIF(AK6:AN6,"Yes")&gt;0,"REFER - TB symptom screen positive","Clear"))</f>
        <v/>
      </c>
      <c r="AP6" s="25"/>
      <c r="AQ6" s="26" t="n">
        <f aca="false">COUNT(J6,L6,O6,S6,W6,AA6,AD6,AJ6)</f>
        <v>0</v>
      </c>
      <c r="AR6" s="26" t="str">
        <f aca="false">IF(AQ6=0,"",((IF(J6&lt;&gt;"",J6*UndernutritionWeight,0)+IF(L6&lt;&gt;"",L6*OverweightWeight,0)+IF(O6&lt;&gt;"",O6*AnaemiaWeight,0)+IF(S6&lt;&gt;"",S6*BPWeight,0)+IF(W6&lt;&gt;"",W6*MetabolicWeight,0)+IF(AA6&lt;&gt;"",AA6*VisionWeight,0)+IF(AD6&lt;&gt;"",AD6*OralWeight,0)+IF(AJ6&lt;&gt;"",AJ6*RespiratoryWeight,0))/(IF(J6&lt;&gt;"",UndernutritionWeight,0)+IF(L6&lt;&gt;"",OverweightWeight,0)+IF(O6&lt;&gt;"",AnaemiaWeight,0)+IF(S6&lt;&gt;"",BPWeight,0)+IF(W6&lt;&gt;"",MetabolicWeight,0)+IF(AA6&lt;&gt;"",VisionWeight,0)+IF(AD6&lt;&gt;"",OralWeight,0)+IF(AJ6&lt;&gt;"",RespiratoryWeight,0))))</f>
        <v/>
      </c>
      <c r="AS6" s="26" t="str">
        <f aca="false">IF(AR6="","Incomplete",IF(AR6&gt;=80,"Green - On Track",IF(AR6&gt;=60,"Amber - Monitor","Red - Refer")))</f>
        <v>Incomplete</v>
      </c>
      <c r="AT6" s="26" t="str">
        <f aca="false">IF(OR(I6="High-risk",K6="High-risk",N6="High-risk",R6="High-risk",V6="High-risk",Z6="High-risk",AC6="High-risk",AI6="High-risk"),"OVERRIDE - Individual referral required","")</f>
        <v/>
      </c>
      <c r="AU6" s="26" t="str">
        <f aca="false">TRIM(AS6&amp;IF(AT6&lt;&gt;""," | "&amp;AT6,"")&amp;IF(AND(AO6&lt;&gt;"",AO6&lt;&gt;"Clear")," | "&amp;AO6,"")&amp;IF(AND(AP6&lt;&gt;"",AP6&lt;&gt;"Clear")," | Mental wellbeing: "&amp;AP6,""))</f>
        <v>Incomplete</v>
      </c>
    </row>
    <row r="7" customFormat="false" ht="15" hidden="false" customHeight="false" outlineLevel="0" collapsed="false">
      <c r="A7" s="25"/>
      <c r="B7" s="25"/>
      <c r="C7" s="25"/>
      <c r="D7" s="25"/>
      <c r="E7" s="25"/>
      <c r="F7" s="25"/>
      <c r="G7" s="25"/>
      <c r="H7" s="26" t="str">
        <f aca="false">IF(AND(F7&lt;&gt;"",G7&lt;&gt;""),G7/((F7/100)^2),"")</f>
        <v/>
      </c>
      <c r="I7" s="25"/>
      <c r="J7" s="26" t="str">
        <f aca="false">IF(I7="","",IF(I7="Normal",100,IF(I7="Caution",60,IF(I7="High-risk",20,""))))</f>
        <v/>
      </c>
      <c r="K7" s="25"/>
      <c r="L7" s="26" t="str">
        <f aca="false">IF(K7="","",IF(K7="Normal",100,IF(K7="Caution",60,IF(K7="High-risk",20,""))))</f>
        <v/>
      </c>
      <c r="M7" s="25"/>
      <c r="N7" s="25"/>
      <c r="O7" s="26" t="str">
        <f aca="false">IF(N7="","",IF(N7="Normal",100,IF(N7="Caution",60,IF(N7="High-risk",20,""))))</f>
        <v/>
      </c>
      <c r="P7" s="25"/>
      <c r="Q7" s="25"/>
      <c r="R7" s="25"/>
      <c r="S7" s="26" t="str">
        <f aca="false">IF(R7="","",IF(R7="Normal",100,IF(R7="Caution",60,IF(R7="High-risk",20,""))))</f>
        <v/>
      </c>
      <c r="T7" s="25"/>
      <c r="U7" s="25"/>
      <c r="V7" s="25"/>
      <c r="W7" s="26" t="str">
        <f aca="false">IF(V7="","",IF(V7="Normal",100,IF(V7="Caution",60,IF(V7="High-risk",20,""))))</f>
        <v/>
      </c>
      <c r="X7" s="25"/>
      <c r="Y7" s="25"/>
      <c r="Z7" s="26" t="str">
        <f aca="false">IF(OR(X7="",Y7=""),"",IF(MIN(X7,Y7)&gt;=0.67,"Normal",IF(MIN(X7,Y7)&gt;=0.5,"Caution","High-risk")))</f>
        <v/>
      </c>
      <c r="AA7" s="26" t="str">
        <f aca="false">IF(Z7="","",IF(Z7="Normal",100,IF(Z7="Caution",60,20)))</f>
        <v/>
      </c>
      <c r="AB7" s="25"/>
      <c r="AC7" s="26" t="str">
        <f aca="false">IF(AB7="","",IF(AB7=0,"Normal",IF(AB7&lt;3,"Caution","High-risk")))</f>
        <v/>
      </c>
      <c r="AD7" s="26" t="str">
        <f aca="false">IF(AC7="","",IF(AC7="Normal",100,IF(AC7="Caution",60,20)))</f>
        <v/>
      </c>
      <c r="AE7" s="25"/>
      <c r="AF7" s="25"/>
      <c r="AG7" s="25"/>
      <c r="AH7" s="26" t="str">
        <f aca="false">IF(OR(AF7="",AG7="",AG7=0),"",AF7/AG7)</f>
        <v/>
      </c>
      <c r="AI7" s="26" t="str">
        <f aca="false">IF(AND(AE7="",AF7=""),"",IF(AND(AH7&lt;&gt;"",AH7&lt;0.5),"High-risk",IF(OR(AE7="Yes",AND(AH7&lt;&gt;"",AH7&lt;0.8)),"Caution","Normal")))</f>
        <v/>
      </c>
      <c r="AJ7" s="26" t="str">
        <f aca="false">IF(AI7="","",IF(AI7="Normal",100,IF(AI7="Caution",60,20)))</f>
        <v/>
      </c>
      <c r="AK7" s="25"/>
      <c r="AL7" s="25"/>
      <c r="AM7" s="25"/>
      <c r="AN7" s="25"/>
      <c r="AO7" s="26" t="str">
        <f aca="false">IF(COUNTBLANK(AK7:AN7)=4,"",IF(COUNTIF(AK7:AN7,"Yes")&gt;0,"REFER - TB symptom screen positive","Clear"))</f>
        <v/>
      </c>
      <c r="AP7" s="25"/>
      <c r="AQ7" s="26" t="n">
        <f aca="false">COUNT(J7,L7,O7,S7,W7,AA7,AD7,AJ7)</f>
        <v>0</v>
      </c>
      <c r="AR7" s="26" t="str">
        <f aca="false">IF(AQ7=0,"",((IF(J7&lt;&gt;"",J7*UndernutritionWeight,0)+IF(L7&lt;&gt;"",L7*OverweightWeight,0)+IF(O7&lt;&gt;"",O7*AnaemiaWeight,0)+IF(S7&lt;&gt;"",S7*BPWeight,0)+IF(W7&lt;&gt;"",W7*MetabolicWeight,0)+IF(AA7&lt;&gt;"",AA7*VisionWeight,0)+IF(AD7&lt;&gt;"",AD7*OralWeight,0)+IF(AJ7&lt;&gt;"",AJ7*RespiratoryWeight,0))/(IF(J7&lt;&gt;"",UndernutritionWeight,0)+IF(L7&lt;&gt;"",OverweightWeight,0)+IF(O7&lt;&gt;"",AnaemiaWeight,0)+IF(S7&lt;&gt;"",BPWeight,0)+IF(W7&lt;&gt;"",MetabolicWeight,0)+IF(AA7&lt;&gt;"",VisionWeight,0)+IF(AD7&lt;&gt;"",OralWeight,0)+IF(AJ7&lt;&gt;"",RespiratoryWeight,0))))</f>
        <v/>
      </c>
      <c r="AS7" s="26" t="str">
        <f aca="false">IF(AR7="","Incomplete",IF(AR7&gt;=80,"Green - On Track",IF(AR7&gt;=60,"Amber - Monitor","Red - Refer")))</f>
        <v>Incomplete</v>
      </c>
      <c r="AT7" s="26" t="str">
        <f aca="false">IF(OR(I7="High-risk",K7="High-risk",N7="High-risk",R7="High-risk",V7="High-risk",Z7="High-risk",AC7="High-risk",AI7="High-risk"),"OVERRIDE - Individual referral required","")</f>
        <v/>
      </c>
      <c r="AU7" s="26" t="str">
        <f aca="false">TRIM(AS7&amp;IF(AT7&lt;&gt;""," | "&amp;AT7,"")&amp;IF(AND(AO7&lt;&gt;"",AO7&lt;&gt;"Clear")," | "&amp;AO7,"")&amp;IF(AND(AP7&lt;&gt;"",AP7&lt;&gt;"Clear")," | Mental wellbeing: "&amp;AP7,""))</f>
        <v>Incomplete</v>
      </c>
    </row>
    <row r="8" customFormat="false" ht="15" hidden="false" customHeight="false" outlineLevel="0" collapsed="false">
      <c r="A8" s="25"/>
      <c r="B8" s="25"/>
      <c r="C8" s="25"/>
      <c r="D8" s="25"/>
      <c r="E8" s="25"/>
      <c r="F8" s="25"/>
      <c r="G8" s="25"/>
      <c r="H8" s="26" t="str">
        <f aca="false">IF(AND(F8&lt;&gt;"",G8&lt;&gt;""),G8/((F8/100)^2),"")</f>
        <v/>
      </c>
      <c r="I8" s="25"/>
      <c r="J8" s="26" t="str">
        <f aca="false">IF(I8="","",IF(I8="Normal",100,IF(I8="Caution",60,IF(I8="High-risk",20,""))))</f>
        <v/>
      </c>
      <c r="K8" s="25"/>
      <c r="L8" s="26" t="str">
        <f aca="false">IF(K8="","",IF(K8="Normal",100,IF(K8="Caution",60,IF(K8="High-risk",20,""))))</f>
        <v/>
      </c>
      <c r="M8" s="25"/>
      <c r="N8" s="25"/>
      <c r="O8" s="26" t="str">
        <f aca="false">IF(N8="","",IF(N8="Normal",100,IF(N8="Caution",60,IF(N8="High-risk",20,""))))</f>
        <v/>
      </c>
      <c r="P8" s="25"/>
      <c r="Q8" s="25"/>
      <c r="R8" s="25"/>
      <c r="S8" s="26" t="str">
        <f aca="false">IF(R8="","",IF(R8="Normal",100,IF(R8="Caution",60,IF(R8="High-risk",20,""))))</f>
        <v/>
      </c>
      <c r="T8" s="25"/>
      <c r="U8" s="25"/>
      <c r="V8" s="25"/>
      <c r="W8" s="26" t="str">
        <f aca="false">IF(V8="","",IF(V8="Normal",100,IF(V8="Caution",60,IF(V8="High-risk",20,""))))</f>
        <v/>
      </c>
      <c r="X8" s="25"/>
      <c r="Y8" s="25"/>
      <c r="Z8" s="26" t="str">
        <f aca="false">IF(OR(X8="",Y8=""),"",IF(MIN(X8,Y8)&gt;=0.67,"Normal",IF(MIN(X8,Y8)&gt;=0.5,"Caution","High-risk")))</f>
        <v/>
      </c>
      <c r="AA8" s="26" t="str">
        <f aca="false">IF(Z8="","",IF(Z8="Normal",100,IF(Z8="Caution",60,20)))</f>
        <v/>
      </c>
      <c r="AB8" s="25"/>
      <c r="AC8" s="26" t="str">
        <f aca="false">IF(AB8="","",IF(AB8=0,"Normal",IF(AB8&lt;3,"Caution","High-risk")))</f>
        <v/>
      </c>
      <c r="AD8" s="26" t="str">
        <f aca="false">IF(AC8="","",IF(AC8="Normal",100,IF(AC8="Caution",60,20)))</f>
        <v/>
      </c>
      <c r="AE8" s="25"/>
      <c r="AF8" s="25"/>
      <c r="AG8" s="25"/>
      <c r="AH8" s="26" t="str">
        <f aca="false">IF(OR(AF8="",AG8="",AG8=0),"",AF8/AG8)</f>
        <v/>
      </c>
      <c r="AI8" s="26" t="str">
        <f aca="false">IF(AND(AE8="",AF8=""),"",IF(AND(AH8&lt;&gt;"",AH8&lt;0.5),"High-risk",IF(OR(AE8="Yes",AND(AH8&lt;&gt;"",AH8&lt;0.8)),"Caution","Normal")))</f>
        <v/>
      </c>
      <c r="AJ8" s="26" t="str">
        <f aca="false">IF(AI8="","",IF(AI8="Normal",100,IF(AI8="Caution",60,20)))</f>
        <v/>
      </c>
      <c r="AK8" s="25"/>
      <c r="AL8" s="25"/>
      <c r="AM8" s="25"/>
      <c r="AN8" s="25"/>
      <c r="AO8" s="26" t="str">
        <f aca="false">IF(COUNTBLANK(AK8:AN8)=4,"",IF(COUNTIF(AK8:AN8,"Yes")&gt;0,"REFER - TB symptom screen positive","Clear"))</f>
        <v/>
      </c>
      <c r="AP8" s="25"/>
      <c r="AQ8" s="26" t="n">
        <f aca="false">COUNT(J8,L8,O8,S8,W8,AA8,AD8,AJ8)</f>
        <v>0</v>
      </c>
      <c r="AR8" s="26" t="str">
        <f aca="false">IF(AQ8=0,"",((IF(J8&lt;&gt;"",J8*UndernutritionWeight,0)+IF(L8&lt;&gt;"",L8*OverweightWeight,0)+IF(O8&lt;&gt;"",O8*AnaemiaWeight,0)+IF(S8&lt;&gt;"",S8*BPWeight,0)+IF(W8&lt;&gt;"",W8*MetabolicWeight,0)+IF(AA8&lt;&gt;"",AA8*VisionWeight,0)+IF(AD8&lt;&gt;"",AD8*OralWeight,0)+IF(AJ8&lt;&gt;"",AJ8*RespiratoryWeight,0))/(IF(J8&lt;&gt;"",UndernutritionWeight,0)+IF(L8&lt;&gt;"",OverweightWeight,0)+IF(O8&lt;&gt;"",AnaemiaWeight,0)+IF(S8&lt;&gt;"",BPWeight,0)+IF(W8&lt;&gt;"",MetabolicWeight,0)+IF(AA8&lt;&gt;"",VisionWeight,0)+IF(AD8&lt;&gt;"",OralWeight,0)+IF(AJ8&lt;&gt;"",RespiratoryWeight,0))))</f>
        <v/>
      </c>
      <c r="AS8" s="26" t="str">
        <f aca="false">IF(AR8="","Incomplete",IF(AR8&gt;=80,"Green - On Track",IF(AR8&gt;=60,"Amber - Monitor","Red - Refer")))</f>
        <v>Incomplete</v>
      </c>
      <c r="AT8" s="26" t="str">
        <f aca="false">IF(OR(I8="High-risk",K8="High-risk",N8="High-risk",R8="High-risk",V8="High-risk",Z8="High-risk",AC8="High-risk",AI8="High-risk"),"OVERRIDE - Individual referral required","")</f>
        <v/>
      </c>
      <c r="AU8" s="26" t="str">
        <f aca="false">TRIM(AS8&amp;IF(AT8&lt;&gt;""," | "&amp;AT8,"")&amp;IF(AND(AO8&lt;&gt;"",AO8&lt;&gt;"Clear")," | "&amp;AO8,"")&amp;IF(AND(AP8&lt;&gt;"",AP8&lt;&gt;"Clear")," | Mental wellbeing: "&amp;AP8,""))</f>
        <v>Incomplete</v>
      </c>
    </row>
    <row r="9" customFormat="false" ht="15" hidden="false" customHeight="false" outlineLevel="0" collapsed="false">
      <c r="A9" s="25"/>
      <c r="B9" s="25"/>
      <c r="C9" s="25"/>
      <c r="D9" s="25"/>
      <c r="E9" s="25"/>
      <c r="F9" s="25"/>
      <c r="G9" s="25"/>
      <c r="H9" s="26" t="str">
        <f aca="false">IF(AND(F9&lt;&gt;"",G9&lt;&gt;""),G9/((F9/100)^2),"")</f>
        <v/>
      </c>
      <c r="I9" s="25"/>
      <c r="J9" s="26" t="str">
        <f aca="false">IF(I9="","",IF(I9="Normal",100,IF(I9="Caution",60,IF(I9="High-risk",20,""))))</f>
        <v/>
      </c>
      <c r="K9" s="25"/>
      <c r="L9" s="26" t="str">
        <f aca="false">IF(K9="","",IF(K9="Normal",100,IF(K9="Caution",60,IF(K9="High-risk",20,""))))</f>
        <v/>
      </c>
      <c r="M9" s="25"/>
      <c r="N9" s="25"/>
      <c r="O9" s="26" t="str">
        <f aca="false">IF(N9="","",IF(N9="Normal",100,IF(N9="Caution",60,IF(N9="High-risk",20,""))))</f>
        <v/>
      </c>
      <c r="P9" s="25"/>
      <c r="Q9" s="25"/>
      <c r="R9" s="25"/>
      <c r="S9" s="26" t="str">
        <f aca="false">IF(R9="","",IF(R9="Normal",100,IF(R9="Caution",60,IF(R9="High-risk",20,""))))</f>
        <v/>
      </c>
      <c r="T9" s="25"/>
      <c r="U9" s="25"/>
      <c r="V9" s="25"/>
      <c r="W9" s="26" t="str">
        <f aca="false">IF(V9="","",IF(V9="Normal",100,IF(V9="Caution",60,IF(V9="High-risk",20,""))))</f>
        <v/>
      </c>
      <c r="X9" s="25"/>
      <c r="Y9" s="25"/>
      <c r="Z9" s="26" t="str">
        <f aca="false">IF(OR(X9="",Y9=""),"",IF(MIN(X9,Y9)&gt;=0.67,"Normal",IF(MIN(X9,Y9)&gt;=0.5,"Caution","High-risk")))</f>
        <v/>
      </c>
      <c r="AA9" s="26" t="str">
        <f aca="false">IF(Z9="","",IF(Z9="Normal",100,IF(Z9="Caution",60,20)))</f>
        <v/>
      </c>
      <c r="AB9" s="25"/>
      <c r="AC9" s="26" t="str">
        <f aca="false">IF(AB9="","",IF(AB9=0,"Normal",IF(AB9&lt;3,"Caution","High-risk")))</f>
        <v/>
      </c>
      <c r="AD9" s="26" t="str">
        <f aca="false">IF(AC9="","",IF(AC9="Normal",100,IF(AC9="Caution",60,20)))</f>
        <v/>
      </c>
      <c r="AE9" s="25"/>
      <c r="AF9" s="25"/>
      <c r="AG9" s="25"/>
      <c r="AH9" s="26" t="str">
        <f aca="false">IF(OR(AF9="",AG9="",AG9=0),"",AF9/AG9)</f>
        <v/>
      </c>
      <c r="AI9" s="26" t="str">
        <f aca="false">IF(AND(AE9="",AF9=""),"",IF(AND(AH9&lt;&gt;"",AH9&lt;0.5),"High-risk",IF(OR(AE9="Yes",AND(AH9&lt;&gt;"",AH9&lt;0.8)),"Caution","Normal")))</f>
        <v/>
      </c>
      <c r="AJ9" s="26" t="str">
        <f aca="false">IF(AI9="","",IF(AI9="Normal",100,IF(AI9="Caution",60,20)))</f>
        <v/>
      </c>
      <c r="AK9" s="25"/>
      <c r="AL9" s="25"/>
      <c r="AM9" s="25"/>
      <c r="AN9" s="25"/>
      <c r="AO9" s="26" t="str">
        <f aca="false">IF(COUNTBLANK(AK9:AN9)=4,"",IF(COUNTIF(AK9:AN9,"Yes")&gt;0,"REFER - TB symptom screen positive","Clear"))</f>
        <v/>
      </c>
      <c r="AP9" s="25"/>
      <c r="AQ9" s="26" t="n">
        <f aca="false">COUNT(J9,L9,O9,S9,W9,AA9,AD9,AJ9)</f>
        <v>0</v>
      </c>
      <c r="AR9" s="26" t="str">
        <f aca="false">IF(AQ9=0,"",((IF(J9&lt;&gt;"",J9*UndernutritionWeight,0)+IF(L9&lt;&gt;"",L9*OverweightWeight,0)+IF(O9&lt;&gt;"",O9*AnaemiaWeight,0)+IF(S9&lt;&gt;"",S9*BPWeight,0)+IF(W9&lt;&gt;"",W9*MetabolicWeight,0)+IF(AA9&lt;&gt;"",AA9*VisionWeight,0)+IF(AD9&lt;&gt;"",AD9*OralWeight,0)+IF(AJ9&lt;&gt;"",AJ9*RespiratoryWeight,0))/(IF(J9&lt;&gt;"",UndernutritionWeight,0)+IF(L9&lt;&gt;"",OverweightWeight,0)+IF(O9&lt;&gt;"",AnaemiaWeight,0)+IF(S9&lt;&gt;"",BPWeight,0)+IF(W9&lt;&gt;"",MetabolicWeight,0)+IF(AA9&lt;&gt;"",VisionWeight,0)+IF(AD9&lt;&gt;"",OralWeight,0)+IF(AJ9&lt;&gt;"",RespiratoryWeight,0))))</f>
        <v/>
      </c>
      <c r="AS9" s="26" t="str">
        <f aca="false">IF(AR9="","Incomplete",IF(AR9&gt;=80,"Green - On Track",IF(AR9&gt;=60,"Amber - Monitor","Red - Refer")))</f>
        <v>Incomplete</v>
      </c>
      <c r="AT9" s="26" t="str">
        <f aca="false">IF(OR(I9="High-risk",K9="High-risk",N9="High-risk",R9="High-risk",V9="High-risk",Z9="High-risk",AC9="High-risk",AI9="High-risk"),"OVERRIDE - Individual referral required","")</f>
        <v/>
      </c>
      <c r="AU9" s="26" t="str">
        <f aca="false">TRIM(AS9&amp;IF(AT9&lt;&gt;""," | "&amp;AT9,"")&amp;IF(AND(AO9&lt;&gt;"",AO9&lt;&gt;"Clear")," | "&amp;AO9,"")&amp;IF(AND(AP9&lt;&gt;"",AP9&lt;&gt;"Clear")," | Mental wellbeing: "&amp;AP9,""))</f>
        <v>Incomplete</v>
      </c>
    </row>
    <row r="10" customFormat="false" ht="15" hidden="false" customHeight="false" outlineLevel="0" collapsed="false">
      <c r="A10" s="25"/>
      <c r="B10" s="25"/>
      <c r="C10" s="25"/>
      <c r="D10" s="25"/>
      <c r="E10" s="25"/>
      <c r="F10" s="25"/>
      <c r="G10" s="25"/>
      <c r="H10" s="26" t="str">
        <f aca="false">IF(AND(F10&lt;&gt;"",G10&lt;&gt;""),G10/((F10/100)^2),"")</f>
        <v/>
      </c>
      <c r="I10" s="25"/>
      <c r="J10" s="26" t="str">
        <f aca="false">IF(I10="","",IF(I10="Normal",100,IF(I10="Caution",60,IF(I10="High-risk",20,""))))</f>
        <v/>
      </c>
      <c r="K10" s="25"/>
      <c r="L10" s="26" t="str">
        <f aca="false">IF(K10="","",IF(K10="Normal",100,IF(K10="Caution",60,IF(K10="High-risk",20,""))))</f>
        <v/>
      </c>
      <c r="M10" s="25"/>
      <c r="N10" s="25"/>
      <c r="O10" s="26" t="str">
        <f aca="false">IF(N10="","",IF(N10="Normal",100,IF(N10="Caution",60,IF(N10="High-risk",20,""))))</f>
        <v/>
      </c>
      <c r="P10" s="25"/>
      <c r="Q10" s="25"/>
      <c r="R10" s="25"/>
      <c r="S10" s="26" t="str">
        <f aca="false">IF(R10="","",IF(R10="Normal",100,IF(R10="Caution",60,IF(R10="High-risk",20,""))))</f>
        <v/>
      </c>
      <c r="T10" s="25"/>
      <c r="U10" s="25"/>
      <c r="V10" s="25"/>
      <c r="W10" s="26" t="str">
        <f aca="false">IF(V10="","",IF(V10="Normal",100,IF(V10="Caution",60,IF(V10="High-risk",20,""))))</f>
        <v/>
      </c>
      <c r="X10" s="25"/>
      <c r="Y10" s="25"/>
      <c r="Z10" s="26" t="str">
        <f aca="false">IF(OR(X10="",Y10=""),"",IF(MIN(X10,Y10)&gt;=0.67,"Normal",IF(MIN(X10,Y10)&gt;=0.5,"Caution","High-risk")))</f>
        <v/>
      </c>
      <c r="AA10" s="26" t="str">
        <f aca="false">IF(Z10="","",IF(Z10="Normal",100,IF(Z10="Caution",60,20)))</f>
        <v/>
      </c>
      <c r="AB10" s="25"/>
      <c r="AC10" s="26" t="str">
        <f aca="false">IF(AB10="","",IF(AB10=0,"Normal",IF(AB10&lt;3,"Caution","High-risk")))</f>
        <v/>
      </c>
      <c r="AD10" s="26" t="str">
        <f aca="false">IF(AC10="","",IF(AC10="Normal",100,IF(AC10="Caution",60,20)))</f>
        <v/>
      </c>
      <c r="AE10" s="25"/>
      <c r="AF10" s="25"/>
      <c r="AG10" s="25"/>
      <c r="AH10" s="26" t="str">
        <f aca="false">IF(OR(AF10="",AG10="",AG10=0),"",AF10/AG10)</f>
        <v/>
      </c>
      <c r="AI10" s="26" t="str">
        <f aca="false">IF(AND(AE10="",AF10=""),"",IF(AND(AH10&lt;&gt;"",AH10&lt;0.5),"High-risk",IF(OR(AE10="Yes",AND(AH10&lt;&gt;"",AH10&lt;0.8)),"Caution","Normal")))</f>
        <v/>
      </c>
      <c r="AJ10" s="26" t="str">
        <f aca="false">IF(AI10="","",IF(AI10="Normal",100,IF(AI10="Caution",60,20)))</f>
        <v/>
      </c>
      <c r="AK10" s="25"/>
      <c r="AL10" s="25"/>
      <c r="AM10" s="25"/>
      <c r="AN10" s="25"/>
      <c r="AO10" s="26" t="str">
        <f aca="false">IF(COUNTBLANK(AK10:AN10)=4,"",IF(COUNTIF(AK10:AN10,"Yes")&gt;0,"REFER - TB symptom screen positive","Clear"))</f>
        <v/>
      </c>
      <c r="AP10" s="25"/>
      <c r="AQ10" s="26" t="n">
        <f aca="false">COUNT(J10,L10,O10,S10,W10,AA10,AD10,AJ10)</f>
        <v>0</v>
      </c>
      <c r="AR10" s="26" t="str">
        <f aca="false">IF(AQ10=0,"",((IF(J10&lt;&gt;"",J10*UndernutritionWeight,0)+IF(L10&lt;&gt;"",L10*OverweightWeight,0)+IF(O10&lt;&gt;"",O10*AnaemiaWeight,0)+IF(S10&lt;&gt;"",S10*BPWeight,0)+IF(W10&lt;&gt;"",W10*MetabolicWeight,0)+IF(AA10&lt;&gt;"",AA10*VisionWeight,0)+IF(AD10&lt;&gt;"",AD10*OralWeight,0)+IF(AJ10&lt;&gt;"",AJ10*RespiratoryWeight,0))/(IF(J10&lt;&gt;"",UndernutritionWeight,0)+IF(L10&lt;&gt;"",OverweightWeight,0)+IF(O10&lt;&gt;"",AnaemiaWeight,0)+IF(S10&lt;&gt;"",BPWeight,0)+IF(W10&lt;&gt;"",MetabolicWeight,0)+IF(AA10&lt;&gt;"",VisionWeight,0)+IF(AD10&lt;&gt;"",OralWeight,0)+IF(AJ10&lt;&gt;"",RespiratoryWeight,0))))</f>
        <v/>
      </c>
      <c r="AS10" s="26" t="str">
        <f aca="false">IF(AR10="","Incomplete",IF(AR10&gt;=80,"Green - On Track",IF(AR10&gt;=60,"Amber - Monitor","Red - Refer")))</f>
        <v>Incomplete</v>
      </c>
      <c r="AT10" s="26" t="str">
        <f aca="false">IF(OR(I10="High-risk",K10="High-risk",N10="High-risk",R10="High-risk",V10="High-risk",Z10="High-risk",AC10="High-risk",AI10="High-risk"),"OVERRIDE - Individual referral required","")</f>
        <v/>
      </c>
      <c r="AU10" s="26" t="str">
        <f aca="false">TRIM(AS10&amp;IF(AT10&lt;&gt;""," | "&amp;AT10,"")&amp;IF(AND(AO10&lt;&gt;"",AO10&lt;&gt;"Clear")," | "&amp;AO10,"")&amp;IF(AND(AP10&lt;&gt;"",AP10&lt;&gt;"Clear")," | Mental wellbeing: "&amp;AP10,""))</f>
        <v>Incomplete</v>
      </c>
    </row>
    <row r="11" customFormat="false" ht="15" hidden="false" customHeight="false" outlineLevel="0" collapsed="false">
      <c r="A11" s="25"/>
      <c r="B11" s="25"/>
      <c r="C11" s="25"/>
      <c r="D11" s="25"/>
      <c r="E11" s="25"/>
      <c r="F11" s="25"/>
      <c r="G11" s="25"/>
      <c r="H11" s="26" t="str">
        <f aca="false">IF(AND(F11&lt;&gt;"",G11&lt;&gt;""),G11/((F11/100)^2),"")</f>
        <v/>
      </c>
      <c r="I11" s="25"/>
      <c r="J11" s="26" t="str">
        <f aca="false">IF(I11="","",IF(I11="Normal",100,IF(I11="Caution",60,IF(I11="High-risk",20,""))))</f>
        <v/>
      </c>
      <c r="K11" s="25"/>
      <c r="L11" s="26" t="str">
        <f aca="false">IF(K11="","",IF(K11="Normal",100,IF(K11="Caution",60,IF(K11="High-risk",20,""))))</f>
        <v/>
      </c>
      <c r="M11" s="25"/>
      <c r="N11" s="25"/>
      <c r="O11" s="26" t="str">
        <f aca="false">IF(N11="","",IF(N11="Normal",100,IF(N11="Caution",60,IF(N11="High-risk",20,""))))</f>
        <v/>
      </c>
      <c r="P11" s="25"/>
      <c r="Q11" s="25"/>
      <c r="R11" s="25"/>
      <c r="S11" s="26" t="str">
        <f aca="false">IF(R11="","",IF(R11="Normal",100,IF(R11="Caution",60,IF(R11="High-risk",20,""))))</f>
        <v/>
      </c>
      <c r="T11" s="25"/>
      <c r="U11" s="25"/>
      <c r="V11" s="25"/>
      <c r="W11" s="26" t="str">
        <f aca="false">IF(V11="","",IF(V11="Normal",100,IF(V11="Caution",60,IF(V11="High-risk",20,""))))</f>
        <v/>
      </c>
      <c r="X11" s="25"/>
      <c r="Y11" s="25"/>
      <c r="Z11" s="26" t="str">
        <f aca="false">IF(OR(X11="",Y11=""),"",IF(MIN(X11,Y11)&gt;=0.67,"Normal",IF(MIN(X11,Y11)&gt;=0.5,"Caution","High-risk")))</f>
        <v/>
      </c>
      <c r="AA11" s="26" t="str">
        <f aca="false">IF(Z11="","",IF(Z11="Normal",100,IF(Z11="Caution",60,20)))</f>
        <v/>
      </c>
      <c r="AB11" s="25"/>
      <c r="AC11" s="26" t="str">
        <f aca="false">IF(AB11="","",IF(AB11=0,"Normal",IF(AB11&lt;3,"Caution","High-risk")))</f>
        <v/>
      </c>
      <c r="AD11" s="26" t="str">
        <f aca="false">IF(AC11="","",IF(AC11="Normal",100,IF(AC11="Caution",60,20)))</f>
        <v/>
      </c>
      <c r="AE11" s="25"/>
      <c r="AF11" s="25"/>
      <c r="AG11" s="25"/>
      <c r="AH11" s="26" t="str">
        <f aca="false">IF(OR(AF11="",AG11="",AG11=0),"",AF11/AG11)</f>
        <v/>
      </c>
      <c r="AI11" s="26" t="str">
        <f aca="false">IF(AND(AE11="",AF11=""),"",IF(AND(AH11&lt;&gt;"",AH11&lt;0.5),"High-risk",IF(OR(AE11="Yes",AND(AH11&lt;&gt;"",AH11&lt;0.8)),"Caution","Normal")))</f>
        <v/>
      </c>
      <c r="AJ11" s="26" t="str">
        <f aca="false">IF(AI11="","",IF(AI11="Normal",100,IF(AI11="Caution",60,20)))</f>
        <v/>
      </c>
      <c r="AK11" s="25"/>
      <c r="AL11" s="25"/>
      <c r="AM11" s="25"/>
      <c r="AN11" s="25"/>
      <c r="AO11" s="26" t="str">
        <f aca="false">IF(COUNTBLANK(AK11:AN11)=4,"",IF(COUNTIF(AK11:AN11,"Yes")&gt;0,"REFER - TB symptom screen positive","Clear"))</f>
        <v/>
      </c>
      <c r="AP11" s="25"/>
      <c r="AQ11" s="26" t="n">
        <f aca="false">COUNT(J11,L11,O11,S11,W11,AA11,AD11,AJ11)</f>
        <v>0</v>
      </c>
      <c r="AR11" s="26" t="str">
        <f aca="false">IF(AQ11=0,"",((IF(J11&lt;&gt;"",J11*UndernutritionWeight,0)+IF(L11&lt;&gt;"",L11*OverweightWeight,0)+IF(O11&lt;&gt;"",O11*AnaemiaWeight,0)+IF(S11&lt;&gt;"",S11*BPWeight,0)+IF(W11&lt;&gt;"",W11*MetabolicWeight,0)+IF(AA11&lt;&gt;"",AA11*VisionWeight,0)+IF(AD11&lt;&gt;"",AD11*OralWeight,0)+IF(AJ11&lt;&gt;"",AJ11*RespiratoryWeight,0))/(IF(J11&lt;&gt;"",UndernutritionWeight,0)+IF(L11&lt;&gt;"",OverweightWeight,0)+IF(O11&lt;&gt;"",AnaemiaWeight,0)+IF(S11&lt;&gt;"",BPWeight,0)+IF(W11&lt;&gt;"",MetabolicWeight,0)+IF(AA11&lt;&gt;"",VisionWeight,0)+IF(AD11&lt;&gt;"",OralWeight,0)+IF(AJ11&lt;&gt;"",RespiratoryWeight,0))))</f>
        <v/>
      </c>
      <c r="AS11" s="26" t="str">
        <f aca="false">IF(AR11="","Incomplete",IF(AR11&gt;=80,"Green - On Track",IF(AR11&gt;=60,"Amber - Monitor","Red - Refer")))</f>
        <v>Incomplete</v>
      </c>
      <c r="AT11" s="26" t="str">
        <f aca="false">IF(OR(I11="High-risk",K11="High-risk",N11="High-risk",R11="High-risk",V11="High-risk",Z11="High-risk",AC11="High-risk",AI11="High-risk"),"OVERRIDE - Individual referral required","")</f>
        <v/>
      </c>
      <c r="AU11" s="26" t="str">
        <f aca="false">TRIM(AS11&amp;IF(AT11&lt;&gt;""," | "&amp;AT11,"")&amp;IF(AND(AO11&lt;&gt;"",AO11&lt;&gt;"Clear")," | "&amp;AO11,"")&amp;IF(AND(AP11&lt;&gt;"",AP11&lt;&gt;"Clear")," | Mental wellbeing: "&amp;AP11,""))</f>
        <v>Incomplete</v>
      </c>
    </row>
    <row r="12" customFormat="false" ht="15" hidden="false" customHeight="false" outlineLevel="0" collapsed="false">
      <c r="A12" s="25"/>
      <c r="B12" s="25"/>
      <c r="C12" s="25"/>
      <c r="D12" s="25"/>
      <c r="E12" s="25"/>
      <c r="F12" s="25"/>
      <c r="G12" s="25"/>
      <c r="H12" s="26" t="str">
        <f aca="false">IF(AND(F12&lt;&gt;"",G12&lt;&gt;""),G12/((F12/100)^2),"")</f>
        <v/>
      </c>
      <c r="I12" s="25"/>
      <c r="J12" s="26" t="str">
        <f aca="false">IF(I12="","",IF(I12="Normal",100,IF(I12="Caution",60,IF(I12="High-risk",20,""))))</f>
        <v/>
      </c>
      <c r="K12" s="25"/>
      <c r="L12" s="26" t="str">
        <f aca="false">IF(K12="","",IF(K12="Normal",100,IF(K12="Caution",60,IF(K12="High-risk",20,""))))</f>
        <v/>
      </c>
      <c r="M12" s="25"/>
      <c r="N12" s="25"/>
      <c r="O12" s="26" t="str">
        <f aca="false">IF(N12="","",IF(N12="Normal",100,IF(N12="Caution",60,IF(N12="High-risk",20,""))))</f>
        <v/>
      </c>
      <c r="P12" s="25"/>
      <c r="Q12" s="25"/>
      <c r="R12" s="25"/>
      <c r="S12" s="26" t="str">
        <f aca="false">IF(R12="","",IF(R12="Normal",100,IF(R12="Caution",60,IF(R12="High-risk",20,""))))</f>
        <v/>
      </c>
      <c r="T12" s="25"/>
      <c r="U12" s="25"/>
      <c r="V12" s="25"/>
      <c r="W12" s="26" t="str">
        <f aca="false">IF(V12="","",IF(V12="Normal",100,IF(V12="Caution",60,IF(V12="High-risk",20,""))))</f>
        <v/>
      </c>
      <c r="X12" s="25"/>
      <c r="Y12" s="25"/>
      <c r="Z12" s="26" t="str">
        <f aca="false">IF(OR(X12="",Y12=""),"",IF(MIN(X12,Y12)&gt;=0.67,"Normal",IF(MIN(X12,Y12)&gt;=0.5,"Caution","High-risk")))</f>
        <v/>
      </c>
      <c r="AA12" s="26" t="str">
        <f aca="false">IF(Z12="","",IF(Z12="Normal",100,IF(Z12="Caution",60,20)))</f>
        <v/>
      </c>
      <c r="AB12" s="25"/>
      <c r="AC12" s="26" t="str">
        <f aca="false">IF(AB12="","",IF(AB12=0,"Normal",IF(AB12&lt;3,"Caution","High-risk")))</f>
        <v/>
      </c>
      <c r="AD12" s="26" t="str">
        <f aca="false">IF(AC12="","",IF(AC12="Normal",100,IF(AC12="Caution",60,20)))</f>
        <v/>
      </c>
      <c r="AE12" s="25"/>
      <c r="AF12" s="25"/>
      <c r="AG12" s="25"/>
      <c r="AH12" s="26" t="str">
        <f aca="false">IF(OR(AF12="",AG12="",AG12=0),"",AF12/AG12)</f>
        <v/>
      </c>
      <c r="AI12" s="26" t="str">
        <f aca="false">IF(AND(AE12="",AF12=""),"",IF(AND(AH12&lt;&gt;"",AH12&lt;0.5),"High-risk",IF(OR(AE12="Yes",AND(AH12&lt;&gt;"",AH12&lt;0.8)),"Caution","Normal")))</f>
        <v/>
      </c>
      <c r="AJ12" s="26" t="str">
        <f aca="false">IF(AI12="","",IF(AI12="Normal",100,IF(AI12="Caution",60,20)))</f>
        <v/>
      </c>
      <c r="AK12" s="25"/>
      <c r="AL12" s="25"/>
      <c r="AM12" s="25"/>
      <c r="AN12" s="25"/>
      <c r="AO12" s="26" t="str">
        <f aca="false">IF(COUNTBLANK(AK12:AN12)=4,"",IF(COUNTIF(AK12:AN12,"Yes")&gt;0,"REFER - TB symptom screen positive","Clear"))</f>
        <v/>
      </c>
      <c r="AP12" s="25"/>
      <c r="AQ12" s="26" t="n">
        <f aca="false">COUNT(J12,L12,O12,S12,W12,AA12,AD12,AJ12)</f>
        <v>0</v>
      </c>
      <c r="AR12" s="26" t="str">
        <f aca="false">IF(AQ12=0,"",((IF(J12&lt;&gt;"",J12*UndernutritionWeight,0)+IF(L12&lt;&gt;"",L12*OverweightWeight,0)+IF(O12&lt;&gt;"",O12*AnaemiaWeight,0)+IF(S12&lt;&gt;"",S12*BPWeight,0)+IF(W12&lt;&gt;"",W12*MetabolicWeight,0)+IF(AA12&lt;&gt;"",AA12*VisionWeight,0)+IF(AD12&lt;&gt;"",AD12*OralWeight,0)+IF(AJ12&lt;&gt;"",AJ12*RespiratoryWeight,0))/(IF(J12&lt;&gt;"",UndernutritionWeight,0)+IF(L12&lt;&gt;"",OverweightWeight,0)+IF(O12&lt;&gt;"",AnaemiaWeight,0)+IF(S12&lt;&gt;"",BPWeight,0)+IF(W12&lt;&gt;"",MetabolicWeight,0)+IF(AA12&lt;&gt;"",VisionWeight,0)+IF(AD12&lt;&gt;"",OralWeight,0)+IF(AJ12&lt;&gt;"",RespiratoryWeight,0))))</f>
        <v/>
      </c>
      <c r="AS12" s="26" t="str">
        <f aca="false">IF(AR12="","Incomplete",IF(AR12&gt;=80,"Green - On Track",IF(AR12&gt;=60,"Amber - Monitor","Red - Refer")))</f>
        <v>Incomplete</v>
      </c>
      <c r="AT12" s="26" t="str">
        <f aca="false">IF(OR(I12="High-risk",K12="High-risk",N12="High-risk",R12="High-risk",V12="High-risk",Z12="High-risk",AC12="High-risk",AI12="High-risk"),"OVERRIDE - Individual referral required","")</f>
        <v/>
      </c>
      <c r="AU12" s="26" t="str">
        <f aca="false">TRIM(AS12&amp;IF(AT12&lt;&gt;""," | "&amp;AT12,"")&amp;IF(AND(AO12&lt;&gt;"",AO12&lt;&gt;"Clear")," | "&amp;AO12,"")&amp;IF(AND(AP12&lt;&gt;"",AP12&lt;&gt;"Clear")," | Mental wellbeing: "&amp;AP12,""))</f>
        <v>Incomplete</v>
      </c>
    </row>
    <row r="13" customFormat="false" ht="15" hidden="false" customHeight="false" outlineLevel="0" collapsed="false">
      <c r="A13" s="25"/>
      <c r="B13" s="25"/>
      <c r="C13" s="25"/>
      <c r="D13" s="25"/>
      <c r="E13" s="25"/>
      <c r="F13" s="25"/>
      <c r="G13" s="25"/>
      <c r="H13" s="26" t="str">
        <f aca="false">IF(AND(F13&lt;&gt;"",G13&lt;&gt;""),G13/((F13/100)^2),"")</f>
        <v/>
      </c>
      <c r="I13" s="25"/>
      <c r="J13" s="26" t="str">
        <f aca="false">IF(I13="","",IF(I13="Normal",100,IF(I13="Caution",60,IF(I13="High-risk",20,""))))</f>
        <v/>
      </c>
      <c r="K13" s="25"/>
      <c r="L13" s="26" t="str">
        <f aca="false">IF(K13="","",IF(K13="Normal",100,IF(K13="Caution",60,IF(K13="High-risk",20,""))))</f>
        <v/>
      </c>
      <c r="M13" s="25"/>
      <c r="N13" s="25"/>
      <c r="O13" s="26" t="str">
        <f aca="false">IF(N13="","",IF(N13="Normal",100,IF(N13="Caution",60,IF(N13="High-risk",20,""))))</f>
        <v/>
      </c>
      <c r="P13" s="25"/>
      <c r="Q13" s="25"/>
      <c r="R13" s="25"/>
      <c r="S13" s="26" t="str">
        <f aca="false">IF(R13="","",IF(R13="Normal",100,IF(R13="Caution",60,IF(R13="High-risk",20,""))))</f>
        <v/>
      </c>
      <c r="T13" s="25"/>
      <c r="U13" s="25"/>
      <c r="V13" s="25"/>
      <c r="W13" s="26" t="str">
        <f aca="false">IF(V13="","",IF(V13="Normal",100,IF(V13="Caution",60,IF(V13="High-risk",20,""))))</f>
        <v/>
      </c>
      <c r="X13" s="25"/>
      <c r="Y13" s="25"/>
      <c r="Z13" s="26" t="str">
        <f aca="false">IF(OR(X13="",Y13=""),"",IF(MIN(X13,Y13)&gt;=0.67,"Normal",IF(MIN(X13,Y13)&gt;=0.5,"Caution","High-risk")))</f>
        <v/>
      </c>
      <c r="AA13" s="26" t="str">
        <f aca="false">IF(Z13="","",IF(Z13="Normal",100,IF(Z13="Caution",60,20)))</f>
        <v/>
      </c>
      <c r="AB13" s="25"/>
      <c r="AC13" s="26" t="str">
        <f aca="false">IF(AB13="","",IF(AB13=0,"Normal",IF(AB13&lt;3,"Caution","High-risk")))</f>
        <v/>
      </c>
      <c r="AD13" s="26" t="str">
        <f aca="false">IF(AC13="","",IF(AC13="Normal",100,IF(AC13="Caution",60,20)))</f>
        <v/>
      </c>
      <c r="AE13" s="25"/>
      <c r="AF13" s="25"/>
      <c r="AG13" s="25"/>
      <c r="AH13" s="26" t="str">
        <f aca="false">IF(OR(AF13="",AG13="",AG13=0),"",AF13/AG13)</f>
        <v/>
      </c>
      <c r="AI13" s="26" t="str">
        <f aca="false">IF(AND(AE13="",AF13=""),"",IF(AND(AH13&lt;&gt;"",AH13&lt;0.5),"High-risk",IF(OR(AE13="Yes",AND(AH13&lt;&gt;"",AH13&lt;0.8)),"Caution","Normal")))</f>
        <v/>
      </c>
      <c r="AJ13" s="26" t="str">
        <f aca="false">IF(AI13="","",IF(AI13="Normal",100,IF(AI13="Caution",60,20)))</f>
        <v/>
      </c>
      <c r="AK13" s="25"/>
      <c r="AL13" s="25"/>
      <c r="AM13" s="25"/>
      <c r="AN13" s="25"/>
      <c r="AO13" s="26" t="str">
        <f aca="false">IF(COUNTBLANK(AK13:AN13)=4,"",IF(COUNTIF(AK13:AN13,"Yes")&gt;0,"REFER - TB symptom screen positive","Clear"))</f>
        <v/>
      </c>
      <c r="AP13" s="25"/>
      <c r="AQ13" s="26" t="n">
        <f aca="false">COUNT(J13,L13,O13,S13,W13,AA13,AD13,AJ13)</f>
        <v>0</v>
      </c>
      <c r="AR13" s="26" t="str">
        <f aca="false">IF(AQ13=0,"",((IF(J13&lt;&gt;"",J13*UndernutritionWeight,0)+IF(L13&lt;&gt;"",L13*OverweightWeight,0)+IF(O13&lt;&gt;"",O13*AnaemiaWeight,0)+IF(S13&lt;&gt;"",S13*BPWeight,0)+IF(W13&lt;&gt;"",W13*MetabolicWeight,0)+IF(AA13&lt;&gt;"",AA13*VisionWeight,0)+IF(AD13&lt;&gt;"",AD13*OralWeight,0)+IF(AJ13&lt;&gt;"",AJ13*RespiratoryWeight,0))/(IF(J13&lt;&gt;"",UndernutritionWeight,0)+IF(L13&lt;&gt;"",OverweightWeight,0)+IF(O13&lt;&gt;"",AnaemiaWeight,0)+IF(S13&lt;&gt;"",BPWeight,0)+IF(W13&lt;&gt;"",MetabolicWeight,0)+IF(AA13&lt;&gt;"",VisionWeight,0)+IF(AD13&lt;&gt;"",OralWeight,0)+IF(AJ13&lt;&gt;"",RespiratoryWeight,0))))</f>
        <v/>
      </c>
      <c r="AS13" s="26" t="str">
        <f aca="false">IF(AR13="","Incomplete",IF(AR13&gt;=80,"Green - On Track",IF(AR13&gt;=60,"Amber - Monitor","Red - Refer")))</f>
        <v>Incomplete</v>
      </c>
      <c r="AT13" s="26" t="str">
        <f aca="false">IF(OR(I13="High-risk",K13="High-risk",N13="High-risk",R13="High-risk",V13="High-risk",Z13="High-risk",AC13="High-risk",AI13="High-risk"),"OVERRIDE - Individual referral required","")</f>
        <v/>
      </c>
      <c r="AU13" s="26" t="str">
        <f aca="false">TRIM(AS13&amp;IF(AT13&lt;&gt;""," | "&amp;AT13,"")&amp;IF(AND(AO13&lt;&gt;"",AO13&lt;&gt;"Clear")," | "&amp;AO13,"")&amp;IF(AND(AP13&lt;&gt;"",AP13&lt;&gt;"Clear")," | Mental wellbeing: "&amp;AP13,""))</f>
        <v>Incomplete</v>
      </c>
    </row>
    <row r="14" customFormat="false" ht="15" hidden="false" customHeight="false" outlineLevel="0" collapsed="false">
      <c r="A14" s="25"/>
      <c r="B14" s="25"/>
      <c r="C14" s="25"/>
      <c r="D14" s="25"/>
      <c r="E14" s="25"/>
      <c r="F14" s="25"/>
      <c r="G14" s="25"/>
      <c r="H14" s="26" t="str">
        <f aca="false">IF(AND(F14&lt;&gt;"",G14&lt;&gt;""),G14/((F14/100)^2),"")</f>
        <v/>
      </c>
      <c r="I14" s="25"/>
      <c r="J14" s="26" t="str">
        <f aca="false">IF(I14="","",IF(I14="Normal",100,IF(I14="Caution",60,IF(I14="High-risk",20,""))))</f>
        <v/>
      </c>
      <c r="K14" s="25"/>
      <c r="L14" s="26" t="str">
        <f aca="false">IF(K14="","",IF(K14="Normal",100,IF(K14="Caution",60,IF(K14="High-risk",20,""))))</f>
        <v/>
      </c>
      <c r="M14" s="25"/>
      <c r="N14" s="25"/>
      <c r="O14" s="26" t="str">
        <f aca="false">IF(N14="","",IF(N14="Normal",100,IF(N14="Caution",60,IF(N14="High-risk",20,""))))</f>
        <v/>
      </c>
      <c r="P14" s="25"/>
      <c r="Q14" s="25"/>
      <c r="R14" s="25"/>
      <c r="S14" s="26" t="str">
        <f aca="false">IF(R14="","",IF(R14="Normal",100,IF(R14="Caution",60,IF(R14="High-risk",20,""))))</f>
        <v/>
      </c>
      <c r="T14" s="25"/>
      <c r="U14" s="25"/>
      <c r="V14" s="25"/>
      <c r="W14" s="26" t="str">
        <f aca="false">IF(V14="","",IF(V14="Normal",100,IF(V14="Caution",60,IF(V14="High-risk",20,""))))</f>
        <v/>
      </c>
      <c r="X14" s="25"/>
      <c r="Y14" s="25"/>
      <c r="Z14" s="26" t="str">
        <f aca="false">IF(OR(X14="",Y14=""),"",IF(MIN(X14,Y14)&gt;=0.67,"Normal",IF(MIN(X14,Y14)&gt;=0.5,"Caution","High-risk")))</f>
        <v/>
      </c>
      <c r="AA14" s="26" t="str">
        <f aca="false">IF(Z14="","",IF(Z14="Normal",100,IF(Z14="Caution",60,20)))</f>
        <v/>
      </c>
      <c r="AB14" s="25"/>
      <c r="AC14" s="26" t="str">
        <f aca="false">IF(AB14="","",IF(AB14=0,"Normal",IF(AB14&lt;3,"Caution","High-risk")))</f>
        <v/>
      </c>
      <c r="AD14" s="26" t="str">
        <f aca="false">IF(AC14="","",IF(AC14="Normal",100,IF(AC14="Caution",60,20)))</f>
        <v/>
      </c>
      <c r="AE14" s="25"/>
      <c r="AF14" s="25"/>
      <c r="AG14" s="25"/>
      <c r="AH14" s="26" t="str">
        <f aca="false">IF(OR(AF14="",AG14="",AG14=0),"",AF14/AG14)</f>
        <v/>
      </c>
      <c r="AI14" s="26" t="str">
        <f aca="false">IF(AND(AE14="",AF14=""),"",IF(AND(AH14&lt;&gt;"",AH14&lt;0.5),"High-risk",IF(OR(AE14="Yes",AND(AH14&lt;&gt;"",AH14&lt;0.8)),"Caution","Normal")))</f>
        <v/>
      </c>
      <c r="AJ14" s="26" t="str">
        <f aca="false">IF(AI14="","",IF(AI14="Normal",100,IF(AI14="Caution",60,20)))</f>
        <v/>
      </c>
      <c r="AK14" s="25"/>
      <c r="AL14" s="25"/>
      <c r="AM14" s="25"/>
      <c r="AN14" s="25"/>
      <c r="AO14" s="26" t="str">
        <f aca="false">IF(COUNTBLANK(AK14:AN14)=4,"",IF(COUNTIF(AK14:AN14,"Yes")&gt;0,"REFER - TB symptom screen positive","Clear"))</f>
        <v/>
      </c>
      <c r="AP14" s="25"/>
      <c r="AQ14" s="26" t="n">
        <f aca="false">COUNT(J14,L14,O14,S14,W14,AA14,AD14,AJ14)</f>
        <v>0</v>
      </c>
      <c r="AR14" s="26" t="str">
        <f aca="false">IF(AQ14=0,"",((IF(J14&lt;&gt;"",J14*UndernutritionWeight,0)+IF(L14&lt;&gt;"",L14*OverweightWeight,0)+IF(O14&lt;&gt;"",O14*AnaemiaWeight,0)+IF(S14&lt;&gt;"",S14*BPWeight,0)+IF(W14&lt;&gt;"",W14*MetabolicWeight,0)+IF(AA14&lt;&gt;"",AA14*VisionWeight,0)+IF(AD14&lt;&gt;"",AD14*OralWeight,0)+IF(AJ14&lt;&gt;"",AJ14*RespiratoryWeight,0))/(IF(J14&lt;&gt;"",UndernutritionWeight,0)+IF(L14&lt;&gt;"",OverweightWeight,0)+IF(O14&lt;&gt;"",AnaemiaWeight,0)+IF(S14&lt;&gt;"",BPWeight,0)+IF(W14&lt;&gt;"",MetabolicWeight,0)+IF(AA14&lt;&gt;"",VisionWeight,0)+IF(AD14&lt;&gt;"",OralWeight,0)+IF(AJ14&lt;&gt;"",RespiratoryWeight,0))))</f>
        <v/>
      </c>
      <c r="AS14" s="26" t="str">
        <f aca="false">IF(AR14="","Incomplete",IF(AR14&gt;=80,"Green - On Track",IF(AR14&gt;=60,"Amber - Monitor","Red - Refer")))</f>
        <v>Incomplete</v>
      </c>
      <c r="AT14" s="26" t="str">
        <f aca="false">IF(OR(I14="High-risk",K14="High-risk",N14="High-risk",R14="High-risk",V14="High-risk",Z14="High-risk",AC14="High-risk",AI14="High-risk"),"OVERRIDE - Individual referral required","")</f>
        <v/>
      </c>
      <c r="AU14" s="26" t="str">
        <f aca="false">TRIM(AS14&amp;IF(AT14&lt;&gt;""," | "&amp;AT14,"")&amp;IF(AND(AO14&lt;&gt;"",AO14&lt;&gt;"Clear")," | "&amp;AO14,"")&amp;IF(AND(AP14&lt;&gt;"",AP14&lt;&gt;"Clear")," | Mental wellbeing: "&amp;AP14,""))</f>
        <v>Incomplete</v>
      </c>
    </row>
    <row r="15" customFormat="false" ht="15" hidden="false" customHeight="false" outlineLevel="0" collapsed="false">
      <c r="A15" s="25"/>
      <c r="B15" s="25"/>
      <c r="C15" s="25"/>
      <c r="D15" s="25"/>
      <c r="E15" s="25"/>
      <c r="F15" s="25"/>
      <c r="G15" s="25"/>
      <c r="H15" s="26" t="str">
        <f aca="false">IF(AND(F15&lt;&gt;"",G15&lt;&gt;""),G15/((F15/100)^2),"")</f>
        <v/>
      </c>
      <c r="I15" s="25"/>
      <c r="J15" s="26" t="str">
        <f aca="false">IF(I15="","",IF(I15="Normal",100,IF(I15="Caution",60,IF(I15="High-risk",20,""))))</f>
        <v/>
      </c>
      <c r="K15" s="25"/>
      <c r="L15" s="26" t="str">
        <f aca="false">IF(K15="","",IF(K15="Normal",100,IF(K15="Caution",60,IF(K15="High-risk",20,""))))</f>
        <v/>
      </c>
      <c r="M15" s="25"/>
      <c r="N15" s="25"/>
      <c r="O15" s="26" t="str">
        <f aca="false">IF(N15="","",IF(N15="Normal",100,IF(N15="Caution",60,IF(N15="High-risk",20,""))))</f>
        <v/>
      </c>
      <c r="P15" s="25"/>
      <c r="Q15" s="25"/>
      <c r="R15" s="25"/>
      <c r="S15" s="26" t="str">
        <f aca="false">IF(R15="","",IF(R15="Normal",100,IF(R15="Caution",60,IF(R15="High-risk",20,""))))</f>
        <v/>
      </c>
      <c r="T15" s="25"/>
      <c r="U15" s="25"/>
      <c r="V15" s="25"/>
      <c r="W15" s="26" t="str">
        <f aca="false">IF(V15="","",IF(V15="Normal",100,IF(V15="Caution",60,IF(V15="High-risk",20,""))))</f>
        <v/>
      </c>
      <c r="X15" s="25"/>
      <c r="Y15" s="25"/>
      <c r="Z15" s="26" t="str">
        <f aca="false">IF(OR(X15="",Y15=""),"",IF(MIN(X15,Y15)&gt;=0.67,"Normal",IF(MIN(X15,Y15)&gt;=0.5,"Caution","High-risk")))</f>
        <v/>
      </c>
      <c r="AA15" s="26" t="str">
        <f aca="false">IF(Z15="","",IF(Z15="Normal",100,IF(Z15="Caution",60,20)))</f>
        <v/>
      </c>
      <c r="AB15" s="25"/>
      <c r="AC15" s="26" t="str">
        <f aca="false">IF(AB15="","",IF(AB15=0,"Normal",IF(AB15&lt;3,"Caution","High-risk")))</f>
        <v/>
      </c>
      <c r="AD15" s="26" t="str">
        <f aca="false">IF(AC15="","",IF(AC15="Normal",100,IF(AC15="Caution",60,20)))</f>
        <v/>
      </c>
      <c r="AE15" s="25"/>
      <c r="AF15" s="25"/>
      <c r="AG15" s="25"/>
      <c r="AH15" s="26" t="str">
        <f aca="false">IF(OR(AF15="",AG15="",AG15=0),"",AF15/AG15)</f>
        <v/>
      </c>
      <c r="AI15" s="26" t="str">
        <f aca="false">IF(AND(AE15="",AF15=""),"",IF(AND(AH15&lt;&gt;"",AH15&lt;0.5),"High-risk",IF(OR(AE15="Yes",AND(AH15&lt;&gt;"",AH15&lt;0.8)),"Caution","Normal")))</f>
        <v/>
      </c>
      <c r="AJ15" s="26" t="str">
        <f aca="false">IF(AI15="","",IF(AI15="Normal",100,IF(AI15="Caution",60,20)))</f>
        <v/>
      </c>
      <c r="AK15" s="25"/>
      <c r="AL15" s="25"/>
      <c r="AM15" s="25"/>
      <c r="AN15" s="25"/>
      <c r="AO15" s="26" t="str">
        <f aca="false">IF(COUNTBLANK(AK15:AN15)=4,"",IF(COUNTIF(AK15:AN15,"Yes")&gt;0,"REFER - TB symptom screen positive","Clear"))</f>
        <v/>
      </c>
      <c r="AP15" s="25"/>
      <c r="AQ15" s="26" t="n">
        <f aca="false">COUNT(J15,L15,O15,S15,W15,AA15,AD15,AJ15)</f>
        <v>0</v>
      </c>
      <c r="AR15" s="26" t="str">
        <f aca="false">IF(AQ15=0,"",((IF(J15&lt;&gt;"",J15*UndernutritionWeight,0)+IF(L15&lt;&gt;"",L15*OverweightWeight,0)+IF(O15&lt;&gt;"",O15*AnaemiaWeight,0)+IF(S15&lt;&gt;"",S15*BPWeight,0)+IF(W15&lt;&gt;"",W15*MetabolicWeight,0)+IF(AA15&lt;&gt;"",AA15*VisionWeight,0)+IF(AD15&lt;&gt;"",AD15*OralWeight,0)+IF(AJ15&lt;&gt;"",AJ15*RespiratoryWeight,0))/(IF(J15&lt;&gt;"",UndernutritionWeight,0)+IF(L15&lt;&gt;"",OverweightWeight,0)+IF(O15&lt;&gt;"",AnaemiaWeight,0)+IF(S15&lt;&gt;"",BPWeight,0)+IF(W15&lt;&gt;"",MetabolicWeight,0)+IF(AA15&lt;&gt;"",VisionWeight,0)+IF(AD15&lt;&gt;"",OralWeight,0)+IF(AJ15&lt;&gt;"",RespiratoryWeight,0))))</f>
        <v/>
      </c>
      <c r="AS15" s="26" t="str">
        <f aca="false">IF(AR15="","Incomplete",IF(AR15&gt;=80,"Green - On Track",IF(AR15&gt;=60,"Amber - Monitor","Red - Refer")))</f>
        <v>Incomplete</v>
      </c>
      <c r="AT15" s="26" t="str">
        <f aca="false">IF(OR(I15="High-risk",K15="High-risk",N15="High-risk",R15="High-risk",V15="High-risk",Z15="High-risk",AC15="High-risk",AI15="High-risk"),"OVERRIDE - Individual referral required","")</f>
        <v/>
      </c>
      <c r="AU15" s="26" t="str">
        <f aca="false">TRIM(AS15&amp;IF(AT15&lt;&gt;""," | "&amp;AT15,"")&amp;IF(AND(AO15&lt;&gt;"",AO15&lt;&gt;"Clear")," | "&amp;AO15,"")&amp;IF(AND(AP15&lt;&gt;"",AP15&lt;&gt;"Clear")," | Mental wellbeing: "&amp;AP15,""))</f>
        <v>Incomplete</v>
      </c>
    </row>
    <row r="16" customFormat="false" ht="15" hidden="false" customHeight="false" outlineLevel="0" collapsed="false">
      <c r="A16" s="25"/>
      <c r="B16" s="25"/>
      <c r="C16" s="25"/>
      <c r="D16" s="25"/>
      <c r="E16" s="25"/>
      <c r="F16" s="25"/>
      <c r="G16" s="25"/>
      <c r="H16" s="26" t="str">
        <f aca="false">IF(AND(F16&lt;&gt;"",G16&lt;&gt;""),G16/((F16/100)^2),"")</f>
        <v/>
      </c>
      <c r="I16" s="25"/>
      <c r="J16" s="26" t="str">
        <f aca="false">IF(I16="","",IF(I16="Normal",100,IF(I16="Caution",60,IF(I16="High-risk",20,""))))</f>
        <v/>
      </c>
      <c r="K16" s="25"/>
      <c r="L16" s="26" t="str">
        <f aca="false">IF(K16="","",IF(K16="Normal",100,IF(K16="Caution",60,IF(K16="High-risk",20,""))))</f>
        <v/>
      </c>
      <c r="M16" s="25"/>
      <c r="N16" s="25"/>
      <c r="O16" s="26" t="str">
        <f aca="false">IF(N16="","",IF(N16="Normal",100,IF(N16="Caution",60,IF(N16="High-risk",20,""))))</f>
        <v/>
      </c>
      <c r="P16" s="25"/>
      <c r="Q16" s="25"/>
      <c r="R16" s="25"/>
      <c r="S16" s="26" t="str">
        <f aca="false">IF(R16="","",IF(R16="Normal",100,IF(R16="Caution",60,IF(R16="High-risk",20,""))))</f>
        <v/>
      </c>
      <c r="T16" s="25"/>
      <c r="U16" s="25"/>
      <c r="V16" s="25"/>
      <c r="W16" s="26" t="str">
        <f aca="false">IF(V16="","",IF(V16="Normal",100,IF(V16="Caution",60,IF(V16="High-risk",20,""))))</f>
        <v/>
      </c>
      <c r="X16" s="25"/>
      <c r="Y16" s="25"/>
      <c r="Z16" s="26" t="str">
        <f aca="false">IF(OR(X16="",Y16=""),"",IF(MIN(X16,Y16)&gt;=0.67,"Normal",IF(MIN(X16,Y16)&gt;=0.5,"Caution","High-risk")))</f>
        <v/>
      </c>
      <c r="AA16" s="26" t="str">
        <f aca="false">IF(Z16="","",IF(Z16="Normal",100,IF(Z16="Caution",60,20)))</f>
        <v/>
      </c>
      <c r="AB16" s="25"/>
      <c r="AC16" s="26" t="str">
        <f aca="false">IF(AB16="","",IF(AB16=0,"Normal",IF(AB16&lt;3,"Caution","High-risk")))</f>
        <v/>
      </c>
      <c r="AD16" s="26" t="str">
        <f aca="false">IF(AC16="","",IF(AC16="Normal",100,IF(AC16="Caution",60,20)))</f>
        <v/>
      </c>
      <c r="AE16" s="25"/>
      <c r="AF16" s="25"/>
      <c r="AG16" s="25"/>
      <c r="AH16" s="26" t="str">
        <f aca="false">IF(OR(AF16="",AG16="",AG16=0),"",AF16/AG16)</f>
        <v/>
      </c>
      <c r="AI16" s="26" t="str">
        <f aca="false">IF(AND(AE16="",AF16=""),"",IF(AND(AH16&lt;&gt;"",AH16&lt;0.5),"High-risk",IF(OR(AE16="Yes",AND(AH16&lt;&gt;"",AH16&lt;0.8)),"Caution","Normal")))</f>
        <v/>
      </c>
      <c r="AJ16" s="26" t="str">
        <f aca="false">IF(AI16="","",IF(AI16="Normal",100,IF(AI16="Caution",60,20)))</f>
        <v/>
      </c>
      <c r="AK16" s="25"/>
      <c r="AL16" s="25"/>
      <c r="AM16" s="25"/>
      <c r="AN16" s="25"/>
      <c r="AO16" s="26" t="str">
        <f aca="false">IF(COUNTBLANK(AK16:AN16)=4,"",IF(COUNTIF(AK16:AN16,"Yes")&gt;0,"REFER - TB symptom screen positive","Clear"))</f>
        <v/>
      </c>
      <c r="AP16" s="25"/>
      <c r="AQ16" s="26" t="n">
        <f aca="false">COUNT(J16,L16,O16,S16,W16,AA16,AD16,AJ16)</f>
        <v>0</v>
      </c>
      <c r="AR16" s="26" t="str">
        <f aca="false">IF(AQ16=0,"",((IF(J16&lt;&gt;"",J16*UndernutritionWeight,0)+IF(L16&lt;&gt;"",L16*OverweightWeight,0)+IF(O16&lt;&gt;"",O16*AnaemiaWeight,0)+IF(S16&lt;&gt;"",S16*BPWeight,0)+IF(W16&lt;&gt;"",W16*MetabolicWeight,0)+IF(AA16&lt;&gt;"",AA16*VisionWeight,0)+IF(AD16&lt;&gt;"",AD16*OralWeight,0)+IF(AJ16&lt;&gt;"",AJ16*RespiratoryWeight,0))/(IF(J16&lt;&gt;"",UndernutritionWeight,0)+IF(L16&lt;&gt;"",OverweightWeight,0)+IF(O16&lt;&gt;"",AnaemiaWeight,0)+IF(S16&lt;&gt;"",BPWeight,0)+IF(W16&lt;&gt;"",MetabolicWeight,0)+IF(AA16&lt;&gt;"",VisionWeight,0)+IF(AD16&lt;&gt;"",OralWeight,0)+IF(AJ16&lt;&gt;"",RespiratoryWeight,0))))</f>
        <v/>
      </c>
      <c r="AS16" s="26" t="str">
        <f aca="false">IF(AR16="","Incomplete",IF(AR16&gt;=80,"Green - On Track",IF(AR16&gt;=60,"Amber - Monitor","Red - Refer")))</f>
        <v>Incomplete</v>
      </c>
      <c r="AT16" s="26" t="str">
        <f aca="false">IF(OR(I16="High-risk",K16="High-risk",N16="High-risk",R16="High-risk",V16="High-risk",Z16="High-risk",AC16="High-risk",AI16="High-risk"),"OVERRIDE - Individual referral required","")</f>
        <v/>
      </c>
      <c r="AU16" s="26" t="str">
        <f aca="false">TRIM(AS16&amp;IF(AT16&lt;&gt;""," | "&amp;AT16,"")&amp;IF(AND(AO16&lt;&gt;"",AO16&lt;&gt;"Clear")," | "&amp;AO16,"")&amp;IF(AND(AP16&lt;&gt;"",AP16&lt;&gt;"Clear")," | Mental wellbeing: "&amp;AP16,""))</f>
        <v>Incomplete</v>
      </c>
    </row>
    <row r="17" customFormat="false" ht="15" hidden="false" customHeight="false" outlineLevel="0" collapsed="false">
      <c r="A17" s="25"/>
      <c r="B17" s="25"/>
      <c r="C17" s="25"/>
      <c r="D17" s="25"/>
      <c r="E17" s="25"/>
      <c r="F17" s="25"/>
      <c r="G17" s="25"/>
      <c r="H17" s="26" t="str">
        <f aca="false">IF(AND(F17&lt;&gt;"",G17&lt;&gt;""),G17/((F17/100)^2),"")</f>
        <v/>
      </c>
      <c r="I17" s="25"/>
      <c r="J17" s="26" t="str">
        <f aca="false">IF(I17="","",IF(I17="Normal",100,IF(I17="Caution",60,IF(I17="High-risk",20,""))))</f>
        <v/>
      </c>
      <c r="K17" s="25"/>
      <c r="L17" s="26" t="str">
        <f aca="false">IF(K17="","",IF(K17="Normal",100,IF(K17="Caution",60,IF(K17="High-risk",20,""))))</f>
        <v/>
      </c>
      <c r="M17" s="25"/>
      <c r="N17" s="25"/>
      <c r="O17" s="26" t="str">
        <f aca="false">IF(N17="","",IF(N17="Normal",100,IF(N17="Caution",60,IF(N17="High-risk",20,""))))</f>
        <v/>
      </c>
      <c r="P17" s="25"/>
      <c r="Q17" s="25"/>
      <c r="R17" s="25"/>
      <c r="S17" s="26" t="str">
        <f aca="false">IF(R17="","",IF(R17="Normal",100,IF(R17="Caution",60,IF(R17="High-risk",20,""))))</f>
        <v/>
      </c>
      <c r="T17" s="25"/>
      <c r="U17" s="25"/>
      <c r="V17" s="25"/>
      <c r="W17" s="26" t="str">
        <f aca="false">IF(V17="","",IF(V17="Normal",100,IF(V17="Caution",60,IF(V17="High-risk",20,""))))</f>
        <v/>
      </c>
      <c r="X17" s="25"/>
      <c r="Y17" s="25"/>
      <c r="Z17" s="26" t="str">
        <f aca="false">IF(OR(X17="",Y17=""),"",IF(MIN(X17,Y17)&gt;=0.67,"Normal",IF(MIN(X17,Y17)&gt;=0.5,"Caution","High-risk")))</f>
        <v/>
      </c>
      <c r="AA17" s="26" t="str">
        <f aca="false">IF(Z17="","",IF(Z17="Normal",100,IF(Z17="Caution",60,20)))</f>
        <v/>
      </c>
      <c r="AB17" s="25"/>
      <c r="AC17" s="26" t="str">
        <f aca="false">IF(AB17="","",IF(AB17=0,"Normal",IF(AB17&lt;3,"Caution","High-risk")))</f>
        <v/>
      </c>
      <c r="AD17" s="26" t="str">
        <f aca="false">IF(AC17="","",IF(AC17="Normal",100,IF(AC17="Caution",60,20)))</f>
        <v/>
      </c>
      <c r="AE17" s="25"/>
      <c r="AF17" s="25"/>
      <c r="AG17" s="25"/>
      <c r="AH17" s="26" t="str">
        <f aca="false">IF(OR(AF17="",AG17="",AG17=0),"",AF17/AG17)</f>
        <v/>
      </c>
      <c r="AI17" s="26" t="str">
        <f aca="false">IF(AND(AE17="",AF17=""),"",IF(AND(AH17&lt;&gt;"",AH17&lt;0.5),"High-risk",IF(OR(AE17="Yes",AND(AH17&lt;&gt;"",AH17&lt;0.8)),"Caution","Normal")))</f>
        <v/>
      </c>
      <c r="AJ17" s="26" t="str">
        <f aca="false">IF(AI17="","",IF(AI17="Normal",100,IF(AI17="Caution",60,20)))</f>
        <v/>
      </c>
      <c r="AK17" s="25"/>
      <c r="AL17" s="25"/>
      <c r="AM17" s="25"/>
      <c r="AN17" s="25"/>
      <c r="AO17" s="26" t="str">
        <f aca="false">IF(COUNTBLANK(AK17:AN17)=4,"",IF(COUNTIF(AK17:AN17,"Yes")&gt;0,"REFER - TB symptom screen positive","Clear"))</f>
        <v/>
      </c>
      <c r="AP17" s="25"/>
      <c r="AQ17" s="26" t="n">
        <f aca="false">COUNT(J17,L17,O17,S17,W17,AA17,AD17,AJ17)</f>
        <v>0</v>
      </c>
      <c r="AR17" s="26" t="str">
        <f aca="false">IF(AQ17=0,"",((IF(J17&lt;&gt;"",J17*UndernutritionWeight,0)+IF(L17&lt;&gt;"",L17*OverweightWeight,0)+IF(O17&lt;&gt;"",O17*AnaemiaWeight,0)+IF(S17&lt;&gt;"",S17*BPWeight,0)+IF(W17&lt;&gt;"",W17*MetabolicWeight,0)+IF(AA17&lt;&gt;"",AA17*VisionWeight,0)+IF(AD17&lt;&gt;"",AD17*OralWeight,0)+IF(AJ17&lt;&gt;"",AJ17*RespiratoryWeight,0))/(IF(J17&lt;&gt;"",UndernutritionWeight,0)+IF(L17&lt;&gt;"",OverweightWeight,0)+IF(O17&lt;&gt;"",AnaemiaWeight,0)+IF(S17&lt;&gt;"",BPWeight,0)+IF(W17&lt;&gt;"",MetabolicWeight,0)+IF(AA17&lt;&gt;"",VisionWeight,0)+IF(AD17&lt;&gt;"",OralWeight,0)+IF(AJ17&lt;&gt;"",RespiratoryWeight,0))))</f>
        <v/>
      </c>
      <c r="AS17" s="26" t="str">
        <f aca="false">IF(AR17="","Incomplete",IF(AR17&gt;=80,"Green - On Track",IF(AR17&gt;=60,"Amber - Monitor","Red - Refer")))</f>
        <v>Incomplete</v>
      </c>
      <c r="AT17" s="26" t="str">
        <f aca="false">IF(OR(I17="High-risk",K17="High-risk",N17="High-risk",R17="High-risk",V17="High-risk",Z17="High-risk",AC17="High-risk",AI17="High-risk"),"OVERRIDE - Individual referral required","")</f>
        <v/>
      </c>
      <c r="AU17" s="26" t="str">
        <f aca="false">TRIM(AS17&amp;IF(AT17&lt;&gt;""," | "&amp;AT17,"")&amp;IF(AND(AO17&lt;&gt;"",AO17&lt;&gt;"Clear")," | "&amp;AO17,"")&amp;IF(AND(AP17&lt;&gt;"",AP17&lt;&gt;"Clear")," | Mental wellbeing: "&amp;AP17,""))</f>
        <v>Incomplete</v>
      </c>
    </row>
    <row r="18" customFormat="false" ht="15" hidden="false" customHeight="false" outlineLevel="0" collapsed="false">
      <c r="A18" s="25"/>
      <c r="B18" s="25"/>
      <c r="C18" s="25"/>
      <c r="D18" s="25"/>
      <c r="E18" s="25"/>
      <c r="F18" s="25"/>
      <c r="G18" s="25"/>
      <c r="H18" s="26" t="str">
        <f aca="false">IF(AND(F18&lt;&gt;"",G18&lt;&gt;""),G18/((F18/100)^2),"")</f>
        <v/>
      </c>
      <c r="I18" s="25"/>
      <c r="J18" s="26" t="str">
        <f aca="false">IF(I18="","",IF(I18="Normal",100,IF(I18="Caution",60,IF(I18="High-risk",20,""))))</f>
        <v/>
      </c>
      <c r="K18" s="25"/>
      <c r="L18" s="26" t="str">
        <f aca="false">IF(K18="","",IF(K18="Normal",100,IF(K18="Caution",60,IF(K18="High-risk",20,""))))</f>
        <v/>
      </c>
      <c r="M18" s="25"/>
      <c r="N18" s="25"/>
      <c r="O18" s="26" t="str">
        <f aca="false">IF(N18="","",IF(N18="Normal",100,IF(N18="Caution",60,IF(N18="High-risk",20,""))))</f>
        <v/>
      </c>
      <c r="P18" s="25"/>
      <c r="Q18" s="25"/>
      <c r="R18" s="25"/>
      <c r="S18" s="26" t="str">
        <f aca="false">IF(R18="","",IF(R18="Normal",100,IF(R18="Caution",60,IF(R18="High-risk",20,""))))</f>
        <v/>
      </c>
      <c r="T18" s="25"/>
      <c r="U18" s="25"/>
      <c r="V18" s="25"/>
      <c r="W18" s="26" t="str">
        <f aca="false">IF(V18="","",IF(V18="Normal",100,IF(V18="Caution",60,IF(V18="High-risk",20,""))))</f>
        <v/>
      </c>
      <c r="X18" s="25"/>
      <c r="Y18" s="25"/>
      <c r="Z18" s="26" t="str">
        <f aca="false">IF(OR(X18="",Y18=""),"",IF(MIN(X18,Y18)&gt;=0.67,"Normal",IF(MIN(X18,Y18)&gt;=0.5,"Caution","High-risk")))</f>
        <v/>
      </c>
      <c r="AA18" s="26" t="str">
        <f aca="false">IF(Z18="","",IF(Z18="Normal",100,IF(Z18="Caution",60,20)))</f>
        <v/>
      </c>
      <c r="AB18" s="25"/>
      <c r="AC18" s="26" t="str">
        <f aca="false">IF(AB18="","",IF(AB18=0,"Normal",IF(AB18&lt;3,"Caution","High-risk")))</f>
        <v/>
      </c>
      <c r="AD18" s="26" t="str">
        <f aca="false">IF(AC18="","",IF(AC18="Normal",100,IF(AC18="Caution",60,20)))</f>
        <v/>
      </c>
      <c r="AE18" s="25"/>
      <c r="AF18" s="25"/>
      <c r="AG18" s="25"/>
      <c r="AH18" s="26" t="str">
        <f aca="false">IF(OR(AF18="",AG18="",AG18=0),"",AF18/AG18)</f>
        <v/>
      </c>
      <c r="AI18" s="26" t="str">
        <f aca="false">IF(AND(AE18="",AF18=""),"",IF(AND(AH18&lt;&gt;"",AH18&lt;0.5),"High-risk",IF(OR(AE18="Yes",AND(AH18&lt;&gt;"",AH18&lt;0.8)),"Caution","Normal")))</f>
        <v/>
      </c>
      <c r="AJ18" s="26" t="str">
        <f aca="false">IF(AI18="","",IF(AI18="Normal",100,IF(AI18="Caution",60,20)))</f>
        <v/>
      </c>
      <c r="AK18" s="25"/>
      <c r="AL18" s="25"/>
      <c r="AM18" s="25"/>
      <c r="AN18" s="25"/>
      <c r="AO18" s="26" t="str">
        <f aca="false">IF(COUNTBLANK(AK18:AN18)=4,"",IF(COUNTIF(AK18:AN18,"Yes")&gt;0,"REFER - TB symptom screen positive","Clear"))</f>
        <v/>
      </c>
      <c r="AP18" s="25"/>
      <c r="AQ18" s="26" t="n">
        <f aca="false">COUNT(J18,L18,O18,S18,W18,AA18,AD18,AJ18)</f>
        <v>0</v>
      </c>
      <c r="AR18" s="26" t="str">
        <f aca="false">IF(AQ18=0,"",((IF(J18&lt;&gt;"",J18*UndernutritionWeight,0)+IF(L18&lt;&gt;"",L18*OverweightWeight,0)+IF(O18&lt;&gt;"",O18*AnaemiaWeight,0)+IF(S18&lt;&gt;"",S18*BPWeight,0)+IF(W18&lt;&gt;"",W18*MetabolicWeight,0)+IF(AA18&lt;&gt;"",AA18*VisionWeight,0)+IF(AD18&lt;&gt;"",AD18*OralWeight,0)+IF(AJ18&lt;&gt;"",AJ18*RespiratoryWeight,0))/(IF(J18&lt;&gt;"",UndernutritionWeight,0)+IF(L18&lt;&gt;"",OverweightWeight,0)+IF(O18&lt;&gt;"",AnaemiaWeight,0)+IF(S18&lt;&gt;"",BPWeight,0)+IF(W18&lt;&gt;"",MetabolicWeight,0)+IF(AA18&lt;&gt;"",VisionWeight,0)+IF(AD18&lt;&gt;"",OralWeight,0)+IF(AJ18&lt;&gt;"",RespiratoryWeight,0))))</f>
        <v/>
      </c>
      <c r="AS18" s="26" t="str">
        <f aca="false">IF(AR18="","Incomplete",IF(AR18&gt;=80,"Green - On Track",IF(AR18&gt;=60,"Amber - Monitor","Red - Refer")))</f>
        <v>Incomplete</v>
      </c>
      <c r="AT18" s="26" t="str">
        <f aca="false">IF(OR(I18="High-risk",K18="High-risk",N18="High-risk",R18="High-risk",V18="High-risk",Z18="High-risk",AC18="High-risk",AI18="High-risk"),"OVERRIDE - Individual referral required","")</f>
        <v/>
      </c>
      <c r="AU18" s="26" t="str">
        <f aca="false">TRIM(AS18&amp;IF(AT18&lt;&gt;""," | "&amp;AT18,"")&amp;IF(AND(AO18&lt;&gt;"",AO18&lt;&gt;"Clear")," | "&amp;AO18,"")&amp;IF(AND(AP18&lt;&gt;"",AP18&lt;&gt;"Clear")," | Mental wellbeing: "&amp;AP18,""))</f>
        <v>Incomplete</v>
      </c>
    </row>
    <row r="19" customFormat="false" ht="15" hidden="false" customHeight="false" outlineLevel="0" collapsed="false">
      <c r="A19" s="25"/>
      <c r="B19" s="25"/>
      <c r="C19" s="25"/>
      <c r="D19" s="25"/>
      <c r="E19" s="25"/>
      <c r="F19" s="25"/>
      <c r="G19" s="25"/>
      <c r="H19" s="26" t="str">
        <f aca="false">IF(AND(F19&lt;&gt;"",G19&lt;&gt;""),G19/((F19/100)^2),"")</f>
        <v/>
      </c>
      <c r="I19" s="25"/>
      <c r="J19" s="26" t="str">
        <f aca="false">IF(I19="","",IF(I19="Normal",100,IF(I19="Caution",60,IF(I19="High-risk",20,""))))</f>
        <v/>
      </c>
      <c r="K19" s="25"/>
      <c r="L19" s="26" t="str">
        <f aca="false">IF(K19="","",IF(K19="Normal",100,IF(K19="Caution",60,IF(K19="High-risk",20,""))))</f>
        <v/>
      </c>
      <c r="M19" s="25"/>
      <c r="N19" s="25"/>
      <c r="O19" s="26" t="str">
        <f aca="false">IF(N19="","",IF(N19="Normal",100,IF(N19="Caution",60,IF(N19="High-risk",20,""))))</f>
        <v/>
      </c>
      <c r="P19" s="25"/>
      <c r="Q19" s="25"/>
      <c r="R19" s="25"/>
      <c r="S19" s="26" t="str">
        <f aca="false">IF(R19="","",IF(R19="Normal",100,IF(R19="Caution",60,IF(R19="High-risk",20,""))))</f>
        <v/>
      </c>
      <c r="T19" s="25"/>
      <c r="U19" s="25"/>
      <c r="V19" s="25"/>
      <c r="W19" s="26" t="str">
        <f aca="false">IF(V19="","",IF(V19="Normal",100,IF(V19="Caution",60,IF(V19="High-risk",20,""))))</f>
        <v/>
      </c>
      <c r="X19" s="25"/>
      <c r="Y19" s="25"/>
      <c r="Z19" s="26" t="str">
        <f aca="false">IF(OR(X19="",Y19=""),"",IF(MIN(X19,Y19)&gt;=0.67,"Normal",IF(MIN(X19,Y19)&gt;=0.5,"Caution","High-risk")))</f>
        <v/>
      </c>
      <c r="AA19" s="26" t="str">
        <f aca="false">IF(Z19="","",IF(Z19="Normal",100,IF(Z19="Caution",60,20)))</f>
        <v/>
      </c>
      <c r="AB19" s="25"/>
      <c r="AC19" s="26" t="str">
        <f aca="false">IF(AB19="","",IF(AB19=0,"Normal",IF(AB19&lt;3,"Caution","High-risk")))</f>
        <v/>
      </c>
      <c r="AD19" s="26" t="str">
        <f aca="false">IF(AC19="","",IF(AC19="Normal",100,IF(AC19="Caution",60,20)))</f>
        <v/>
      </c>
      <c r="AE19" s="25"/>
      <c r="AF19" s="25"/>
      <c r="AG19" s="25"/>
      <c r="AH19" s="26" t="str">
        <f aca="false">IF(OR(AF19="",AG19="",AG19=0),"",AF19/AG19)</f>
        <v/>
      </c>
      <c r="AI19" s="26" t="str">
        <f aca="false">IF(AND(AE19="",AF19=""),"",IF(AND(AH19&lt;&gt;"",AH19&lt;0.5),"High-risk",IF(OR(AE19="Yes",AND(AH19&lt;&gt;"",AH19&lt;0.8)),"Caution","Normal")))</f>
        <v/>
      </c>
      <c r="AJ19" s="26" t="str">
        <f aca="false">IF(AI19="","",IF(AI19="Normal",100,IF(AI19="Caution",60,20)))</f>
        <v/>
      </c>
      <c r="AK19" s="25"/>
      <c r="AL19" s="25"/>
      <c r="AM19" s="25"/>
      <c r="AN19" s="25"/>
      <c r="AO19" s="26" t="str">
        <f aca="false">IF(COUNTBLANK(AK19:AN19)=4,"",IF(COUNTIF(AK19:AN19,"Yes")&gt;0,"REFER - TB symptom screen positive","Clear"))</f>
        <v/>
      </c>
      <c r="AP19" s="25"/>
      <c r="AQ19" s="26" t="n">
        <f aca="false">COUNT(J19,L19,O19,S19,W19,AA19,AD19,AJ19)</f>
        <v>0</v>
      </c>
      <c r="AR19" s="26" t="str">
        <f aca="false">IF(AQ19=0,"",((IF(J19&lt;&gt;"",J19*UndernutritionWeight,0)+IF(L19&lt;&gt;"",L19*OverweightWeight,0)+IF(O19&lt;&gt;"",O19*AnaemiaWeight,0)+IF(S19&lt;&gt;"",S19*BPWeight,0)+IF(W19&lt;&gt;"",W19*MetabolicWeight,0)+IF(AA19&lt;&gt;"",AA19*VisionWeight,0)+IF(AD19&lt;&gt;"",AD19*OralWeight,0)+IF(AJ19&lt;&gt;"",AJ19*RespiratoryWeight,0))/(IF(J19&lt;&gt;"",UndernutritionWeight,0)+IF(L19&lt;&gt;"",OverweightWeight,0)+IF(O19&lt;&gt;"",AnaemiaWeight,0)+IF(S19&lt;&gt;"",BPWeight,0)+IF(W19&lt;&gt;"",MetabolicWeight,0)+IF(AA19&lt;&gt;"",VisionWeight,0)+IF(AD19&lt;&gt;"",OralWeight,0)+IF(AJ19&lt;&gt;"",RespiratoryWeight,0))))</f>
        <v/>
      </c>
      <c r="AS19" s="26" t="str">
        <f aca="false">IF(AR19="","Incomplete",IF(AR19&gt;=80,"Green - On Track",IF(AR19&gt;=60,"Amber - Monitor","Red - Refer")))</f>
        <v>Incomplete</v>
      </c>
      <c r="AT19" s="26" t="str">
        <f aca="false">IF(OR(I19="High-risk",K19="High-risk",N19="High-risk",R19="High-risk",V19="High-risk",Z19="High-risk",AC19="High-risk",AI19="High-risk"),"OVERRIDE - Individual referral required","")</f>
        <v/>
      </c>
      <c r="AU19" s="26" t="str">
        <f aca="false">TRIM(AS19&amp;IF(AT19&lt;&gt;""," | "&amp;AT19,"")&amp;IF(AND(AO19&lt;&gt;"",AO19&lt;&gt;"Clear")," | "&amp;AO19,"")&amp;IF(AND(AP19&lt;&gt;"",AP19&lt;&gt;"Clear")," | Mental wellbeing: "&amp;AP19,""))</f>
        <v>Incomplete</v>
      </c>
    </row>
    <row r="20" customFormat="false" ht="15" hidden="false" customHeight="false" outlineLevel="0" collapsed="false">
      <c r="A20" s="25"/>
      <c r="B20" s="25"/>
      <c r="C20" s="25"/>
      <c r="D20" s="25"/>
      <c r="E20" s="25"/>
      <c r="F20" s="25"/>
      <c r="G20" s="25"/>
      <c r="H20" s="26" t="str">
        <f aca="false">IF(AND(F20&lt;&gt;"",G20&lt;&gt;""),G20/((F20/100)^2),"")</f>
        <v/>
      </c>
      <c r="I20" s="25"/>
      <c r="J20" s="26" t="str">
        <f aca="false">IF(I20="","",IF(I20="Normal",100,IF(I20="Caution",60,IF(I20="High-risk",20,""))))</f>
        <v/>
      </c>
      <c r="K20" s="25"/>
      <c r="L20" s="26" t="str">
        <f aca="false">IF(K20="","",IF(K20="Normal",100,IF(K20="Caution",60,IF(K20="High-risk",20,""))))</f>
        <v/>
      </c>
      <c r="M20" s="25"/>
      <c r="N20" s="25"/>
      <c r="O20" s="26" t="str">
        <f aca="false">IF(N20="","",IF(N20="Normal",100,IF(N20="Caution",60,IF(N20="High-risk",20,""))))</f>
        <v/>
      </c>
      <c r="P20" s="25"/>
      <c r="Q20" s="25"/>
      <c r="R20" s="25"/>
      <c r="S20" s="26" t="str">
        <f aca="false">IF(R20="","",IF(R20="Normal",100,IF(R20="Caution",60,IF(R20="High-risk",20,""))))</f>
        <v/>
      </c>
      <c r="T20" s="25"/>
      <c r="U20" s="25"/>
      <c r="V20" s="25"/>
      <c r="W20" s="26" t="str">
        <f aca="false">IF(V20="","",IF(V20="Normal",100,IF(V20="Caution",60,IF(V20="High-risk",20,""))))</f>
        <v/>
      </c>
      <c r="X20" s="25"/>
      <c r="Y20" s="25"/>
      <c r="Z20" s="26" t="str">
        <f aca="false">IF(OR(X20="",Y20=""),"",IF(MIN(X20,Y20)&gt;=0.67,"Normal",IF(MIN(X20,Y20)&gt;=0.5,"Caution","High-risk")))</f>
        <v/>
      </c>
      <c r="AA20" s="26" t="str">
        <f aca="false">IF(Z20="","",IF(Z20="Normal",100,IF(Z20="Caution",60,20)))</f>
        <v/>
      </c>
      <c r="AB20" s="25"/>
      <c r="AC20" s="26" t="str">
        <f aca="false">IF(AB20="","",IF(AB20=0,"Normal",IF(AB20&lt;3,"Caution","High-risk")))</f>
        <v/>
      </c>
      <c r="AD20" s="26" t="str">
        <f aca="false">IF(AC20="","",IF(AC20="Normal",100,IF(AC20="Caution",60,20)))</f>
        <v/>
      </c>
      <c r="AE20" s="25"/>
      <c r="AF20" s="25"/>
      <c r="AG20" s="25"/>
      <c r="AH20" s="26" t="str">
        <f aca="false">IF(OR(AF20="",AG20="",AG20=0),"",AF20/AG20)</f>
        <v/>
      </c>
      <c r="AI20" s="26" t="str">
        <f aca="false">IF(AND(AE20="",AF20=""),"",IF(AND(AH20&lt;&gt;"",AH20&lt;0.5),"High-risk",IF(OR(AE20="Yes",AND(AH20&lt;&gt;"",AH20&lt;0.8)),"Caution","Normal")))</f>
        <v/>
      </c>
      <c r="AJ20" s="26" t="str">
        <f aca="false">IF(AI20="","",IF(AI20="Normal",100,IF(AI20="Caution",60,20)))</f>
        <v/>
      </c>
      <c r="AK20" s="25"/>
      <c r="AL20" s="25"/>
      <c r="AM20" s="25"/>
      <c r="AN20" s="25"/>
      <c r="AO20" s="26" t="str">
        <f aca="false">IF(COUNTBLANK(AK20:AN20)=4,"",IF(COUNTIF(AK20:AN20,"Yes")&gt;0,"REFER - TB symptom screen positive","Clear"))</f>
        <v/>
      </c>
      <c r="AP20" s="25"/>
      <c r="AQ20" s="26" t="n">
        <f aca="false">COUNT(J20,L20,O20,S20,W20,AA20,AD20,AJ20)</f>
        <v>0</v>
      </c>
      <c r="AR20" s="26" t="str">
        <f aca="false">IF(AQ20=0,"",((IF(J20&lt;&gt;"",J20*UndernutritionWeight,0)+IF(L20&lt;&gt;"",L20*OverweightWeight,0)+IF(O20&lt;&gt;"",O20*AnaemiaWeight,0)+IF(S20&lt;&gt;"",S20*BPWeight,0)+IF(W20&lt;&gt;"",W20*MetabolicWeight,0)+IF(AA20&lt;&gt;"",AA20*VisionWeight,0)+IF(AD20&lt;&gt;"",AD20*OralWeight,0)+IF(AJ20&lt;&gt;"",AJ20*RespiratoryWeight,0))/(IF(J20&lt;&gt;"",UndernutritionWeight,0)+IF(L20&lt;&gt;"",OverweightWeight,0)+IF(O20&lt;&gt;"",AnaemiaWeight,0)+IF(S20&lt;&gt;"",BPWeight,0)+IF(W20&lt;&gt;"",MetabolicWeight,0)+IF(AA20&lt;&gt;"",VisionWeight,0)+IF(AD20&lt;&gt;"",OralWeight,0)+IF(AJ20&lt;&gt;"",RespiratoryWeight,0))))</f>
        <v/>
      </c>
      <c r="AS20" s="26" t="str">
        <f aca="false">IF(AR20="","Incomplete",IF(AR20&gt;=80,"Green - On Track",IF(AR20&gt;=60,"Amber - Monitor","Red - Refer")))</f>
        <v>Incomplete</v>
      </c>
      <c r="AT20" s="26" t="str">
        <f aca="false">IF(OR(I20="High-risk",K20="High-risk",N20="High-risk",R20="High-risk",V20="High-risk",Z20="High-risk",AC20="High-risk",AI20="High-risk"),"OVERRIDE - Individual referral required","")</f>
        <v/>
      </c>
      <c r="AU20" s="26" t="str">
        <f aca="false">TRIM(AS20&amp;IF(AT20&lt;&gt;""," | "&amp;AT20,"")&amp;IF(AND(AO20&lt;&gt;"",AO20&lt;&gt;"Clear")," | "&amp;AO20,"")&amp;IF(AND(AP20&lt;&gt;"",AP20&lt;&gt;"Clear")," | Mental wellbeing: "&amp;AP20,""))</f>
        <v>Incomplete</v>
      </c>
    </row>
    <row r="21" customFormat="false" ht="15" hidden="false" customHeight="false" outlineLevel="0" collapsed="false">
      <c r="A21" s="25"/>
      <c r="B21" s="25"/>
      <c r="C21" s="25"/>
      <c r="D21" s="25"/>
      <c r="E21" s="25"/>
      <c r="F21" s="25"/>
      <c r="G21" s="25"/>
      <c r="H21" s="26" t="str">
        <f aca="false">IF(AND(F21&lt;&gt;"",G21&lt;&gt;""),G21/((F21/100)^2),"")</f>
        <v/>
      </c>
      <c r="I21" s="25"/>
      <c r="J21" s="26" t="str">
        <f aca="false">IF(I21="","",IF(I21="Normal",100,IF(I21="Caution",60,IF(I21="High-risk",20,""))))</f>
        <v/>
      </c>
      <c r="K21" s="25"/>
      <c r="L21" s="26" t="str">
        <f aca="false">IF(K21="","",IF(K21="Normal",100,IF(K21="Caution",60,IF(K21="High-risk",20,""))))</f>
        <v/>
      </c>
      <c r="M21" s="25"/>
      <c r="N21" s="25"/>
      <c r="O21" s="26" t="str">
        <f aca="false">IF(N21="","",IF(N21="Normal",100,IF(N21="Caution",60,IF(N21="High-risk",20,""))))</f>
        <v/>
      </c>
      <c r="P21" s="25"/>
      <c r="Q21" s="25"/>
      <c r="R21" s="25"/>
      <c r="S21" s="26" t="str">
        <f aca="false">IF(R21="","",IF(R21="Normal",100,IF(R21="Caution",60,IF(R21="High-risk",20,""))))</f>
        <v/>
      </c>
      <c r="T21" s="25"/>
      <c r="U21" s="25"/>
      <c r="V21" s="25"/>
      <c r="W21" s="26" t="str">
        <f aca="false">IF(V21="","",IF(V21="Normal",100,IF(V21="Caution",60,IF(V21="High-risk",20,""))))</f>
        <v/>
      </c>
      <c r="X21" s="25"/>
      <c r="Y21" s="25"/>
      <c r="Z21" s="26" t="str">
        <f aca="false">IF(OR(X21="",Y21=""),"",IF(MIN(X21,Y21)&gt;=0.67,"Normal",IF(MIN(X21,Y21)&gt;=0.5,"Caution","High-risk")))</f>
        <v/>
      </c>
      <c r="AA21" s="26" t="str">
        <f aca="false">IF(Z21="","",IF(Z21="Normal",100,IF(Z21="Caution",60,20)))</f>
        <v/>
      </c>
      <c r="AB21" s="25"/>
      <c r="AC21" s="26" t="str">
        <f aca="false">IF(AB21="","",IF(AB21=0,"Normal",IF(AB21&lt;3,"Caution","High-risk")))</f>
        <v/>
      </c>
      <c r="AD21" s="26" t="str">
        <f aca="false">IF(AC21="","",IF(AC21="Normal",100,IF(AC21="Caution",60,20)))</f>
        <v/>
      </c>
      <c r="AE21" s="25"/>
      <c r="AF21" s="25"/>
      <c r="AG21" s="25"/>
      <c r="AH21" s="26" t="str">
        <f aca="false">IF(OR(AF21="",AG21="",AG21=0),"",AF21/AG21)</f>
        <v/>
      </c>
      <c r="AI21" s="26" t="str">
        <f aca="false">IF(AND(AE21="",AF21=""),"",IF(AND(AH21&lt;&gt;"",AH21&lt;0.5),"High-risk",IF(OR(AE21="Yes",AND(AH21&lt;&gt;"",AH21&lt;0.8)),"Caution","Normal")))</f>
        <v/>
      </c>
      <c r="AJ21" s="26" t="str">
        <f aca="false">IF(AI21="","",IF(AI21="Normal",100,IF(AI21="Caution",60,20)))</f>
        <v/>
      </c>
      <c r="AK21" s="25"/>
      <c r="AL21" s="25"/>
      <c r="AM21" s="25"/>
      <c r="AN21" s="25"/>
      <c r="AO21" s="26" t="str">
        <f aca="false">IF(COUNTBLANK(AK21:AN21)=4,"",IF(COUNTIF(AK21:AN21,"Yes")&gt;0,"REFER - TB symptom screen positive","Clear"))</f>
        <v/>
      </c>
      <c r="AP21" s="25"/>
      <c r="AQ21" s="26" t="n">
        <f aca="false">COUNT(J21,L21,O21,S21,W21,AA21,AD21,AJ21)</f>
        <v>0</v>
      </c>
      <c r="AR21" s="26" t="str">
        <f aca="false">IF(AQ21=0,"",((IF(J21&lt;&gt;"",J21*UndernutritionWeight,0)+IF(L21&lt;&gt;"",L21*OverweightWeight,0)+IF(O21&lt;&gt;"",O21*AnaemiaWeight,0)+IF(S21&lt;&gt;"",S21*BPWeight,0)+IF(W21&lt;&gt;"",W21*MetabolicWeight,0)+IF(AA21&lt;&gt;"",AA21*VisionWeight,0)+IF(AD21&lt;&gt;"",AD21*OralWeight,0)+IF(AJ21&lt;&gt;"",AJ21*RespiratoryWeight,0))/(IF(J21&lt;&gt;"",UndernutritionWeight,0)+IF(L21&lt;&gt;"",OverweightWeight,0)+IF(O21&lt;&gt;"",AnaemiaWeight,0)+IF(S21&lt;&gt;"",BPWeight,0)+IF(W21&lt;&gt;"",MetabolicWeight,0)+IF(AA21&lt;&gt;"",VisionWeight,0)+IF(AD21&lt;&gt;"",OralWeight,0)+IF(AJ21&lt;&gt;"",RespiratoryWeight,0))))</f>
        <v/>
      </c>
      <c r="AS21" s="26" t="str">
        <f aca="false">IF(AR21="","Incomplete",IF(AR21&gt;=80,"Green - On Track",IF(AR21&gt;=60,"Amber - Monitor","Red - Refer")))</f>
        <v>Incomplete</v>
      </c>
      <c r="AT21" s="26" t="str">
        <f aca="false">IF(OR(I21="High-risk",K21="High-risk",N21="High-risk",R21="High-risk",V21="High-risk",Z21="High-risk",AC21="High-risk",AI21="High-risk"),"OVERRIDE - Individual referral required","")</f>
        <v/>
      </c>
      <c r="AU21" s="26" t="str">
        <f aca="false">TRIM(AS21&amp;IF(AT21&lt;&gt;""," | "&amp;AT21,"")&amp;IF(AND(AO21&lt;&gt;"",AO21&lt;&gt;"Clear")," | "&amp;AO21,"")&amp;IF(AND(AP21&lt;&gt;"",AP21&lt;&gt;"Clear")," | Mental wellbeing: "&amp;AP21,""))</f>
        <v>Incomplete</v>
      </c>
    </row>
    <row r="22" customFormat="false" ht="15" hidden="false" customHeight="false" outlineLevel="0" collapsed="false">
      <c r="A22" s="25"/>
      <c r="B22" s="25"/>
      <c r="C22" s="25"/>
      <c r="D22" s="25"/>
      <c r="E22" s="25"/>
      <c r="F22" s="25"/>
      <c r="G22" s="25"/>
      <c r="H22" s="26" t="str">
        <f aca="false">IF(AND(F22&lt;&gt;"",G22&lt;&gt;""),G22/((F22/100)^2),"")</f>
        <v/>
      </c>
      <c r="I22" s="25"/>
      <c r="J22" s="26" t="str">
        <f aca="false">IF(I22="","",IF(I22="Normal",100,IF(I22="Caution",60,IF(I22="High-risk",20,""))))</f>
        <v/>
      </c>
      <c r="K22" s="25"/>
      <c r="L22" s="26" t="str">
        <f aca="false">IF(K22="","",IF(K22="Normal",100,IF(K22="Caution",60,IF(K22="High-risk",20,""))))</f>
        <v/>
      </c>
      <c r="M22" s="25"/>
      <c r="N22" s="25"/>
      <c r="O22" s="26" t="str">
        <f aca="false">IF(N22="","",IF(N22="Normal",100,IF(N22="Caution",60,IF(N22="High-risk",20,""))))</f>
        <v/>
      </c>
      <c r="P22" s="25"/>
      <c r="Q22" s="25"/>
      <c r="R22" s="25"/>
      <c r="S22" s="26" t="str">
        <f aca="false">IF(R22="","",IF(R22="Normal",100,IF(R22="Caution",60,IF(R22="High-risk",20,""))))</f>
        <v/>
      </c>
      <c r="T22" s="25"/>
      <c r="U22" s="25"/>
      <c r="V22" s="25"/>
      <c r="W22" s="26" t="str">
        <f aca="false">IF(V22="","",IF(V22="Normal",100,IF(V22="Caution",60,IF(V22="High-risk",20,""))))</f>
        <v/>
      </c>
      <c r="X22" s="25"/>
      <c r="Y22" s="25"/>
      <c r="Z22" s="26" t="str">
        <f aca="false">IF(OR(X22="",Y22=""),"",IF(MIN(X22,Y22)&gt;=0.67,"Normal",IF(MIN(X22,Y22)&gt;=0.5,"Caution","High-risk")))</f>
        <v/>
      </c>
      <c r="AA22" s="26" t="str">
        <f aca="false">IF(Z22="","",IF(Z22="Normal",100,IF(Z22="Caution",60,20)))</f>
        <v/>
      </c>
      <c r="AB22" s="25"/>
      <c r="AC22" s="26" t="str">
        <f aca="false">IF(AB22="","",IF(AB22=0,"Normal",IF(AB22&lt;3,"Caution","High-risk")))</f>
        <v/>
      </c>
      <c r="AD22" s="26" t="str">
        <f aca="false">IF(AC22="","",IF(AC22="Normal",100,IF(AC22="Caution",60,20)))</f>
        <v/>
      </c>
      <c r="AE22" s="25"/>
      <c r="AF22" s="25"/>
      <c r="AG22" s="25"/>
      <c r="AH22" s="26" t="str">
        <f aca="false">IF(OR(AF22="",AG22="",AG22=0),"",AF22/AG22)</f>
        <v/>
      </c>
      <c r="AI22" s="26" t="str">
        <f aca="false">IF(AND(AE22="",AF22=""),"",IF(AND(AH22&lt;&gt;"",AH22&lt;0.5),"High-risk",IF(OR(AE22="Yes",AND(AH22&lt;&gt;"",AH22&lt;0.8)),"Caution","Normal")))</f>
        <v/>
      </c>
      <c r="AJ22" s="26" t="str">
        <f aca="false">IF(AI22="","",IF(AI22="Normal",100,IF(AI22="Caution",60,20)))</f>
        <v/>
      </c>
      <c r="AK22" s="25"/>
      <c r="AL22" s="25"/>
      <c r="AM22" s="25"/>
      <c r="AN22" s="25"/>
      <c r="AO22" s="26" t="str">
        <f aca="false">IF(COUNTBLANK(AK22:AN22)=4,"",IF(COUNTIF(AK22:AN22,"Yes")&gt;0,"REFER - TB symptom screen positive","Clear"))</f>
        <v/>
      </c>
      <c r="AP22" s="25"/>
      <c r="AQ22" s="26" t="n">
        <f aca="false">COUNT(J22,L22,O22,S22,W22,AA22,AD22,AJ22)</f>
        <v>0</v>
      </c>
      <c r="AR22" s="26" t="str">
        <f aca="false">IF(AQ22=0,"",((IF(J22&lt;&gt;"",J22*UndernutritionWeight,0)+IF(L22&lt;&gt;"",L22*OverweightWeight,0)+IF(O22&lt;&gt;"",O22*AnaemiaWeight,0)+IF(S22&lt;&gt;"",S22*BPWeight,0)+IF(W22&lt;&gt;"",W22*MetabolicWeight,0)+IF(AA22&lt;&gt;"",AA22*VisionWeight,0)+IF(AD22&lt;&gt;"",AD22*OralWeight,0)+IF(AJ22&lt;&gt;"",AJ22*RespiratoryWeight,0))/(IF(J22&lt;&gt;"",UndernutritionWeight,0)+IF(L22&lt;&gt;"",OverweightWeight,0)+IF(O22&lt;&gt;"",AnaemiaWeight,0)+IF(S22&lt;&gt;"",BPWeight,0)+IF(W22&lt;&gt;"",MetabolicWeight,0)+IF(AA22&lt;&gt;"",VisionWeight,0)+IF(AD22&lt;&gt;"",OralWeight,0)+IF(AJ22&lt;&gt;"",RespiratoryWeight,0))))</f>
        <v/>
      </c>
      <c r="AS22" s="26" t="str">
        <f aca="false">IF(AR22="","Incomplete",IF(AR22&gt;=80,"Green - On Track",IF(AR22&gt;=60,"Amber - Monitor","Red - Refer")))</f>
        <v>Incomplete</v>
      </c>
      <c r="AT22" s="26" t="str">
        <f aca="false">IF(OR(I22="High-risk",K22="High-risk",N22="High-risk",R22="High-risk",V22="High-risk",Z22="High-risk",AC22="High-risk",AI22="High-risk"),"OVERRIDE - Individual referral required","")</f>
        <v/>
      </c>
      <c r="AU22" s="26" t="str">
        <f aca="false">TRIM(AS22&amp;IF(AT22&lt;&gt;""," | "&amp;AT22,"")&amp;IF(AND(AO22&lt;&gt;"",AO22&lt;&gt;"Clear")," | "&amp;AO22,"")&amp;IF(AND(AP22&lt;&gt;"",AP22&lt;&gt;"Clear")," | Mental wellbeing: "&amp;AP22,""))</f>
        <v>Incomplete</v>
      </c>
    </row>
    <row r="23" customFormat="false" ht="15" hidden="false" customHeight="false" outlineLevel="0" collapsed="false">
      <c r="A23" s="25"/>
      <c r="B23" s="25"/>
      <c r="C23" s="25"/>
      <c r="D23" s="25"/>
      <c r="E23" s="25"/>
      <c r="F23" s="25"/>
      <c r="G23" s="25"/>
      <c r="H23" s="26" t="str">
        <f aca="false">IF(AND(F23&lt;&gt;"",G23&lt;&gt;""),G23/((F23/100)^2),"")</f>
        <v/>
      </c>
      <c r="I23" s="25"/>
      <c r="J23" s="26" t="str">
        <f aca="false">IF(I23="","",IF(I23="Normal",100,IF(I23="Caution",60,IF(I23="High-risk",20,""))))</f>
        <v/>
      </c>
      <c r="K23" s="25"/>
      <c r="L23" s="26" t="str">
        <f aca="false">IF(K23="","",IF(K23="Normal",100,IF(K23="Caution",60,IF(K23="High-risk",20,""))))</f>
        <v/>
      </c>
      <c r="M23" s="25"/>
      <c r="N23" s="25"/>
      <c r="O23" s="26" t="str">
        <f aca="false">IF(N23="","",IF(N23="Normal",100,IF(N23="Caution",60,IF(N23="High-risk",20,""))))</f>
        <v/>
      </c>
      <c r="P23" s="25"/>
      <c r="Q23" s="25"/>
      <c r="R23" s="25"/>
      <c r="S23" s="26" t="str">
        <f aca="false">IF(R23="","",IF(R23="Normal",100,IF(R23="Caution",60,IF(R23="High-risk",20,""))))</f>
        <v/>
      </c>
      <c r="T23" s="25"/>
      <c r="U23" s="25"/>
      <c r="V23" s="25"/>
      <c r="W23" s="26" t="str">
        <f aca="false">IF(V23="","",IF(V23="Normal",100,IF(V23="Caution",60,IF(V23="High-risk",20,""))))</f>
        <v/>
      </c>
      <c r="X23" s="25"/>
      <c r="Y23" s="25"/>
      <c r="Z23" s="26" t="str">
        <f aca="false">IF(OR(X23="",Y23=""),"",IF(MIN(X23,Y23)&gt;=0.67,"Normal",IF(MIN(X23,Y23)&gt;=0.5,"Caution","High-risk")))</f>
        <v/>
      </c>
      <c r="AA23" s="26" t="str">
        <f aca="false">IF(Z23="","",IF(Z23="Normal",100,IF(Z23="Caution",60,20)))</f>
        <v/>
      </c>
      <c r="AB23" s="25"/>
      <c r="AC23" s="26" t="str">
        <f aca="false">IF(AB23="","",IF(AB23=0,"Normal",IF(AB23&lt;3,"Caution","High-risk")))</f>
        <v/>
      </c>
      <c r="AD23" s="26" t="str">
        <f aca="false">IF(AC23="","",IF(AC23="Normal",100,IF(AC23="Caution",60,20)))</f>
        <v/>
      </c>
      <c r="AE23" s="25"/>
      <c r="AF23" s="25"/>
      <c r="AG23" s="25"/>
      <c r="AH23" s="26" t="str">
        <f aca="false">IF(OR(AF23="",AG23="",AG23=0),"",AF23/AG23)</f>
        <v/>
      </c>
      <c r="AI23" s="26" t="str">
        <f aca="false">IF(AND(AE23="",AF23=""),"",IF(AND(AH23&lt;&gt;"",AH23&lt;0.5),"High-risk",IF(OR(AE23="Yes",AND(AH23&lt;&gt;"",AH23&lt;0.8)),"Caution","Normal")))</f>
        <v/>
      </c>
      <c r="AJ23" s="26" t="str">
        <f aca="false">IF(AI23="","",IF(AI23="Normal",100,IF(AI23="Caution",60,20)))</f>
        <v/>
      </c>
      <c r="AK23" s="25"/>
      <c r="AL23" s="25"/>
      <c r="AM23" s="25"/>
      <c r="AN23" s="25"/>
      <c r="AO23" s="26" t="str">
        <f aca="false">IF(COUNTBLANK(AK23:AN23)=4,"",IF(COUNTIF(AK23:AN23,"Yes")&gt;0,"REFER - TB symptom screen positive","Clear"))</f>
        <v/>
      </c>
      <c r="AP23" s="25"/>
      <c r="AQ23" s="26" t="n">
        <f aca="false">COUNT(J23,L23,O23,S23,W23,AA23,AD23,AJ23)</f>
        <v>0</v>
      </c>
      <c r="AR23" s="26" t="str">
        <f aca="false">IF(AQ23=0,"",((IF(J23&lt;&gt;"",J23*UndernutritionWeight,0)+IF(L23&lt;&gt;"",L23*OverweightWeight,0)+IF(O23&lt;&gt;"",O23*AnaemiaWeight,0)+IF(S23&lt;&gt;"",S23*BPWeight,0)+IF(W23&lt;&gt;"",W23*MetabolicWeight,0)+IF(AA23&lt;&gt;"",AA23*VisionWeight,0)+IF(AD23&lt;&gt;"",AD23*OralWeight,0)+IF(AJ23&lt;&gt;"",AJ23*RespiratoryWeight,0))/(IF(J23&lt;&gt;"",UndernutritionWeight,0)+IF(L23&lt;&gt;"",OverweightWeight,0)+IF(O23&lt;&gt;"",AnaemiaWeight,0)+IF(S23&lt;&gt;"",BPWeight,0)+IF(W23&lt;&gt;"",MetabolicWeight,0)+IF(AA23&lt;&gt;"",VisionWeight,0)+IF(AD23&lt;&gt;"",OralWeight,0)+IF(AJ23&lt;&gt;"",RespiratoryWeight,0))))</f>
        <v/>
      </c>
      <c r="AS23" s="26" t="str">
        <f aca="false">IF(AR23="","Incomplete",IF(AR23&gt;=80,"Green - On Track",IF(AR23&gt;=60,"Amber - Monitor","Red - Refer")))</f>
        <v>Incomplete</v>
      </c>
      <c r="AT23" s="26" t="str">
        <f aca="false">IF(OR(I23="High-risk",K23="High-risk",N23="High-risk",R23="High-risk",V23="High-risk",Z23="High-risk",AC23="High-risk",AI23="High-risk"),"OVERRIDE - Individual referral required","")</f>
        <v/>
      </c>
      <c r="AU23" s="26" t="str">
        <f aca="false">TRIM(AS23&amp;IF(AT23&lt;&gt;""," | "&amp;AT23,"")&amp;IF(AND(AO23&lt;&gt;"",AO23&lt;&gt;"Clear")," | "&amp;AO23,"")&amp;IF(AND(AP23&lt;&gt;"",AP23&lt;&gt;"Clear")," | Mental wellbeing: "&amp;AP23,""))</f>
        <v>Incomplete</v>
      </c>
    </row>
    <row r="24" customFormat="false" ht="15" hidden="false" customHeight="false" outlineLevel="0" collapsed="false">
      <c r="A24" s="25"/>
      <c r="B24" s="25"/>
      <c r="C24" s="25"/>
      <c r="D24" s="25"/>
      <c r="E24" s="25"/>
      <c r="F24" s="25"/>
      <c r="G24" s="25"/>
      <c r="H24" s="26" t="str">
        <f aca="false">IF(AND(F24&lt;&gt;"",G24&lt;&gt;""),G24/((F24/100)^2),"")</f>
        <v/>
      </c>
      <c r="I24" s="25"/>
      <c r="J24" s="26" t="str">
        <f aca="false">IF(I24="","",IF(I24="Normal",100,IF(I24="Caution",60,IF(I24="High-risk",20,""))))</f>
        <v/>
      </c>
      <c r="K24" s="25"/>
      <c r="L24" s="26" t="str">
        <f aca="false">IF(K24="","",IF(K24="Normal",100,IF(K24="Caution",60,IF(K24="High-risk",20,""))))</f>
        <v/>
      </c>
      <c r="M24" s="25"/>
      <c r="N24" s="25"/>
      <c r="O24" s="26" t="str">
        <f aca="false">IF(N24="","",IF(N24="Normal",100,IF(N24="Caution",60,IF(N24="High-risk",20,""))))</f>
        <v/>
      </c>
      <c r="P24" s="25"/>
      <c r="Q24" s="25"/>
      <c r="R24" s="25"/>
      <c r="S24" s="26" t="str">
        <f aca="false">IF(R24="","",IF(R24="Normal",100,IF(R24="Caution",60,IF(R24="High-risk",20,""))))</f>
        <v/>
      </c>
      <c r="T24" s="25"/>
      <c r="U24" s="25"/>
      <c r="V24" s="25"/>
      <c r="W24" s="26" t="str">
        <f aca="false">IF(V24="","",IF(V24="Normal",100,IF(V24="Caution",60,IF(V24="High-risk",20,""))))</f>
        <v/>
      </c>
      <c r="X24" s="25"/>
      <c r="Y24" s="25"/>
      <c r="Z24" s="26" t="str">
        <f aca="false">IF(OR(X24="",Y24=""),"",IF(MIN(X24,Y24)&gt;=0.67,"Normal",IF(MIN(X24,Y24)&gt;=0.5,"Caution","High-risk")))</f>
        <v/>
      </c>
      <c r="AA24" s="26" t="str">
        <f aca="false">IF(Z24="","",IF(Z24="Normal",100,IF(Z24="Caution",60,20)))</f>
        <v/>
      </c>
      <c r="AB24" s="25"/>
      <c r="AC24" s="26" t="str">
        <f aca="false">IF(AB24="","",IF(AB24=0,"Normal",IF(AB24&lt;3,"Caution","High-risk")))</f>
        <v/>
      </c>
      <c r="AD24" s="26" t="str">
        <f aca="false">IF(AC24="","",IF(AC24="Normal",100,IF(AC24="Caution",60,20)))</f>
        <v/>
      </c>
      <c r="AE24" s="25"/>
      <c r="AF24" s="25"/>
      <c r="AG24" s="25"/>
      <c r="AH24" s="26" t="str">
        <f aca="false">IF(OR(AF24="",AG24="",AG24=0),"",AF24/AG24)</f>
        <v/>
      </c>
      <c r="AI24" s="26" t="str">
        <f aca="false">IF(AND(AE24="",AF24=""),"",IF(AND(AH24&lt;&gt;"",AH24&lt;0.5),"High-risk",IF(OR(AE24="Yes",AND(AH24&lt;&gt;"",AH24&lt;0.8)),"Caution","Normal")))</f>
        <v/>
      </c>
      <c r="AJ24" s="26" t="str">
        <f aca="false">IF(AI24="","",IF(AI24="Normal",100,IF(AI24="Caution",60,20)))</f>
        <v/>
      </c>
      <c r="AK24" s="25"/>
      <c r="AL24" s="25"/>
      <c r="AM24" s="25"/>
      <c r="AN24" s="25"/>
      <c r="AO24" s="26" t="str">
        <f aca="false">IF(COUNTBLANK(AK24:AN24)=4,"",IF(COUNTIF(AK24:AN24,"Yes")&gt;0,"REFER - TB symptom screen positive","Clear"))</f>
        <v/>
      </c>
      <c r="AP24" s="25"/>
      <c r="AQ24" s="26" t="n">
        <f aca="false">COUNT(J24,L24,O24,S24,W24,AA24,AD24,AJ24)</f>
        <v>0</v>
      </c>
      <c r="AR24" s="26" t="str">
        <f aca="false">IF(AQ24=0,"",((IF(J24&lt;&gt;"",J24*UndernutritionWeight,0)+IF(L24&lt;&gt;"",L24*OverweightWeight,0)+IF(O24&lt;&gt;"",O24*AnaemiaWeight,0)+IF(S24&lt;&gt;"",S24*BPWeight,0)+IF(W24&lt;&gt;"",W24*MetabolicWeight,0)+IF(AA24&lt;&gt;"",AA24*VisionWeight,0)+IF(AD24&lt;&gt;"",AD24*OralWeight,0)+IF(AJ24&lt;&gt;"",AJ24*RespiratoryWeight,0))/(IF(J24&lt;&gt;"",UndernutritionWeight,0)+IF(L24&lt;&gt;"",OverweightWeight,0)+IF(O24&lt;&gt;"",AnaemiaWeight,0)+IF(S24&lt;&gt;"",BPWeight,0)+IF(W24&lt;&gt;"",MetabolicWeight,0)+IF(AA24&lt;&gt;"",VisionWeight,0)+IF(AD24&lt;&gt;"",OralWeight,0)+IF(AJ24&lt;&gt;"",RespiratoryWeight,0))))</f>
        <v/>
      </c>
      <c r="AS24" s="26" t="str">
        <f aca="false">IF(AR24="","Incomplete",IF(AR24&gt;=80,"Green - On Track",IF(AR24&gt;=60,"Amber - Monitor","Red - Refer")))</f>
        <v>Incomplete</v>
      </c>
      <c r="AT24" s="26" t="str">
        <f aca="false">IF(OR(I24="High-risk",K24="High-risk",N24="High-risk",R24="High-risk",V24="High-risk",Z24="High-risk",AC24="High-risk",AI24="High-risk"),"OVERRIDE - Individual referral required","")</f>
        <v/>
      </c>
      <c r="AU24" s="26" t="str">
        <f aca="false">TRIM(AS24&amp;IF(AT24&lt;&gt;""," | "&amp;AT24,"")&amp;IF(AND(AO24&lt;&gt;"",AO24&lt;&gt;"Clear")," | "&amp;AO24,"")&amp;IF(AND(AP24&lt;&gt;"",AP24&lt;&gt;"Clear")," | Mental wellbeing: "&amp;AP24,""))</f>
        <v>Incomplete</v>
      </c>
    </row>
    <row r="25" customFormat="false" ht="15" hidden="false" customHeight="false" outlineLevel="0" collapsed="false">
      <c r="A25" s="25"/>
      <c r="B25" s="25"/>
      <c r="C25" s="25"/>
      <c r="D25" s="25"/>
      <c r="E25" s="25"/>
      <c r="F25" s="25"/>
      <c r="G25" s="25"/>
      <c r="H25" s="26" t="str">
        <f aca="false">IF(AND(F25&lt;&gt;"",G25&lt;&gt;""),G25/((F25/100)^2),"")</f>
        <v/>
      </c>
      <c r="I25" s="25"/>
      <c r="J25" s="26" t="str">
        <f aca="false">IF(I25="","",IF(I25="Normal",100,IF(I25="Caution",60,IF(I25="High-risk",20,""))))</f>
        <v/>
      </c>
      <c r="K25" s="25"/>
      <c r="L25" s="26" t="str">
        <f aca="false">IF(K25="","",IF(K25="Normal",100,IF(K25="Caution",60,IF(K25="High-risk",20,""))))</f>
        <v/>
      </c>
      <c r="M25" s="25"/>
      <c r="N25" s="25"/>
      <c r="O25" s="26" t="str">
        <f aca="false">IF(N25="","",IF(N25="Normal",100,IF(N25="Caution",60,IF(N25="High-risk",20,""))))</f>
        <v/>
      </c>
      <c r="P25" s="25"/>
      <c r="Q25" s="25"/>
      <c r="R25" s="25"/>
      <c r="S25" s="26" t="str">
        <f aca="false">IF(R25="","",IF(R25="Normal",100,IF(R25="Caution",60,IF(R25="High-risk",20,""))))</f>
        <v/>
      </c>
      <c r="T25" s="25"/>
      <c r="U25" s="25"/>
      <c r="V25" s="25"/>
      <c r="W25" s="26" t="str">
        <f aca="false">IF(V25="","",IF(V25="Normal",100,IF(V25="Caution",60,IF(V25="High-risk",20,""))))</f>
        <v/>
      </c>
      <c r="X25" s="25"/>
      <c r="Y25" s="25"/>
      <c r="Z25" s="26" t="str">
        <f aca="false">IF(OR(X25="",Y25=""),"",IF(MIN(X25,Y25)&gt;=0.67,"Normal",IF(MIN(X25,Y25)&gt;=0.5,"Caution","High-risk")))</f>
        <v/>
      </c>
      <c r="AA25" s="26" t="str">
        <f aca="false">IF(Z25="","",IF(Z25="Normal",100,IF(Z25="Caution",60,20)))</f>
        <v/>
      </c>
      <c r="AB25" s="25"/>
      <c r="AC25" s="26" t="str">
        <f aca="false">IF(AB25="","",IF(AB25=0,"Normal",IF(AB25&lt;3,"Caution","High-risk")))</f>
        <v/>
      </c>
      <c r="AD25" s="26" t="str">
        <f aca="false">IF(AC25="","",IF(AC25="Normal",100,IF(AC25="Caution",60,20)))</f>
        <v/>
      </c>
      <c r="AE25" s="25"/>
      <c r="AF25" s="25"/>
      <c r="AG25" s="25"/>
      <c r="AH25" s="26" t="str">
        <f aca="false">IF(OR(AF25="",AG25="",AG25=0),"",AF25/AG25)</f>
        <v/>
      </c>
      <c r="AI25" s="26" t="str">
        <f aca="false">IF(AND(AE25="",AF25=""),"",IF(AND(AH25&lt;&gt;"",AH25&lt;0.5),"High-risk",IF(OR(AE25="Yes",AND(AH25&lt;&gt;"",AH25&lt;0.8)),"Caution","Normal")))</f>
        <v/>
      </c>
      <c r="AJ25" s="26" t="str">
        <f aca="false">IF(AI25="","",IF(AI25="Normal",100,IF(AI25="Caution",60,20)))</f>
        <v/>
      </c>
      <c r="AK25" s="25"/>
      <c r="AL25" s="25"/>
      <c r="AM25" s="25"/>
      <c r="AN25" s="25"/>
      <c r="AO25" s="26" t="str">
        <f aca="false">IF(COUNTBLANK(AK25:AN25)=4,"",IF(COUNTIF(AK25:AN25,"Yes")&gt;0,"REFER - TB symptom screen positive","Clear"))</f>
        <v/>
      </c>
      <c r="AP25" s="25"/>
      <c r="AQ25" s="26" t="n">
        <f aca="false">COUNT(J25,L25,O25,S25,W25,AA25,AD25,AJ25)</f>
        <v>0</v>
      </c>
      <c r="AR25" s="26" t="str">
        <f aca="false">IF(AQ25=0,"",((IF(J25&lt;&gt;"",J25*UndernutritionWeight,0)+IF(L25&lt;&gt;"",L25*OverweightWeight,0)+IF(O25&lt;&gt;"",O25*AnaemiaWeight,0)+IF(S25&lt;&gt;"",S25*BPWeight,0)+IF(W25&lt;&gt;"",W25*MetabolicWeight,0)+IF(AA25&lt;&gt;"",AA25*VisionWeight,0)+IF(AD25&lt;&gt;"",AD25*OralWeight,0)+IF(AJ25&lt;&gt;"",AJ25*RespiratoryWeight,0))/(IF(J25&lt;&gt;"",UndernutritionWeight,0)+IF(L25&lt;&gt;"",OverweightWeight,0)+IF(O25&lt;&gt;"",AnaemiaWeight,0)+IF(S25&lt;&gt;"",BPWeight,0)+IF(W25&lt;&gt;"",MetabolicWeight,0)+IF(AA25&lt;&gt;"",VisionWeight,0)+IF(AD25&lt;&gt;"",OralWeight,0)+IF(AJ25&lt;&gt;"",RespiratoryWeight,0))))</f>
        <v/>
      </c>
      <c r="AS25" s="26" t="str">
        <f aca="false">IF(AR25="","Incomplete",IF(AR25&gt;=80,"Green - On Track",IF(AR25&gt;=60,"Amber - Monitor","Red - Refer")))</f>
        <v>Incomplete</v>
      </c>
      <c r="AT25" s="26" t="str">
        <f aca="false">IF(OR(I25="High-risk",K25="High-risk",N25="High-risk",R25="High-risk",V25="High-risk",Z25="High-risk",AC25="High-risk",AI25="High-risk"),"OVERRIDE - Individual referral required","")</f>
        <v/>
      </c>
      <c r="AU25" s="26" t="str">
        <f aca="false">TRIM(AS25&amp;IF(AT25&lt;&gt;""," | "&amp;AT25,"")&amp;IF(AND(AO25&lt;&gt;"",AO25&lt;&gt;"Clear")," | "&amp;AO25,"")&amp;IF(AND(AP25&lt;&gt;"",AP25&lt;&gt;"Clear")," | Mental wellbeing: "&amp;AP25,""))</f>
        <v>Incomplete</v>
      </c>
    </row>
    <row r="26" customFormat="false" ht="15" hidden="false" customHeight="false" outlineLevel="0" collapsed="false">
      <c r="A26" s="25"/>
      <c r="B26" s="25"/>
      <c r="C26" s="25"/>
      <c r="D26" s="25"/>
      <c r="E26" s="25"/>
      <c r="F26" s="25"/>
      <c r="G26" s="25"/>
      <c r="H26" s="26" t="str">
        <f aca="false">IF(AND(F26&lt;&gt;"",G26&lt;&gt;""),G26/((F26/100)^2),"")</f>
        <v/>
      </c>
      <c r="I26" s="25"/>
      <c r="J26" s="26" t="str">
        <f aca="false">IF(I26="","",IF(I26="Normal",100,IF(I26="Caution",60,IF(I26="High-risk",20,""))))</f>
        <v/>
      </c>
      <c r="K26" s="25"/>
      <c r="L26" s="26" t="str">
        <f aca="false">IF(K26="","",IF(K26="Normal",100,IF(K26="Caution",60,IF(K26="High-risk",20,""))))</f>
        <v/>
      </c>
      <c r="M26" s="25"/>
      <c r="N26" s="25"/>
      <c r="O26" s="26" t="str">
        <f aca="false">IF(N26="","",IF(N26="Normal",100,IF(N26="Caution",60,IF(N26="High-risk",20,""))))</f>
        <v/>
      </c>
      <c r="P26" s="25"/>
      <c r="Q26" s="25"/>
      <c r="R26" s="25"/>
      <c r="S26" s="26" t="str">
        <f aca="false">IF(R26="","",IF(R26="Normal",100,IF(R26="Caution",60,IF(R26="High-risk",20,""))))</f>
        <v/>
      </c>
      <c r="T26" s="25"/>
      <c r="U26" s="25"/>
      <c r="V26" s="25"/>
      <c r="W26" s="26" t="str">
        <f aca="false">IF(V26="","",IF(V26="Normal",100,IF(V26="Caution",60,IF(V26="High-risk",20,""))))</f>
        <v/>
      </c>
      <c r="X26" s="25"/>
      <c r="Y26" s="25"/>
      <c r="Z26" s="26" t="str">
        <f aca="false">IF(OR(X26="",Y26=""),"",IF(MIN(X26,Y26)&gt;=0.67,"Normal",IF(MIN(X26,Y26)&gt;=0.5,"Caution","High-risk")))</f>
        <v/>
      </c>
      <c r="AA26" s="26" t="str">
        <f aca="false">IF(Z26="","",IF(Z26="Normal",100,IF(Z26="Caution",60,20)))</f>
        <v/>
      </c>
      <c r="AB26" s="25"/>
      <c r="AC26" s="26" t="str">
        <f aca="false">IF(AB26="","",IF(AB26=0,"Normal",IF(AB26&lt;3,"Caution","High-risk")))</f>
        <v/>
      </c>
      <c r="AD26" s="26" t="str">
        <f aca="false">IF(AC26="","",IF(AC26="Normal",100,IF(AC26="Caution",60,20)))</f>
        <v/>
      </c>
      <c r="AE26" s="25"/>
      <c r="AF26" s="25"/>
      <c r="AG26" s="25"/>
      <c r="AH26" s="26" t="str">
        <f aca="false">IF(OR(AF26="",AG26="",AG26=0),"",AF26/AG26)</f>
        <v/>
      </c>
      <c r="AI26" s="26" t="str">
        <f aca="false">IF(AND(AE26="",AF26=""),"",IF(AND(AH26&lt;&gt;"",AH26&lt;0.5),"High-risk",IF(OR(AE26="Yes",AND(AH26&lt;&gt;"",AH26&lt;0.8)),"Caution","Normal")))</f>
        <v/>
      </c>
      <c r="AJ26" s="26" t="str">
        <f aca="false">IF(AI26="","",IF(AI26="Normal",100,IF(AI26="Caution",60,20)))</f>
        <v/>
      </c>
      <c r="AK26" s="25"/>
      <c r="AL26" s="25"/>
      <c r="AM26" s="25"/>
      <c r="AN26" s="25"/>
      <c r="AO26" s="26" t="str">
        <f aca="false">IF(COUNTBLANK(AK26:AN26)=4,"",IF(COUNTIF(AK26:AN26,"Yes")&gt;0,"REFER - TB symptom screen positive","Clear"))</f>
        <v/>
      </c>
      <c r="AP26" s="25"/>
      <c r="AQ26" s="26" t="n">
        <f aca="false">COUNT(J26,L26,O26,S26,W26,AA26,AD26,AJ26)</f>
        <v>0</v>
      </c>
      <c r="AR26" s="26" t="str">
        <f aca="false">IF(AQ26=0,"",((IF(J26&lt;&gt;"",J26*UndernutritionWeight,0)+IF(L26&lt;&gt;"",L26*OverweightWeight,0)+IF(O26&lt;&gt;"",O26*AnaemiaWeight,0)+IF(S26&lt;&gt;"",S26*BPWeight,0)+IF(W26&lt;&gt;"",W26*MetabolicWeight,0)+IF(AA26&lt;&gt;"",AA26*VisionWeight,0)+IF(AD26&lt;&gt;"",AD26*OralWeight,0)+IF(AJ26&lt;&gt;"",AJ26*RespiratoryWeight,0))/(IF(J26&lt;&gt;"",UndernutritionWeight,0)+IF(L26&lt;&gt;"",OverweightWeight,0)+IF(O26&lt;&gt;"",AnaemiaWeight,0)+IF(S26&lt;&gt;"",BPWeight,0)+IF(W26&lt;&gt;"",MetabolicWeight,0)+IF(AA26&lt;&gt;"",VisionWeight,0)+IF(AD26&lt;&gt;"",OralWeight,0)+IF(AJ26&lt;&gt;"",RespiratoryWeight,0))))</f>
        <v/>
      </c>
      <c r="AS26" s="26" t="str">
        <f aca="false">IF(AR26="","Incomplete",IF(AR26&gt;=80,"Green - On Track",IF(AR26&gt;=60,"Amber - Monitor","Red - Refer")))</f>
        <v>Incomplete</v>
      </c>
      <c r="AT26" s="26" t="str">
        <f aca="false">IF(OR(I26="High-risk",K26="High-risk",N26="High-risk",R26="High-risk",V26="High-risk",Z26="High-risk",AC26="High-risk",AI26="High-risk"),"OVERRIDE - Individual referral required","")</f>
        <v/>
      </c>
      <c r="AU26" s="26" t="str">
        <f aca="false">TRIM(AS26&amp;IF(AT26&lt;&gt;""," | "&amp;AT26,"")&amp;IF(AND(AO26&lt;&gt;"",AO26&lt;&gt;"Clear")," | "&amp;AO26,"")&amp;IF(AND(AP26&lt;&gt;"",AP26&lt;&gt;"Clear")," | Mental wellbeing: "&amp;AP26,""))</f>
        <v>Incomplete</v>
      </c>
    </row>
    <row r="27" customFormat="false" ht="15" hidden="false" customHeight="false" outlineLevel="0" collapsed="false">
      <c r="A27" s="25"/>
      <c r="B27" s="25"/>
      <c r="C27" s="25"/>
      <c r="D27" s="25"/>
      <c r="E27" s="25"/>
      <c r="F27" s="25"/>
      <c r="G27" s="25"/>
      <c r="H27" s="26" t="str">
        <f aca="false">IF(AND(F27&lt;&gt;"",G27&lt;&gt;""),G27/((F27/100)^2),"")</f>
        <v/>
      </c>
      <c r="I27" s="25"/>
      <c r="J27" s="26" t="str">
        <f aca="false">IF(I27="","",IF(I27="Normal",100,IF(I27="Caution",60,IF(I27="High-risk",20,""))))</f>
        <v/>
      </c>
      <c r="K27" s="25"/>
      <c r="L27" s="26" t="str">
        <f aca="false">IF(K27="","",IF(K27="Normal",100,IF(K27="Caution",60,IF(K27="High-risk",20,""))))</f>
        <v/>
      </c>
      <c r="M27" s="25"/>
      <c r="N27" s="25"/>
      <c r="O27" s="26" t="str">
        <f aca="false">IF(N27="","",IF(N27="Normal",100,IF(N27="Caution",60,IF(N27="High-risk",20,""))))</f>
        <v/>
      </c>
      <c r="P27" s="25"/>
      <c r="Q27" s="25"/>
      <c r="R27" s="25"/>
      <c r="S27" s="26" t="str">
        <f aca="false">IF(R27="","",IF(R27="Normal",100,IF(R27="Caution",60,IF(R27="High-risk",20,""))))</f>
        <v/>
      </c>
      <c r="T27" s="25"/>
      <c r="U27" s="25"/>
      <c r="V27" s="25"/>
      <c r="W27" s="26" t="str">
        <f aca="false">IF(V27="","",IF(V27="Normal",100,IF(V27="Caution",60,IF(V27="High-risk",20,""))))</f>
        <v/>
      </c>
      <c r="X27" s="25"/>
      <c r="Y27" s="25"/>
      <c r="Z27" s="26" t="str">
        <f aca="false">IF(OR(X27="",Y27=""),"",IF(MIN(X27,Y27)&gt;=0.67,"Normal",IF(MIN(X27,Y27)&gt;=0.5,"Caution","High-risk")))</f>
        <v/>
      </c>
      <c r="AA27" s="26" t="str">
        <f aca="false">IF(Z27="","",IF(Z27="Normal",100,IF(Z27="Caution",60,20)))</f>
        <v/>
      </c>
      <c r="AB27" s="25"/>
      <c r="AC27" s="26" t="str">
        <f aca="false">IF(AB27="","",IF(AB27=0,"Normal",IF(AB27&lt;3,"Caution","High-risk")))</f>
        <v/>
      </c>
      <c r="AD27" s="26" t="str">
        <f aca="false">IF(AC27="","",IF(AC27="Normal",100,IF(AC27="Caution",60,20)))</f>
        <v/>
      </c>
      <c r="AE27" s="25"/>
      <c r="AF27" s="25"/>
      <c r="AG27" s="25"/>
      <c r="AH27" s="26" t="str">
        <f aca="false">IF(OR(AF27="",AG27="",AG27=0),"",AF27/AG27)</f>
        <v/>
      </c>
      <c r="AI27" s="26" t="str">
        <f aca="false">IF(AND(AE27="",AF27=""),"",IF(AND(AH27&lt;&gt;"",AH27&lt;0.5),"High-risk",IF(OR(AE27="Yes",AND(AH27&lt;&gt;"",AH27&lt;0.8)),"Caution","Normal")))</f>
        <v/>
      </c>
      <c r="AJ27" s="26" t="str">
        <f aca="false">IF(AI27="","",IF(AI27="Normal",100,IF(AI27="Caution",60,20)))</f>
        <v/>
      </c>
      <c r="AK27" s="25"/>
      <c r="AL27" s="25"/>
      <c r="AM27" s="25"/>
      <c r="AN27" s="25"/>
      <c r="AO27" s="26" t="str">
        <f aca="false">IF(COUNTBLANK(AK27:AN27)=4,"",IF(COUNTIF(AK27:AN27,"Yes")&gt;0,"REFER - TB symptom screen positive","Clear"))</f>
        <v/>
      </c>
      <c r="AP27" s="25"/>
      <c r="AQ27" s="26" t="n">
        <f aca="false">COUNT(J27,L27,O27,S27,W27,AA27,AD27,AJ27)</f>
        <v>0</v>
      </c>
      <c r="AR27" s="26" t="str">
        <f aca="false">IF(AQ27=0,"",((IF(J27&lt;&gt;"",J27*UndernutritionWeight,0)+IF(L27&lt;&gt;"",L27*OverweightWeight,0)+IF(O27&lt;&gt;"",O27*AnaemiaWeight,0)+IF(S27&lt;&gt;"",S27*BPWeight,0)+IF(W27&lt;&gt;"",W27*MetabolicWeight,0)+IF(AA27&lt;&gt;"",AA27*VisionWeight,0)+IF(AD27&lt;&gt;"",AD27*OralWeight,0)+IF(AJ27&lt;&gt;"",AJ27*RespiratoryWeight,0))/(IF(J27&lt;&gt;"",UndernutritionWeight,0)+IF(L27&lt;&gt;"",OverweightWeight,0)+IF(O27&lt;&gt;"",AnaemiaWeight,0)+IF(S27&lt;&gt;"",BPWeight,0)+IF(W27&lt;&gt;"",MetabolicWeight,0)+IF(AA27&lt;&gt;"",VisionWeight,0)+IF(AD27&lt;&gt;"",OralWeight,0)+IF(AJ27&lt;&gt;"",RespiratoryWeight,0))))</f>
        <v/>
      </c>
      <c r="AS27" s="26" t="str">
        <f aca="false">IF(AR27="","Incomplete",IF(AR27&gt;=80,"Green - On Track",IF(AR27&gt;=60,"Amber - Monitor","Red - Refer")))</f>
        <v>Incomplete</v>
      </c>
      <c r="AT27" s="26" t="str">
        <f aca="false">IF(OR(I27="High-risk",K27="High-risk",N27="High-risk",R27="High-risk",V27="High-risk",Z27="High-risk",AC27="High-risk",AI27="High-risk"),"OVERRIDE - Individual referral required","")</f>
        <v/>
      </c>
      <c r="AU27" s="26" t="str">
        <f aca="false">TRIM(AS27&amp;IF(AT27&lt;&gt;""," | "&amp;AT27,"")&amp;IF(AND(AO27&lt;&gt;"",AO27&lt;&gt;"Clear")," | "&amp;AO27,"")&amp;IF(AND(AP27&lt;&gt;"",AP27&lt;&gt;"Clear")," | Mental wellbeing: "&amp;AP27,""))</f>
        <v>Incomplete</v>
      </c>
    </row>
    <row r="28" customFormat="false" ht="15" hidden="false" customHeight="false" outlineLevel="0" collapsed="false">
      <c r="A28" s="25"/>
      <c r="B28" s="25"/>
      <c r="C28" s="25"/>
      <c r="D28" s="25"/>
      <c r="E28" s="25"/>
      <c r="F28" s="25"/>
      <c r="G28" s="25"/>
      <c r="H28" s="26" t="str">
        <f aca="false">IF(AND(F28&lt;&gt;"",G28&lt;&gt;""),G28/((F28/100)^2),"")</f>
        <v/>
      </c>
      <c r="I28" s="25"/>
      <c r="J28" s="26" t="str">
        <f aca="false">IF(I28="","",IF(I28="Normal",100,IF(I28="Caution",60,IF(I28="High-risk",20,""))))</f>
        <v/>
      </c>
      <c r="K28" s="25"/>
      <c r="L28" s="26" t="str">
        <f aca="false">IF(K28="","",IF(K28="Normal",100,IF(K28="Caution",60,IF(K28="High-risk",20,""))))</f>
        <v/>
      </c>
      <c r="M28" s="25"/>
      <c r="N28" s="25"/>
      <c r="O28" s="26" t="str">
        <f aca="false">IF(N28="","",IF(N28="Normal",100,IF(N28="Caution",60,IF(N28="High-risk",20,""))))</f>
        <v/>
      </c>
      <c r="P28" s="25"/>
      <c r="Q28" s="25"/>
      <c r="R28" s="25"/>
      <c r="S28" s="26" t="str">
        <f aca="false">IF(R28="","",IF(R28="Normal",100,IF(R28="Caution",60,IF(R28="High-risk",20,""))))</f>
        <v/>
      </c>
      <c r="T28" s="25"/>
      <c r="U28" s="25"/>
      <c r="V28" s="25"/>
      <c r="W28" s="26" t="str">
        <f aca="false">IF(V28="","",IF(V28="Normal",100,IF(V28="Caution",60,IF(V28="High-risk",20,""))))</f>
        <v/>
      </c>
      <c r="X28" s="25"/>
      <c r="Y28" s="25"/>
      <c r="Z28" s="26" t="str">
        <f aca="false">IF(OR(X28="",Y28=""),"",IF(MIN(X28,Y28)&gt;=0.67,"Normal",IF(MIN(X28,Y28)&gt;=0.5,"Caution","High-risk")))</f>
        <v/>
      </c>
      <c r="AA28" s="26" t="str">
        <f aca="false">IF(Z28="","",IF(Z28="Normal",100,IF(Z28="Caution",60,20)))</f>
        <v/>
      </c>
      <c r="AB28" s="25"/>
      <c r="AC28" s="26" t="str">
        <f aca="false">IF(AB28="","",IF(AB28=0,"Normal",IF(AB28&lt;3,"Caution","High-risk")))</f>
        <v/>
      </c>
      <c r="AD28" s="26" t="str">
        <f aca="false">IF(AC28="","",IF(AC28="Normal",100,IF(AC28="Caution",60,20)))</f>
        <v/>
      </c>
      <c r="AE28" s="25"/>
      <c r="AF28" s="25"/>
      <c r="AG28" s="25"/>
      <c r="AH28" s="26" t="str">
        <f aca="false">IF(OR(AF28="",AG28="",AG28=0),"",AF28/AG28)</f>
        <v/>
      </c>
      <c r="AI28" s="26" t="str">
        <f aca="false">IF(AND(AE28="",AF28=""),"",IF(AND(AH28&lt;&gt;"",AH28&lt;0.5),"High-risk",IF(OR(AE28="Yes",AND(AH28&lt;&gt;"",AH28&lt;0.8)),"Caution","Normal")))</f>
        <v/>
      </c>
      <c r="AJ28" s="26" t="str">
        <f aca="false">IF(AI28="","",IF(AI28="Normal",100,IF(AI28="Caution",60,20)))</f>
        <v/>
      </c>
      <c r="AK28" s="25"/>
      <c r="AL28" s="25"/>
      <c r="AM28" s="25"/>
      <c r="AN28" s="25"/>
      <c r="AO28" s="26" t="str">
        <f aca="false">IF(COUNTBLANK(AK28:AN28)=4,"",IF(COUNTIF(AK28:AN28,"Yes")&gt;0,"REFER - TB symptom screen positive","Clear"))</f>
        <v/>
      </c>
      <c r="AP28" s="25"/>
      <c r="AQ28" s="26" t="n">
        <f aca="false">COUNT(J28,L28,O28,S28,W28,AA28,AD28,AJ28)</f>
        <v>0</v>
      </c>
      <c r="AR28" s="26" t="str">
        <f aca="false">IF(AQ28=0,"",((IF(J28&lt;&gt;"",J28*UndernutritionWeight,0)+IF(L28&lt;&gt;"",L28*OverweightWeight,0)+IF(O28&lt;&gt;"",O28*AnaemiaWeight,0)+IF(S28&lt;&gt;"",S28*BPWeight,0)+IF(W28&lt;&gt;"",W28*MetabolicWeight,0)+IF(AA28&lt;&gt;"",AA28*VisionWeight,0)+IF(AD28&lt;&gt;"",AD28*OralWeight,0)+IF(AJ28&lt;&gt;"",AJ28*RespiratoryWeight,0))/(IF(J28&lt;&gt;"",UndernutritionWeight,0)+IF(L28&lt;&gt;"",OverweightWeight,0)+IF(O28&lt;&gt;"",AnaemiaWeight,0)+IF(S28&lt;&gt;"",BPWeight,0)+IF(W28&lt;&gt;"",MetabolicWeight,0)+IF(AA28&lt;&gt;"",VisionWeight,0)+IF(AD28&lt;&gt;"",OralWeight,0)+IF(AJ28&lt;&gt;"",RespiratoryWeight,0))))</f>
        <v/>
      </c>
      <c r="AS28" s="26" t="str">
        <f aca="false">IF(AR28="","Incomplete",IF(AR28&gt;=80,"Green - On Track",IF(AR28&gt;=60,"Amber - Monitor","Red - Refer")))</f>
        <v>Incomplete</v>
      </c>
      <c r="AT28" s="26" t="str">
        <f aca="false">IF(OR(I28="High-risk",K28="High-risk",N28="High-risk",R28="High-risk",V28="High-risk",Z28="High-risk",AC28="High-risk",AI28="High-risk"),"OVERRIDE - Individual referral required","")</f>
        <v/>
      </c>
      <c r="AU28" s="26" t="str">
        <f aca="false">TRIM(AS28&amp;IF(AT28&lt;&gt;""," | "&amp;AT28,"")&amp;IF(AND(AO28&lt;&gt;"",AO28&lt;&gt;"Clear")," | "&amp;AO28,"")&amp;IF(AND(AP28&lt;&gt;"",AP28&lt;&gt;"Clear")," | Mental wellbeing: "&amp;AP28,""))</f>
        <v>Incomplete</v>
      </c>
    </row>
    <row r="29" customFormat="false" ht="15" hidden="false" customHeight="false" outlineLevel="0" collapsed="false">
      <c r="A29" s="25"/>
      <c r="B29" s="25"/>
      <c r="C29" s="25"/>
      <c r="D29" s="25"/>
      <c r="E29" s="25"/>
      <c r="F29" s="25"/>
      <c r="G29" s="25"/>
      <c r="H29" s="26" t="str">
        <f aca="false">IF(AND(F29&lt;&gt;"",G29&lt;&gt;""),G29/((F29/100)^2),"")</f>
        <v/>
      </c>
      <c r="I29" s="25"/>
      <c r="J29" s="26" t="str">
        <f aca="false">IF(I29="","",IF(I29="Normal",100,IF(I29="Caution",60,IF(I29="High-risk",20,""))))</f>
        <v/>
      </c>
      <c r="K29" s="25"/>
      <c r="L29" s="26" t="str">
        <f aca="false">IF(K29="","",IF(K29="Normal",100,IF(K29="Caution",60,IF(K29="High-risk",20,""))))</f>
        <v/>
      </c>
      <c r="M29" s="25"/>
      <c r="N29" s="25"/>
      <c r="O29" s="26" t="str">
        <f aca="false">IF(N29="","",IF(N29="Normal",100,IF(N29="Caution",60,IF(N29="High-risk",20,""))))</f>
        <v/>
      </c>
      <c r="P29" s="25"/>
      <c r="Q29" s="25"/>
      <c r="R29" s="25"/>
      <c r="S29" s="26" t="str">
        <f aca="false">IF(R29="","",IF(R29="Normal",100,IF(R29="Caution",60,IF(R29="High-risk",20,""))))</f>
        <v/>
      </c>
      <c r="T29" s="25"/>
      <c r="U29" s="25"/>
      <c r="V29" s="25"/>
      <c r="W29" s="26" t="str">
        <f aca="false">IF(V29="","",IF(V29="Normal",100,IF(V29="Caution",60,IF(V29="High-risk",20,""))))</f>
        <v/>
      </c>
      <c r="X29" s="25"/>
      <c r="Y29" s="25"/>
      <c r="Z29" s="26" t="str">
        <f aca="false">IF(OR(X29="",Y29=""),"",IF(MIN(X29,Y29)&gt;=0.67,"Normal",IF(MIN(X29,Y29)&gt;=0.5,"Caution","High-risk")))</f>
        <v/>
      </c>
      <c r="AA29" s="26" t="str">
        <f aca="false">IF(Z29="","",IF(Z29="Normal",100,IF(Z29="Caution",60,20)))</f>
        <v/>
      </c>
      <c r="AB29" s="25"/>
      <c r="AC29" s="26" t="str">
        <f aca="false">IF(AB29="","",IF(AB29=0,"Normal",IF(AB29&lt;3,"Caution","High-risk")))</f>
        <v/>
      </c>
      <c r="AD29" s="26" t="str">
        <f aca="false">IF(AC29="","",IF(AC29="Normal",100,IF(AC29="Caution",60,20)))</f>
        <v/>
      </c>
      <c r="AE29" s="25"/>
      <c r="AF29" s="25"/>
      <c r="AG29" s="25"/>
      <c r="AH29" s="26" t="str">
        <f aca="false">IF(OR(AF29="",AG29="",AG29=0),"",AF29/AG29)</f>
        <v/>
      </c>
      <c r="AI29" s="26" t="str">
        <f aca="false">IF(AND(AE29="",AF29=""),"",IF(AND(AH29&lt;&gt;"",AH29&lt;0.5),"High-risk",IF(OR(AE29="Yes",AND(AH29&lt;&gt;"",AH29&lt;0.8)),"Caution","Normal")))</f>
        <v/>
      </c>
      <c r="AJ29" s="26" t="str">
        <f aca="false">IF(AI29="","",IF(AI29="Normal",100,IF(AI29="Caution",60,20)))</f>
        <v/>
      </c>
      <c r="AK29" s="25"/>
      <c r="AL29" s="25"/>
      <c r="AM29" s="25"/>
      <c r="AN29" s="25"/>
      <c r="AO29" s="26" t="str">
        <f aca="false">IF(COUNTBLANK(AK29:AN29)=4,"",IF(COUNTIF(AK29:AN29,"Yes")&gt;0,"REFER - TB symptom screen positive","Clear"))</f>
        <v/>
      </c>
      <c r="AP29" s="25"/>
      <c r="AQ29" s="26" t="n">
        <f aca="false">COUNT(J29,L29,O29,S29,W29,AA29,AD29,AJ29)</f>
        <v>0</v>
      </c>
      <c r="AR29" s="26" t="str">
        <f aca="false">IF(AQ29=0,"",((IF(J29&lt;&gt;"",J29*UndernutritionWeight,0)+IF(L29&lt;&gt;"",L29*OverweightWeight,0)+IF(O29&lt;&gt;"",O29*AnaemiaWeight,0)+IF(S29&lt;&gt;"",S29*BPWeight,0)+IF(W29&lt;&gt;"",W29*MetabolicWeight,0)+IF(AA29&lt;&gt;"",AA29*VisionWeight,0)+IF(AD29&lt;&gt;"",AD29*OralWeight,0)+IF(AJ29&lt;&gt;"",AJ29*RespiratoryWeight,0))/(IF(J29&lt;&gt;"",UndernutritionWeight,0)+IF(L29&lt;&gt;"",OverweightWeight,0)+IF(O29&lt;&gt;"",AnaemiaWeight,0)+IF(S29&lt;&gt;"",BPWeight,0)+IF(W29&lt;&gt;"",MetabolicWeight,0)+IF(AA29&lt;&gt;"",VisionWeight,0)+IF(AD29&lt;&gt;"",OralWeight,0)+IF(AJ29&lt;&gt;"",RespiratoryWeight,0))))</f>
        <v/>
      </c>
      <c r="AS29" s="26" t="str">
        <f aca="false">IF(AR29="","Incomplete",IF(AR29&gt;=80,"Green - On Track",IF(AR29&gt;=60,"Amber - Monitor","Red - Refer")))</f>
        <v>Incomplete</v>
      </c>
      <c r="AT29" s="26" t="str">
        <f aca="false">IF(OR(I29="High-risk",K29="High-risk",N29="High-risk",R29="High-risk",V29="High-risk",Z29="High-risk",AC29="High-risk",AI29="High-risk"),"OVERRIDE - Individual referral required","")</f>
        <v/>
      </c>
      <c r="AU29" s="26" t="str">
        <f aca="false">TRIM(AS29&amp;IF(AT29&lt;&gt;""," | "&amp;AT29,"")&amp;IF(AND(AO29&lt;&gt;"",AO29&lt;&gt;"Clear")," | "&amp;AO29,"")&amp;IF(AND(AP29&lt;&gt;"",AP29&lt;&gt;"Clear")," | Mental wellbeing: "&amp;AP29,""))</f>
        <v>Incomplete</v>
      </c>
    </row>
    <row r="30" customFormat="false" ht="15" hidden="false" customHeight="false" outlineLevel="0" collapsed="false">
      <c r="A30" s="25"/>
      <c r="B30" s="25"/>
      <c r="C30" s="25"/>
      <c r="D30" s="25"/>
      <c r="E30" s="25"/>
      <c r="F30" s="25"/>
      <c r="G30" s="25"/>
      <c r="H30" s="26" t="str">
        <f aca="false">IF(AND(F30&lt;&gt;"",G30&lt;&gt;""),G30/((F30/100)^2),"")</f>
        <v/>
      </c>
      <c r="I30" s="25"/>
      <c r="J30" s="26" t="str">
        <f aca="false">IF(I30="","",IF(I30="Normal",100,IF(I30="Caution",60,IF(I30="High-risk",20,""))))</f>
        <v/>
      </c>
      <c r="K30" s="25"/>
      <c r="L30" s="26" t="str">
        <f aca="false">IF(K30="","",IF(K30="Normal",100,IF(K30="Caution",60,IF(K30="High-risk",20,""))))</f>
        <v/>
      </c>
      <c r="M30" s="25"/>
      <c r="N30" s="25"/>
      <c r="O30" s="26" t="str">
        <f aca="false">IF(N30="","",IF(N30="Normal",100,IF(N30="Caution",60,IF(N30="High-risk",20,""))))</f>
        <v/>
      </c>
      <c r="P30" s="25"/>
      <c r="Q30" s="25"/>
      <c r="R30" s="25"/>
      <c r="S30" s="26" t="str">
        <f aca="false">IF(R30="","",IF(R30="Normal",100,IF(R30="Caution",60,IF(R30="High-risk",20,""))))</f>
        <v/>
      </c>
      <c r="T30" s="25"/>
      <c r="U30" s="25"/>
      <c r="V30" s="25"/>
      <c r="W30" s="26" t="str">
        <f aca="false">IF(V30="","",IF(V30="Normal",100,IF(V30="Caution",60,IF(V30="High-risk",20,""))))</f>
        <v/>
      </c>
      <c r="X30" s="25"/>
      <c r="Y30" s="25"/>
      <c r="Z30" s="26" t="str">
        <f aca="false">IF(OR(X30="",Y30=""),"",IF(MIN(X30,Y30)&gt;=0.67,"Normal",IF(MIN(X30,Y30)&gt;=0.5,"Caution","High-risk")))</f>
        <v/>
      </c>
      <c r="AA30" s="26" t="str">
        <f aca="false">IF(Z30="","",IF(Z30="Normal",100,IF(Z30="Caution",60,20)))</f>
        <v/>
      </c>
      <c r="AB30" s="25"/>
      <c r="AC30" s="26" t="str">
        <f aca="false">IF(AB30="","",IF(AB30=0,"Normal",IF(AB30&lt;3,"Caution","High-risk")))</f>
        <v/>
      </c>
      <c r="AD30" s="26" t="str">
        <f aca="false">IF(AC30="","",IF(AC30="Normal",100,IF(AC30="Caution",60,20)))</f>
        <v/>
      </c>
      <c r="AE30" s="25"/>
      <c r="AF30" s="25"/>
      <c r="AG30" s="25"/>
      <c r="AH30" s="26" t="str">
        <f aca="false">IF(OR(AF30="",AG30="",AG30=0),"",AF30/AG30)</f>
        <v/>
      </c>
      <c r="AI30" s="26" t="str">
        <f aca="false">IF(AND(AE30="",AF30=""),"",IF(AND(AH30&lt;&gt;"",AH30&lt;0.5),"High-risk",IF(OR(AE30="Yes",AND(AH30&lt;&gt;"",AH30&lt;0.8)),"Caution","Normal")))</f>
        <v/>
      </c>
      <c r="AJ30" s="26" t="str">
        <f aca="false">IF(AI30="","",IF(AI30="Normal",100,IF(AI30="Caution",60,20)))</f>
        <v/>
      </c>
      <c r="AK30" s="25"/>
      <c r="AL30" s="25"/>
      <c r="AM30" s="25"/>
      <c r="AN30" s="25"/>
      <c r="AO30" s="26" t="str">
        <f aca="false">IF(COUNTBLANK(AK30:AN30)=4,"",IF(COUNTIF(AK30:AN30,"Yes")&gt;0,"REFER - TB symptom screen positive","Clear"))</f>
        <v/>
      </c>
      <c r="AP30" s="25"/>
      <c r="AQ30" s="26" t="n">
        <f aca="false">COUNT(J30,L30,O30,S30,W30,AA30,AD30,AJ30)</f>
        <v>0</v>
      </c>
      <c r="AR30" s="26" t="str">
        <f aca="false">IF(AQ30=0,"",((IF(J30&lt;&gt;"",J30*UndernutritionWeight,0)+IF(L30&lt;&gt;"",L30*OverweightWeight,0)+IF(O30&lt;&gt;"",O30*AnaemiaWeight,0)+IF(S30&lt;&gt;"",S30*BPWeight,0)+IF(W30&lt;&gt;"",W30*MetabolicWeight,0)+IF(AA30&lt;&gt;"",AA30*VisionWeight,0)+IF(AD30&lt;&gt;"",AD30*OralWeight,0)+IF(AJ30&lt;&gt;"",AJ30*RespiratoryWeight,0))/(IF(J30&lt;&gt;"",UndernutritionWeight,0)+IF(L30&lt;&gt;"",OverweightWeight,0)+IF(O30&lt;&gt;"",AnaemiaWeight,0)+IF(S30&lt;&gt;"",BPWeight,0)+IF(W30&lt;&gt;"",MetabolicWeight,0)+IF(AA30&lt;&gt;"",VisionWeight,0)+IF(AD30&lt;&gt;"",OralWeight,0)+IF(AJ30&lt;&gt;"",RespiratoryWeight,0))))</f>
        <v/>
      </c>
      <c r="AS30" s="26" t="str">
        <f aca="false">IF(AR30="","Incomplete",IF(AR30&gt;=80,"Green - On Track",IF(AR30&gt;=60,"Amber - Monitor","Red - Refer")))</f>
        <v>Incomplete</v>
      </c>
      <c r="AT30" s="26" t="str">
        <f aca="false">IF(OR(I30="High-risk",K30="High-risk",N30="High-risk",R30="High-risk",V30="High-risk",Z30="High-risk",AC30="High-risk",AI30="High-risk"),"OVERRIDE - Individual referral required","")</f>
        <v/>
      </c>
      <c r="AU30" s="26" t="str">
        <f aca="false">TRIM(AS30&amp;IF(AT30&lt;&gt;""," | "&amp;AT30,"")&amp;IF(AND(AO30&lt;&gt;"",AO30&lt;&gt;"Clear")," | "&amp;AO30,"")&amp;IF(AND(AP30&lt;&gt;"",AP30&lt;&gt;"Clear")," | Mental wellbeing: "&amp;AP30,""))</f>
        <v>Incomplete</v>
      </c>
    </row>
    <row r="31" customFormat="false" ht="15" hidden="false" customHeight="false" outlineLevel="0" collapsed="false">
      <c r="A31" s="25"/>
      <c r="B31" s="25"/>
      <c r="C31" s="25"/>
      <c r="D31" s="25"/>
      <c r="E31" s="25"/>
      <c r="F31" s="25"/>
      <c r="G31" s="25"/>
      <c r="H31" s="26" t="str">
        <f aca="false">IF(AND(F31&lt;&gt;"",G31&lt;&gt;""),G31/((F31/100)^2),"")</f>
        <v/>
      </c>
      <c r="I31" s="25"/>
      <c r="J31" s="26" t="str">
        <f aca="false">IF(I31="","",IF(I31="Normal",100,IF(I31="Caution",60,IF(I31="High-risk",20,""))))</f>
        <v/>
      </c>
      <c r="K31" s="25"/>
      <c r="L31" s="26" t="str">
        <f aca="false">IF(K31="","",IF(K31="Normal",100,IF(K31="Caution",60,IF(K31="High-risk",20,""))))</f>
        <v/>
      </c>
      <c r="M31" s="25"/>
      <c r="N31" s="25"/>
      <c r="O31" s="26" t="str">
        <f aca="false">IF(N31="","",IF(N31="Normal",100,IF(N31="Caution",60,IF(N31="High-risk",20,""))))</f>
        <v/>
      </c>
      <c r="P31" s="25"/>
      <c r="Q31" s="25"/>
      <c r="R31" s="25"/>
      <c r="S31" s="26" t="str">
        <f aca="false">IF(R31="","",IF(R31="Normal",100,IF(R31="Caution",60,IF(R31="High-risk",20,""))))</f>
        <v/>
      </c>
      <c r="T31" s="25"/>
      <c r="U31" s="25"/>
      <c r="V31" s="25"/>
      <c r="W31" s="26" t="str">
        <f aca="false">IF(V31="","",IF(V31="Normal",100,IF(V31="Caution",60,IF(V31="High-risk",20,""))))</f>
        <v/>
      </c>
      <c r="X31" s="25"/>
      <c r="Y31" s="25"/>
      <c r="Z31" s="26" t="str">
        <f aca="false">IF(OR(X31="",Y31=""),"",IF(MIN(X31,Y31)&gt;=0.67,"Normal",IF(MIN(X31,Y31)&gt;=0.5,"Caution","High-risk")))</f>
        <v/>
      </c>
      <c r="AA31" s="26" t="str">
        <f aca="false">IF(Z31="","",IF(Z31="Normal",100,IF(Z31="Caution",60,20)))</f>
        <v/>
      </c>
      <c r="AB31" s="25"/>
      <c r="AC31" s="26" t="str">
        <f aca="false">IF(AB31="","",IF(AB31=0,"Normal",IF(AB31&lt;3,"Caution","High-risk")))</f>
        <v/>
      </c>
      <c r="AD31" s="26" t="str">
        <f aca="false">IF(AC31="","",IF(AC31="Normal",100,IF(AC31="Caution",60,20)))</f>
        <v/>
      </c>
      <c r="AE31" s="25"/>
      <c r="AF31" s="25"/>
      <c r="AG31" s="25"/>
      <c r="AH31" s="26" t="str">
        <f aca="false">IF(OR(AF31="",AG31="",AG31=0),"",AF31/AG31)</f>
        <v/>
      </c>
      <c r="AI31" s="26" t="str">
        <f aca="false">IF(AND(AE31="",AF31=""),"",IF(AND(AH31&lt;&gt;"",AH31&lt;0.5),"High-risk",IF(OR(AE31="Yes",AND(AH31&lt;&gt;"",AH31&lt;0.8)),"Caution","Normal")))</f>
        <v/>
      </c>
      <c r="AJ31" s="26" t="str">
        <f aca="false">IF(AI31="","",IF(AI31="Normal",100,IF(AI31="Caution",60,20)))</f>
        <v/>
      </c>
      <c r="AK31" s="25"/>
      <c r="AL31" s="25"/>
      <c r="AM31" s="25"/>
      <c r="AN31" s="25"/>
      <c r="AO31" s="26" t="str">
        <f aca="false">IF(COUNTBLANK(AK31:AN31)=4,"",IF(COUNTIF(AK31:AN31,"Yes")&gt;0,"REFER - TB symptom screen positive","Clear"))</f>
        <v/>
      </c>
      <c r="AP31" s="25"/>
      <c r="AQ31" s="26" t="n">
        <f aca="false">COUNT(J31,L31,O31,S31,W31,AA31,AD31,AJ31)</f>
        <v>0</v>
      </c>
      <c r="AR31" s="26" t="str">
        <f aca="false">IF(AQ31=0,"",((IF(J31&lt;&gt;"",J31*UndernutritionWeight,0)+IF(L31&lt;&gt;"",L31*OverweightWeight,0)+IF(O31&lt;&gt;"",O31*AnaemiaWeight,0)+IF(S31&lt;&gt;"",S31*BPWeight,0)+IF(W31&lt;&gt;"",W31*MetabolicWeight,0)+IF(AA31&lt;&gt;"",AA31*VisionWeight,0)+IF(AD31&lt;&gt;"",AD31*OralWeight,0)+IF(AJ31&lt;&gt;"",AJ31*RespiratoryWeight,0))/(IF(J31&lt;&gt;"",UndernutritionWeight,0)+IF(L31&lt;&gt;"",OverweightWeight,0)+IF(O31&lt;&gt;"",AnaemiaWeight,0)+IF(S31&lt;&gt;"",BPWeight,0)+IF(W31&lt;&gt;"",MetabolicWeight,0)+IF(AA31&lt;&gt;"",VisionWeight,0)+IF(AD31&lt;&gt;"",OralWeight,0)+IF(AJ31&lt;&gt;"",RespiratoryWeight,0))))</f>
        <v/>
      </c>
      <c r="AS31" s="26" t="str">
        <f aca="false">IF(AR31="","Incomplete",IF(AR31&gt;=80,"Green - On Track",IF(AR31&gt;=60,"Amber - Monitor","Red - Refer")))</f>
        <v>Incomplete</v>
      </c>
      <c r="AT31" s="26" t="str">
        <f aca="false">IF(OR(I31="High-risk",K31="High-risk",N31="High-risk",R31="High-risk",V31="High-risk",Z31="High-risk",AC31="High-risk",AI31="High-risk"),"OVERRIDE - Individual referral required","")</f>
        <v/>
      </c>
      <c r="AU31" s="26" t="str">
        <f aca="false">TRIM(AS31&amp;IF(AT31&lt;&gt;""," | "&amp;AT31,"")&amp;IF(AND(AO31&lt;&gt;"",AO31&lt;&gt;"Clear")," | "&amp;AO31,"")&amp;IF(AND(AP31&lt;&gt;"",AP31&lt;&gt;"Clear")," | Mental wellbeing: "&amp;AP31,""))</f>
        <v>Incomplete</v>
      </c>
    </row>
    <row r="32" customFormat="false" ht="15" hidden="false" customHeight="false" outlineLevel="0" collapsed="false">
      <c r="A32" s="25"/>
      <c r="B32" s="25"/>
      <c r="C32" s="25"/>
      <c r="D32" s="25"/>
      <c r="E32" s="25"/>
      <c r="F32" s="25"/>
      <c r="G32" s="25"/>
      <c r="H32" s="26" t="str">
        <f aca="false">IF(AND(F32&lt;&gt;"",G32&lt;&gt;""),G32/((F32/100)^2),"")</f>
        <v/>
      </c>
      <c r="I32" s="25"/>
      <c r="J32" s="26" t="str">
        <f aca="false">IF(I32="","",IF(I32="Normal",100,IF(I32="Caution",60,IF(I32="High-risk",20,""))))</f>
        <v/>
      </c>
      <c r="K32" s="25"/>
      <c r="L32" s="26" t="str">
        <f aca="false">IF(K32="","",IF(K32="Normal",100,IF(K32="Caution",60,IF(K32="High-risk",20,""))))</f>
        <v/>
      </c>
      <c r="M32" s="25"/>
      <c r="N32" s="25"/>
      <c r="O32" s="26" t="str">
        <f aca="false">IF(N32="","",IF(N32="Normal",100,IF(N32="Caution",60,IF(N32="High-risk",20,""))))</f>
        <v/>
      </c>
      <c r="P32" s="25"/>
      <c r="Q32" s="25"/>
      <c r="R32" s="25"/>
      <c r="S32" s="26" t="str">
        <f aca="false">IF(R32="","",IF(R32="Normal",100,IF(R32="Caution",60,IF(R32="High-risk",20,""))))</f>
        <v/>
      </c>
      <c r="T32" s="25"/>
      <c r="U32" s="25"/>
      <c r="V32" s="25"/>
      <c r="W32" s="26" t="str">
        <f aca="false">IF(V32="","",IF(V32="Normal",100,IF(V32="Caution",60,IF(V32="High-risk",20,""))))</f>
        <v/>
      </c>
      <c r="X32" s="25"/>
      <c r="Y32" s="25"/>
      <c r="Z32" s="26" t="str">
        <f aca="false">IF(OR(X32="",Y32=""),"",IF(MIN(X32,Y32)&gt;=0.67,"Normal",IF(MIN(X32,Y32)&gt;=0.5,"Caution","High-risk")))</f>
        <v/>
      </c>
      <c r="AA32" s="26" t="str">
        <f aca="false">IF(Z32="","",IF(Z32="Normal",100,IF(Z32="Caution",60,20)))</f>
        <v/>
      </c>
      <c r="AB32" s="25"/>
      <c r="AC32" s="26" t="str">
        <f aca="false">IF(AB32="","",IF(AB32=0,"Normal",IF(AB32&lt;3,"Caution","High-risk")))</f>
        <v/>
      </c>
      <c r="AD32" s="26" t="str">
        <f aca="false">IF(AC32="","",IF(AC32="Normal",100,IF(AC32="Caution",60,20)))</f>
        <v/>
      </c>
      <c r="AE32" s="25"/>
      <c r="AF32" s="25"/>
      <c r="AG32" s="25"/>
      <c r="AH32" s="26" t="str">
        <f aca="false">IF(OR(AF32="",AG32="",AG32=0),"",AF32/AG32)</f>
        <v/>
      </c>
      <c r="AI32" s="26" t="str">
        <f aca="false">IF(AND(AE32="",AF32=""),"",IF(AND(AH32&lt;&gt;"",AH32&lt;0.5),"High-risk",IF(OR(AE32="Yes",AND(AH32&lt;&gt;"",AH32&lt;0.8)),"Caution","Normal")))</f>
        <v/>
      </c>
      <c r="AJ32" s="26" t="str">
        <f aca="false">IF(AI32="","",IF(AI32="Normal",100,IF(AI32="Caution",60,20)))</f>
        <v/>
      </c>
      <c r="AK32" s="25"/>
      <c r="AL32" s="25"/>
      <c r="AM32" s="25"/>
      <c r="AN32" s="25"/>
      <c r="AO32" s="26" t="str">
        <f aca="false">IF(COUNTBLANK(AK32:AN32)=4,"",IF(COUNTIF(AK32:AN32,"Yes")&gt;0,"REFER - TB symptom screen positive","Clear"))</f>
        <v/>
      </c>
      <c r="AP32" s="25"/>
      <c r="AQ32" s="26" t="n">
        <f aca="false">COUNT(J32,L32,O32,S32,W32,AA32,AD32,AJ32)</f>
        <v>0</v>
      </c>
      <c r="AR32" s="26" t="str">
        <f aca="false">IF(AQ32=0,"",((IF(J32&lt;&gt;"",J32*UndernutritionWeight,0)+IF(L32&lt;&gt;"",L32*OverweightWeight,0)+IF(O32&lt;&gt;"",O32*AnaemiaWeight,0)+IF(S32&lt;&gt;"",S32*BPWeight,0)+IF(W32&lt;&gt;"",W32*MetabolicWeight,0)+IF(AA32&lt;&gt;"",AA32*VisionWeight,0)+IF(AD32&lt;&gt;"",AD32*OralWeight,0)+IF(AJ32&lt;&gt;"",AJ32*RespiratoryWeight,0))/(IF(J32&lt;&gt;"",UndernutritionWeight,0)+IF(L32&lt;&gt;"",OverweightWeight,0)+IF(O32&lt;&gt;"",AnaemiaWeight,0)+IF(S32&lt;&gt;"",BPWeight,0)+IF(W32&lt;&gt;"",MetabolicWeight,0)+IF(AA32&lt;&gt;"",VisionWeight,0)+IF(AD32&lt;&gt;"",OralWeight,0)+IF(AJ32&lt;&gt;"",RespiratoryWeight,0))))</f>
        <v/>
      </c>
      <c r="AS32" s="26" t="str">
        <f aca="false">IF(AR32="","Incomplete",IF(AR32&gt;=80,"Green - On Track",IF(AR32&gt;=60,"Amber - Monitor","Red - Refer")))</f>
        <v>Incomplete</v>
      </c>
      <c r="AT32" s="26" t="str">
        <f aca="false">IF(OR(I32="High-risk",K32="High-risk",N32="High-risk",R32="High-risk",V32="High-risk",Z32="High-risk",AC32="High-risk",AI32="High-risk"),"OVERRIDE - Individual referral required","")</f>
        <v/>
      </c>
      <c r="AU32" s="26" t="str">
        <f aca="false">TRIM(AS32&amp;IF(AT32&lt;&gt;""," | "&amp;AT32,"")&amp;IF(AND(AO32&lt;&gt;"",AO32&lt;&gt;"Clear")," | "&amp;AO32,"")&amp;IF(AND(AP32&lt;&gt;"",AP32&lt;&gt;"Clear")," | Mental wellbeing: "&amp;AP32,""))</f>
        <v>Incomplete</v>
      </c>
    </row>
    <row r="33" customFormat="false" ht="15" hidden="false" customHeight="false" outlineLevel="0" collapsed="false">
      <c r="A33" s="25"/>
      <c r="B33" s="25"/>
      <c r="C33" s="25"/>
      <c r="D33" s="25"/>
      <c r="E33" s="25"/>
      <c r="F33" s="25"/>
      <c r="G33" s="25"/>
      <c r="H33" s="26" t="str">
        <f aca="false">IF(AND(F33&lt;&gt;"",G33&lt;&gt;""),G33/((F33/100)^2),"")</f>
        <v/>
      </c>
      <c r="I33" s="25"/>
      <c r="J33" s="26" t="str">
        <f aca="false">IF(I33="","",IF(I33="Normal",100,IF(I33="Caution",60,IF(I33="High-risk",20,""))))</f>
        <v/>
      </c>
      <c r="K33" s="25"/>
      <c r="L33" s="26" t="str">
        <f aca="false">IF(K33="","",IF(K33="Normal",100,IF(K33="Caution",60,IF(K33="High-risk",20,""))))</f>
        <v/>
      </c>
      <c r="M33" s="25"/>
      <c r="N33" s="25"/>
      <c r="O33" s="26" t="str">
        <f aca="false">IF(N33="","",IF(N33="Normal",100,IF(N33="Caution",60,IF(N33="High-risk",20,""))))</f>
        <v/>
      </c>
      <c r="P33" s="25"/>
      <c r="Q33" s="25"/>
      <c r="R33" s="25"/>
      <c r="S33" s="26" t="str">
        <f aca="false">IF(R33="","",IF(R33="Normal",100,IF(R33="Caution",60,IF(R33="High-risk",20,""))))</f>
        <v/>
      </c>
      <c r="T33" s="25"/>
      <c r="U33" s="25"/>
      <c r="V33" s="25"/>
      <c r="W33" s="26" t="str">
        <f aca="false">IF(V33="","",IF(V33="Normal",100,IF(V33="Caution",60,IF(V33="High-risk",20,""))))</f>
        <v/>
      </c>
      <c r="X33" s="25"/>
      <c r="Y33" s="25"/>
      <c r="Z33" s="26" t="str">
        <f aca="false">IF(OR(X33="",Y33=""),"",IF(MIN(X33,Y33)&gt;=0.67,"Normal",IF(MIN(X33,Y33)&gt;=0.5,"Caution","High-risk")))</f>
        <v/>
      </c>
      <c r="AA33" s="26" t="str">
        <f aca="false">IF(Z33="","",IF(Z33="Normal",100,IF(Z33="Caution",60,20)))</f>
        <v/>
      </c>
      <c r="AB33" s="25"/>
      <c r="AC33" s="26" t="str">
        <f aca="false">IF(AB33="","",IF(AB33=0,"Normal",IF(AB33&lt;3,"Caution","High-risk")))</f>
        <v/>
      </c>
      <c r="AD33" s="26" t="str">
        <f aca="false">IF(AC33="","",IF(AC33="Normal",100,IF(AC33="Caution",60,20)))</f>
        <v/>
      </c>
      <c r="AE33" s="25"/>
      <c r="AF33" s="25"/>
      <c r="AG33" s="25"/>
      <c r="AH33" s="26" t="str">
        <f aca="false">IF(OR(AF33="",AG33="",AG33=0),"",AF33/AG33)</f>
        <v/>
      </c>
      <c r="AI33" s="26" t="str">
        <f aca="false">IF(AND(AE33="",AF33=""),"",IF(AND(AH33&lt;&gt;"",AH33&lt;0.5),"High-risk",IF(OR(AE33="Yes",AND(AH33&lt;&gt;"",AH33&lt;0.8)),"Caution","Normal")))</f>
        <v/>
      </c>
      <c r="AJ33" s="26" t="str">
        <f aca="false">IF(AI33="","",IF(AI33="Normal",100,IF(AI33="Caution",60,20)))</f>
        <v/>
      </c>
      <c r="AK33" s="25"/>
      <c r="AL33" s="25"/>
      <c r="AM33" s="25"/>
      <c r="AN33" s="25"/>
      <c r="AO33" s="26" t="str">
        <f aca="false">IF(COUNTBLANK(AK33:AN33)=4,"",IF(COUNTIF(AK33:AN33,"Yes")&gt;0,"REFER - TB symptom screen positive","Clear"))</f>
        <v/>
      </c>
      <c r="AP33" s="25"/>
      <c r="AQ33" s="26" t="n">
        <f aca="false">COUNT(J33,L33,O33,S33,W33,AA33,AD33,AJ33)</f>
        <v>0</v>
      </c>
      <c r="AR33" s="26" t="str">
        <f aca="false">IF(AQ33=0,"",((IF(J33&lt;&gt;"",J33*UndernutritionWeight,0)+IF(L33&lt;&gt;"",L33*OverweightWeight,0)+IF(O33&lt;&gt;"",O33*AnaemiaWeight,0)+IF(S33&lt;&gt;"",S33*BPWeight,0)+IF(W33&lt;&gt;"",W33*MetabolicWeight,0)+IF(AA33&lt;&gt;"",AA33*VisionWeight,0)+IF(AD33&lt;&gt;"",AD33*OralWeight,0)+IF(AJ33&lt;&gt;"",AJ33*RespiratoryWeight,0))/(IF(J33&lt;&gt;"",UndernutritionWeight,0)+IF(L33&lt;&gt;"",OverweightWeight,0)+IF(O33&lt;&gt;"",AnaemiaWeight,0)+IF(S33&lt;&gt;"",BPWeight,0)+IF(W33&lt;&gt;"",MetabolicWeight,0)+IF(AA33&lt;&gt;"",VisionWeight,0)+IF(AD33&lt;&gt;"",OralWeight,0)+IF(AJ33&lt;&gt;"",RespiratoryWeight,0))))</f>
        <v/>
      </c>
      <c r="AS33" s="26" t="str">
        <f aca="false">IF(AR33="","Incomplete",IF(AR33&gt;=80,"Green - On Track",IF(AR33&gt;=60,"Amber - Monitor","Red - Refer")))</f>
        <v>Incomplete</v>
      </c>
      <c r="AT33" s="26" t="str">
        <f aca="false">IF(OR(I33="High-risk",K33="High-risk",N33="High-risk",R33="High-risk",V33="High-risk",Z33="High-risk",AC33="High-risk",AI33="High-risk"),"OVERRIDE - Individual referral required","")</f>
        <v/>
      </c>
      <c r="AU33" s="26" t="str">
        <f aca="false">TRIM(AS33&amp;IF(AT33&lt;&gt;""," | "&amp;AT33,"")&amp;IF(AND(AO33&lt;&gt;"",AO33&lt;&gt;"Clear")," | "&amp;AO33,"")&amp;IF(AND(AP33&lt;&gt;"",AP33&lt;&gt;"Clear")," | Mental wellbeing: "&amp;AP33,""))</f>
        <v>Incomplete</v>
      </c>
    </row>
    <row r="34" customFormat="false" ht="15" hidden="false" customHeight="false" outlineLevel="0" collapsed="false">
      <c r="A34" s="25"/>
      <c r="B34" s="25"/>
      <c r="C34" s="25"/>
      <c r="D34" s="25"/>
      <c r="E34" s="25"/>
      <c r="F34" s="25"/>
      <c r="G34" s="25"/>
      <c r="H34" s="26" t="str">
        <f aca="false">IF(AND(F34&lt;&gt;"",G34&lt;&gt;""),G34/((F34/100)^2),"")</f>
        <v/>
      </c>
      <c r="I34" s="25"/>
      <c r="J34" s="26" t="str">
        <f aca="false">IF(I34="","",IF(I34="Normal",100,IF(I34="Caution",60,IF(I34="High-risk",20,""))))</f>
        <v/>
      </c>
      <c r="K34" s="25"/>
      <c r="L34" s="26" t="str">
        <f aca="false">IF(K34="","",IF(K34="Normal",100,IF(K34="Caution",60,IF(K34="High-risk",20,""))))</f>
        <v/>
      </c>
      <c r="M34" s="25"/>
      <c r="N34" s="25"/>
      <c r="O34" s="26" t="str">
        <f aca="false">IF(N34="","",IF(N34="Normal",100,IF(N34="Caution",60,IF(N34="High-risk",20,""))))</f>
        <v/>
      </c>
      <c r="P34" s="25"/>
      <c r="Q34" s="25"/>
      <c r="R34" s="25"/>
      <c r="S34" s="26" t="str">
        <f aca="false">IF(R34="","",IF(R34="Normal",100,IF(R34="Caution",60,IF(R34="High-risk",20,""))))</f>
        <v/>
      </c>
      <c r="T34" s="25"/>
      <c r="U34" s="25"/>
      <c r="V34" s="25"/>
      <c r="W34" s="26" t="str">
        <f aca="false">IF(V34="","",IF(V34="Normal",100,IF(V34="Caution",60,IF(V34="High-risk",20,""))))</f>
        <v/>
      </c>
      <c r="X34" s="25"/>
      <c r="Y34" s="25"/>
      <c r="Z34" s="26" t="str">
        <f aca="false">IF(OR(X34="",Y34=""),"",IF(MIN(X34,Y34)&gt;=0.67,"Normal",IF(MIN(X34,Y34)&gt;=0.5,"Caution","High-risk")))</f>
        <v/>
      </c>
      <c r="AA34" s="26" t="str">
        <f aca="false">IF(Z34="","",IF(Z34="Normal",100,IF(Z34="Caution",60,20)))</f>
        <v/>
      </c>
      <c r="AB34" s="25"/>
      <c r="AC34" s="26" t="str">
        <f aca="false">IF(AB34="","",IF(AB34=0,"Normal",IF(AB34&lt;3,"Caution","High-risk")))</f>
        <v/>
      </c>
      <c r="AD34" s="26" t="str">
        <f aca="false">IF(AC34="","",IF(AC34="Normal",100,IF(AC34="Caution",60,20)))</f>
        <v/>
      </c>
      <c r="AE34" s="25"/>
      <c r="AF34" s="25"/>
      <c r="AG34" s="25"/>
      <c r="AH34" s="26" t="str">
        <f aca="false">IF(OR(AF34="",AG34="",AG34=0),"",AF34/AG34)</f>
        <v/>
      </c>
      <c r="AI34" s="26" t="str">
        <f aca="false">IF(AND(AE34="",AF34=""),"",IF(AND(AH34&lt;&gt;"",AH34&lt;0.5),"High-risk",IF(OR(AE34="Yes",AND(AH34&lt;&gt;"",AH34&lt;0.8)),"Caution","Normal")))</f>
        <v/>
      </c>
      <c r="AJ34" s="26" t="str">
        <f aca="false">IF(AI34="","",IF(AI34="Normal",100,IF(AI34="Caution",60,20)))</f>
        <v/>
      </c>
      <c r="AK34" s="25"/>
      <c r="AL34" s="25"/>
      <c r="AM34" s="25"/>
      <c r="AN34" s="25"/>
      <c r="AO34" s="26" t="str">
        <f aca="false">IF(COUNTBLANK(AK34:AN34)=4,"",IF(COUNTIF(AK34:AN34,"Yes")&gt;0,"REFER - TB symptom screen positive","Clear"))</f>
        <v/>
      </c>
      <c r="AP34" s="25"/>
      <c r="AQ34" s="26" t="n">
        <f aca="false">COUNT(J34,L34,O34,S34,W34,AA34,AD34,AJ34)</f>
        <v>0</v>
      </c>
      <c r="AR34" s="26" t="str">
        <f aca="false">IF(AQ34=0,"",((IF(J34&lt;&gt;"",J34*UndernutritionWeight,0)+IF(L34&lt;&gt;"",L34*OverweightWeight,0)+IF(O34&lt;&gt;"",O34*AnaemiaWeight,0)+IF(S34&lt;&gt;"",S34*BPWeight,0)+IF(W34&lt;&gt;"",W34*MetabolicWeight,0)+IF(AA34&lt;&gt;"",AA34*VisionWeight,0)+IF(AD34&lt;&gt;"",AD34*OralWeight,0)+IF(AJ34&lt;&gt;"",AJ34*RespiratoryWeight,0))/(IF(J34&lt;&gt;"",UndernutritionWeight,0)+IF(L34&lt;&gt;"",OverweightWeight,0)+IF(O34&lt;&gt;"",AnaemiaWeight,0)+IF(S34&lt;&gt;"",BPWeight,0)+IF(W34&lt;&gt;"",MetabolicWeight,0)+IF(AA34&lt;&gt;"",VisionWeight,0)+IF(AD34&lt;&gt;"",OralWeight,0)+IF(AJ34&lt;&gt;"",RespiratoryWeight,0))))</f>
        <v/>
      </c>
      <c r="AS34" s="26" t="str">
        <f aca="false">IF(AR34="","Incomplete",IF(AR34&gt;=80,"Green - On Track",IF(AR34&gt;=60,"Amber - Monitor","Red - Refer")))</f>
        <v>Incomplete</v>
      </c>
      <c r="AT34" s="26" t="str">
        <f aca="false">IF(OR(I34="High-risk",K34="High-risk",N34="High-risk",R34="High-risk",V34="High-risk",Z34="High-risk",AC34="High-risk",AI34="High-risk"),"OVERRIDE - Individual referral required","")</f>
        <v/>
      </c>
      <c r="AU34" s="26" t="str">
        <f aca="false">TRIM(AS34&amp;IF(AT34&lt;&gt;""," | "&amp;AT34,"")&amp;IF(AND(AO34&lt;&gt;"",AO34&lt;&gt;"Clear")," | "&amp;AO34,"")&amp;IF(AND(AP34&lt;&gt;"",AP34&lt;&gt;"Clear")," | Mental wellbeing: "&amp;AP34,""))</f>
        <v>Incomplete</v>
      </c>
    </row>
    <row r="35" customFormat="false" ht="15" hidden="false" customHeight="false" outlineLevel="0" collapsed="false">
      <c r="A35" s="25"/>
      <c r="B35" s="25"/>
      <c r="C35" s="25"/>
      <c r="D35" s="25"/>
      <c r="E35" s="25"/>
      <c r="F35" s="25"/>
      <c r="G35" s="25"/>
      <c r="H35" s="26" t="str">
        <f aca="false">IF(AND(F35&lt;&gt;"",G35&lt;&gt;""),G35/((F35/100)^2),"")</f>
        <v/>
      </c>
      <c r="I35" s="25"/>
      <c r="J35" s="26" t="str">
        <f aca="false">IF(I35="","",IF(I35="Normal",100,IF(I35="Caution",60,IF(I35="High-risk",20,""))))</f>
        <v/>
      </c>
      <c r="K35" s="25"/>
      <c r="L35" s="26" t="str">
        <f aca="false">IF(K35="","",IF(K35="Normal",100,IF(K35="Caution",60,IF(K35="High-risk",20,""))))</f>
        <v/>
      </c>
      <c r="M35" s="25"/>
      <c r="N35" s="25"/>
      <c r="O35" s="26" t="str">
        <f aca="false">IF(N35="","",IF(N35="Normal",100,IF(N35="Caution",60,IF(N35="High-risk",20,""))))</f>
        <v/>
      </c>
      <c r="P35" s="25"/>
      <c r="Q35" s="25"/>
      <c r="R35" s="25"/>
      <c r="S35" s="26" t="str">
        <f aca="false">IF(R35="","",IF(R35="Normal",100,IF(R35="Caution",60,IF(R35="High-risk",20,""))))</f>
        <v/>
      </c>
      <c r="T35" s="25"/>
      <c r="U35" s="25"/>
      <c r="V35" s="25"/>
      <c r="W35" s="26" t="str">
        <f aca="false">IF(V35="","",IF(V35="Normal",100,IF(V35="Caution",60,IF(V35="High-risk",20,""))))</f>
        <v/>
      </c>
      <c r="X35" s="25"/>
      <c r="Y35" s="25"/>
      <c r="Z35" s="26" t="str">
        <f aca="false">IF(OR(X35="",Y35=""),"",IF(MIN(X35,Y35)&gt;=0.67,"Normal",IF(MIN(X35,Y35)&gt;=0.5,"Caution","High-risk")))</f>
        <v/>
      </c>
      <c r="AA35" s="26" t="str">
        <f aca="false">IF(Z35="","",IF(Z35="Normal",100,IF(Z35="Caution",60,20)))</f>
        <v/>
      </c>
      <c r="AB35" s="25"/>
      <c r="AC35" s="26" t="str">
        <f aca="false">IF(AB35="","",IF(AB35=0,"Normal",IF(AB35&lt;3,"Caution","High-risk")))</f>
        <v/>
      </c>
      <c r="AD35" s="26" t="str">
        <f aca="false">IF(AC35="","",IF(AC35="Normal",100,IF(AC35="Caution",60,20)))</f>
        <v/>
      </c>
      <c r="AE35" s="25"/>
      <c r="AF35" s="25"/>
      <c r="AG35" s="25"/>
      <c r="AH35" s="26" t="str">
        <f aca="false">IF(OR(AF35="",AG35="",AG35=0),"",AF35/AG35)</f>
        <v/>
      </c>
      <c r="AI35" s="26" t="str">
        <f aca="false">IF(AND(AE35="",AF35=""),"",IF(AND(AH35&lt;&gt;"",AH35&lt;0.5),"High-risk",IF(OR(AE35="Yes",AND(AH35&lt;&gt;"",AH35&lt;0.8)),"Caution","Normal")))</f>
        <v/>
      </c>
      <c r="AJ35" s="26" t="str">
        <f aca="false">IF(AI35="","",IF(AI35="Normal",100,IF(AI35="Caution",60,20)))</f>
        <v/>
      </c>
      <c r="AK35" s="25"/>
      <c r="AL35" s="25"/>
      <c r="AM35" s="25"/>
      <c r="AN35" s="25"/>
      <c r="AO35" s="26" t="str">
        <f aca="false">IF(COUNTBLANK(AK35:AN35)=4,"",IF(COUNTIF(AK35:AN35,"Yes")&gt;0,"REFER - TB symptom screen positive","Clear"))</f>
        <v/>
      </c>
      <c r="AP35" s="25"/>
      <c r="AQ35" s="26" t="n">
        <f aca="false">COUNT(J35,L35,O35,S35,W35,AA35,AD35,AJ35)</f>
        <v>0</v>
      </c>
      <c r="AR35" s="26" t="str">
        <f aca="false">IF(AQ35=0,"",((IF(J35&lt;&gt;"",J35*UndernutritionWeight,0)+IF(L35&lt;&gt;"",L35*OverweightWeight,0)+IF(O35&lt;&gt;"",O35*AnaemiaWeight,0)+IF(S35&lt;&gt;"",S35*BPWeight,0)+IF(W35&lt;&gt;"",W35*MetabolicWeight,0)+IF(AA35&lt;&gt;"",AA35*VisionWeight,0)+IF(AD35&lt;&gt;"",AD35*OralWeight,0)+IF(AJ35&lt;&gt;"",AJ35*RespiratoryWeight,0))/(IF(J35&lt;&gt;"",UndernutritionWeight,0)+IF(L35&lt;&gt;"",OverweightWeight,0)+IF(O35&lt;&gt;"",AnaemiaWeight,0)+IF(S35&lt;&gt;"",BPWeight,0)+IF(W35&lt;&gt;"",MetabolicWeight,0)+IF(AA35&lt;&gt;"",VisionWeight,0)+IF(AD35&lt;&gt;"",OralWeight,0)+IF(AJ35&lt;&gt;"",RespiratoryWeight,0))))</f>
        <v/>
      </c>
      <c r="AS35" s="26" t="str">
        <f aca="false">IF(AR35="","Incomplete",IF(AR35&gt;=80,"Green - On Track",IF(AR35&gt;=60,"Amber - Monitor","Red - Refer")))</f>
        <v>Incomplete</v>
      </c>
      <c r="AT35" s="26" t="str">
        <f aca="false">IF(OR(I35="High-risk",K35="High-risk",N35="High-risk",R35="High-risk",V35="High-risk",Z35="High-risk",AC35="High-risk",AI35="High-risk"),"OVERRIDE - Individual referral required","")</f>
        <v/>
      </c>
      <c r="AU35" s="26" t="str">
        <f aca="false">TRIM(AS35&amp;IF(AT35&lt;&gt;""," | "&amp;AT35,"")&amp;IF(AND(AO35&lt;&gt;"",AO35&lt;&gt;"Clear")," | "&amp;AO35,"")&amp;IF(AND(AP35&lt;&gt;"",AP35&lt;&gt;"Clear")," | Mental wellbeing: "&amp;AP35,""))</f>
        <v>Incomplete</v>
      </c>
    </row>
    <row r="36" customFormat="false" ht="15" hidden="false" customHeight="false" outlineLevel="0" collapsed="false">
      <c r="A36" s="25"/>
      <c r="B36" s="25"/>
      <c r="C36" s="25"/>
      <c r="D36" s="25"/>
      <c r="E36" s="25"/>
      <c r="F36" s="25"/>
      <c r="G36" s="25"/>
      <c r="H36" s="26" t="str">
        <f aca="false">IF(AND(F36&lt;&gt;"",G36&lt;&gt;""),G36/((F36/100)^2),"")</f>
        <v/>
      </c>
      <c r="I36" s="25"/>
      <c r="J36" s="26" t="str">
        <f aca="false">IF(I36="","",IF(I36="Normal",100,IF(I36="Caution",60,IF(I36="High-risk",20,""))))</f>
        <v/>
      </c>
      <c r="K36" s="25"/>
      <c r="L36" s="26" t="str">
        <f aca="false">IF(K36="","",IF(K36="Normal",100,IF(K36="Caution",60,IF(K36="High-risk",20,""))))</f>
        <v/>
      </c>
      <c r="M36" s="25"/>
      <c r="N36" s="25"/>
      <c r="O36" s="26" t="str">
        <f aca="false">IF(N36="","",IF(N36="Normal",100,IF(N36="Caution",60,IF(N36="High-risk",20,""))))</f>
        <v/>
      </c>
      <c r="P36" s="25"/>
      <c r="Q36" s="25"/>
      <c r="R36" s="25"/>
      <c r="S36" s="26" t="str">
        <f aca="false">IF(R36="","",IF(R36="Normal",100,IF(R36="Caution",60,IF(R36="High-risk",20,""))))</f>
        <v/>
      </c>
      <c r="T36" s="25"/>
      <c r="U36" s="25"/>
      <c r="V36" s="25"/>
      <c r="W36" s="26" t="str">
        <f aca="false">IF(V36="","",IF(V36="Normal",100,IF(V36="Caution",60,IF(V36="High-risk",20,""))))</f>
        <v/>
      </c>
      <c r="X36" s="25"/>
      <c r="Y36" s="25"/>
      <c r="Z36" s="26" t="str">
        <f aca="false">IF(OR(X36="",Y36=""),"",IF(MIN(X36,Y36)&gt;=0.67,"Normal",IF(MIN(X36,Y36)&gt;=0.5,"Caution","High-risk")))</f>
        <v/>
      </c>
      <c r="AA36" s="26" t="str">
        <f aca="false">IF(Z36="","",IF(Z36="Normal",100,IF(Z36="Caution",60,20)))</f>
        <v/>
      </c>
      <c r="AB36" s="25"/>
      <c r="AC36" s="26" t="str">
        <f aca="false">IF(AB36="","",IF(AB36=0,"Normal",IF(AB36&lt;3,"Caution","High-risk")))</f>
        <v/>
      </c>
      <c r="AD36" s="26" t="str">
        <f aca="false">IF(AC36="","",IF(AC36="Normal",100,IF(AC36="Caution",60,20)))</f>
        <v/>
      </c>
      <c r="AE36" s="25"/>
      <c r="AF36" s="25"/>
      <c r="AG36" s="25"/>
      <c r="AH36" s="26" t="str">
        <f aca="false">IF(OR(AF36="",AG36="",AG36=0),"",AF36/AG36)</f>
        <v/>
      </c>
      <c r="AI36" s="26" t="str">
        <f aca="false">IF(AND(AE36="",AF36=""),"",IF(AND(AH36&lt;&gt;"",AH36&lt;0.5),"High-risk",IF(OR(AE36="Yes",AND(AH36&lt;&gt;"",AH36&lt;0.8)),"Caution","Normal")))</f>
        <v/>
      </c>
      <c r="AJ36" s="26" t="str">
        <f aca="false">IF(AI36="","",IF(AI36="Normal",100,IF(AI36="Caution",60,20)))</f>
        <v/>
      </c>
      <c r="AK36" s="25"/>
      <c r="AL36" s="25"/>
      <c r="AM36" s="25"/>
      <c r="AN36" s="25"/>
      <c r="AO36" s="26" t="str">
        <f aca="false">IF(COUNTBLANK(AK36:AN36)=4,"",IF(COUNTIF(AK36:AN36,"Yes")&gt;0,"REFER - TB symptom screen positive","Clear"))</f>
        <v/>
      </c>
      <c r="AP36" s="25"/>
      <c r="AQ36" s="26" t="n">
        <f aca="false">COUNT(J36,L36,O36,S36,W36,AA36,AD36,AJ36)</f>
        <v>0</v>
      </c>
      <c r="AR36" s="26" t="str">
        <f aca="false">IF(AQ36=0,"",((IF(J36&lt;&gt;"",J36*UndernutritionWeight,0)+IF(L36&lt;&gt;"",L36*OverweightWeight,0)+IF(O36&lt;&gt;"",O36*AnaemiaWeight,0)+IF(S36&lt;&gt;"",S36*BPWeight,0)+IF(W36&lt;&gt;"",W36*MetabolicWeight,0)+IF(AA36&lt;&gt;"",AA36*VisionWeight,0)+IF(AD36&lt;&gt;"",AD36*OralWeight,0)+IF(AJ36&lt;&gt;"",AJ36*RespiratoryWeight,0))/(IF(J36&lt;&gt;"",UndernutritionWeight,0)+IF(L36&lt;&gt;"",OverweightWeight,0)+IF(O36&lt;&gt;"",AnaemiaWeight,0)+IF(S36&lt;&gt;"",BPWeight,0)+IF(W36&lt;&gt;"",MetabolicWeight,0)+IF(AA36&lt;&gt;"",VisionWeight,0)+IF(AD36&lt;&gt;"",OralWeight,0)+IF(AJ36&lt;&gt;"",RespiratoryWeight,0))))</f>
        <v/>
      </c>
      <c r="AS36" s="26" t="str">
        <f aca="false">IF(AR36="","Incomplete",IF(AR36&gt;=80,"Green - On Track",IF(AR36&gt;=60,"Amber - Monitor","Red - Refer")))</f>
        <v>Incomplete</v>
      </c>
      <c r="AT36" s="26" t="str">
        <f aca="false">IF(OR(I36="High-risk",K36="High-risk",N36="High-risk",R36="High-risk",V36="High-risk",Z36="High-risk",AC36="High-risk",AI36="High-risk"),"OVERRIDE - Individual referral required","")</f>
        <v/>
      </c>
      <c r="AU36" s="26" t="str">
        <f aca="false">TRIM(AS36&amp;IF(AT36&lt;&gt;""," | "&amp;AT36,"")&amp;IF(AND(AO36&lt;&gt;"",AO36&lt;&gt;"Clear")," | "&amp;AO36,"")&amp;IF(AND(AP36&lt;&gt;"",AP36&lt;&gt;"Clear")," | Mental wellbeing: "&amp;AP36,""))</f>
        <v>Incomplete</v>
      </c>
    </row>
    <row r="37" customFormat="false" ht="15" hidden="false" customHeight="false" outlineLevel="0" collapsed="false">
      <c r="A37" s="25"/>
      <c r="B37" s="25"/>
      <c r="C37" s="25"/>
      <c r="D37" s="25"/>
      <c r="E37" s="25"/>
      <c r="F37" s="25"/>
      <c r="G37" s="25"/>
      <c r="H37" s="26" t="str">
        <f aca="false">IF(AND(F37&lt;&gt;"",G37&lt;&gt;""),G37/((F37/100)^2),"")</f>
        <v/>
      </c>
      <c r="I37" s="25"/>
      <c r="J37" s="26" t="str">
        <f aca="false">IF(I37="","",IF(I37="Normal",100,IF(I37="Caution",60,IF(I37="High-risk",20,""))))</f>
        <v/>
      </c>
      <c r="K37" s="25"/>
      <c r="L37" s="26" t="str">
        <f aca="false">IF(K37="","",IF(K37="Normal",100,IF(K37="Caution",60,IF(K37="High-risk",20,""))))</f>
        <v/>
      </c>
      <c r="M37" s="25"/>
      <c r="N37" s="25"/>
      <c r="O37" s="26" t="str">
        <f aca="false">IF(N37="","",IF(N37="Normal",100,IF(N37="Caution",60,IF(N37="High-risk",20,""))))</f>
        <v/>
      </c>
      <c r="P37" s="25"/>
      <c r="Q37" s="25"/>
      <c r="R37" s="25"/>
      <c r="S37" s="26" t="str">
        <f aca="false">IF(R37="","",IF(R37="Normal",100,IF(R37="Caution",60,IF(R37="High-risk",20,""))))</f>
        <v/>
      </c>
      <c r="T37" s="25"/>
      <c r="U37" s="25"/>
      <c r="V37" s="25"/>
      <c r="W37" s="26" t="str">
        <f aca="false">IF(V37="","",IF(V37="Normal",100,IF(V37="Caution",60,IF(V37="High-risk",20,""))))</f>
        <v/>
      </c>
      <c r="X37" s="25"/>
      <c r="Y37" s="25"/>
      <c r="Z37" s="26" t="str">
        <f aca="false">IF(OR(X37="",Y37=""),"",IF(MIN(X37,Y37)&gt;=0.67,"Normal",IF(MIN(X37,Y37)&gt;=0.5,"Caution","High-risk")))</f>
        <v/>
      </c>
      <c r="AA37" s="26" t="str">
        <f aca="false">IF(Z37="","",IF(Z37="Normal",100,IF(Z37="Caution",60,20)))</f>
        <v/>
      </c>
      <c r="AB37" s="25"/>
      <c r="AC37" s="26" t="str">
        <f aca="false">IF(AB37="","",IF(AB37=0,"Normal",IF(AB37&lt;3,"Caution","High-risk")))</f>
        <v/>
      </c>
      <c r="AD37" s="26" t="str">
        <f aca="false">IF(AC37="","",IF(AC37="Normal",100,IF(AC37="Caution",60,20)))</f>
        <v/>
      </c>
      <c r="AE37" s="25"/>
      <c r="AF37" s="25"/>
      <c r="AG37" s="25"/>
      <c r="AH37" s="26" t="str">
        <f aca="false">IF(OR(AF37="",AG37="",AG37=0),"",AF37/AG37)</f>
        <v/>
      </c>
      <c r="AI37" s="26" t="str">
        <f aca="false">IF(AND(AE37="",AF37=""),"",IF(AND(AH37&lt;&gt;"",AH37&lt;0.5),"High-risk",IF(OR(AE37="Yes",AND(AH37&lt;&gt;"",AH37&lt;0.8)),"Caution","Normal")))</f>
        <v/>
      </c>
      <c r="AJ37" s="26" t="str">
        <f aca="false">IF(AI37="","",IF(AI37="Normal",100,IF(AI37="Caution",60,20)))</f>
        <v/>
      </c>
      <c r="AK37" s="25"/>
      <c r="AL37" s="25"/>
      <c r="AM37" s="25"/>
      <c r="AN37" s="25"/>
      <c r="AO37" s="26" t="str">
        <f aca="false">IF(COUNTBLANK(AK37:AN37)=4,"",IF(COUNTIF(AK37:AN37,"Yes")&gt;0,"REFER - TB symptom screen positive","Clear"))</f>
        <v/>
      </c>
      <c r="AP37" s="25"/>
      <c r="AQ37" s="26" t="n">
        <f aca="false">COUNT(J37,L37,O37,S37,W37,AA37,AD37,AJ37)</f>
        <v>0</v>
      </c>
      <c r="AR37" s="26" t="str">
        <f aca="false">IF(AQ37=0,"",((IF(J37&lt;&gt;"",J37*UndernutritionWeight,0)+IF(L37&lt;&gt;"",L37*OverweightWeight,0)+IF(O37&lt;&gt;"",O37*AnaemiaWeight,0)+IF(S37&lt;&gt;"",S37*BPWeight,0)+IF(W37&lt;&gt;"",W37*MetabolicWeight,0)+IF(AA37&lt;&gt;"",AA37*VisionWeight,0)+IF(AD37&lt;&gt;"",AD37*OralWeight,0)+IF(AJ37&lt;&gt;"",AJ37*RespiratoryWeight,0))/(IF(J37&lt;&gt;"",UndernutritionWeight,0)+IF(L37&lt;&gt;"",OverweightWeight,0)+IF(O37&lt;&gt;"",AnaemiaWeight,0)+IF(S37&lt;&gt;"",BPWeight,0)+IF(W37&lt;&gt;"",MetabolicWeight,0)+IF(AA37&lt;&gt;"",VisionWeight,0)+IF(AD37&lt;&gt;"",OralWeight,0)+IF(AJ37&lt;&gt;"",RespiratoryWeight,0))))</f>
        <v/>
      </c>
      <c r="AS37" s="26" t="str">
        <f aca="false">IF(AR37="","Incomplete",IF(AR37&gt;=80,"Green - On Track",IF(AR37&gt;=60,"Amber - Monitor","Red - Refer")))</f>
        <v>Incomplete</v>
      </c>
      <c r="AT37" s="26" t="str">
        <f aca="false">IF(OR(I37="High-risk",K37="High-risk",N37="High-risk",R37="High-risk",V37="High-risk",Z37="High-risk",AC37="High-risk",AI37="High-risk"),"OVERRIDE - Individual referral required","")</f>
        <v/>
      </c>
      <c r="AU37" s="26" t="str">
        <f aca="false">TRIM(AS37&amp;IF(AT37&lt;&gt;""," | "&amp;AT37,"")&amp;IF(AND(AO37&lt;&gt;"",AO37&lt;&gt;"Clear")," | "&amp;AO37,"")&amp;IF(AND(AP37&lt;&gt;"",AP37&lt;&gt;"Clear")," | Mental wellbeing: "&amp;AP37,""))</f>
        <v>Incomplete</v>
      </c>
    </row>
    <row r="38" customFormat="false" ht="15" hidden="false" customHeight="false" outlineLevel="0" collapsed="false">
      <c r="A38" s="25"/>
      <c r="B38" s="25"/>
      <c r="C38" s="25"/>
      <c r="D38" s="25"/>
      <c r="E38" s="25"/>
      <c r="F38" s="25"/>
      <c r="G38" s="25"/>
      <c r="H38" s="26" t="str">
        <f aca="false">IF(AND(F38&lt;&gt;"",G38&lt;&gt;""),G38/((F38/100)^2),"")</f>
        <v/>
      </c>
      <c r="I38" s="25"/>
      <c r="J38" s="26" t="str">
        <f aca="false">IF(I38="","",IF(I38="Normal",100,IF(I38="Caution",60,IF(I38="High-risk",20,""))))</f>
        <v/>
      </c>
      <c r="K38" s="25"/>
      <c r="L38" s="26" t="str">
        <f aca="false">IF(K38="","",IF(K38="Normal",100,IF(K38="Caution",60,IF(K38="High-risk",20,""))))</f>
        <v/>
      </c>
      <c r="M38" s="25"/>
      <c r="N38" s="25"/>
      <c r="O38" s="26" t="str">
        <f aca="false">IF(N38="","",IF(N38="Normal",100,IF(N38="Caution",60,IF(N38="High-risk",20,""))))</f>
        <v/>
      </c>
      <c r="P38" s="25"/>
      <c r="Q38" s="25"/>
      <c r="R38" s="25"/>
      <c r="S38" s="26" t="str">
        <f aca="false">IF(R38="","",IF(R38="Normal",100,IF(R38="Caution",60,IF(R38="High-risk",20,""))))</f>
        <v/>
      </c>
      <c r="T38" s="25"/>
      <c r="U38" s="25"/>
      <c r="V38" s="25"/>
      <c r="W38" s="26" t="str">
        <f aca="false">IF(V38="","",IF(V38="Normal",100,IF(V38="Caution",60,IF(V38="High-risk",20,""))))</f>
        <v/>
      </c>
      <c r="X38" s="25"/>
      <c r="Y38" s="25"/>
      <c r="Z38" s="26" t="str">
        <f aca="false">IF(OR(X38="",Y38=""),"",IF(MIN(X38,Y38)&gt;=0.67,"Normal",IF(MIN(X38,Y38)&gt;=0.5,"Caution","High-risk")))</f>
        <v/>
      </c>
      <c r="AA38" s="26" t="str">
        <f aca="false">IF(Z38="","",IF(Z38="Normal",100,IF(Z38="Caution",60,20)))</f>
        <v/>
      </c>
      <c r="AB38" s="25"/>
      <c r="AC38" s="26" t="str">
        <f aca="false">IF(AB38="","",IF(AB38=0,"Normal",IF(AB38&lt;3,"Caution","High-risk")))</f>
        <v/>
      </c>
      <c r="AD38" s="26" t="str">
        <f aca="false">IF(AC38="","",IF(AC38="Normal",100,IF(AC38="Caution",60,20)))</f>
        <v/>
      </c>
      <c r="AE38" s="25"/>
      <c r="AF38" s="25"/>
      <c r="AG38" s="25"/>
      <c r="AH38" s="26" t="str">
        <f aca="false">IF(OR(AF38="",AG38="",AG38=0),"",AF38/AG38)</f>
        <v/>
      </c>
      <c r="AI38" s="26" t="str">
        <f aca="false">IF(AND(AE38="",AF38=""),"",IF(AND(AH38&lt;&gt;"",AH38&lt;0.5),"High-risk",IF(OR(AE38="Yes",AND(AH38&lt;&gt;"",AH38&lt;0.8)),"Caution","Normal")))</f>
        <v/>
      </c>
      <c r="AJ38" s="26" t="str">
        <f aca="false">IF(AI38="","",IF(AI38="Normal",100,IF(AI38="Caution",60,20)))</f>
        <v/>
      </c>
      <c r="AK38" s="25"/>
      <c r="AL38" s="25"/>
      <c r="AM38" s="25"/>
      <c r="AN38" s="25"/>
      <c r="AO38" s="26" t="str">
        <f aca="false">IF(COUNTBLANK(AK38:AN38)=4,"",IF(COUNTIF(AK38:AN38,"Yes")&gt;0,"REFER - TB symptom screen positive","Clear"))</f>
        <v/>
      </c>
      <c r="AP38" s="25"/>
      <c r="AQ38" s="26" t="n">
        <f aca="false">COUNT(J38,L38,O38,S38,W38,AA38,AD38,AJ38)</f>
        <v>0</v>
      </c>
      <c r="AR38" s="26" t="str">
        <f aca="false">IF(AQ38=0,"",((IF(J38&lt;&gt;"",J38*UndernutritionWeight,0)+IF(L38&lt;&gt;"",L38*OverweightWeight,0)+IF(O38&lt;&gt;"",O38*AnaemiaWeight,0)+IF(S38&lt;&gt;"",S38*BPWeight,0)+IF(W38&lt;&gt;"",W38*MetabolicWeight,0)+IF(AA38&lt;&gt;"",AA38*VisionWeight,0)+IF(AD38&lt;&gt;"",AD38*OralWeight,0)+IF(AJ38&lt;&gt;"",AJ38*RespiratoryWeight,0))/(IF(J38&lt;&gt;"",UndernutritionWeight,0)+IF(L38&lt;&gt;"",OverweightWeight,0)+IF(O38&lt;&gt;"",AnaemiaWeight,0)+IF(S38&lt;&gt;"",BPWeight,0)+IF(W38&lt;&gt;"",MetabolicWeight,0)+IF(AA38&lt;&gt;"",VisionWeight,0)+IF(AD38&lt;&gt;"",OralWeight,0)+IF(AJ38&lt;&gt;"",RespiratoryWeight,0))))</f>
        <v/>
      </c>
      <c r="AS38" s="26" t="str">
        <f aca="false">IF(AR38="","Incomplete",IF(AR38&gt;=80,"Green - On Track",IF(AR38&gt;=60,"Amber - Monitor","Red - Refer")))</f>
        <v>Incomplete</v>
      </c>
      <c r="AT38" s="26" t="str">
        <f aca="false">IF(OR(I38="High-risk",K38="High-risk",N38="High-risk",R38="High-risk",V38="High-risk",Z38="High-risk",AC38="High-risk",AI38="High-risk"),"OVERRIDE - Individual referral required","")</f>
        <v/>
      </c>
      <c r="AU38" s="26" t="str">
        <f aca="false">TRIM(AS38&amp;IF(AT38&lt;&gt;""," | "&amp;AT38,"")&amp;IF(AND(AO38&lt;&gt;"",AO38&lt;&gt;"Clear")," | "&amp;AO38,"")&amp;IF(AND(AP38&lt;&gt;"",AP38&lt;&gt;"Clear")," | Mental wellbeing: "&amp;AP38,""))</f>
        <v>Incomplete</v>
      </c>
    </row>
    <row r="39" customFormat="false" ht="15" hidden="false" customHeight="false" outlineLevel="0" collapsed="false">
      <c r="A39" s="25"/>
      <c r="B39" s="25"/>
      <c r="C39" s="25"/>
      <c r="D39" s="25"/>
      <c r="E39" s="25"/>
      <c r="F39" s="25"/>
      <c r="G39" s="25"/>
      <c r="H39" s="26" t="str">
        <f aca="false">IF(AND(F39&lt;&gt;"",G39&lt;&gt;""),G39/((F39/100)^2),"")</f>
        <v/>
      </c>
      <c r="I39" s="25"/>
      <c r="J39" s="26" t="str">
        <f aca="false">IF(I39="","",IF(I39="Normal",100,IF(I39="Caution",60,IF(I39="High-risk",20,""))))</f>
        <v/>
      </c>
      <c r="K39" s="25"/>
      <c r="L39" s="26" t="str">
        <f aca="false">IF(K39="","",IF(K39="Normal",100,IF(K39="Caution",60,IF(K39="High-risk",20,""))))</f>
        <v/>
      </c>
      <c r="M39" s="25"/>
      <c r="N39" s="25"/>
      <c r="O39" s="26" t="str">
        <f aca="false">IF(N39="","",IF(N39="Normal",100,IF(N39="Caution",60,IF(N39="High-risk",20,""))))</f>
        <v/>
      </c>
      <c r="P39" s="25"/>
      <c r="Q39" s="25"/>
      <c r="R39" s="25"/>
      <c r="S39" s="26" t="str">
        <f aca="false">IF(R39="","",IF(R39="Normal",100,IF(R39="Caution",60,IF(R39="High-risk",20,""))))</f>
        <v/>
      </c>
      <c r="T39" s="25"/>
      <c r="U39" s="25"/>
      <c r="V39" s="25"/>
      <c r="W39" s="26" t="str">
        <f aca="false">IF(V39="","",IF(V39="Normal",100,IF(V39="Caution",60,IF(V39="High-risk",20,""))))</f>
        <v/>
      </c>
      <c r="X39" s="25"/>
      <c r="Y39" s="25"/>
      <c r="Z39" s="26" t="str">
        <f aca="false">IF(OR(X39="",Y39=""),"",IF(MIN(X39,Y39)&gt;=0.67,"Normal",IF(MIN(X39,Y39)&gt;=0.5,"Caution","High-risk")))</f>
        <v/>
      </c>
      <c r="AA39" s="26" t="str">
        <f aca="false">IF(Z39="","",IF(Z39="Normal",100,IF(Z39="Caution",60,20)))</f>
        <v/>
      </c>
      <c r="AB39" s="25"/>
      <c r="AC39" s="26" t="str">
        <f aca="false">IF(AB39="","",IF(AB39=0,"Normal",IF(AB39&lt;3,"Caution","High-risk")))</f>
        <v/>
      </c>
      <c r="AD39" s="26" t="str">
        <f aca="false">IF(AC39="","",IF(AC39="Normal",100,IF(AC39="Caution",60,20)))</f>
        <v/>
      </c>
      <c r="AE39" s="25"/>
      <c r="AF39" s="25"/>
      <c r="AG39" s="25"/>
      <c r="AH39" s="26" t="str">
        <f aca="false">IF(OR(AF39="",AG39="",AG39=0),"",AF39/AG39)</f>
        <v/>
      </c>
      <c r="AI39" s="26" t="str">
        <f aca="false">IF(AND(AE39="",AF39=""),"",IF(AND(AH39&lt;&gt;"",AH39&lt;0.5),"High-risk",IF(OR(AE39="Yes",AND(AH39&lt;&gt;"",AH39&lt;0.8)),"Caution","Normal")))</f>
        <v/>
      </c>
      <c r="AJ39" s="26" t="str">
        <f aca="false">IF(AI39="","",IF(AI39="Normal",100,IF(AI39="Caution",60,20)))</f>
        <v/>
      </c>
      <c r="AK39" s="25"/>
      <c r="AL39" s="25"/>
      <c r="AM39" s="25"/>
      <c r="AN39" s="25"/>
      <c r="AO39" s="26" t="str">
        <f aca="false">IF(COUNTBLANK(AK39:AN39)=4,"",IF(COUNTIF(AK39:AN39,"Yes")&gt;0,"REFER - TB symptom screen positive","Clear"))</f>
        <v/>
      </c>
      <c r="AP39" s="25"/>
      <c r="AQ39" s="26" t="n">
        <f aca="false">COUNT(J39,L39,O39,S39,W39,AA39,AD39,AJ39)</f>
        <v>0</v>
      </c>
      <c r="AR39" s="26" t="str">
        <f aca="false">IF(AQ39=0,"",((IF(J39&lt;&gt;"",J39*UndernutritionWeight,0)+IF(L39&lt;&gt;"",L39*OverweightWeight,0)+IF(O39&lt;&gt;"",O39*AnaemiaWeight,0)+IF(S39&lt;&gt;"",S39*BPWeight,0)+IF(W39&lt;&gt;"",W39*MetabolicWeight,0)+IF(AA39&lt;&gt;"",AA39*VisionWeight,0)+IF(AD39&lt;&gt;"",AD39*OralWeight,0)+IF(AJ39&lt;&gt;"",AJ39*RespiratoryWeight,0))/(IF(J39&lt;&gt;"",UndernutritionWeight,0)+IF(L39&lt;&gt;"",OverweightWeight,0)+IF(O39&lt;&gt;"",AnaemiaWeight,0)+IF(S39&lt;&gt;"",BPWeight,0)+IF(W39&lt;&gt;"",MetabolicWeight,0)+IF(AA39&lt;&gt;"",VisionWeight,0)+IF(AD39&lt;&gt;"",OralWeight,0)+IF(AJ39&lt;&gt;"",RespiratoryWeight,0))))</f>
        <v/>
      </c>
      <c r="AS39" s="26" t="str">
        <f aca="false">IF(AR39="","Incomplete",IF(AR39&gt;=80,"Green - On Track",IF(AR39&gt;=60,"Amber - Monitor","Red - Refer")))</f>
        <v>Incomplete</v>
      </c>
      <c r="AT39" s="26" t="str">
        <f aca="false">IF(OR(I39="High-risk",K39="High-risk",N39="High-risk",R39="High-risk",V39="High-risk",Z39="High-risk",AC39="High-risk",AI39="High-risk"),"OVERRIDE - Individual referral required","")</f>
        <v/>
      </c>
      <c r="AU39" s="26" t="str">
        <f aca="false">TRIM(AS39&amp;IF(AT39&lt;&gt;""," | "&amp;AT39,"")&amp;IF(AND(AO39&lt;&gt;"",AO39&lt;&gt;"Clear")," | "&amp;AO39,"")&amp;IF(AND(AP39&lt;&gt;"",AP39&lt;&gt;"Clear")," | Mental wellbeing: "&amp;AP39,""))</f>
        <v>Incomplete</v>
      </c>
    </row>
    <row r="40" customFormat="false" ht="15" hidden="false" customHeight="false" outlineLevel="0" collapsed="false">
      <c r="A40" s="25"/>
      <c r="B40" s="25"/>
      <c r="C40" s="25"/>
      <c r="D40" s="25"/>
      <c r="E40" s="25"/>
      <c r="F40" s="25"/>
      <c r="G40" s="25"/>
      <c r="H40" s="26" t="str">
        <f aca="false">IF(AND(F40&lt;&gt;"",G40&lt;&gt;""),G40/((F40/100)^2),"")</f>
        <v/>
      </c>
      <c r="I40" s="25"/>
      <c r="J40" s="26" t="str">
        <f aca="false">IF(I40="","",IF(I40="Normal",100,IF(I40="Caution",60,IF(I40="High-risk",20,""))))</f>
        <v/>
      </c>
      <c r="K40" s="25"/>
      <c r="L40" s="26" t="str">
        <f aca="false">IF(K40="","",IF(K40="Normal",100,IF(K40="Caution",60,IF(K40="High-risk",20,""))))</f>
        <v/>
      </c>
      <c r="M40" s="25"/>
      <c r="N40" s="25"/>
      <c r="O40" s="26" t="str">
        <f aca="false">IF(N40="","",IF(N40="Normal",100,IF(N40="Caution",60,IF(N40="High-risk",20,""))))</f>
        <v/>
      </c>
      <c r="P40" s="25"/>
      <c r="Q40" s="25"/>
      <c r="R40" s="25"/>
      <c r="S40" s="26" t="str">
        <f aca="false">IF(R40="","",IF(R40="Normal",100,IF(R40="Caution",60,IF(R40="High-risk",20,""))))</f>
        <v/>
      </c>
      <c r="T40" s="25"/>
      <c r="U40" s="25"/>
      <c r="V40" s="25"/>
      <c r="W40" s="26" t="str">
        <f aca="false">IF(V40="","",IF(V40="Normal",100,IF(V40="Caution",60,IF(V40="High-risk",20,""))))</f>
        <v/>
      </c>
      <c r="X40" s="25"/>
      <c r="Y40" s="25"/>
      <c r="Z40" s="26" t="str">
        <f aca="false">IF(OR(X40="",Y40=""),"",IF(MIN(X40,Y40)&gt;=0.67,"Normal",IF(MIN(X40,Y40)&gt;=0.5,"Caution","High-risk")))</f>
        <v/>
      </c>
      <c r="AA40" s="26" t="str">
        <f aca="false">IF(Z40="","",IF(Z40="Normal",100,IF(Z40="Caution",60,20)))</f>
        <v/>
      </c>
      <c r="AB40" s="25"/>
      <c r="AC40" s="26" t="str">
        <f aca="false">IF(AB40="","",IF(AB40=0,"Normal",IF(AB40&lt;3,"Caution","High-risk")))</f>
        <v/>
      </c>
      <c r="AD40" s="26" t="str">
        <f aca="false">IF(AC40="","",IF(AC40="Normal",100,IF(AC40="Caution",60,20)))</f>
        <v/>
      </c>
      <c r="AE40" s="25"/>
      <c r="AF40" s="25"/>
      <c r="AG40" s="25"/>
      <c r="AH40" s="26" t="str">
        <f aca="false">IF(OR(AF40="",AG40="",AG40=0),"",AF40/AG40)</f>
        <v/>
      </c>
      <c r="AI40" s="26" t="str">
        <f aca="false">IF(AND(AE40="",AF40=""),"",IF(AND(AH40&lt;&gt;"",AH40&lt;0.5),"High-risk",IF(OR(AE40="Yes",AND(AH40&lt;&gt;"",AH40&lt;0.8)),"Caution","Normal")))</f>
        <v/>
      </c>
      <c r="AJ40" s="26" t="str">
        <f aca="false">IF(AI40="","",IF(AI40="Normal",100,IF(AI40="Caution",60,20)))</f>
        <v/>
      </c>
      <c r="AK40" s="25"/>
      <c r="AL40" s="25"/>
      <c r="AM40" s="25"/>
      <c r="AN40" s="25"/>
      <c r="AO40" s="26" t="str">
        <f aca="false">IF(COUNTBLANK(AK40:AN40)=4,"",IF(COUNTIF(AK40:AN40,"Yes")&gt;0,"REFER - TB symptom screen positive","Clear"))</f>
        <v/>
      </c>
      <c r="AP40" s="25"/>
      <c r="AQ40" s="26" t="n">
        <f aca="false">COUNT(J40,L40,O40,S40,W40,AA40,AD40,AJ40)</f>
        <v>0</v>
      </c>
      <c r="AR40" s="26" t="str">
        <f aca="false">IF(AQ40=0,"",((IF(J40&lt;&gt;"",J40*UndernutritionWeight,0)+IF(L40&lt;&gt;"",L40*OverweightWeight,0)+IF(O40&lt;&gt;"",O40*AnaemiaWeight,0)+IF(S40&lt;&gt;"",S40*BPWeight,0)+IF(W40&lt;&gt;"",W40*MetabolicWeight,0)+IF(AA40&lt;&gt;"",AA40*VisionWeight,0)+IF(AD40&lt;&gt;"",AD40*OralWeight,0)+IF(AJ40&lt;&gt;"",AJ40*RespiratoryWeight,0))/(IF(J40&lt;&gt;"",UndernutritionWeight,0)+IF(L40&lt;&gt;"",OverweightWeight,0)+IF(O40&lt;&gt;"",AnaemiaWeight,0)+IF(S40&lt;&gt;"",BPWeight,0)+IF(W40&lt;&gt;"",MetabolicWeight,0)+IF(AA40&lt;&gt;"",VisionWeight,0)+IF(AD40&lt;&gt;"",OralWeight,0)+IF(AJ40&lt;&gt;"",RespiratoryWeight,0))))</f>
        <v/>
      </c>
      <c r="AS40" s="26" t="str">
        <f aca="false">IF(AR40="","Incomplete",IF(AR40&gt;=80,"Green - On Track",IF(AR40&gt;=60,"Amber - Monitor","Red - Refer")))</f>
        <v>Incomplete</v>
      </c>
      <c r="AT40" s="26" t="str">
        <f aca="false">IF(OR(I40="High-risk",K40="High-risk",N40="High-risk",R40="High-risk",V40="High-risk",Z40="High-risk",AC40="High-risk",AI40="High-risk"),"OVERRIDE - Individual referral required","")</f>
        <v/>
      </c>
      <c r="AU40" s="26" t="str">
        <f aca="false">TRIM(AS40&amp;IF(AT40&lt;&gt;""," | "&amp;AT40,"")&amp;IF(AND(AO40&lt;&gt;"",AO40&lt;&gt;"Clear")," | "&amp;AO40,"")&amp;IF(AND(AP40&lt;&gt;"",AP40&lt;&gt;"Clear")," | Mental wellbeing: "&amp;AP40,""))</f>
        <v>Incomplete</v>
      </c>
    </row>
    <row r="41" customFormat="false" ht="15" hidden="false" customHeight="false" outlineLevel="0" collapsed="false">
      <c r="A41" s="25"/>
      <c r="B41" s="25"/>
      <c r="C41" s="25"/>
      <c r="D41" s="25"/>
      <c r="E41" s="25"/>
      <c r="F41" s="25"/>
      <c r="G41" s="25"/>
      <c r="H41" s="26" t="str">
        <f aca="false">IF(AND(F41&lt;&gt;"",G41&lt;&gt;""),G41/((F41/100)^2),"")</f>
        <v/>
      </c>
      <c r="I41" s="25"/>
      <c r="J41" s="26" t="str">
        <f aca="false">IF(I41="","",IF(I41="Normal",100,IF(I41="Caution",60,IF(I41="High-risk",20,""))))</f>
        <v/>
      </c>
      <c r="K41" s="25"/>
      <c r="L41" s="26" t="str">
        <f aca="false">IF(K41="","",IF(K41="Normal",100,IF(K41="Caution",60,IF(K41="High-risk",20,""))))</f>
        <v/>
      </c>
      <c r="M41" s="25"/>
      <c r="N41" s="25"/>
      <c r="O41" s="26" t="str">
        <f aca="false">IF(N41="","",IF(N41="Normal",100,IF(N41="Caution",60,IF(N41="High-risk",20,""))))</f>
        <v/>
      </c>
      <c r="P41" s="25"/>
      <c r="Q41" s="25"/>
      <c r="R41" s="25"/>
      <c r="S41" s="26" t="str">
        <f aca="false">IF(R41="","",IF(R41="Normal",100,IF(R41="Caution",60,IF(R41="High-risk",20,""))))</f>
        <v/>
      </c>
      <c r="T41" s="25"/>
      <c r="U41" s="25"/>
      <c r="V41" s="25"/>
      <c r="W41" s="26" t="str">
        <f aca="false">IF(V41="","",IF(V41="Normal",100,IF(V41="Caution",60,IF(V41="High-risk",20,""))))</f>
        <v/>
      </c>
      <c r="X41" s="25"/>
      <c r="Y41" s="25"/>
      <c r="Z41" s="26" t="str">
        <f aca="false">IF(OR(X41="",Y41=""),"",IF(MIN(X41,Y41)&gt;=0.67,"Normal",IF(MIN(X41,Y41)&gt;=0.5,"Caution","High-risk")))</f>
        <v/>
      </c>
      <c r="AA41" s="26" t="str">
        <f aca="false">IF(Z41="","",IF(Z41="Normal",100,IF(Z41="Caution",60,20)))</f>
        <v/>
      </c>
      <c r="AB41" s="25"/>
      <c r="AC41" s="26" t="str">
        <f aca="false">IF(AB41="","",IF(AB41=0,"Normal",IF(AB41&lt;3,"Caution","High-risk")))</f>
        <v/>
      </c>
      <c r="AD41" s="26" t="str">
        <f aca="false">IF(AC41="","",IF(AC41="Normal",100,IF(AC41="Caution",60,20)))</f>
        <v/>
      </c>
      <c r="AE41" s="25"/>
      <c r="AF41" s="25"/>
      <c r="AG41" s="25"/>
      <c r="AH41" s="26" t="str">
        <f aca="false">IF(OR(AF41="",AG41="",AG41=0),"",AF41/AG41)</f>
        <v/>
      </c>
      <c r="AI41" s="26" t="str">
        <f aca="false">IF(AND(AE41="",AF41=""),"",IF(AND(AH41&lt;&gt;"",AH41&lt;0.5),"High-risk",IF(OR(AE41="Yes",AND(AH41&lt;&gt;"",AH41&lt;0.8)),"Caution","Normal")))</f>
        <v/>
      </c>
      <c r="AJ41" s="26" t="str">
        <f aca="false">IF(AI41="","",IF(AI41="Normal",100,IF(AI41="Caution",60,20)))</f>
        <v/>
      </c>
      <c r="AK41" s="25"/>
      <c r="AL41" s="25"/>
      <c r="AM41" s="25"/>
      <c r="AN41" s="25"/>
      <c r="AO41" s="26" t="str">
        <f aca="false">IF(COUNTBLANK(AK41:AN41)=4,"",IF(COUNTIF(AK41:AN41,"Yes")&gt;0,"REFER - TB symptom screen positive","Clear"))</f>
        <v/>
      </c>
      <c r="AP41" s="25"/>
      <c r="AQ41" s="26" t="n">
        <f aca="false">COUNT(J41,L41,O41,S41,W41,AA41,AD41,AJ41)</f>
        <v>0</v>
      </c>
      <c r="AR41" s="26" t="str">
        <f aca="false">IF(AQ41=0,"",((IF(J41&lt;&gt;"",J41*UndernutritionWeight,0)+IF(L41&lt;&gt;"",L41*OverweightWeight,0)+IF(O41&lt;&gt;"",O41*AnaemiaWeight,0)+IF(S41&lt;&gt;"",S41*BPWeight,0)+IF(W41&lt;&gt;"",W41*MetabolicWeight,0)+IF(AA41&lt;&gt;"",AA41*VisionWeight,0)+IF(AD41&lt;&gt;"",AD41*OralWeight,0)+IF(AJ41&lt;&gt;"",AJ41*RespiratoryWeight,0))/(IF(J41&lt;&gt;"",UndernutritionWeight,0)+IF(L41&lt;&gt;"",OverweightWeight,0)+IF(O41&lt;&gt;"",AnaemiaWeight,0)+IF(S41&lt;&gt;"",BPWeight,0)+IF(W41&lt;&gt;"",MetabolicWeight,0)+IF(AA41&lt;&gt;"",VisionWeight,0)+IF(AD41&lt;&gt;"",OralWeight,0)+IF(AJ41&lt;&gt;"",RespiratoryWeight,0))))</f>
        <v/>
      </c>
      <c r="AS41" s="26" t="str">
        <f aca="false">IF(AR41="","Incomplete",IF(AR41&gt;=80,"Green - On Track",IF(AR41&gt;=60,"Amber - Monitor","Red - Refer")))</f>
        <v>Incomplete</v>
      </c>
      <c r="AT41" s="26" t="str">
        <f aca="false">IF(OR(I41="High-risk",K41="High-risk",N41="High-risk",R41="High-risk",V41="High-risk",Z41="High-risk",AC41="High-risk",AI41="High-risk"),"OVERRIDE - Individual referral required","")</f>
        <v/>
      </c>
      <c r="AU41" s="26" t="str">
        <f aca="false">TRIM(AS41&amp;IF(AT41&lt;&gt;""," | "&amp;AT41,"")&amp;IF(AND(AO41&lt;&gt;"",AO41&lt;&gt;"Clear")," | "&amp;AO41,"")&amp;IF(AND(AP41&lt;&gt;"",AP41&lt;&gt;"Clear")," | Mental wellbeing: "&amp;AP41,""))</f>
        <v>Incomplete</v>
      </c>
    </row>
    <row r="42" customFormat="false" ht="15" hidden="false" customHeight="false" outlineLevel="0" collapsed="false">
      <c r="A42" s="25"/>
      <c r="B42" s="25"/>
      <c r="C42" s="25"/>
      <c r="D42" s="25"/>
      <c r="E42" s="25"/>
      <c r="F42" s="25"/>
      <c r="G42" s="25"/>
      <c r="H42" s="26" t="str">
        <f aca="false">IF(AND(F42&lt;&gt;"",G42&lt;&gt;""),G42/((F42/100)^2),"")</f>
        <v/>
      </c>
      <c r="I42" s="25"/>
      <c r="J42" s="26" t="str">
        <f aca="false">IF(I42="","",IF(I42="Normal",100,IF(I42="Caution",60,IF(I42="High-risk",20,""))))</f>
        <v/>
      </c>
      <c r="K42" s="25"/>
      <c r="L42" s="26" t="str">
        <f aca="false">IF(K42="","",IF(K42="Normal",100,IF(K42="Caution",60,IF(K42="High-risk",20,""))))</f>
        <v/>
      </c>
      <c r="M42" s="25"/>
      <c r="N42" s="25"/>
      <c r="O42" s="26" t="str">
        <f aca="false">IF(N42="","",IF(N42="Normal",100,IF(N42="Caution",60,IF(N42="High-risk",20,""))))</f>
        <v/>
      </c>
      <c r="P42" s="25"/>
      <c r="Q42" s="25"/>
      <c r="R42" s="25"/>
      <c r="S42" s="26" t="str">
        <f aca="false">IF(R42="","",IF(R42="Normal",100,IF(R42="Caution",60,IF(R42="High-risk",20,""))))</f>
        <v/>
      </c>
      <c r="T42" s="25"/>
      <c r="U42" s="25"/>
      <c r="V42" s="25"/>
      <c r="W42" s="26" t="str">
        <f aca="false">IF(V42="","",IF(V42="Normal",100,IF(V42="Caution",60,IF(V42="High-risk",20,""))))</f>
        <v/>
      </c>
      <c r="X42" s="25"/>
      <c r="Y42" s="25"/>
      <c r="Z42" s="26" t="str">
        <f aca="false">IF(OR(X42="",Y42=""),"",IF(MIN(X42,Y42)&gt;=0.67,"Normal",IF(MIN(X42,Y42)&gt;=0.5,"Caution","High-risk")))</f>
        <v/>
      </c>
      <c r="AA42" s="26" t="str">
        <f aca="false">IF(Z42="","",IF(Z42="Normal",100,IF(Z42="Caution",60,20)))</f>
        <v/>
      </c>
      <c r="AB42" s="25"/>
      <c r="AC42" s="26" t="str">
        <f aca="false">IF(AB42="","",IF(AB42=0,"Normal",IF(AB42&lt;3,"Caution","High-risk")))</f>
        <v/>
      </c>
      <c r="AD42" s="26" t="str">
        <f aca="false">IF(AC42="","",IF(AC42="Normal",100,IF(AC42="Caution",60,20)))</f>
        <v/>
      </c>
      <c r="AE42" s="25"/>
      <c r="AF42" s="25"/>
      <c r="AG42" s="25"/>
      <c r="AH42" s="26" t="str">
        <f aca="false">IF(OR(AF42="",AG42="",AG42=0),"",AF42/AG42)</f>
        <v/>
      </c>
      <c r="AI42" s="26" t="str">
        <f aca="false">IF(AND(AE42="",AF42=""),"",IF(AND(AH42&lt;&gt;"",AH42&lt;0.5),"High-risk",IF(OR(AE42="Yes",AND(AH42&lt;&gt;"",AH42&lt;0.8)),"Caution","Normal")))</f>
        <v/>
      </c>
      <c r="AJ42" s="26" t="str">
        <f aca="false">IF(AI42="","",IF(AI42="Normal",100,IF(AI42="Caution",60,20)))</f>
        <v/>
      </c>
      <c r="AK42" s="25"/>
      <c r="AL42" s="25"/>
      <c r="AM42" s="25"/>
      <c r="AN42" s="25"/>
      <c r="AO42" s="26" t="str">
        <f aca="false">IF(COUNTBLANK(AK42:AN42)=4,"",IF(COUNTIF(AK42:AN42,"Yes")&gt;0,"REFER - TB symptom screen positive","Clear"))</f>
        <v/>
      </c>
      <c r="AP42" s="25"/>
      <c r="AQ42" s="26" t="n">
        <f aca="false">COUNT(J42,L42,O42,S42,W42,AA42,AD42,AJ42)</f>
        <v>0</v>
      </c>
      <c r="AR42" s="26" t="str">
        <f aca="false">IF(AQ42=0,"",((IF(J42&lt;&gt;"",J42*UndernutritionWeight,0)+IF(L42&lt;&gt;"",L42*OverweightWeight,0)+IF(O42&lt;&gt;"",O42*AnaemiaWeight,0)+IF(S42&lt;&gt;"",S42*BPWeight,0)+IF(W42&lt;&gt;"",W42*MetabolicWeight,0)+IF(AA42&lt;&gt;"",AA42*VisionWeight,0)+IF(AD42&lt;&gt;"",AD42*OralWeight,0)+IF(AJ42&lt;&gt;"",AJ42*RespiratoryWeight,0))/(IF(J42&lt;&gt;"",UndernutritionWeight,0)+IF(L42&lt;&gt;"",OverweightWeight,0)+IF(O42&lt;&gt;"",AnaemiaWeight,0)+IF(S42&lt;&gt;"",BPWeight,0)+IF(W42&lt;&gt;"",MetabolicWeight,0)+IF(AA42&lt;&gt;"",VisionWeight,0)+IF(AD42&lt;&gt;"",OralWeight,0)+IF(AJ42&lt;&gt;"",RespiratoryWeight,0))))</f>
        <v/>
      </c>
      <c r="AS42" s="26" t="str">
        <f aca="false">IF(AR42="","Incomplete",IF(AR42&gt;=80,"Green - On Track",IF(AR42&gt;=60,"Amber - Monitor","Red - Refer")))</f>
        <v>Incomplete</v>
      </c>
      <c r="AT42" s="26" t="str">
        <f aca="false">IF(OR(I42="High-risk",K42="High-risk",N42="High-risk",R42="High-risk",V42="High-risk",Z42="High-risk",AC42="High-risk",AI42="High-risk"),"OVERRIDE - Individual referral required","")</f>
        <v/>
      </c>
      <c r="AU42" s="26" t="str">
        <f aca="false">TRIM(AS42&amp;IF(AT42&lt;&gt;""," | "&amp;AT42,"")&amp;IF(AND(AO42&lt;&gt;"",AO42&lt;&gt;"Clear")," | "&amp;AO42,"")&amp;IF(AND(AP42&lt;&gt;"",AP42&lt;&gt;"Clear")," | Mental wellbeing: "&amp;AP42,""))</f>
        <v>Incomplete</v>
      </c>
    </row>
    <row r="43" customFormat="false" ht="15" hidden="false" customHeight="false" outlineLevel="0" collapsed="false">
      <c r="A43" s="25"/>
      <c r="B43" s="25"/>
      <c r="C43" s="25"/>
      <c r="D43" s="25"/>
      <c r="E43" s="25"/>
      <c r="F43" s="25"/>
      <c r="G43" s="25"/>
      <c r="H43" s="26" t="str">
        <f aca="false">IF(AND(F43&lt;&gt;"",G43&lt;&gt;""),G43/((F43/100)^2),"")</f>
        <v/>
      </c>
      <c r="I43" s="25"/>
      <c r="J43" s="26" t="str">
        <f aca="false">IF(I43="","",IF(I43="Normal",100,IF(I43="Caution",60,IF(I43="High-risk",20,""))))</f>
        <v/>
      </c>
      <c r="K43" s="25"/>
      <c r="L43" s="26" t="str">
        <f aca="false">IF(K43="","",IF(K43="Normal",100,IF(K43="Caution",60,IF(K43="High-risk",20,""))))</f>
        <v/>
      </c>
      <c r="M43" s="25"/>
      <c r="N43" s="25"/>
      <c r="O43" s="26" t="str">
        <f aca="false">IF(N43="","",IF(N43="Normal",100,IF(N43="Caution",60,IF(N43="High-risk",20,""))))</f>
        <v/>
      </c>
      <c r="P43" s="25"/>
      <c r="Q43" s="25"/>
      <c r="R43" s="25"/>
      <c r="S43" s="26" t="str">
        <f aca="false">IF(R43="","",IF(R43="Normal",100,IF(R43="Caution",60,IF(R43="High-risk",20,""))))</f>
        <v/>
      </c>
      <c r="T43" s="25"/>
      <c r="U43" s="25"/>
      <c r="V43" s="25"/>
      <c r="W43" s="26" t="str">
        <f aca="false">IF(V43="","",IF(V43="Normal",100,IF(V43="Caution",60,IF(V43="High-risk",20,""))))</f>
        <v/>
      </c>
      <c r="X43" s="25"/>
      <c r="Y43" s="25"/>
      <c r="Z43" s="26" t="str">
        <f aca="false">IF(OR(X43="",Y43=""),"",IF(MIN(X43,Y43)&gt;=0.67,"Normal",IF(MIN(X43,Y43)&gt;=0.5,"Caution","High-risk")))</f>
        <v/>
      </c>
      <c r="AA43" s="26" t="str">
        <f aca="false">IF(Z43="","",IF(Z43="Normal",100,IF(Z43="Caution",60,20)))</f>
        <v/>
      </c>
      <c r="AB43" s="25"/>
      <c r="AC43" s="26" t="str">
        <f aca="false">IF(AB43="","",IF(AB43=0,"Normal",IF(AB43&lt;3,"Caution","High-risk")))</f>
        <v/>
      </c>
      <c r="AD43" s="26" t="str">
        <f aca="false">IF(AC43="","",IF(AC43="Normal",100,IF(AC43="Caution",60,20)))</f>
        <v/>
      </c>
      <c r="AE43" s="25"/>
      <c r="AF43" s="25"/>
      <c r="AG43" s="25"/>
      <c r="AH43" s="26" t="str">
        <f aca="false">IF(OR(AF43="",AG43="",AG43=0),"",AF43/AG43)</f>
        <v/>
      </c>
      <c r="AI43" s="26" t="str">
        <f aca="false">IF(AND(AE43="",AF43=""),"",IF(AND(AH43&lt;&gt;"",AH43&lt;0.5),"High-risk",IF(OR(AE43="Yes",AND(AH43&lt;&gt;"",AH43&lt;0.8)),"Caution","Normal")))</f>
        <v/>
      </c>
      <c r="AJ43" s="26" t="str">
        <f aca="false">IF(AI43="","",IF(AI43="Normal",100,IF(AI43="Caution",60,20)))</f>
        <v/>
      </c>
      <c r="AK43" s="25"/>
      <c r="AL43" s="25"/>
      <c r="AM43" s="25"/>
      <c r="AN43" s="25"/>
      <c r="AO43" s="26" t="str">
        <f aca="false">IF(COUNTBLANK(AK43:AN43)=4,"",IF(COUNTIF(AK43:AN43,"Yes")&gt;0,"REFER - TB symptom screen positive","Clear"))</f>
        <v/>
      </c>
      <c r="AP43" s="25"/>
      <c r="AQ43" s="26" t="n">
        <f aca="false">COUNT(J43,L43,O43,S43,W43,AA43,AD43,AJ43)</f>
        <v>0</v>
      </c>
      <c r="AR43" s="26" t="str">
        <f aca="false">IF(AQ43=0,"",((IF(J43&lt;&gt;"",J43*UndernutritionWeight,0)+IF(L43&lt;&gt;"",L43*OverweightWeight,0)+IF(O43&lt;&gt;"",O43*AnaemiaWeight,0)+IF(S43&lt;&gt;"",S43*BPWeight,0)+IF(W43&lt;&gt;"",W43*MetabolicWeight,0)+IF(AA43&lt;&gt;"",AA43*VisionWeight,0)+IF(AD43&lt;&gt;"",AD43*OralWeight,0)+IF(AJ43&lt;&gt;"",AJ43*RespiratoryWeight,0))/(IF(J43&lt;&gt;"",UndernutritionWeight,0)+IF(L43&lt;&gt;"",OverweightWeight,0)+IF(O43&lt;&gt;"",AnaemiaWeight,0)+IF(S43&lt;&gt;"",BPWeight,0)+IF(W43&lt;&gt;"",MetabolicWeight,0)+IF(AA43&lt;&gt;"",VisionWeight,0)+IF(AD43&lt;&gt;"",OralWeight,0)+IF(AJ43&lt;&gt;"",RespiratoryWeight,0))))</f>
        <v/>
      </c>
      <c r="AS43" s="26" t="str">
        <f aca="false">IF(AR43="","Incomplete",IF(AR43&gt;=80,"Green - On Track",IF(AR43&gt;=60,"Amber - Monitor","Red - Refer")))</f>
        <v>Incomplete</v>
      </c>
      <c r="AT43" s="26" t="str">
        <f aca="false">IF(OR(I43="High-risk",K43="High-risk",N43="High-risk",R43="High-risk",V43="High-risk",Z43="High-risk",AC43="High-risk",AI43="High-risk"),"OVERRIDE - Individual referral required","")</f>
        <v/>
      </c>
      <c r="AU43" s="26" t="str">
        <f aca="false">TRIM(AS43&amp;IF(AT43&lt;&gt;""," | "&amp;AT43,"")&amp;IF(AND(AO43&lt;&gt;"",AO43&lt;&gt;"Clear")," | "&amp;AO43,"")&amp;IF(AND(AP43&lt;&gt;"",AP43&lt;&gt;"Clear")," | Mental wellbeing: "&amp;AP43,""))</f>
        <v>Incomplete</v>
      </c>
    </row>
    <row r="44" customFormat="false" ht="15" hidden="false" customHeight="false" outlineLevel="0" collapsed="false">
      <c r="A44" s="25"/>
      <c r="B44" s="25"/>
      <c r="C44" s="25"/>
      <c r="D44" s="25"/>
      <c r="E44" s="25"/>
      <c r="F44" s="25"/>
      <c r="G44" s="25"/>
      <c r="H44" s="26" t="str">
        <f aca="false">IF(AND(F44&lt;&gt;"",G44&lt;&gt;""),G44/((F44/100)^2),"")</f>
        <v/>
      </c>
      <c r="I44" s="25"/>
      <c r="J44" s="26" t="str">
        <f aca="false">IF(I44="","",IF(I44="Normal",100,IF(I44="Caution",60,IF(I44="High-risk",20,""))))</f>
        <v/>
      </c>
      <c r="K44" s="25"/>
      <c r="L44" s="26" t="str">
        <f aca="false">IF(K44="","",IF(K44="Normal",100,IF(K44="Caution",60,IF(K44="High-risk",20,""))))</f>
        <v/>
      </c>
      <c r="M44" s="25"/>
      <c r="N44" s="25"/>
      <c r="O44" s="26" t="str">
        <f aca="false">IF(N44="","",IF(N44="Normal",100,IF(N44="Caution",60,IF(N44="High-risk",20,""))))</f>
        <v/>
      </c>
      <c r="P44" s="25"/>
      <c r="Q44" s="25"/>
      <c r="R44" s="25"/>
      <c r="S44" s="26" t="str">
        <f aca="false">IF(R44="","",IF(R44="Normal",100,IF(R44="Caution",60,IF(R44="High-risk",20,""))))</f>
        <v/>
      </c>
      <c r="T44" s="25"/>
      <c r="U44" s="25"/>
      <c r="V44" s="25"/>
      <c r="W44" s="26" t="str">
        <f aca="false">IF(V44="","",IF(V44="Normal",100,IF(V44="Caution",60,IF(V44="High-risk",20,""))))</f>
        <v/>
      </c>
      <c r="X44" s="25"/>
      <c r="Y44" s="25"/>
      <c r="Z44" s="26" t="str">
        <f aca="false">IF(OR(X44="",Y44=""),"",IF(MIN(X44,Y44)&gt;=0.67,"Normal",IF(MIN(X44,Y44)&gt;=0.5,"Caution","High-risk")))</f>
        <v/>
      </c>
      <c r="AA44" s="26" t="str">
        <f aca="false">IF(Z44="","",IF(Z44="Normal",100,IF(Z44="Caution",60,20)))</f>
        <v/>
      </c>
      <c r="AB44" s="25"/>
      <c r="AC44" s="26" t="str">
        <f aca="false">IF(AB44="","",IF(AB44=0,"Normal",IF(AB44&lt;3,"Caution","High-risk")))</f>
        <v/>
      </c>
      <c r="AD44" s="26" t="str">
        <f aca="false">IF(AC44="","",IF(AC44="Normal",100,IF(AC44="Caution",60,20)))</f>
        <v/>
      </c>
      <c r="AE44" s="25"/>
      <c r="AF44" s="25"/>
      <c r="AG44" s="25"/>
      <c r="AH44" s="26" t="str">
        <f aca="false">IF(OR(AF44="",AG44="",AG44=0),"",AF44/AG44)</f>
        <v/>
      </c>
      <c r="AI44" s="26" t="str">
        <f aca="false">IF(AND(AE44="",AF44=""),"",IF(AND(AH44&lt;&gt;"",AH44&lt;0.5),"High-risk",IF(OR(AE44="Yes",AND(AH44&lt;&gt;"",AH44&lt;0.8)),"Caution","Normal")))</f>
        <v/>
      </c>
      <c r="AJ44" s="26" t="str">
        <f aca="false">IF(AI44="","",IF(AI44="Normal",100,IF(AI44="Caution",60,20)))</f>
        <v/>
      </c>
      <c r="AK44" s="25"/>
      <c r="AL44" s="25"/>
      <c r="AM44" s="25"/>
      <c r="AN44" s="25"/>
      <c r="AO44" s="26" t="str">
        <f aca="false">IF(COUNTBLANK(AK44:AN44)=4,"",IF(COUNTIF(AK44:AN44,"Yes")&gt;0,"REFER - TB symptom screen positive","Clear"))</f>
        <v/>
      </c>
      <c r="AP44" s="25"/>
      <c r="AQ44" s="26" t="n">
        <f aca="false">COUNT(J44,L44,O44,S44,W44,AA44,AD44,AJ44)</f>
        <v>0</v>
      </c>
      <c r="AR44" s="26" t="str">
        <f aca="false">IF(AQ44=0,"",((IF(J44&lt;&gt;"",J44*UndernutritionWeight,0)+IF(L44&lt;&gt;"",L44*OverweightWeight,0)+IF(O44&lt;&gt;"",O44*AnaemiaWeight,0)+IF(S44&lt;&gt;"",S44*BPWeight,0)+IF(W44&lt;&gt;"",W44*MetabolicWeight,0)+IF(AA44&lt;&gt;"",AA44*VisionWeight,0)+IF(AD44&lt;&gt;"",AD44*OralWeight,0)+IF(AJ44&lt;&gt;"",AJ44*RespiratoryWeight,0))/(IF(J44&lt;&gt;"",UndernutritionWeight,0)+IF(L44&lt;&gt;"",OverweightWeight,0)+IF(O44&lt;&gt;"",AnaemiaWeight,0)+IF(S44&lt;&gt;"",BPWeight,0)+IF(W44&lt;&gt;"",MetabolicWeight,0)+IF(AA44&lt;&gt;"",VisionWeight,0)+IF(AD44&lt;&gt;"",OralWeight,0)+IF(AJ44&lt;&gt;"",RespiratoryWeight,0))))</f>
        <v/>
      </c>
      <c r="AS44" s="26" t="str">
        <f aca="false">IF(AR44="","Incomplete",IF(AR44&gt;=80,"Green - On Track",IF(AR44&gt;=60,"Amber - Monitor","Red - Refer")))</f>
        <v>Incomplete</v>
      </c>
      <c r="AT44" s="26" t="str">
        <f aca="false">IF(OR(I44="High-risk",K44="High-risk",N44="High-risk",R44="High-risk",V44="High-risk",Z44="High-risk",AC44="High-risk",AI44="High-risk"),"OVERRIDE - Individual referral required","")</f>
        <v/>
      </c>
      <c r="AU44" s="26" t="str">
        <f aca="false">TRIM(AS44&amp;IF(AT44&lt;&gt;""," | "&amp;AT44,"")&amp;IF(AND(AO44&lt;&gt;"",AO44&lt;&gt;"Clear")," | "&amp;AO44,"")&amp;IF(AND(AP44&lt;&gt;"",AP44&lt;&gt;"Clear")," | Mental wellbeing: "&amp;AP44,""))</f>
        <v>Incomplete</v>
      </c>
    </row>
    <row r="45" customFormat="false" ht="15" hidden="false" customHeight="false" outlineLevel="0" collapsed="false">
      <c r="A45" s="25"/>
      <c r="B45" s="25"/>
      <c r="C45" s="25"/>
      <c r="D45" s="25"/>
      <c r="E45" s="25"/>
      <c r="F45" s="25"/>
      <c r="G45" s="25"/>
      <c r="H45" s="26" t="str">
        <f aca="false">IF(AND(F45&lt;&gt;"",G45&lt;&gt;""),G45/((F45/100)^2),"")</f>
        <v/>
      </c>
      <c r="I45" s="25"/>
      <c r="J45" s="26" t="str">
        <f aca="false">IF(I45="","",IF(I45="Normal",100,IF(I45="Caution",60,IF(I45="High-risk",20,""))))</f>
        <v/>
      </c>
      <c r="K45" s="25"/>
      <c r="L45" s="26" t="str">
        <f aca="false">IF(K45="","",IF(K45="Normal",100,IF(K45="Caution",60,IF(K45="High-risk",20,""))))</f>
        <v/>
      </c>
      <c r="M45" s="25"/>
      <c r="N45" s="25"/>
      <c r="O45" s="26" t="str">
        <f aca="false">IF(N45="","",IF(N45="Normal",100,IF(N45="Caution",60,IF(N45="High-risk",20,""))))</f>
        <v/>
      </c>
      <c r="P45" s="25"/>
      <c r="Q45" s="25"/>
      <c r="R45" s="25"/>
      <c r="S45" s="26" t="str">
        <f aca="false">IF(R45="","",IF(R45="Normal",100,IF(R45="Caution",60,IF(R45="High-risk",20,""))))</f>
        <v/>
      </c>
      <c r="T45" s="25"/>
      <c r="U45" s="25"/>
      <c r="V45" s="25"/>
      <c r="W45" s="26" t="str">
        <f aca="false">IF(V45="","",IF(V45="Normal",100,IF(V45="Caution",60,IF(V45="High-risk",20,""))))</f>
        <v/>
      </c>
      <c r="X45" s="25"/>
      <c r="Y45" s="25"/>
      <c r="Z45" s="26" t="str">
        <f aca="false">IF(OR(X45="",Y45=""),"",IF(MIN(X45,Y45)&gt;=0.67,"Normal",IF(MIN(X45,Y45)&gt;=0.5,"Caution","High-risk")))</f>
        <v/>
      </c>
      <c r="AA45" s="26" t="str">
        <f aca="false">IF(Z45="","",IF(Z45="Normal",100,IF(Z45="Caution",60,20)))</f>
        <v/>
      </c>
      <c r="AB45" s="25"/>
      <c r="AC45" s="26" t="str">
        <f aca="false">IF(AB45="","",IF(AB45=0,"Normal",IF(AB45&lt;3,"Caution","High-risk")))</f>
        <v/>
      </c>
      <c r="AD45" s="26" t="str">
        <f aca="false">IF(AC45="","",IF(AC45="Normal",100,IF(AC45="Caution",60,20)))</f>
        <v/>
      </c>
      <c r="AE45" s="25"/>
      <c r="AF45" s="25"/>
      <c r="AG45" s="25"/>
      <c r="AH45" s="26" t="str">
        <f aca="false">IF(OR(AF45="",AG45="",AG45=0),"",AF45/AG45)</f>
        <v/>
      </c>
      <c r="AI45" s="26" t="str">
        <f aca="false">IF(AND(AE45="",AF45=""),"",IF(AND(AH45&lt;&gt;"",AH45&lt;0.5),"High-risk",IF(OR(AE45="Yes",AND(AH45&lt;&gt;"",AH45&lt;0.8)),"Caution","Normal")))</f>
        <v/>
      </c>
      <c r="AJ45" s="26" t="str">
        <f aca="false">IF(AI45="","",IF(AI45="Normal",100,IF(AI45="Caution",60,20)))</f>
        <v/>
      </c>
      <c r="AK45" s="25"/>
      <c r="AL45" s="25"/>
      <c r="AM45" s="25"/>
      <c r="AN45" s="25"/>
      <c r="AO45" s="26" t="str">
        <f aca="false">IF(COUNTBLANK(AK45:AN45)=4,"",IF(COUNTIF(AK45:AN45,"Yes")&gt;0,"REFER - TB symptom screen positive","Clear"))</f>
        <v/>
      </c>
      <c r="AP45" s="25"/>
      <c r="AQ45" s="26" t="n">
        <f aca="false">COUNT(J45,L45,O45,S45,W45,AA45,AD45,AJ45)</f>
        <v>0</v>
      </c>
      <c r="AR45" s="26" t="str">
        <f aca="false">IF(AQ45=0,"",((IF(J45&lt;&gt;"",J45*UndernutritionWeight,0)+IF(L45&lt;&gt;"",L45*OverweightWeight,0)+IF(O45&lt;&gt;"",O45*AnaemiaWeight,0)+IF(S45&lt;&gt;"",S45*BPWeight,0)+IF(W45&lt;&gt;"",W45*MetabolicWeight,0)+IF(AA45&lt;&gt;"",AA45*VisionWeight,0)+IF(AD45&lt;&gt;"",AD45*OralWeight,0)+IF(AJ45&lt;&gt;"",AJ45*RespiratoryWeight,0))/(IF(J45&lt;&gt;"",UndernutritionWeight,0)+IF(L45&lt;&gt;"",OverweightWeight,0)+IF(O45&lt;&gt;"",AnaemiaWeight,0)+IF(S45&lt;&gt;"",BPWeight,0)+IF(W45&lt;&gt;"",MetabolicWeight,0)+IF(AA45&lt;&gt;"",VisionWeight,0)+IF(AD45&lt;&gt;"",OralWeight,0)+IF(AJ45&lt;&gt;"",RespiratoryWeight,0))))</f>
        <v/>
      </c>
      <c r="AS45" s="26" t="str">
        <f aca="false">IF(AR45="","Incomplete",IF(AR45&gt;=80,"Green - On Track",IF(AR45&gt;=60,"Amber - Monitor","Red - Refer")))</f>
        <v>Incomplete</v>
      </c>
      <c r="AT45" s="26" t="str">
        <f aca="false">IF(OR(I45="High-risk",K45="High-risk",N45="High-risk",R45="High-risk",V45="High-risk",Z45="High-risk",AC45="High-risk",AI45="High-risk"),"OVERRIDE - Individual referral required","")</f>
        <v/>
      </c>
      <c r="AU45" s="26" t="str">
        <f aca="false">TRIM(AS45&amp;IF(AT45&lt;&gt;""," | "&amp;AT45,"")&amp;IF(AND(AO45&lt;&gt;"",AO45&lt;&gt;"Clear")," | "&amp;AO45,"")&amp;IF(AND(AP45&lt;&gt;"",AP45&lt;&gt;"Clear")," | Mental wellbeing: "&amp;AP45,""))</f>
        <v>Incomplete</v>
      </c>
    </row>
    <row r="46" customFormat="false" ht="15" hidden="false" customHeight="false" outlineLevel="0" collapsed="false">
      <c r="A46" s="25"/>
      <c r="B46" s="25"/>
      <c r="C46" s="25"/>
      <c r="D46" s="25"/>
      <c r="E46" s="25"/>
      <c r="F46" s="25"/>
      <c r="G46" s="25"/>
      <c r="H46" s="26" t="str">
        <f aca="false">IF(AND(F46&lt;&gt;"",G46&lt;&gt;""),G46/((F46/100)^2),"")</f>
        <v/>
      </c>
      <c r="I46" s="25"/>
      <c r="J46" s="26" t="str">
        <f aca="false">IF(I46="","",IF(I46="Normal",100,IF(I46="Caution",60,IF(I46="High-risk",20,""))))</f>
        <v/>
      </c>
      <c r="K46" s="25"/>
      <c r="L46" s="26" t="str">
        <f aca="false">IF(K46="","",IF(K46="Normal",100,IF(K46="Caution",60,IF(K46="High-risk",20,""))))</f>
        <v/>
      </c>
      <c r="M46" s="25"/>
      <c r="N46" s="25"/>
      <c r="O46" s="26" t="str">
        <f aca="false">IF(N46="","",IF(N46="Normal",100,IF(N46="Caution",60,IF(N46="High-risk",20,""))))</f>
        <v/>
      </c>
      <c r="P46" s="25"/>
      <c r="Q46" s="25"/>
      <c r="R46" s="25"/>
      <c r="S46" s="26" t="str">
        <f aca="false">IF(R46="","",IF(R46="Normal",100,IF(R46="Caution",60,IF(R46="High-risk",20,""))))</f>
        <v/>
      </c>
      <c r="T46" s="25"/>
      <c r="U46" s="25"/>
      <c r="V46" s="25"/>
      <c r="W46" s="26" t="str">
        <f aca="false">IF(V46="","",IF(V46="Normal",100,IF(V46="Caution",60,IF(V46="High-risk",20,""))))</f>
        <v/>
      </c>
      <c r="X46" s="25"/>
      <c r="Y46" s="25"/>
      <c r="Z46" s="26" t="str">
        <f aca="false">IF(OR(X46="",Y46=""),"",IF(MIN(X46,Y46)&gt;=0.67,"Normal",IF(MIN(X46,Y46)&gt;=0.5,"Caution","High-risk")))</f>
        <v/>
      </c>
      <c r="AA46" s="26" t="str">
        <f aca="false">IF(Z46="","",IF(Z46="Normal",100,IF(Z46="Caution",60,20)))</f>
        <v/>
      </c>
      <c r="AB46" s="25"/>
      <c r="AC46" s="26" t="str">
        <f aca="false">IF(AB46="","",IF(AB46=0,"Normal",IF(AB46&lt;3,"Caution","High-risk")))</f>
        <v/>
      </c>
      <c r="AD46" s="26" t="str">
        <f aca="false">IF(AC46="","",IF(AC46="Normal",100,IF(AC46="Caution",60,20)))</f>
        <v/>
      </c>
      <c r="AE46" s="25"/>
      <c r="AF46" s="25"/>
      <c r="AG46" s="25"/>
      <c r="AH46" s="26" t="str">
        <f aca="false">IF(OR(AF46="",AG46="",AG46=0),"",AF46/AG46)</f>
        <v/>
      </c>
      <c r="AI46" s="26" t="str">
        <f aca="false">IF(AND(AE46="",AF46=""),"",IF(AND(AH46&lt;&gt;"",AH46&lt;0.5),"High-risk",IF(OR(AE46="Yes",AND(AH46&lt;&gt;"",AH46&lt;0.8)),"Caution","Normal")))</f>
        <v/>
      </c>
      <c r="AJ46" s="26" t="str">
        <f aca="false">IF(AI46="","",IF(AI46="Normal",100,IF(AI46="Caution",60,20)))</f>
        <v/>
      </c>
      <c r="AK46" s="25"/>
      <c r="AL46" s="25"/>
      <c r="AM46" s="25"/>
      <c r="AN46" s="25"/>
      <c r="AO46" s="26" t="str">
        <f aca="false">IF(COUNTBLANK(AK46:AN46)=4,"",IF(COUNTIF(AK46:AN46,"Yes")&gt;0,"REFER - TB symptom screen positive","Clear"))</f>
        <v/>
      </c>
      <c r="AP46" s="25"/>
      <c r="AQ46" s="26" t="n">
        <f aca="false">COUNT(J46,L46,O46,S46,W46,AA46,AD46,AJ46)</f>
        <v>0</v>
      </c>
      <c r="AR46" s="26" t="str">
        <f aca="false">IF(AQ46=0,"",((IF(J46&lt;&gt;"",J46*UndernutritionWeight,0)+IF(L46&lt;&gt;"",L46*OverweightWeight,0)+IF(O46&lt;&gt;"",O46*AnaemiaWeight,0)+IF(S46&lt;&gt;"",S46*BPWeight,0)+IF(W46&lt;&gt;"",W46*MetabolicWeight,0)+IF(AA46&lt;&gt;"",AA46*VisionWeight,0)+IF(AD46&lt;&gt;"",AD46*OralWeight,0)+IF(AJ46&lt;&gt;"",AJ46*RespiratoryWeight,0))/(IF(J46&lt;&gt;"",UndernutritionWeight,0)+IF(L46&lt;&gt;"",OverweightWeight,0)+IF(O46&lt;&gt;"",AnaemiaWeight,0)+IF(S46&lt;&gt;"",BPWeight,0)+IF(W46&lt;&gt;"",MetabolicWeight,0)+IF(AA46&lt;&gt;"",VisionWeight,0)+IF(AD46&lt;&gt;"",OralWeight,0)+IF(AJ46&lt;&gt;"",RespiratoryWeight,0))))</f>
        <v/>
      </c>
      <c r="AS46" s="26" t="str">
        <f aca="false">IF(AR46="","Incomplete",IF(AR46&gt;=80,"Green - On Track",IF(AR46&gt;=60,"Amber - Monitor","Red - Refer")))</f>
        <v>Incomplete</v>
      </c>
      <c r="AT46" s="26" t="str">
        <f aca="false">IF(OR(I46="High-risk",K46="High-risk",N46="High-risk",R46="High-risk",V46="High-risk",Z46="High-risk",AC46="High-risk",AI46="High-risk"),"OVERRIDE - Individual referral required","")</f>
        <v/>
      </c>
      <c r="AU46" s="26" t="str">
        <f aca="false">TRIM(AS46&amp;IF(AT46&lt;&gt;""," | "&amp;AT46,"")&amp;IF(AND(AO46&lt;&gt;"",AO46&lt;&gt;"Clear")," | "&amp;AO46,"")&amp;IF(AND(AP46&lt;&gt;"",AP46&lt;&gt;"Clear")," | Mental wellbeing: "&amp;AP46,""))</f>
        <v>Incomplete</v>
      </c>
    </row>
    <row r="47" customFormat="false" ht="15" hidden="false" customHeight="false" outlineLevel="0" collapsed="false">
      <c r="A47" s="25"/>
      <c r="B47" s="25"/>
      <c r="C47" s="25"/>
      <c r="D47" s="25"/>
      <c r="E47" s="25"/>
      <c r="F47" s="25"/>
      <c r="G47" s="25"/>
      <c r="H47" s="26" t="str">
        <f aca="false">IF(AND(F47&lt;&gt;"",G47&lt;&gt;""),G47/((F47/100)^2),"")</f>
        <v/>
      </c>
      <c r="I47" s="25"/>
      <c r="J47" s="26" t="str">
        <f aca="false">IF(I47="","",IF(I47="Normal",100,IF(I47="Caution",60,IF(I47="High-risk",20,""))))</f>
        <v/>
      </c>
      <c r="K47" s="25"/>
      <c r="L47" s="26" t="str">
        <f aca="false">IF(K47="","",IF(K47="Normal",100,IF(K47="Caution",60,IF(K47="High-risk",20,""))))</f>
        <v/>
      </c>
      <c r="M47" s="25"/>
      <c r="N47" s="25"/>
      <c r="O47" s="26" t="str">
        <f aca="false">IF(N47="","",IF(N47="Normal",100,IF(N47="Caution",60,IF(N47="High-risk",20,""))))</f>
        <v/>
      </c>
      <c r="P47" s="25"/>
      <c r="Q47" s="25"/>
      <c r="R47" s="25"/>
      <c r="S47" s="26" t="str">
        <f aca="false">IF(R47="","",IF(R47="Normal",100,IF(R47="Caution",60,IF(R47="High-risk",20,""))))</f>
        <v/>
      </c>
      <c r="T47" s="25"/>
      <c r="U47" s="25"/>
      <c r="V47" s="25"/>
      <c r="W47" s="26" t="str">
        <f aca="false">IF(V47="","",IF(V47="Normal",100,IF(V47="Caution",60,IF(V47="High-risk",20,""))))</f>
        <v/>
      </c>
      <c r="X47" s="25"/>
      <c r="Y47" s="25"/>
      <c r="Z47" s="26" t="str">
        <f aca="false">IF(OR(X47="",Y47=""),"",IF(MIN(X47,Y47)&gt;=0.67,"Normal",IF(MIN(X47,Y47)&gt;=0.5,"Caution","High-risk")))</f>
        <v/>
      </c>
      <c r="AA47" s="26" t="str">
        <f aca="false">IF(Z47="","",IF(Z47="Normal",100,IF(Z47="Caution",60,20)))</f>
        <v/>
      </c>
      <c r="AB47" s="25"/>
      <c r="AC47" s="26" t="str">
        <f aca="false">IF(AB47="","",IF(AB47=0,"Normal",IF(AB47&lt;3,"Caution","High-risk")))</f>
        <v/>
      </c>
      <c r="AD47" s="26" t="str">
        <f aca="false">IF(AC47="","",IF(AC47="Normal",100,IF(AC47="Caution",60,20)))</f>
        <v/>
      </c>
      <c r="AE47" s="25"/>
      <c r="AF47" s="25"/>
      <c r="AG47" s="25"/>
      <c r="AH47" s="26" t="str">
        <f aca="false">IF(OR(AF47="",AG47="",AG47=0),"",AF47/AG47)</f>
        <v/>
      </c>
      <c r="AI47" s="26" t="str">
        <f aca="false">IF(AND(AE47="",AF47=""),"",IF(AND(AH47&lt;&gt;"",AH47&lt;0.5),"High-risk",IF(OR(AE47="Yes",AND(AH47&lt;&gt;"",AH47&lt;0.8)),"Caution","Normal")))</f>
        <v/>
      </c>
      <c r="AJ47" s="26" t="str">
        <f aca="false">IF(AI47="","",IF(AI47="Normal",100,IF(AI47="Caution",60,20)))</f>
        <v/>
      </c>
      <c r="AK47" s="25"/>
      <c r="AL47" s="25"/>
      <c r="AM47" s="25"/>
      <c r="AN47" s="25"/>
      <c r="AO47" s="26" t="str">
        <f aca="false">IF(COUNTBLANK(AK47:AN47)=4,"",IF(COUNTIF(AK47:AN47,"Yes")&gt;0,"REFER - TB symptom screen positive","Clear"))</f>
        <v/>
      </c>
      <c r="AP47" s="25"/>
      <c r="AQ47" s="26" t="n">
        <f aca="false">COUNT(J47,L47,O47,S47,W47,AA47,AD47,AJ47)</f>
        <v>0</v>
      </c>
      <c r="AR47" s="26" t="str">
        <f aca="false">IF(AQ47=0,"",((IF(J47&lt;&gt;"",J47*UndernutritionWeight,0)+IF(L47&lt;&gt;"",L47*OverweightWeight,0)+IF(O47&lt;&gt;"",O47*AnaemiaWeight,0)+IF(S47&lt;&gt;"",S47*BPWeight,0)+IF(W47&lt;&gt;"",W47*MetabolicWeight,0)+IF(AA47&lt;&gt;"",AA47*VisionWeight,0)+IF(AD47&lt;&gt;"",AD47*OralWeight,0)+IF(AJ47&lt;&gt;"",AJ47*RespiratoryWeight,0))/(IF(J47&lt;&gt;"",UndernutritionWeight,0)+IF(L47&lt;&gt;"",OverweightWeight,0)+IF(O47&lt;&gt;"",AnaemiaWeight,0)+IF(S47&lt;&gt;"",BPWeight,0)+IF(W47&lt;&gt;"",MetabolicWeight,0)+IF(AA47&lt;&gt;"",VisionWeight,0)+IF(AD47&lt;&gt;"",OralWeight,0)+IF(AJ47&lt;&gt;"",RespiratoryWeight,0))))</f>
        <v/>
      </c>
      <c r="AS47" s="26" t="str">
        <f aca="false">IF(AR47="","Incomplete",IF(AR47&gt;=80,"Green - On Track",IF(AR47&gt;=60,"Amber - Monitor","Red - Refer")))</f>
        <v>Incomplete</v>
      </c>
      <c r="AT47" s="26" t="str">
        <f aca="false">IF(OR(I47="High-risk",K47="High-risk",N47="High-risk",R47="High-risk",V47="High-risk",Z47="High-risk",AC47="High-risk",AI47="High-risk"),"OVERRIDE - Individual referral required","")</f>
        <v/>
      </c>
      <c r="AU47" s="26" t="str">
        <f aca="false">TRIM(AS47&amp;IF(AT47&lt;&gt;""," | "&amp;AT47,"")&amp;IF(AND(AO47&lt;&gt;"",AO47&lt;&gt;"Clear")," | "&amp;AO47,"")&amp;IF(AND(AP47&lt;&gt;"",AP47&lt;&gt;"Clear")," | Mental wellbeing: "&amp;AP47,""))</f>
        <v>Incomplete</v>
      </c>
    </row>
    <row r="48" customFormat="false" ht="15" hidden="false" customHeight="false" outlineLevel="0" collapsed="false">
      <c r="A48" s="25"/>
      <c r="B48" s="25"/>
      <c r="C48" s="25"/>
      <c r="D48" s="25"/>
      <c r="E48" s="25"/>
      <c r="F48" s="25"/>
      <c r="G48" s="25"/>
      <c r="H48" s="26" t="str">
        <f aca="false">IF(AND(F48&lt;&gt;"",G48&lt;&gt;""),G48/((F48/100)^2),"")</f>
        <v/>
      </c>
      <c r="I48" s="25"/>
      <c r="J48" s="26" t="str">
        <f aca="false">IF(I48="","",IF(I48="Normal",100,IF(I48="Caution",60,IF(I48="High-risk",20,""))))</f>
        <v/>
      </c>
      <c r="K48" s="25"/>
      <c r="L48" s="26" t="str">
        <f aca="false">IF(K48="","",IF(K48="Normal",100,IF(K48="Caution",60,IF(K48="High-risk",20,""))))</f>
        <v/>
      </c>
      <c r="M48" s="25"/>
      <c r="N48" s="25"/>
      <c r="O48" s="26" t="str">
        <f aca="false">IF(N48="","",IF(N48="Normal",100,IF(N48="Caution",60,IF(N48="High-risk",20,""))))</f>
        <v/>
      </c>
      <c r="P48" s="25"/>
      <c r="Q48" s="25"/>
      <c r="R48" s="25"/>
      <c r="S48" s="26" t="str">
        <f aca="false">IF(R48="","",IF(R48="Normal",100,IF(R48="Caution",60,IF(R48="High-risk",20,""))))</f>
        <v/>
      </c>
      <c r="T48" s="25"/>
      <c r="U48" s="25"/>
      <c r="V48" s="25"/>
      <c r="W48" s="26" t="str">
        <f aca="false">IF(V48="","",IF(V48="Normal",100,IF(V48="Caution",60,IF(V48="High-risk",20,""))))</f>
        <v/>
      </c>
      <c r="X48" s="25"/>
      <c r="Y48" s="25"/>
      <c r="Z48" s="26" t="str">
        <f aca="false">IF(OR(X48="",Y48=""),"",IF(MIN(X48,Y48)&gt;=0.67,"Normal",IF(MIN(X48,Y48)&gt;=0.5,"Caution","High-risk")))</f>
        <v/>
      </c>
      <c r="AA48" s="26" t="str">
        <f aca="false">IF(Z48="","",IF(Z48="Normal",100,IF(Z48="Caution",60,20)))</f>
        <v/>
      </c>
      <c r="AB48" s="25"/>
      <c r="AC48" s="26" t="str">
        <f aca="false">IF(AB48="","",IF(AB48=0,"Normal",IF(AB48&lt;3,"Caution","High-risk")))</f>
        <v/>
      </c>
      <c r="AD48" s="26" t="str">
        <f aca="false">IF(AC48="","",IF(AC48="Normal",100,IF(AC48="Caution",60,20)))</f>
        <v/>
      </c>
      <c r="AE48" s="25"/>
      <c r="AF48" s="25"/>
      <c r="AG48" s="25"/>
      <c r="AH48" s="26" t="str">
        <f aca="false">IF(OR(AF48="",AG48="",AG48=0),"",AF48/AG48)</f>
        <v/>
      </c>
      <c r="AI48" s="26" t="str">
        <f aca="false">IF(AND(AE48="",AF48=""),"",IF(AND(AH48&lt;&gt;"",AH48&lt;0.5),"High-risk",IF(OR(AE48="Yes",AND(AH48&lt;&gt;"",AH48&lt;0.8)),"Caution","Normal")))</f>
        <v/>
      </c>
      <c r="AJ48" s="26" t="str">
        <f aca="false">IF(AI48="","",IF(AI48="Normal",100,IF(AI48="Caution",60,20)))</f>
        <v/>
      </c>
      <c r="AK48" s="25"/>
      <c r="AL48" s="25"/>
      <c r="AM48" s="25"/>
      <c r="AN48" s="25"/>
      <c r="AO48" s="26" t="str">
        <f aca="false">IF(COUNTBLANK(AK48:AN48)=4,"",IF(COUNTIF(AK48:AN48,"Yes")&gt;0,"REFER - TB symptom screen positive","Clear"))</f>
        <v/>
      </c>
      <c r="AP48" s="25"/>
      <c r="AQ48" s="26" t="n">
        <f aca="false">COUNT(J48,L48,O48,S48,W48,AA48,AD48,AJ48)</f>
        <v>0</v>
      </c>
      <c r="AR48" s="26" t="str">
        <f aca="false">IF(AQ48=0,"",((IF(J48&lt;&gt;"",J48*UndernutritionWeight,0)+IF(L48&lt;&gt;"",L48*OverweightWeight,0)+IF(O48&lt;&gt;"",O48*AnaemiaWeight,0)+IF(S48&lt;&gt;"",S48*BPWeight,0)+IF(W48&lt;&gt;"",W48*MetabolicWeight,0)+IF(AA48&lt;&gt;"",AA48*VisionWeight,0)+IF(AD48&lt;&gt;"",AD48*OralWeight,0)+IF(AJ48&lt;&gt;"",AJ48*RespiratoryWeight,0))/(IF(J48&lt;&gt;"",UndernutritionWeight,0)+IF(L48&lt;&gt;"",OverweightWeight,0)+IF(O48&lt;&gt;"",AnaemiaWeight,0)+IF(S48&lt;&gt;"",BPWeight,0)+IF(W48&lt;&gt;"",MetabolicWeight,0)+IF(AA48&lt;&gt;"",VisionWeight,0)+IF(AD48&lt;&gt;"",OralWeight,0)+IF(AJ48&lt;&gt;"",RespiratoryWeight,0))))</f>
        <v/>
      </c>
      <c r="AS48" s="26" t="str">
        <f aca="false">IF(AR48="","Incomplete",IF(AR48&gt;=80,"Green - On Track",IF(AR48&gt;=60,"Amber - Monitor","Red - Refer")))</f>
        <v>Incomplete</v>
      </c>
      <c r="AT48" s="26" t="str">
        <f aca="false">IF(OR(I48="High-risk",K48="High-risk",N48="High-risk",R48="High-risk",V48="High-risk",Z48="High-risk",AC48="High-risk",AI48="High-risk"),"OVERRIDE - Individual referral required","")</f>
        <v/>
      </c>
      <c r="AU48" s="26" t="str">
        <f aca="false">TRIM(AS48&amp;IF(AT48&lt;&gt;""," | "&amp;AT48,"")&amp;IF(AND(AO48&lt;&gt;"",AO48&lt;&gt;"Clear")," | "&amp;AO48,"")&amp;IF(AND(AP48&lt;&gt;"",AP48&lt;&gt;"Clear")," | Mental wellbeing: "&amp;AP48,""))</f>
        <v>Incomplete</v>
      </c>
    </row>
    <row r="49" customFormat="false" ht="15" hidden="false" customHeight="false" outlineLevel="0" collapsed="false">
      <c r="A49" s="25"/>
      <c r="B49" s="25"/>
      <c r="C49" s="25"/>
      <c r="D49" s="25"/>
      <c r="E49" s="25"/>
      <c r="F49" s="25"/>
      <c r="G49" s="25"/>
      <c r="H49" s="26" t="str">
        <f aca="false">IF(AND(F49&lt;&gt;"",G49&lt;&gt;""),G49/((F49/100)^2),"")</f>
        <v/>
      </c>
      <c r="I49" s="25"/>
      <c r="J49" s="26" t="str">
        <f aca="false">IF(I49="","",IF(I49="Normal",100,IF(I49="Caution",60,IF(I49="High-risk",20,""))))</f>
        <v/>
      </c>
      <c r="K49" s="25"/>
      <c r="L49" s="26" t="str">
        <f aca="false">IF(K49="","",IF(K49="Normal",100,IF(K49="Caution",60,IF(K49="High-risk",20,""))))</f>
        <v/>
      </c>
      <c r="M49" s="25"/>
      <c r="N49" s="25"/>
      <c r="O49" s="26" t="str">
        <f aca="false">IF(N49="","",IF(N49="Normal",100,IF(N49="Caution",60,IF(N49="High-risk",20,""))))</f>
        <v/>
      </c>
      <c r="P49" s="25"/>
      <c r="Q49" s="25"/>
      <c r="R49" s="25"/>
      <c r="S49" s="26" t="str">
        <f aca="false">IF(R49="","",IF(R49="Normal",100,IF(R49="Caution",60,IF(R49="High-risk",20,""))))</f>
        <v/>
      </c>
      <c r="T49" s="25"/>
      <c r="U49" s="25"/>
      <c r="V49" s="25"/>
      <c r="W49" s="26" t="str">
        <f aca="false">IF(V49="","",IF(V49="Normal",100,IF(V49="Caution",60,IF(V49="High-risk",20,""))))</f>
        <v/>
      </c>
      <c r="X49" s="25"/>
      <c r="Y49" s="25"/>
      <c r="Z49" s="26" t="str">
        <f aca="false">IF(OR(X49="",Y49=""),"",IF(MIN(X49,Y49)&gt;=0.67,"Normal",IF(MIN(X49,Y49)&gt;=0.5,"Caution","High-risk")))</f>
        <v/>
      </c>
      <c r="AA49" s="26" t="str">
        <f aca="false">IF(Z49="","",IF(Z49="Normal",100,IF(Z49="Caution",60,20)))</f>
        <v/>
      </c>
      <c r="AB49" s="25"/>
      <c r="AC49" s="26" t="str">
        <f aca="false">IF(AB49="","",IF(AB49=0,"Normal",IF(AB49&lt;3,"Caution","High-risk")))</f>
        <v/>
      </c>
      <c r="AD49" s="26" t="str">
        <f aca="false">IF(AC49="","",IF(AC49="Normal",100,IF(AC49="Caution",60,20)))</f>
        <v/>
      </c>
      <c r="AE49" s="25"/>
      <c r="AF49" s="25"/>
      <c r="AG49" s="25"/>
      <c r="AH49" s="26" t="str">
        <f aca="false">IF(OR(AF49="",AG49="",AG49=0),"",AF49/AG49)</f>
        <v/>
      </c>
      <c r="AI49" s="26" t="str">
        <f aca="false">IF(AND(AE49="",AF49=""),"",IF(AND(AH49&lt;&gt;"",AH49&lt;0.5),"High-risk",IF(OR(AE49="Yes",AND(AH49&lt;&gt;"",AH49&lt;0.8)),"Caution","Normal")))</f>
        <v/>
      </c>
      <c r="AJ49" s="26" t="str">
        <f aca="false">IF(AI49="","",IF(AI49="Normal",100,IF(AI49="Caution",60,20)))</f>
        <v/>
      </c>
      <c r="AK49" s="25"/>
      <c r="AL49" s="25"/>
      <c r="AM49" s="25"/>
      <c r="AN49" s="25"/>
      <c r="AO49" s="26" t="str">
        <f aca="false">IF(COUNTBLANK(AK49:AN49)=4,"",IF(COUNTIF(AK49:AN49,"Yes")&gt;0,"REFER - TB symptom screen positive","Clear"))</f>
        <v/>
      </c>
      <c r="AP49" s="25"/>
      <c r="AQ49" s="26" t="n">
        <f aca="false">COUNT(J49,L49,O49,S49,W49,AA49,AD49,AJ49)</f>
        <v>0</v>
      </c>
      <c r="AR49" s="26" t="str">
        <f aca="false">IF(AQ49=0,"",((IF(J49&lt;&gt;"",J49*UndernutritionWeight,0)+IF(L49&lt;&gt;"",L49*OverweightWeight,0)+IF(O49&lt;&gt;"",O49*AnaemiaWeight,0)+IF(S49&lt;&gt;"",S49*BPWeight,0)+IF(W49&lt;&gt;"",W49*MetabolicWeight,0)+IF(AA49&lt;&gt;"",AA49*VisionWeight,0)+IF(AD49&lt;&gt;"",AD49*OralWeight,0)+IF(AJ49&lt;&gt;"",AJ49*RespiratoryWeight,0))/(IF(J49&lt;&gt;"",UndernutritionWeight,0)+IF(L49&lt;&gt;"",OverweightWeight,0)+IF(O49&lt;&gt;"",AnaemiaWeight,0)+IF(S49&lt;&gt;"",BPWeight,0)+IF(W49&lt;&gt;"",MetabolicWeight,0)+IF(AA49&lt;&gt;"",VisionWeight,0)+IF(AD49&lt;&gt;"",OralWeight,0)+IF(AJ49&lt;&gt;"",RespiratoryWeight,0))))</f>
        <v/>
      </c>
      <c r="AS49" s="26" t="str">
        <f aca="false">IF(AR49="","Incomplete",IF(AR49&gt;=80,"Green - On Track",IF(AR49&gt;=60,"Amber - Monitor","Red - Refer")))</f>
        <v>Incomplete</v>
      </c>
      <c r="AT49" s="26" t="str">
        <f aca="false">IF(OR(I49="High-risk",K49="High-risk",N49="High-risk",R49="High-risk",V49="High-risk",Z49="High-risk",AC49="High-risk",AI49="High-risk"),"OVERRIDE - Individual referral required","")</f>
        <v/>
      </c>
      <c r="AU49" s="26" t="str">
        <f aca="false">TRIM(AS49&amp;IF(AT49&lt;&gt;""," | "&amp;AT49,"")&amp;IF(AND(AO49&lt;&gt;"",AO49&lt;&gt;"Clear")," | "&amp;AO49,"")&amp;IF(AND(AP49&lt;&gt;"",AP49&lt;&gt;"Clear")," | Mental wellbeing: "&amp;AP49,""))</f>
        <v>Incomplete</v>
      </c>
    </row>
    <row r="50" customFormat="false" ht="15" hidden="false" customHeight="false" outlineLevel="0" collapsed="false">
      <c r="A50" s="25"/>
      <c r="B50" s="25"/>
      <c r="C50" s="25"/>
      <c r="D50" s="25"/>
      <c r="E50" s="25"/>
      <c r="F50" s="25"/>
      <c r="G50" s="25"/>
      <c r="H50" s="26" t="str">
        <f aca="false">IF(AND(F50&lt;&gt;"",G50&lt;&gt;""),G50/((F50/100)^2),"")</f>
        <v/>
      </c>
      <c r="I50" s="25"/>
      <c r="J50" s="26" t="str">
        <f aca="false">IF(I50="","",IF(I50="Normal",100,IF(I50="Caution",60,IF(I50="High-risk",20,""))))</f>
        <v/>
      </c>
      <c r="K50" s="25"/>
      <c r="L50" s="26" t="str">
        <f aca="false">IF(K50="","",IF(K50="Normal",100,IF(K50="Caution",60,IF(K50="High-risk",20,""))))</f>
        <v/>
      </c>
      <c r="M50" s="25"/>
      <c r="N50" s="25"/>
      <c r="O50" s="26" t="str">
        <f aca="false">IF(N50="","",IF(N50="Normal",100,IF(N50="Caution",60,IF(N50="High-risk",20,""))))</f>
        <v/>
      </c>
      <c r="P50" s="25"/>
      <c r="Q50" s="25"/>
      <c r="R50" s="25"/>
      <c r="S50" s="26" t="str">
        <f aca="false">IF(R50="","",IF(R50="Normal",100,IF(R50="Caution",60,IF(R50="High-risk",20,""))))</f>
        <v/>
      </c>
      <c r="T50" s="25"/>
      <c r="U50" s="25"/>
      <c r="V50" s="25"/>
      <c r="W50" s="26" t="str">
        <f aca="false">IF(V50="","",IF(V50="Normal",100,IF(V50="Caution",60,IF(V50="High-risk",20,""))))</f>
        <v/>
      </c>
      <c r="X50" s="25"/>
      <c r="Y50" s="25"/>
      <c r="Z50" s="26" t="str">
        <f aca="false">IF(OR(X50="",Y50=""),"",IF(MIN(X50,Y50)&gt;=0.67,"Normal",IF(MIN(X50,Y50)&gt;=0.5,"Caution","High-risk")))</f>
        <v/>
      </c>
      <c r="AA50" s="26" t="str">
        <f aca="false">IF(Z50="","",IF(Z50="Normal",100,IF(Z50="Caution",60,20)))</f>
        <v/>
      </c>
      <c r="AB50" s="25"/>
      <c r="AC50" s="26" t="str">
        <f aca="false">IF(AB50="","",IF(AB50=0,"Normal",IF(AB50&lt;3,"Caution","High-risk")))</f>
        <v/>
      </c>
      <c r="AD50" s="26" t="str">
        <f aca="false">IF(AC50="","",IF(AC50="Normal",100,IF(AC50="Caution",60,20)))</f>
        <v/>
      </c>
      <c r="AE50" s="25"/>
      <c r="AF50" s="25"/>
      <c r="AG50" s="25"/>
      <c r="AH50" s="26" t="str">
        <f aca="false">IF(OR(AF50="",AG50="",AG50=0),"",AF50/AG50)</f>
        <v/>
      </c>
      <c r="AI50" s="26" t="str">
        <f aca="false">IF(AND(AE50="",AF50=""),"",IF(AND(AH50&lt;&gt;"",AH50&lt;0.5),"High-risk",IF(OR(AE50="Yes",AND(AH50&lt;&gt;"",AH50&lt;0.8)),"Caution","Normal")))</f>
        <v/>
      </c>
      <c r="AJ50" s="26" t="str">
        <f aca="false">IF(AI50="","",IF(AI50="Normal",100,IF(AI50="Caution",60,20)))</f>
        <v/>
      </c>
      <c r="AK50" s="25"/>
      <c r="AL50" s="25"/>
      <c r="AM50" s="25"/>
      <c r="AN50" s="25"/>
      <c r="AO50" s="26" t="str">
        <f aca="false">IF(COUNTBLANK(AK50:AN50)=4,"",IF(COUNTIF(AK50:AN50,"Yes")&gt;0,"REFER - TB symptom screen positive","Clear"))</f>
        <v/>
      </c>
      <c r="AP50" s="25"/>
      <c r="AQ50" s="26" t="n">
        <f aca="false">COUNT(J50,L50,O50,S50,W50,AA50,AD50,AJ50)</f>
        <v>0</v>
      </c>
      <c r="AR50" s="26" t="str">
        <f aca="false">IF(AQ50=0,"",((IF(J50&lt;&gt;"",J50*UndernutritionWeight,0)+IF(L50&lt;&gt;"",L50*OverweightWeight,0)+IF(O50&lt;&gt;"",O50*AnaemiaWeight,0)+IF(S50&lt;&gt;"",S50*BPWeight,0)+IF(W50&lt;&gt;"",W50*MetabolicWeight,0)+IF(AA50&lt;&gt;"",AA50*VisionWeight,0)+IF(AD50&lt;&gt;"",AD50*OralWeight,0)+IF(AJ50&lt;&gt;"",AJ50*RespiratoryWeight,0))/(IF(J50&lt;&gt;"",UndernutritionWeight,0)+IF(L50&lt;&gt;"",OverweightWeight,0)+IF(O50&lt;&gt;"",AnaemiaWeight,0)+IF(S50&lt;&gt;"",BPWeight,0)+IF(W50&lt;&gt;"",MetabolicWeight,0)+IF(AA50&lt;&gt;"",VisionWeight,0)+IF(AD50&lt;&gt;"",OralWeight,0)+IF(AJ50&lt;&gt;"",RespiratoryWeight,0))))</f>
        <v/>
      </c>
      <c r="AS50" s="26" t="str">
        <f aca="false">IF(AR50="","Incomplete",IF(AR50&gt;=80,"Green - On Track",IF(AR50&gt;=60,"Amber - Monitor","Red - Refer")))</f>
        <v>Incomplete</v>
      </c>
      <c r="AT50" s="26" t="str">
        <f aca="false">IF(OR(I50="High-risk",K50="High-risk",N50="High-risk",R50="High-risk",V50="High-risk",Z50="High-risk",AC50="High-risk",AI50="High-risk"),"OVERRIDE - Individual referral required","")</f>
        <v/>
      </c>
      <c r="AU50" s="26" t="str">
        <f aca="false">TRIM(AS50&amp;IF(AT50&lt;&gt;""," | "&amp;AT50,"")&amp;IF(AND(AO50&lt;&gt;"",AO50&lt;&gt;"Clear")," | "&amp;AO50,"")&amp;IF(AND(AP50&lt;&gt;"",AP50&lt;&gt;"Clear")," | Mental wellbeing: "&amp;AP50,""))</f>
        <v>Incomplete</v>
      </c>
    </row>
    <row r="51" customFormat="false" ht="15" hidden="false" customHeight="false" outlineLevel="0" collapsed="false">
      <c r="A51" s="25"/>
      <c r="B51" s="25"/>
      <c r="C51" s="25"/>
      <c r="D51" s="25"/>
      <c r="E51" s="25"/>
      <c r="F51" s="25"/>
      <c r="G51" s="25"/>
      <c r="H51" s="26" t="str">
        <f aca="false">IF(AND(F51&lt;&gt;"",G51&lt;&gt;""),G51/((F51/100)^2),"")</f>
        <v/>
      </c>
      <c r="I51" s="25"/>
      <c r="J51" s="26" t="str">
        <f aca="false">IF(I51="","",IF(I51="Normal",100,IF(I51="Caution",60,IF(I51="High-risk",20,""))))</f>
        <v/>
      </c>
      <c r="K51" s="25"/>
      <c r="L51" s="26" t="str">
        <f aca="false">IF(K51="","",IF(K51="Normal",100,IF(K51="Caution",60,IF(K51="High-risk",20,""))))</f>
        <v/>
      </c>
      <c r="M51" s="25"/>
      <c r="N51" s="25"/>
      <c r="O51" s="26" t="str">
        <f aca="false">IF(N51="","",IF(N51="Normal",100,IF(N51="Caution",60,IF(N51="High-risk",20,""))))</f>
        <v/>
      </c>
      <c r="P51" s="25"/>
      <c r="Q51" s="25"/>
      <c r="R51" s="25"/>
      <c r="S51" s="26" t="str">
        <f aca="false">IF(R51="","",IF(R51="Normal",100,IF(R51="Caution",60,IF(R51="High-risk",20,""))))</f>
        <v/>
      </c>
      <c r="T51" s="25"/>
      <c r="U51" s="25"/>
      <c r="V51" s="25"/>
      <c r="W51" s="26" t="str">
        <f aca="false">IF(V51="","",IF(V51="Normal",100,IF(V51="Caution",60,IF(V51="High-risk",20,""))))</f>
        <v/>
      </c>
      <c r="X51" s="25"/>
      <c r="Y51" s="25"/>
      <c r="Z51" s="26" t="str">
        <f aca="false">IF(OR(X51="",Y51=""),"",IF(MIN(X51,Y51)&gt;=0.67,"Normal",IF(MIN(X51,Y51)&gt;=0.5,"Caution","High-risk")))</f>
        <v/>
      </c>
      <c r="AA51" s="26" t="str">
        <f aca="false">IF(Z51="","",IF(Z51="Normal",100,IF(Z51="Caution",60,20)))</f>
        <v/>
      </c>
      <c r="AB51" s="25"/>
      <c r="AC51" s="26" t="str">
        <f aca="false">IF(AB51="","",IF(AB51=0,"Normal",IF(AB51&lt;3,"Caution","High-risk")))</f>
        <v/>
      </c>
      <c r="AD51" s="26" t="str">
        <f aca="false">IF(AC51="","",IF(AC51="Normal",100,IF(AC51="Caution",60,20)))</f>
        <v/>
      </c>
      <c r="AE51" s="25"/>
      <c r="AF51" s="25"/>
      <c r="AG51" s="25"/>
      <c r="AH51" s="26" t="str">
        <f aca="false">IF(OR(AF51="",AG51="",AG51=0),"",AF51/AG51)</f>
        <v/>
      </c>
      <c r="AI51" s="26" t="str">
        <f aca="false">IF(AND(AE51="",AF51=""),"",IF(AND(AH51&lt;&gt;"",AH51&lt;0.5),"High-risk",IF(OR(AE51="Yes",AND(AH51&lt;&gt;"",AH51&lt;0.8)),"Caution","Normal")))</f>
        <v/>
      </c>
      <c r="AJ51" s="26" t="str">
        <f aca="false">IF(AI51="","",IF(AI51="Normal",100,IF(AI51="Caution",60,20)))</f>
        <v/>
      </c>
      <c r="AK51" s="25"/>
      <c r="AL51" s="25"/>
      <c r="AM51" s="25"/>
      <c r="AN51" s="25"/>
      <c r="AO51" s="26" t="str">
        <f aca="false">IF(COUNTBLANK(AK51:AN51)=4,"",IF(COUNTIF(AK51:AN51,"Yes")&gt;0,"REFER - TB symptom screen positive","Clear"))</f>
        <v/>
      </c>
      <c r="AP51" s="25"/>
      <c r="AQ51" s="26" t="n">
        <f aca="false">COUNT(J51,L51,O51,S51,W51,AA51,AD51,AJ51)</f>
        <v>0</v>
      </c>
      <c r="AR51" s="26" t="str">
        <f aca="false">IF(AQ51=0,"",((IF(J51&lt;&gt;"",J51*UndernutritionWeight,0)+IF(L51&lt;&gt;"",L51*OverweightWeight,0)+IF(O51&lt;&gt;"",O51*AnaemiaWeight,0)+IF(S51&lt;&gt;"",S51*BPWeight,0)+IF(W51&lt;&gt;"",W51*MetabolicWeight,0)+IF(AA51&lt;&gt;"",AA51*VisionWeight,0)+IF(AD51&lt;&gt;"",AD51*OralWeight,0)+IF(AJ51&lt;&gt;"",AJ51*RespiratoryWeight,0))/(IF(J51&lt;&gt;"",UndernutritionWeight,0)+IF(L51&lt;&gt;"",OverweightWeight,0)+IF(O51&lt;&gt;"",AnaemiaWeight,0)+IF(S51&lt;&gt;"",BPWeight,0)+IF(W51&lt;&gt;"",MetabolicWeight,0)+IF(AA51&lt;&gt;"",VisionWeight,0)+IF(AD51&lt;&gt;"",OralWeight,0)+IF(AJ51&lt;&gt;"",RespiratoryWeight,0))))</f>
        <v/>
      </c>
      <c r="AS51" s="26" t="str">
        <f aca="false">IF(AR51="","Incomplete",IF(AR51&gt;=80,"Green - On Track",IF(AR51&gt;=60,"Amber - Monitor","Red - Refer")))</f>
        <v>Incomplete</v>
      </c>
      <c r="AT51" s="26" t="str">
        <f aca="false">IF(OR(I51="High-risk",K51="High-risk",N51="High-risk",R51="High-risk",V51="High-risk",Z51="High-risk",AC51="High-risk",AI51="High-risk"),"OVERRIDE - Individual referral required","")</f>
        <v/>
      </c>
      <c r="AU51" s="26" t="str">
        <f aca="false">TRIM(AS51&amp;IF(AT51&lt;&gt;""," | "&amp;AT51,"")&amp;IF(AND(AO51&lt;&gt;"",AO51&lt;&gt;"Clear")," | "&amp;AO51,"")&amp;IF(AND(AP51&lt;&gt;"",AP51&lt;&gt;"Clear")," | Mental wellbeing: "&amp;AP51,""))</f>
        <v>Incomplete</v>
      </c>
    </row>
    <row r="52" customFormat="false" ht="15" hidden="false" customHeight="false" outlineLevel="0" collapsed="false">
      <c r="A52" s="25"/>
      <c r="B52" s="25"/>
      <c r="C52" s="25"/>
      <c r="D52" s="25"/>
      <c r="E52" s="25"/>
      <c r="F52" s="25"/>
      <c r="G52" s="25"/>
      <c r="H52" s="26" t="str">
        <f aca="false">IF(AND(F52&lt;&gt;"",G52&lt;&gt;""),G52/((F52/100)^2),"")</f>
        <v/>
      </c>
      <c r="I52" s="25"/>
      <c r="J52" s="26" t="str">
        <f aca="false">IF(I52="","",IF(I52="Normal",100,IF(I52="Caution",60,IF(I52="High-risk",20,""))))</f>
        <v/>
      </c>
      <c r="K52" s="25"/>
      <c r="L52" s="26" t="str">
        <f aca="false">IF(K52="","",IF(K52="Normal",100,IF(K52="Caution",60,IF(K52="High-risk",20,""))))</f>
        <v/>
      </c>
      <c r="M52" s="25"/>
      <c r="N52" s="25"/>
      <c r="O52" s="26" t="str">
        <f aca="false">IF(N52="","",IF(N52="Normal",100,IF(N52="Caution",60,IF(N52="High-risk",20,""))))</f>
        <v/>
      </c>
      <c r="P52" s="25"/>
      <c r="Q52" s="25"/>
      <c r="R52" s="25"/>
      <c r="S52" s="26" t="str">
        <f aca="false">IF(R52="","",IF(R52="Normal",100,IF(R52="Caution",60,IF(R52="High-risk",20,""))))</f>
        <v/>
      </c>
      <c r="T52" s="25"/>
      <c r="U52" s="25"/>
      <c r="V52" s="25"/>
      <c r="W52" s="26" t="str">
        <f aca="false">IF(V52="","",IF(V52="Normal",100,IF(V52="Caution",60,IF(V52="High-risk",20,""))))</f>
        <v/>
      </c>
      <c r="X52" s="25"/>
      <c r="Y52" s="25"/>
      <c r="Z52" s="26" t="str">
        <f aca="false">IF(OR(X52="",Y52=""),"",IF(MIN(X52,Y52)&gt;=0.67,"Normal",IF(MIN(X52,Y52)&gt;=0.5,"Caution","High-risk")))</f>
        <v/>
      </c>
      <c r="AA52" s="26" t="str">
        <f aca="false">IF(Z52="","",IF(Z52="Normal",100,IF(Z52="Caution",60,20)))</f>
        <v/>
      </c>
      <c r="AB52" s="25"/>
      <c r="AC52" s="26" t="str">
        <f aca="false">IF(AB52="","",IF(AB52=0,"Normal",IF(AB52&lt;3,"Caution","High-risk")))</f>
        <v/>
      </c>
      <c r="AD52" s="26" t="str">
        <f aca="false">IF(AC52="","",IF(AC52="Normal",100,IF(AC52="Caution",60,20)))</f>
        <v/>
      </c>
      <c r="AE52" s="25"/>
      <c r="AF52" s="25"/>
      <c r="AG52" s="25"/>
      <c r="AH52" s="26" t="str">
        <f aca="false">IF(OR(AF52="",AG52="",AG52=0),"",AF52/AG52)</f>
        <v/>
      </c>
      <c r="AI52" s="26" t="str">
        <f aca="false">IF(AND(AE52="",AF52=""),"",IF(AND(AH52&lt;&gt;"",AH52&lt;0.5),"High-risk",IF(OR(AE52="Yes",AND(AH52&lt;&gt;"",AH52&lt;0.8)),"Caution","Normal")))</f>
        <v/>
      </c>
      <c r="AJ52" s="26" t="str">
        <f aca="false">IF(AI52="","",IF(AI52="Normal",100,IF(AI52="Caution",60,20)))</f>
        <v/>
      </c>
      <c r="AK52" s="25"/>
      <c r="AL52" s="25"/>
      <c r="AM52" s="25"/>
      <c r="AN52" s="25"/>
      <c r="AO52" s="26" t="str">
        <f aca="false">IF(COUNTBLANK(AK52:AN52)=4,"",IF(COUNTIF(AK52:AN52,"Yes")&gt;0,"REFER - TB symptom screen positive","Clear"))</f>
        <v/>
      </c>
      <c r="AP52" s="25"/>
      <c r="AQ52" s="26" t="n">
        <f aca="false">COUNT(J52,L52,O52,S52,W52,AA52,AD52,AJ52)</f>
        <v>0</v>
      </c>
      <c r="AR52" s="26" t="str">
        <f aca="false">IF(AQ52=0,"",((IF(J52&lt;&gt;"",J52*UndernutritionWeight,0)+IF(L52&lt;&gt;"",L52*OverweightWeight,0)+IF(O52&lt;&gt;"",O52*AnaemiaWeight,0)+IF(S52&lt;&gt;"",S52*BPWeight,0)+IF(W52&lt;&gt;"",W52*MetabolicWeight,0)+IF(AA52&lt;&gt;"",AA52*VisionWeight,0)+IF(AD52&lt;&gt;"",AD52*OralWeight,0)+IF(AJ52&lt;&gt;"",AJ52*RespiratoryWeight,0))/(IF(J52&lt;&gt;"",UndernutritionWeight,0)+IF(L52&lt;&gt;"",OverweightWeight,0)+IF(O52&lt;&gt;"",AnaemiaWeight,0)+IF(S52&lt;&gt;"",BPWeight,0)+IF(W52&lt;&gt;"",MetabolicWeight,0)+IF(AA52&lt;&gt;"",VisionWeight,0)+IF(AD52&lt;&gt;"",OralWeight,0)+IF(AJ52&lt;&gt;"",RespiratoryWeight,0))))</f>
        <v/>
      </c>
      <c r="AS52" s="26" t="str">
        <f aca="false">IF(AR52="","Incomplete",IF(AR52&gt;=80,"Green - On Track",IF(AR52&gt;=60,"Amber - Monitor","Red - Refer")))</f>
        <v>Incomplete</v>
      </c>
      <c r="AT52" s="26" t="str">
        <f aca="false">IF(OR(I52="High-risk",K52="High-risk",N52="High-risk",R52="High-risk",V52="High-risk",Z52="High-risk",AC52="High-risk",AI52="High-risk"),"OVERRIDE - Individual referral required","")</f>
        <v/>
      </c>
      <c r="AU52" s="26" t="str">
        <f aca="false">TRIM(AS52&amp;IF(AT52&lt;&gt;""," | "&amp;AT52,"")&amp;IF(AND(AO52&lt;&gt;"",AO52&lt;&gt;"Clear")," | "&amp;AO52,"")&amp;IF(AND(AP52&lt;&gt;"",AP52&lt;&gt;"Clear")," | Mental wellbeing: "&amp;AP52,""))</f>
        <v>Incomplete</v>
      </c>
    </row>
    <row r="53" customFormat="false" ht="15" hidden="false" customHeight="false" outlineLevel="0" collapsed="false">
      <c r="A53" s="25"/>
      <c r="B53" s="25"/>
      <c r="C53" s="25"/>
      <c r="D53" s="25"/>
      <c r="E53" s="25"/>
      <c r="F53" s="25"/>
      <c r="G53" s="25"/>
      <c r="H53" s="26" t="str">
        <f aca="false">IF(AND(F53&lt;&gt;"",G53&lt;&gt;""),G53/((F53/100)^2),"")</f>
        <v/>
      </c>
      <c r="I53" s="25"/>
      <c r="J53" s="26" t="str">
        <f aca="false">IF(I53="","",IF(I53="Normal",100,IF(I53="Caution",60,IF(I53="High-risk",20,""))))</f>
        <v/>
      </c>
      <c r="K53" s="25"/>
      <c r="L53" s="26" t="str">
        <f aca="false">IF(K53="","",IF(K53="Normal",100,IF(K53="Caution",60,IF(K53="High-risk",20,""))))</f>
        <v/>
      </c>
      <c r="M53" s="25"/>
      <c r="N53" s="25"/>
      <c r="O53" s="26" t="str">
        <f aca="false">IF(N53="","",IF(N53="Normal",100,IF(N53="Caution",60,IF(N53="High-risk",20,""))))</f>
        <v/>
      </c>
      <c r="P53" s="25"/>
      <c r="Q53" s="25"/>
      <c r="R53" s="25"/>
      <c r="S53" s="26" t="str">
        <f aca="false">IF(R53="","",IF(R53="Normal",100,IF(R53="Caution",60,IF(R53="High-risk",20,""))))</f>
        <v/>
      </c>
      <c r="T53" s="25"/>
      <c r="U53" s="25"/>
      <c r="V53" s="25"/>
      <c r="W53" s="26" t="str">
        <f aca="false">IF(V53="","",IF(V53="Normal",100,IF(V53="Caution",60,IF(V53="High-risk",20,""))))</f>
        <v/>
      </c>
      <c r="X53" s="25"/>
      <c r="Y53" s="25"/>
      <c r="Z53" s="26" t="str">
        <f aca="false">IF(OR(X53="",Y53=""),"",IF(MIN(X53,Y53)&gt;=0.67,"Normal",IF(MIN(X53,Y53)&gt;=0.5,"Caution","High-risk")))</f>
        <v/>
      </c>
      <c r="AA53" s="26" t="str">
        <f aca="false">IF(Z53="","",IF(Z53="Normal",100,IF(Z53="Caution",60,20)))</f>
        <v/>
      </c>
      <c r="AB53" s="25"/>
      <c r="AC53" s="26" t="str">
        <f aca="false">IF(AB53="","",IF(AB53=0,"Normal",IF(AB53&lt;3,"Caution","High-risk")))</f>
        <v/>
      </c>
      <c r="AD53" s="26" t="str">
        <f aca="false">IF(AC53="","",IF(AC53="Normal",100,IF(AC53="Caution",60,20)))</f>
        <v/>
      </c>
      <c r="AE53" s="25"/>
      <c r="AF53" s="25"/>
      <c r="AG53" s="25"/>
      <c r="AH53" s="26" t="str">
        <f aca="false">IF(OR(AF53="",AG53="",AG53=0),"",AF53/AG53)</f>
        <v/>
      </c>
      <c r="AI53" s="26" t="str">
        <f aca="false">IF(AND(AE53="",AF53=""),"",IF(AND(AH53&lt;&gt;"",AH53&lt;0.5),"High-risk",IF(OR(AE53="Yes",AND(AH53&lt;&gt;"",AH53&lt;0.8)),"Caution","Normal")))</f>
        <v/>
      </c>
      <c r="AJ53" s="26" t="str">
        <f aca="false">IF(AI53="","",IF(AI53="Normal",100,IF(AI53="Caution",60,20)))</f>
        <v/>
      </c>
      <c r="AK53" s="25"/>
      <c r="AL53" s="25"/>
      <c r="AM53" s="25"/>
      <c r="AN53" s="25"/>
      <c r="AO53" s="26" t="str">
        <f aca="false">IF(COUNTBLANK(AK53:AN53)=4,"",IF(COUNTIF(AK53:AN53,"Yes")&gt;0,"REFER - TB symptom screen positive","Clear"))</f>
        <v/>
      </c>
      <c r="AP53" s="25"/>
      <c r="AQ53" s="26" t="n">
        <f aca="false">COUNT(J53,L53,O53,S53,W53,AA53,AD53,AJ53)</f>
        <v>0</v>
      </c>
      <c r="AR53" s="26" t="str">
        <f aca="false">IF(AQ53=0,"",((IF(J53&lt;&gt;"",J53*UndernutritionWeight,0)+IF(L53&lt;&gt;"",L53*OverweightWeight,0)+IF(O53&lt;&gt;"",O53*AnaemiaWeight,0)+IF(S53&lt;&gt;"",S53*BPWeight,0)+IF(W53&lt;&gt;"",W53*MetabolicWeight,0)+IF(AA53&lt;&gt;"",AA53*VisionWeight,0)+IF(AD53&lt;&gt;"",AD53*OralWeight,0)+IF(AJ53&lt;&gt;"",AJ53*RespiratoryWeight,0))/(IF(J53&lt;&gt;"",UndernutritionWeight,0)+IF(L53&lt;&gt;"",OverweightWeight,0)+IF(O53&lt;&gt;"",AnaemiaWeight,0)+IF(S53&lt;&gt;"",BPWeight,0)+IF(W53&lt;&gt;"",MetabolicWeight,0)+IF(AA53&lt;&gt;"",VisionWeight,0)+IF(AD53&lt;&gt;"",OralWeight,0)+IF(AJ53&lt;&gt;"",RespiratoryWeight,0))))</f>
        <v/>
      </c>
      <c r="AS53" s="26" t="str">
        <f aca="false">IF(AR53="","Incomplete",IF(AR53&gt;=80,"Green - On Track",IF(AR53&gt;=60,"Amber - Monitor","Red - Refer")))</f>
        <v>Incomplete</v>
      </c>
      <c r="AT53" s="26" t="str">
        <f aca="false">IF(OR(I53="High-risk",K53="High-risk",N53="High-risk",R53="High-risk",V53="High-risk",Z53="High-risk",AC53="High-risk",AI53="High-risk"),"OVERRIDE - Individual referral required","")</f>
        <v/>
      </c>
      <c r="AU53" s="26" t="str">
        <f aca="false">TRIM(AS53&amp;IF(AT53&lt;&gt;""," | "&amp;AT53,"")&amp;IF(AND(AO53&lt;&gt;"",AO53&lt;&gt;"Clear")," | "&amp;AO53,"")&amp;IF(AND(AP53&lt;&gt;"",AP53&lt;&gt;"Clear")," | Mental wellbeing: "&amp;AP53,""))</f>
        <v>Incomplete</v>
      </c>
    </row>
    <row r="54" customFormat="false" ht="15" hidden="false" customHeight="false" outlineLevel="0" collapsed="false">
      <c r="A54" s="25"/>
      <c r="B54" s="25"/>
      <c r="C54" s="25"/>
      <c r="D54" s="25"/>
      <c r="E54" s="25"/>
      <c r="F54" s="25"/>
      <c r="G54" s="25"/>
      <c r="H54" s="26" t="str">
        <f aca="false">IF(AND(F54&lt;&gt;"",G54&lt;&gt;""),G54/((F54/100)^2),"")</f>
        <v/>
      </c>
      <c r="I54" s="25"/>
      <c r="J54" s="26" t="str">
        <f aca="false">IF(I54="","",IF(I54="Normal",100,IF(I54="Caution",60,IF(I54="High-risk",20,""))))</f>
        <v/>
      </c>
      <c r="K54" s="25"/>
      <c r="L54" s="26" t="str">
        <f aca="false">IF(K54="","",IF(K54="Normal",100,IF(K54="Caution",60,IF(K54="High-risk",20,""))))</f>
        <v/>
      </c>
      <c r="M54" s="25"/>
      <c r="N54" s="25"/>
      <c r="O54" s="26" t="str">
        <f aca="false">IF(N54="","",IF(N54="Normal",100,IF(N54="Caution",60,IF(N54="High-risk",20,""))))</f>
        <v/>
      </c>
      <c r="P54" s="25"/>
      <c r="Q54" s="25"/>
      <c r="R54" s="25"/>
      <c r="S54" s="26" t="str">
        <f aca="false">IF(R54="","",IF(R54="Normal",100,IF(R54="Caution",60,IF(R54="High-risk",20,""))))</f>
        <v/>
      </c>
      <c r="T54" s="25"/>
      <c r="U54" s="25"/>
      <c r="V54" s="25"/>
      <c r="W54" s="26" t="str">
        <f aca="false">IF(V54="","",IF(V54="Normal",100,IF(V54="Caution",60,IF(V54="High-risk",20,""))))</f>
        <v/>
      </c>
      <c r="X54" s="25"/>
      <c r="Y54" s="25"/>
      <c r="Z54" s="26" t="str">
        <f aca="false">IF(OR(X54="",Y54=""),"",IF(MIN(X54,Y54)&gt;=0.67,"Normal",IF(MIN(X54,Y54)&gt;=0.5,"Caution","High-risk")))</f>
        <v/>
      </c>
      <c r="AA54" s="26" t="str">
        <f aca="false">IF(Z54="","",IF(Z54="Normal",100,IF(Z54="Caution",60,20)))</f>
        <v/>
      </c>
      <c r="AB54" s="25"/>
      <c r="AC54" s="26" t="str">
        <f aca="false">IF(AB54="","",IF(AB54=0,"Normal",IF(AB54&lt;3,"Caution","High-risk")))</f>
        <v/>
      </c>
      <c r="AD54" s="26" t="str">
        <f aca="false">IF(AC54="","",IF(AC54="Normal",100,IF(AC54="Caution",60,20)))</f>
        <v/>
      </c>
      <c r="AE54" s="25"/>
      <c r="AF54" s="25"/>
      <c r="AG54" s="25"/>
      <c r="AH54" s="26" t="str">
        <f aca="false">IF(OR(AF54="",AG54="",AG54=0),"",AF54/AG54)</f>
        <v/>
      </c>
      <c r="AI54" s="26" t="str">
        <f aca="false">IF(AND(AE54="",AF54=""),"",IF(AND(AH54&lt;&gt;"",AH54&lt;0.5),"High-risk",IF(OR(AE54="Yes",AND(AH54&lt;&gt;"",AH54&lt;0.8)),"Caution","Normal")))</f>
        <v/>
      </c>
      <c r="AJ54" s="26" t="str">
        <f aca="false">IF(AI54="","",IF(AI54="Normal",100,IF(AI54="Caution",60,20)))</f>
        <v/>
      </c>
      <c r="AK54" s="25"/>
      <c r="AL54" s="25"/>
      <c r="AM54" s="25"/>
      <c r="AN54" s="25"/>
      <c r="AO54" s="26" t="str">
        <f aca="false">IF(COUNTBLANK(AK54:AN54)=4,"",IF(COUNTIF(AK54:AN54,"Yes")&gt;0,"REFER - TB symptom screen positive","Clear"))</f>
        <v/>
      </c>
      <c r="AP54" s="25"/>
      <c r="AQ54" s="26" t="n">
        <f aca="false">COUNT(J54,L54,O54,S54,W54,AA54,AD54,AJ54)</f>
        <v>0</v>
      </c>
      <c r="AR54" s="26" t="str">
        <f aca="false">IF(AQ54=0,"",((IF(J54&lt;&gt;"",J54*UndernutritionWeight,0)+IF(L54&lt;&gt;"",L54*OverweightWeight,0)+IF(O54&lt;&gt;"",O54*AnaemiaWeight,0)+IF(S54&lt;&gt;"",S54*BPWeight,0)+IF(W54&lt;&gt;"",W54*MetabolicWeight,0)+IF(AA54&lt;&gt;"",AA54*VisionWeight,0)+IF(AD54&lt;&gt;"",AD54*OralWeight,0)+IF(AJ54&lt;&gt;"",AJ54*RespiratoryWeight,0))/(IF(J54&lt;&gt;"",UndernutritionWeight,0)+IF(L54&lt;&gt;"",OverweightWeight,0)+IF(O54&lt;&gt;"",AnaemiaWeight,0)+IF(S54&lt;&gt;"",BPWeight,0)+IF(W54&lt;&gt;"",MetabolicWeight,0)+IF(AA54&lt;&gt;"",VisionWeight,0)+IF(AD54&lt;&gt;"",OralWeight,0)+IF(AJ54&lt;&gt;"",RespiratoryWeight,0))))</f>
        <v/>
      </c>
      <c r="AS54" s="26" t="str">
        <f aca="false">IF(AR54="","Incomplete",IF(AR54&gt;=80,"Green - On Track",IF(AR54&gt;=60,"Amber - Monitor","Red - Refer")))</f>
        <v>Incomplete</v>
      </c>
      <c r="AT54" s="26" t="str">
        <f aca="false">IF(OR(I54="High-risk",K54="High-risk",N54="High-risk",R54="High-risk",V54="High-risk",Z54="High-risk",AC54="High-risk",AI54="High-risk"),"OVERRIDE - Individual referral required","")</f>
        <v/>
      </c>
      <c r="AU54" s="26" t="str">
        <f aca="false">TRIM(AS54&amp;IF(AT54&lt;&gt;""," | "&amp;AT54,"")&amp;IF(AND(AO54&lt;&gt;"",AO54&lt;&gt;"Clear")," | "&amp;AO54,"")&amp;IF(AND(AP54&lt;&gt;"",AP54&lt;&gt;"Clear")," | Mental wellbeing: "&amp;AP54,""))</f>
        <v>Incomplete</v>
      </c>
    </row>
    <row r="55" customFormat="false" ht="15" hidden="false" customHeight="false" outlineLevel="0" collapsed="false">
      <c r="A55" s="25"/>
      <c r="B55" s="25"/>
      <c r="C55" s="25"/>
      <c r="D55" s="25"/>
      <c r="E55" s="25"/>
      <c r="F55" s="25"/>
      <c r="G55" s="25"/>
      <c r="H55" s="26" t="str">
        <f aca="false">IF(AND(F55&lt;&gt;"",G55&lt;&gt;""),G55/((F55/100)^2),"")</f>
        <v/>
      </c>
      <c r="I55" s="25"/>
      <c r="J55" s="26" t="str">
        <f aca="false">IF(I55="","",IF(I55="Normal",100,IF(I55="Caution",60,IF(I55="High-risk",20,""))))</f>
        <v/>
      </c>
      <c r="K55" s="25"/>
      <c r="L55" s="26" t="str">
        <f aca="false">IF(K55="","",IF(K55="Normal",100,IF(K55="Caution",60,IF(K55="High-risk",20,""))))</f>
        <v/>
      </c>
      <c r="M55" s="25"/>
      <c r="N55" s="25"/>
      <c r="O55" s="26" t="str">
        <f aca="false">IF(N55="","",IF(N55="Normal",100,IF(N55="Caution",60,IF(N55="High-risk",20,""))))</f>
        <v/>
      </c>
      <c r="P55" s="25"/>
      <c r="Q55" s="25"/>
      <c r="R55" s="25"/>
      <c r="S55" s="26" t="str">
        <f aca="false">IF(R55="","",IF(R55="Normal",100,IF(R55="Caution",60,IF(R55="High-risk",20,""))))</f>
        <v/>
      </c>
      <c r="T55" s="25"/>
      <c r="U55" s="25"/>
      <c r="V55" s="25"/>
      <c r="W55" s="26" t="str">
        <f aca="false">IF(V55="","",IF(V55="Normal",100,IF(V55="Caution",60,IF(V55="High-risk",20,""))))</f>
        <v/>
      </c>
      <c r="X55" s="25"/>
      <c r="Y55" s="25"/>
      <c r="Z55" s="26" t="str">
        <f aca="false">IF(OR(X55="",Y55=""),"",IF(MIN(X55,Y55)&gt;=0.67,"Normal",IF(MIN(X55,Y55)&gt;=0.5,"Caution","High-risk")))</f>
        <v/>
      </c>
      <c r="AA55" s="26" t="str">
        <f aca="false">IF(Z55="","",IF(Z55="Normal",100,IF(Z55="Caution",60,20)))</f>
        <v/>
      </c>
      <c r="AB55" s="25"/>
      <c r="AC55" s="26" t="str">
        <f aca="false">IF(AB55="","",IF(AB55=0,"Normal",IF(AB55&lt;3,"Caution","High-risk")))</f>
        <v/>
      </c>
      <c r="AD55" s="26" t="str">
        <f aca="false">IF(AC55="","",IF(AC55="Normal",100,IF(AC55="Caution",60,20)))</f>
        <v/>
      </c>
      <c r="AE55" s="25"/>
      <c r="AF55" s="25"/>
      <c r="AG55" s="25"/>
      <c r="AH55" s="26" t="str">
        <f aca="false">IF(OR(AF55="",AG55="",AG55=0),"",AF55/AG55)</f>
        <v/>
      </c>
      <c r="AI55" s="26" t="str">
        <f aca="false">IF(AND(AE55="",AF55=""),"",IF(AND(AH55&lt;&gt;"",AH55&lt;0.5),"High-risk",IF(OR(AE55="Yes",AND(AH55&lt;&gt;"",AH55&lt;0.8)),"Caution","Normal")))</f>
        <v/>
      </c>
      <c r="AJ55" s="26" t="str">
        <f aca="false">IF(AI55="","",IF(AI55="Normal",100,IF(AI55="Caution",60,20)))</f>
        <v/>
      </c>
      <c r="AK55" s="25"/>
      <c r="AL55" s="25"/>
      <c r="AM55" s="25"/>
      <c r="AN55" s="25"/>
      <c r="AO55" s="26" t="str">
        <f aca="false">IF(COUNTBLANK(AK55:AN55)=4,"",IF(COUNTIF(AK55:AN55,"Yes")&gt;0,"REFER - TB symptom screen positive","Clear"))</f>
        <v/>
      </c>
      <c r="AP55" s="25"/>
      <c r="AQ55" s="26" t="n">
        <f aca="false">COUNT(J55,L55,O55,S55,W55,AA55,AD55,AJ55)</f>
        <v>0</v>
      </c>
      <c r="AR55" s="26" t="str">
        <f aca="false">IF(AQ55=0,"",((IF(J55&lt;&gt;"",J55*UndernutritionWeight,0)+IF(L55&lt;&gt;"",L55*OverweightWeight,0)+IF(O55&lt;&gt;"",O55*AnaemiaWeight,0)+IF(S55&lt;&gt;"",S55*BPWeight,0)+IF(W55&lt;&gt;"",W55*MetabolicWeight,0)+IF(AA55&lt;&gt;"",AA55*VisionWeight,0)+IF(AD55&lt;&gt;"",AD55*OralWeight,0)+IF(AJ55&lt;&gt;"",AJ55*RespiratoryWeight,0))/(IF(J55&lt;&gt;"",UndernutritionWeight,0)+IF(L55&lt;&gt;"",OverweightWeight,0)+IF(O55&lt;&gt;"",AnaemiaWeight,0)+IF(S55&lt;&gt;"",BPWeight,0)+IF(W55&lt;&gt;"",MetabolicWeight,0)+IF(AA55&lt;&gt;"",VisionWeight,0)+IF(AD55&lt;&gt;"",OralWeight,0)+IF(AJ55&lt;&gt;"",RespiratoryWeight,0))))</f>
        <v/>
      </c>
      <c r="AS55" s="26" t="str">
        <f aca="false">IF(AR55="","Incomplete",IF(AR55&gt;=80,"Green - On Track",IF(AR55&gt;=60,"Amber - Monitor","Red - Refer")))</f>
        <v>Incomplete</v>
      </c>
      <c r="AT55" s="26" t="str">
        <f aca="false">IF(OR(I55="High-risk",K55="High-risk",N55="High-risk",R55="High-risk",V55="High-risk",Z55="High-risk",AC55="High-risk",AI55="High-risk"),"OVERRIDE - Individual referral required","")</f>
        <v/>
      </c>
      <c r="AU55" s="26" t="str">
        <f aca="false">TRIM(AS55&amp;IF(AT55&lt;&gt;""," | "&amp;AT55,"")&amp;IF(AND(AO55&lt;&gt;"",AO55&lt;&gt;"Clear")," | "&amp;AO55,"")&amp;IF(AND(AP55&lt;&gt;"",AP55&lt;&gt;"Clear")," | Mental wellbeing: "&amp;AP55,""))</f>
        <v>Incomplete</v>
      </c>
    </row>
    <row r="56" customFormat="false" ht="15" hidden="false" customHeight="false" outlineLevel="0" collapsed="false">
      <c r="A56" s="25"/>
      <c r="B56" s="25"/>
      <c r="C56" s="25"/>
      <c r="D56" s="25"/>
      <c r="E56" s="25"/>
      <c r="F56" s="25"/>
      <c r="G56" s="25"/>
      <c r="H56" s="26" t="str">
        <f aca="false">IF(AND(F56&lt;&gt;"",G56&lt;&gt;""),G56/((F56/100)^2),"")</f>
        <v/>
      </c>
      <c r="I56" s="25"/>
      <c r="J56" s="26" t="str">
        <f aca="false">IF(I56="","",IF(I56="Normal",100,IF(I56="Caution",60,IF(I56="High-risk",20,""))))</f>
        <v/>
      </c>
      <c r="K56" s="25"/>
      <c r="L56" s="26" t="str">
        <f aca="false">IF(K56="","",IF(K56="Normal",100,IF(K56="Caution",60,IF(K56="High-risk",20,""))))</f>
        <v/>
      </c>
      <c r="M56" s="25"/>
      <c r="N56" s="25"/>
      <c r="O56" s="26" t="str">
        <f aca="false">IF(N56="","",IF(N56="Normal",100,IF(N56="Caution",60,IF(N56="High-risk",20,""))))</f>
        <v/>
      </c>
      <c r="P56" s="25"/>
      <c r="Q56" s="25"/>
      <c r="R56" s="25"/>
      <c r="S56" s="26" t="str">
        <f aca="false">IF(R56="","",IF(R56="Normal",100,IF(R56="Caution",60,IF(R56="High-risk",20,""))))</f>
        <v/>
      </c>
      <c r="T56" s="25"/>
      <c r="U56" s="25"/>
      <c r="V56" s="25"/>
      <c r="W56" s="26" t="str">
        <f aca="false">IF(V56="","",IF(V56="Normal",100,IF(V56="Caution",60,IF(V56="High-risk",20,""))))</f>
        <v/>
      </c>
      <c r="X56" s="25"/>
      <c r="Y56" s="25"/>
      <c r="Z56" s="26" t="str">
        <f aca="false">IF(OR(X56="",Y56=""),"",IF(MIN(X56,Y56)&gt;=0.67,"Normal",IF(MIN(X56,Y56)&gt;=0.5,"Caution","High-risk")))</f>
        <v/>
      </c>
      <c r="AA56" s="26" t="str">
        <f aca="false">IF(Z56="","",IF(Z56="Normal",100,IF(Z56="Caution",60,20)))</f>
        <v/>
      </c>
      <c r="AB56" s="25"/>
      <c r="AC56" s="26" t="str">
        <f aca="false">IF(AB56="","",IF(AB56=0,"Normal",IF(AB56&lt;3,"Caution","High-risk")))</f>
        <v/>
      </c>
      <c r="AD56" s="26" t="str">
        <f aca="false">IF(AC56="","",IF(AC56="Normal",100,IF(AC56="Caution",60,20)))</f>
        <v/>
      </c>
      <c r="AE56" s="25"/>
      <c r="AF56" s="25"/>
      <c r="AG56" s="25"/>
      <c r="AH56" s="26" t="str">
        <f aca="false">IF(OR(AF56="",AG56="",AG56=0),"",AF56/AG56)</f>
        <v/>
      </c>
      <c r="AI56" s="26" t="str">
        <f aca="false">IF(AND(AE56="",AF56=""),"",IF(AND(AH56&lt;&gt;"",AH56&lt;0.5),"High-risk",IF(OR(AE56="Yes",AND(AH56&lt;&gt;"",AH56&lt;0.8)),"Caution","Normal")))</f>
        <v/>
      </c>
      <c r="AJ56" s="26" t="str">
        <f aca="false">IF(AI56="","",IF(AI56="Normal",100,IF(AI56="Caution",60,20)))</f>
        <v/>
      </c>
      <c r="AK56" s="25"/>
      <c r="AL56" s="25"/>
      <c r="AM56" s="25"/>
      <c r="AN56" s="25"/>
      <c r="AO56" s="26" t="str">
        <f aca="false">IF(COUNTBLANK(AK56:AN56)=4,"",IF(COUNTIF(AK56:AN56,"Yes")&gt;0,"REFER - TB symptom screen positive","Clear"))</f>
        <v/>
      </c>
      <c r="AP56" s="25"/>
      <c r="AQ56" s="26" t="n">
        <f aca="false">COUNT(J56,L56,O56,S56,W56,AA56,AD56,AJ56)</f>
        <v>0</v>
      </c>
      <c r="AR56" s="26" t="str">
        <f aca="false">IF(AQ56=0,"",((IF(J56&lt;&gt;"",J56*UndernutritionWeight,0)+IF(L56&lt;&gt;"",L56*OverweightWeight,0)+IF(O56&lt;&gt;"",O56*AnaemiaWeight,0)+IF(S56&lt;&gt;"",S56*BPWeight,0)+IF(W56&lt;&gt;"",W56*MetabolicWeight,0)+IF(AA56&lt;&gt;"",AA56*VisionWeight,0)+IF(AD56&lt;&gt;"",AD56*OralWeight,0)+IF(AJ56&lt;&gt;"",AJ56*RespiratoryWeight,0))/(IF(J56&lt;&gt;"",UndernutritionWeight,0)+IF(L56&lt;&gt;"",OverweightWeight,0)+IF(O56&lt;&gt;"",AnaemiaWeight,0)+IF(S56&lt;&gt;"",BPWeight,0)+IF(W56&lt;&gt;"",MetabolicWeight,0)+IF(AA56&lt;&gt;"",VisionWeight,0)+IF(AD56&lt;&gt;"",OralWeight,0)+IF(AJ56&lt;&gt;"",RespiratoryWeight,0))))</f>
        <v/>
      </c>
      <c r="AS56" s="26" t="str">
        <f aca="false">IF(AR56="","Incomplete",IF(AR56&gt;=80,"Green - On Track",IF(AR56&gt;=60,"Amber - Monitor","Red - Refer")))</f>
        <v>Incomplete</v>
      </c>
      <c r="AT56" s="26" t="str">
        <f aca="false">IF(OR(I56="High-risk",K56="High-risk",N56="High-risk",R56="High-risk",V56="High-risk",Z56="High-risk",AC56="High-risk",AI56="High-risk"),"OVERRIDE - Individual referral required","")</f>
        <v/>
      </c>
      <c r="AU56" s="26" t="str">
        <f aca="false">TRIM(AS56&amp;IF(AT56&lt;&gt;""," | "&amp;AT56,"")&amp;IF(AND(AO56&lt;&gt;"",AO56&lt;&gt;"Clear")," | "&amp;AO56,"")&amp;IF(AND(AP56&lt;&gt;"",AP56&lt;&gt;"Clear")," | Mental wellbeing: "&amp;AP56,""))</f>
        <v>Incomplete</v>
      </c>
    </row>
    <row r="57" customFormat="false" ht="15" hidden="false" customHeight="false" outlineLevel="0" collapsed="false">
      <c r="A57" s="25"/>
      <c r="B57" s="25"/>
      <c r="C57" s="25"/>
      <c r="D57" s="25"/>
      <c r="E57" s="25"/>
      <c r="F57" s="25"/>
      <c r="G57" s="25"/>
      <c r="H57" s="26" t="str">
        <f aca="false">IF(AND(F57&lt;&gt;"",G57&lt;&gt;""),G57/((F57/100)^2),"")</f>
        <v/>
      </c>
      <c r="I57" s="25"/>
      <c r="J57" s="26" t="str">
        <f aca="false">IF(I57="","",IF(I57="Normal",100,IF(I57="Caution",60,IF(I57="High-risk",20,""))))</f>
        <v/>
      </c>
      <c r="K57" s="25"/>
      <c r="L57" s="26" t="str">
        <f aca="false">IF(K57="","",IF(K57="Normal",100,IF(K57="Caution",60,IF(K57="High-risk",20,""))))</f>
        <v/>
      </c>
      <c r="M57" s="25"/>
      <c r="N57" s="25"/>
      <c r="O57" s="26" t="str">
        <f aca="false">IF(N57="","",IF(N57="Normal",100,IF(N57="Caution",60,IF(N57="High-risk",20,""))))</f>
        <v/>
      </c>
      <c r="P57" s="25"/>
      <c r="Q57" s="25"/>
      <c r="R57" s="25"/>
      <c r="S57" s="26" t="str">
        <f aca="false">IF(R57="","",IF(R57="Normal",100,IF(R57="Caution",60,IF(R57="High-risk",20,""))))</f>
        <v/>
      </c>
      <c r="T57" s="25"/>
      <c r="U57" s="25"/>
      <c r="V57" s="25"/>
      <c r="W57" s="26" t="str">
        <f aca="false">IF(V57="","",IF(V57="Normal",100,IF(V57="Caution",60,IF(V57="High-risk",20,""))))</f>
        <v/>
      </c>
      <c r="X57" s="25"/>
      <c r="Y57" s="25"/>
      <c r="Z57" s="26" t="str">
        <f aca="false">IF(OR(X57="",Y57=""),"",IF(MIN(X57,Y57)&gt;=0.67,"Normal",IF(MIN(X57,Y57)&gt;=0.5,"Caution","High-risk")))</f>
        <v/>
      </c>
      <c r="AA57" s="26" t="str">
        <f aca="false">IF(Z57="","",IF(Z57="Normal",100,IF(Z57="Caution",60,20)))</f>
        <v/>
      </c>
      <c r="AB57" s="25"/>
      <c r="AC57" s="26" t="str">
        <f aca="false">IF(AB57="","",IF(AB57=0,"Normal",IF(AB57&lt;3,"Caution","High-risk")))</f>
        <v/>
      </c>
      <c r="AD57" s="26" t="str">
        <f aca="false">IF(AC57="","",IF(AC57="Normal",100,IF(AC57="Caution",60,20)))</f>
        <v/>
      </c>
      <c r="AE57" s="25"/>
      <c r="AF57" s="25"/>
      <c r="AG57" s="25"/>
      <c r="AH57" s="26" t="str">
        <f aca="false">IF(OR(AF57="",AG57="",AG57=0),"",AF57/AG57)</f>
        <v/>
      </c>
      <c r="AI57" s="26" t="str">
        <f aca="false">IF(AND(AE57="",AF57=""),"",IF(AND(AH57&lt;&gt;"",AH57&lt;0.5),"High-risk",IF(OR(AE57="Yes",AND(AH57&lt;&gt;"",AH57&lt;0.8)),"Caution","Normal")))</f>
        <v/>
      </c>
      <c r="AJ57" s="26" t="str">
        <f aca="false">IF(AI57="","",IF(AI57="Normal",100,IF(AI57="Caution",60,20)))</f>
        <v/>
      </c>
      <c r="AK57" s="25"/>
      <c r="AL57" s="25"/>
      <c r="AM57" s="25"/>
      <c r="AN57" s="25"/>
      <c r="AO57" s="26" t="str">
        <f aca="false">IF(COUNTBLANK(AK57:AN57)=4,"",IF(COUNTIF(AK57:AN57,"Yes")&gt;0,"REFER - TB symptom screen positive","Clear"))</f>
        <v/>
      </c>
      <c r="AP57" s="25"/>
      <c r="AQ57" s="26" t="n">
        <f aca="false">COUNT(J57,L57,O57,S57,W57,AA57,AD57,AJ57)</f>
        <v>0</v>
      </c>
      <c r="AR57" s="26" t="str">
        <f aca="false">IF(AQ57=0,"",((IF(J57&lt;&gt;"",J57*UndernutritionWeight,0)+IF(L57&lt;&gt;"",L57*OverweightWeight,0)+IF(O57&lt;&gt;"",O57*AnaemiaWeight,0)+IF(S57&lt;&gt;"",S57*BPWeight,0)+IF(W57&lt;&gt;"",W57*MetabolicWeight,0)+IF(AA57&lt;&gt;"",AA57*VisionWeight,0)+IF(AD57&lt;&gt;"",AD57*OralWeight,0)+IF(AJ57&lt;&gt;"",AJ57*RespiratoryWeight,0))/(IF(J57&lt;&gt;"",UndernutritionWeight,0)+IF(L57&lt;&gt;"",OverweightWeight,0)+IF(O57&lt;&gt;"",AnaemiaWeight,0)+IF(S57&lt;&gt;"",BPWeight,0)+IF(W57&lt;&gt;"",MetabolicWeight,0)+IF(AA57&lt;&gt;"",VisionWeight,0)+IF(AD57&lt;&gt;"",OralWeight,0)+IF(AJ57&lt;&gt;"",RespiratoryWeight,0))))</f>
        <v/>
      </c>
      <c r="AS57" s="26" t="str">
        <f aca="false">IF(AR57="","Incomplete",IF(AR57&gt;=80,"Green - On Track",IF(AR57&gt;=60,"Amber - Monitor","Red - Refer")))</f>
        <v>Incomplete</v>
      </c>
      <c r="AT57" s="26" t="str">
        <f aca="false">IF(OR(I57="High-risk",K57="High-risk",N57="High-risk",R57="High-risk",V57="High-risk",Z57="High-risk",AC57="High-risk",AI57="High-risk"),"OVERRIDE - Individual referral required","")</f>
        <v/>
      </c>
      <c r="AU57" s="26" t="str">
        <f aca="false">TRIM(AS57&amp;IF(AT57&lt;&gt;""," | "&amp;AT57,"")&amp;IF(AND(AO57&lt;&gt;"",AO57&lt;&gt;"Clear")," | "&amp;AO57,"")&amp;IF(AND(AP57&lt;&gt;"",AP57&lt;&gt;"Clear")," | Mental wellbeing: "&amp;AP57,""))</f>
        <v>Incomplete</v>
      </c>
    </row>
    <row r="58" customFormat="false" ht="15" hidden="false" customHeight="false" outlineLevel="0" collapsed="false">
      <c r="A58" s="25"/>
      <c r="B58" s="25"/>
      <c r="C58" s="25"/>
      <c r="D58" s="25"/>
      <c r="E58" s="25"/>
      <c r="F58" s="25"/>
      <c r="G58" s="25"/>
      <c r="H58" s="26" t="str">
        <f aca="false">IF(AND(F58&lt;&gt;"",G58&lt;&gt;""),G58/((F58/100)^2),"")</f>
        <v/>
      </c>
      <c r="I58" s="25"/>
      <c r="J58" s="26" t="str">
        <f aca="false">IF(I58="","",IF(I58="Normal",100,IF(I58="Caution",60,IF(I58="High-risk",20,""))))</f>
        <v/>
      </c>
      <c r="K58" s="25"/>
      <c r="L58" s="26" t="str">
        <f aca="false">IF(K58="","",IF(K58="Normal",100,IF(K58="Caution",60,IF(K58="High-risk",20,""))))</f>
        <v/>
      </c>
      <c r="M58" s="25"/>
      <c r="N58" s="25"/>
      <c r="O58" s="26" t="str">
        <f aca="false">IF(N58="","",IF(N58="Normal",100,IF(N58="Caution",60,IF(N58="High-risk",20,""))))</f>
        <v/>
      </c>
      <c r="P58" s="25"/>
      <c r="Q58" s="25"/>
      <c r="R58" s="25"/>
      <c r="S58" s="26" t="str">
        <f aca="false">IF(R58="","",IF(R58="Normal",100,IF(R58="Caution",60,IF(R58="High-risk",20,""))))</f>
        <v/>
      </c>
      <c r="T58" s="25"/>
      <c r="U58" s="25"/>
      <c r="V58" s="25"/>
      <c r="W58" s="26" t="str">
        <f aca="false">IF(V58="","",IF(V58="Normal",100,IF(V58="Caution",60,IF(V58="High-risk",20,""))))</f>
        <v/>
      </c>
      <c r="X58" s="25"/>
      <c r="Y58" s="25"/>
      <c r="Z58" s="26" t="str">
        <f aca="false">IF(OR(X58="",Y58=""),"",IF(MIN(X58,Y58)&gt;=0.67,"Normal",IF(MIN(X58,Y58)&gt;=0.5,"Caution","High-risk")))</f>
        <v/>
      </c>
      <c r="AA58" s="26" t="str">
        <f aca="false">IF(Z58="","",IF(Z58="Normal",100,IF(Z58="Caution",60,20)))</f>
        <v/>
      </c>
      <c r="AB58" s="25"/>
      <c r="AC58" s="26" t="str">
        <f aca="false">IF(AB58="","",IF(AB58=0,"Normal",IF(AB58&lt;3,"Caution","High-risk")))</f>
        <v/>
      </c>
      <c r="AD58" s="26" t="str">
        <f aca="false">IF(AC58="","",IF(AC58="Normal",100,IF(AC58="Caution",60,20)))</f>
        <v/>
      </c>
      <c r="AE58" s="25"/>
      <c r="AF58" s="25"/>
      <c r="AG58" s="25"/>
      <c r="AH58" s="26" t="str">
        <f aca="false">IF(OR(AF58="",AG58="",AG58=0),"",AF58/AG58)</f>
        <v/>
      </c>
      <c r="AI58" s="26" t="str">
        <f aca="false">IF(AND(AE58="",AF58=""),"",IF(AND(AH58&lt;&gt;"",AH58&lt;0.5),"High-risk",IF(OR(AE58="Yes",AND(AH58&lt;&gt;"",AH58&lt;0.8)),"Caution","Normal")))</f>
        <v/>
      </c>
      <c r="AJ58" s="26" t="str">
        <f aca="false">IF(AI58="","",IF(AI58="Normal",100,IF(AI58="Caution",60,20)))</f>
        <v/>
      </c>
      <c r="AK58" s="25"/>
      <c r="AL58" s="25"/>
      <c r="AM58" s="25"/>
      <c r="AN58" s="25"/>
      <c r="AO58" s="26" t="str">
        <f aca="false">IF(COUNTBLANK(AK58:AN58)=4,"",IF(COUNTIF(AK58:AN58,"Yes")&gt;0,"REFER - TB symptom screen positive","Clear"))</f>
        <v/>
      </c>
      <c r="AP58" s="25"/>
      <c r="AQ58" s="26" t="n">
        <f aca="false">COUNT(J58,L58,O58,S58,W58,AA58,AD58,AJ58)</f>
        <v>0</v>
      </c>
      <c r="AR58" s="26" t="str">
        <f aca="false">IF(AQ58=0,"",((IF(J58&lt;&gt;"",J58*UndernutritionWeight,0)+IF(L58&lt;&gt;"",L58*OverweightWeight,0)+IF(O58&lt;&gt;"",O58*AnaemiaWeight,0)+IF(S58&lt;&gt;"",S58*BPWeight,0)+IF(W58&lt;&gt;"",W58*MetabolicWeight,0)+IF(AA58&lt;&gt;"",AA58*VisionWeight,0)+IF(AD58&lt;&gt;"",AD58*OralWeight,0)+IF(AJ58&lt;&gt;"",AJ58*RespiratoryWeight,0))/(IF(J58&lt;&gt;"",UndernutritionWeight,0)+IF(L58&lt;&gt;"",OverweightWeight,0)+IF(O58&lt;&gt;"",AnaemiaWeight,0)+IF(S58&lt;&gt;"",BPWeight,0)+IF(W58&lt;&gt;"",MetabolicWeight,0)+IF(AA58&lt;&gt;"",VisionWeight,0)+IF(AD58&lt;&gt;"",OralWeight,0)+IF(AJ58&lt;&gt;"",RespiratoryWeight,0))))</f>
        <v/>
      </c>
      <c r="AS58" s="26" t="str">
        <f aca="false">IF(AR58="","Incomplete",IF(AR58&gt;=80,"Green - On Track",IF(AR58&gt;=60,"Amber - Monitor","Red - Refer")))</f>
        <v>Incomplete</v>
      </c>
      <c r="AT58" s="26" t="str">
        <f aca="false">IF(OR(I58="High-risk",K58="High-risk",N58="High-risk",R58="High-risk",V58="High-risk",Z58="High-risk",AC58="High-risk",AI58="High-risk"),"OVERRIDE - Individual referral required","")</f>
        <v/>
      </c>
      <c r="AU58" s="26" t="str">
        <f aca="false">TRIM(AS58&amp;IF(AT58&lt;&gt;""," | "&amp;AT58,"")&amp;IF(AND(AO58&lt;&gt;"",AO58&lt;&gt;"Clear")," | "&amp;AO58,"")&amp;IF(AND(AP58&lt;&gt;"",AP58&lt;&gt;"Clear")," | Mental wellbeing: "&amp;AP58,""))</f>
        <v>Incomplete</v>
      </c>
    </row>
    <row r="59" customFormat="false" ht="15" hidden="false" customHeight="false" outlineLevel="0" collapsed="false">
      <c r="A59" s="25"/>
      <c r="B59" s="25"/>
      <c r="C59" s="25"/>
      <c r="D59" s="25"/>
      <c r="E59" s="25"/>
      <c r="F59" s="25"/>
      <c r="G59" s="25"/>
      <c r="H59" s="26" t="str">
        <f aca="false">IF(AND(F59&lt;&gt;"",G59&lt;&gt;""),G59/((F59/100)^2),"")</f>
        <v/>
      </c>
      <c r="I59" s="25"/>
      <c r="J59" s="26" t="str">
        <f aca="false">IF(I59="","",IF(I59="Normal",100,IF(I59="Caution",60,IF(I59="High-risk",20,""))))</f>
        <v/>
      </c>
      <c r="K59" s="25"/>
      <c r="L59" s="26" t="str">
        <f aca="false">IF(K59="","",IF(K59="Normal",100,IF(K59="Caution",60,IF(K59="High-risk",20,""))))</f>
        <v/>
      </c>
      <c r="M59" s="25"/>
      <c r="N59" s="25"/>
      <c r="O59" s="26" t="str">
        <f aca="false">IF(N59="","",IF(N59="Normal",100,IF(N59="Caution",60,IF(N59="High-risk",20,""))))</f>
        <v/>
      </c>
      <c r="P59" s="25"/>
      <c r="Q59" s="25"/>
      <c r="R59" s="25"/>
      <c r="S59" s="26" t="str">
        <f aca="false">IF(R59="","",IF(R59="Normal",100,IF(R59="Caution",60,IF(R59="High-risk",20,""))))</f>
        <v/>
      </c>
      <c r="T59" s="25"/>
      <c r="U59" s="25"/>
      <c r="V59" s="25"/>
      <c r="W59" s="26" t="str">
        <f aca="false">IF(V59="","",IF(V59="Normal",100,IF(V59="Caution",60,IF(V59="High-risk",20,""))))</f>
        <v/>
      </c>
      <c r="X59" s="25"/>
      <c r="Y59" s="25"/>
      <c r="Z59" s="26" t="str">
        <f aca="false">IF(OR(X59="",Y59=""),"",IF(MIN(X59,Y59)&gt;=0.67,"Normal",IF(MIN(X59,Y59)&gt;=0.5,"Caution","High-risk")))</f>
        <v/>
      </c>
      <c r="AA59" s="26" t="str">
        <f aca="false">IF(Z59="","",IF(Z59="Normal",100,IF(Z59="Caution",60,20)))</f>
        <v/>
      </c>
      <c r="AB59" s="25"/>
      <c r="AC59" s="26" t="str">
        <f aca="false">IF(AB59="","",IF(AB59=0,"Normal",IF(AB59&lt;3,"Caution","High-risk")))</f>
        <v/>
      </c>
      <c r="AD59" s="26" t="str">
        <f aca="false">IF(AC59="","",IF(AC59="Normal",100,IF(AC59="Caution",60,20)))</f>
        <v/>
      </c>
      <c r="AE59" s="25"/>
      <c r="AF59" s="25"/>
      <c r="AG59" s="25"/>
      <c r="AH59" s="26" t="str">
        <f aca="false">IF(OR(AF59="",AG59="",AG59=0),"",AF59/AG59)</f>
        <v/>
      </c>
      <c r="AI59" s="26" t="str">
        <f aca="false">IF(AND(AE59="",AF59=""),"",IF(AND(AH59&lt;&gt;"",AH59&lt;0.5),"High-risk",IF(OR(AE59="Yes",AND(AH59&lt;&gt;"",AH59&lt;0.8)),"Caution","Normal")))</f>
        <v/>
      </c>
      <c r="AJ59" s="26" t="str">
        <f aca="false">IF(AI59="","",IF(AI59="Normal",100,IF(AI59="Caution",60,20)))</f>
        <v/>
      </c>
      <c r="AK59" s="25"/>
      <c r="AL59" s="25"/>
      <c r="AM59" s="25"/>
      <c r="AN59" s="25"/>
      <c r="AO59" s="26" t="str">
        <f aca="false">IF(COUNTBLANK(AK59:AN59)=4,"",IF(COUNTIF(AK59:AN59,"Yes")&gt;0,"REFER - TB symptom screen positive","Clear"))</f>
        <v/>
      </c>
      <c r="AP59" s="25"/>
      <c r="AQ59" s="26" t="n">
        <f aca="false">COUNT(J59,L59,O59,S59,W59,AA59,AD59,AJ59)</f>
        <v>0</v>
      </c>
      <c r="AR59" s="26" t="str">
        <f aca="false">IF(AQ59=0,"",((IF(J59&lt;&gt;"",J59*UndernutritionWeight,0)+IF(L59&lt;&gt;"",L59*OverweightWeight,0)+IF(O59&lt;&gt;"",O59*AnaemiaWeight,0)+IF(S59&lt;&gt;"",S59*BPWeight,0)+IF(W59&lt;&gt;"",W59*MetabolicWeight,0)+IF(AA59&lt;&gt;"",AA59*VisionWeight,0)+IF(AD59&lt;&gt;"",AD59*OralWeight,0)+IF(AJ59&lt;&gt;"",AJ59*RespiratoryWeight,0))/(IF(J59&lt;&gt;"",UndernutritionWeight,0)+IF(L59&lt;&gt;"",OverweightWeight,0)+IF(O59&lt;&gt;"",AnaemiaWeight,0)+IF(S59&lt;&gt;"",BPWeight,0)+IF(W59&lt;&gt;"",MetabolicWeight,0)+IF(AA59&lt;&gt;"",VisionWeight,0)+IF(AD59&lt;&gt;"",OralWeight,0)+IF(AJ59&lt;&gt;"",RespiratoryWeight,0))))</f>
        <v/>
      </c>
      <c r="AS59" s="26" t="str">
        <f aca="false">IF(AR59="","Incomplete",IF(AR59&gt;=80,"Green - On Track",IF(AR59&gt;=60,"Amber - Monitor","Red - Refer")))</f>
        <v>Incomplete</v>
      </c>
      <c r="AT59" s="26" t="str">
        <f aca="false">IF(OR(I59="High-risk",K59="High-risk",N59="High-risk",R59="High-risk",V59="High-risk",Z59="High-risk",AC59="High-risk",AI59="High-risk"),"OVERRIDE - Individual referral required","")</f>
        <v/>
      </c>
      <c r="AU59" s="26" t="str">
        <f aca="false">TRIM(AS59&amp;IF(AT59&lt;&gt;""," | "&amp;AT59,"")&amp;IF(AND(AO59&lt;&gt;"",AO59&lt;&gt;"Clear")," | "&amp;AO59,"")&amp;IF(AND(AP59&lt;&gt;"",AP59&lt;&gt;"Clear")," | Mental wellbeing: "&amp;AP59,""))</f>
        <v>Incomplete</v>
      </c>
    </row>
    <row r="60" customFormat="false" ht="15" hidden="false" customHeight="false" outlineLevel="0" collapsed="false">
      <c r="A60" s="25"/>
      <c r="B60" s="25"/>
      <c r="C60" s="25"/>
      <c r="D60" s="25"/>
      <c r="E60" s="25"/>
      <c r="F60" s="25"/>
      <c r="G60" s="25"/>
      <c r="H60" s="26" t="str">
        <f aca="false">IF(AND(F60&lt;&gt;"",G60&lt;&gt;""),G60/((F60/100)^2),"")</f>
        <v/>
      </c>
      <c r="I60" s="25"/>
      <c r="J60" s="26" t="str">
        <f aca="false">IF(I60="","",IF(I60="Normal",100,IF(I60="Caution",60,IF(I60="High-risk",20,""))))</f>
        <v/>
      </c>
      <c r="K60" s="25"/>
      <c r="L60" s="26" t="str">
        <f aca="false">IF(K60="","",IF(K60="Normal",100,IF(K60="Caution",60,IF(K60="High-risk",20,""))))</f>
        <v/>
      </c>
      <c r="M60" s="25"/>
      <c r="N60" s="25"/>
      <c r="O60" s="26" t="str">
        <f aca="false">IF(N60="","",IF(N60="Normal",100,IF(N60="Caution",60,IF(N60="High-risk",20,""))))</f>
        <v/>
      </c>
      <c r="P60" s="25"/>
      <c r="Q60" s="25"/>
      <c r="R60" s="25"/>
      <c r="S60" s="26" t="str">
        <f aca="false">IF(R60="","",IF(R60="Normal",100,IF(R60="Caution",60,IF(R60="High-risk",20,""))))</f>
        <v/>
      </c>
      <c r="T60" s="25"/>
      <c r="U60" s="25"/>
      <c r="V60" s="25"/>
      <c r="W60" s="26" t="str">
        <f aca="false">IF(V60="","",IF(V60="Normal",100,IF(V60="Caution",60,IF(V60="High-risk",20,""))))</f>
        <v/>
      </c>
      <c r="X60" s="25"/>
      <c r="Y60" s="25"/>
      <c r="Z60" s="26" t="str">
        <f aca="false">IF(OR(X60="",Y60=""),"",IF(MIN(X60,Y60)&gt;=0.67,"Normal",IF(MIN(X60,Y60)&gt;=0.5,"Caution","High-risk")))</f>
        <v/>
      </c>
      <c r="AA60" s="26" t="str">
        <f aca="false">IF(Z60="","",IF(Z60="Normal",100,IF(Z60="Caution",60,20)))</f>
        <v/>
      </c>
      <c r="AB60" s="25"/>
      <c r="AC60" s="26" t="str">
        <f aca="false">IF(AB60="","",IF(AB60=0,"Normal",IF(AB60&lt;3,"Caution","High-risk")))</f>
        <v/>
      </c>
      <c r="AD60" s="26" t="str">
        <f aca="false">IF(AC60="","",IF(AC60="Normal",100,IF(AC60="Caution",60,20)))</f>
        <v/>
      </c>
      <c r="AE60" s="25"/>
      <c r="AF60" s="25"/>
      <c r="AG60" s="25"/>
      <c r="AH60" s="26" t="str">
        <f aca="false">IF(OR(AF60="",AG60="",AG60=0),"",AF60/AG60)</f>
        <v/>
      </c>
      <c r="AI60" s="26" t="str">
        <f aca="false">IF(AND(AE60="",AF60=""),"",IF(AND(AH60&lt;&gt;"",AH60&lt;0.5),"High-risk",IF(OR(AE60="Yes",AND(AH60&lt;&gt;"",AH60&lt;0.8)),"Caution","Normal")))</f>
        <v/>
      </c>
      <c r="AJ60" s="26" t="str">
        <f aca="false">IF(AI60="","",IF(AI60="Normal",100,IF(AI60="Caution",60,20)))</f>
        <v/>
      </c>
      <c r="AK60" s="25"/>
      <c r="AL60" s="25"/>
      <c r="AM60" s="25"/>
      <c r="AN60" s="25"/>
      <c r="AO60" s="26" t="str">
        <f aca="false">IF(COUNTBLANK(AK60:AN60)=4,"",IF(COUNTIF(AK60:AN60,"Yes")&gt;0,"REFER - TB symptom screen positive","Clear"))</f>
        <v/>
      </c>
      <c r="AP60" s="25"/>
      <c r="AQ60" s="26" t="n">
        <f aca="false">COUNT(J60,L60,O60,S60,W60,AA60,AD60,AJ60)</f>
        <v>0</v>
      </c>
      <c r="AR60" s="26" t="str">
        <f aca="false">IF(AQ60=0,"",((IF(J60&lt;&gt;"",J60*UndernutritionWeight,0)+IF(L60&lt;&gt;"",L60*OverweightWeight,0)+IF(O60&lt;&gt;"",O60*AnaemiaWeight,0)+IF(S60&lt;&gt;"",S60*BPWeight,0)+IF(W60&lt;&gt;"",W60*MetabolicWeight,0)+IF(AA60&lt;&gt;"",AA60*VisionWeight,0)+IF(AD60&lt;&gt;"",AD60*OralWeight,0)+IF(AJ60&lt;&gt;"",AJ60*RespiratoryWeight,0))/(IF(J60&lt;&gt;"",UndernutritionWeight,0)+IF(L60&lt;&gt;"",OverweightWeight,0)+IF(O60&lt;&gt;"",AnaemiaWeight,0)+IF(S60&lt;&gt;"",BPWeight,0)+IF(W60&lt;&gt;"",MetabolicWeight,0)+IF(AA60&lt;&gt;"",VisionWeight,0)+IF(AD60&lt;&gt;"",OralWeight,0)+IF(AJ60&lt;&gt;"",RespiratoryWeight,0))))</f>
        <v/>
      </c>
      <c r="AS60" s="26" t="str">
        <f aca="false">IF(AR60="","Incomplete",IF(AR60&gt;=80,"Green - On Track",IF(AR60&gt;=60,"Amber - Monitor","Red - Refer")))</f>
        <v>Incomplete</v>
      </c>
      <c r="AT60" s="26" t="str">
        <f aca="false">IF(OR(I60="High-risk",K60="High-risk",N60="High-risk",R60="High-risk",V60="High-risk",Z60="High-risk",AC60="High-risk",AI60="High-risk"),"OVERRIDE - Individual referral required","")</f>
        <v/>
      </c>
      <c r="AU60" s="26" t="str">
        <f aca="false">TRIM(AS60&amp;IF(AT60&lt;&gt;""," | "&amp;AT60,"")&amp;IF(AND(AO60&lt;&gt;"",AO60&lt;&gt;"Clear")," | "&amp;AO60,"")&amp;IF(AND(AP60&lt;&gt;"",AP60&lt;&gt;"Clear")," | Mental wellbeing: "&amp;AP60,""))</f>
        <v>Incomplete</v>
      </c>
    </row>
    <row r="61" customFormat="false" ht="15" hidden="false" customHeight="false" outlineLevel="0" collapsed="false">
      <c r="A61" s="25"/>
      <c r="B61" s="25"/>
      <c r="C61" s="25"/>
      <c r="D61" s="25"/>
      <c r="E61" s="25"/>
      <c r="F61" s="25"/>
      <c r="G61" s="25"/>
      <c r="H61" s="26" t="str">
        <f aca="false">IF(AND(F61&lt;&gt;"",G61&lt;&gt;""),G61/((F61/100)^2),"")</f>
        <v/>
      </c>
      <c r="I61" s="25"/>
      <c r="J61" s="26" t="str">
        <f aca="false">IF(I61="","",IF(I61="Normal",100,IF(I61="Caution",60,IF(I61="High-risk",20,""))))</f>
        <v/>
      </c>
      <c r="K61" s="25"/>
      <c r="L61" s="26" t="str">
        <f aca="false">IF(K61="","",IF(K61="Normal",100,IF(K61="Caution",60,IF(K61="High-risk",20,""))))</f>
        <v/>
      </c>
      <c r="M61" s="25"/>
      <c r="N61" s="25"/>
      <c r="O61" s="26" t="str">
        <f aca="false">IF(N61="","",IF(N61="Normal",100,IF(N61="Caution",60,IF(N61="High-risk",20,""))))</f>
        <v/>
      </c>
      <c r="P61" s="25"/>
      <c r="Q61" s="25"/>
      <c r="R61" s="25"/>
      <c r="S61" s="26" t="str">
        <f aca="false">IF(R61="","",IF(R61="Normal",100,IF(R61="Caution",60,IF(R61="High-risk",20,""))))</f>
        <v/>
      </c>
      <c r="T61" s="25"/>
      <c r="U61" s="25"/>
      <c r="V61" s="25"/>
      <c r="W61" s="26" t="str">
        <f aca="false">IF(V61="","",IF(V61="Normal",100,IF(V61="Caution",60,IF(V61="High-risk",20,""))))</f>
        <v/>
      </c>
      <c r="X61" s="25"/>
      <c r="Y61" s="25"/>
      <c r="Z61" s="26" t="str">
        <f aca="false">IF(OR(X61="",Y61=""),"",IF(MIN(X61,Y61)&gt;=0.67,"Normal",IF(MIN(X61,Y61)&gt;=0.5,"Caution","High-risk")))</f>
        <v/>
      </c>
      <c r="AA61" s="26" t="str">
        <f aca="false">IF(Z61="","",IF(Z61="Normal",100,IF(Z61="Caution",60,20)))</f>
        <v/>
      </c>
      <c r="AB61" s="25"/>
      <c r="AC61" s="26" t="str">
        <f aca="false">IF(AB61="","",IF(AB61=0,"Normal",IF(AB61&lt;3,"Caution","High-risk")))</f>
        <v/>
      </c>
      <c r="AD61" s="26" t="str">
        <f aca="false">IF(AC61="","",IF(AC61="Normal",100,IF(AC61="Caution",60,20)))</f>
        <v/>
      </c>
      <c r="AE61" s="25"/>
      <c r="AF61" s="25"/>
      <c r="AG61" s="25"/>
      <c r="AH61" s="26" t="str">
        <f aca="false">IF(OR(AF61="",AG61="",AG61=0),"",AF61/AG61)</f>
        <v/>
      </c>
      <c r="AI61" s="26" t="str">
        <f aca="false">IF(AND(AE61="",AF61=""),"",IF(AND(AH61&lt;&gt;"",AH61&lt;0.5),"High-risk",IF(OR(AE61="Yes",AND(AH61&lt;&gt;"",AH61&lt;0.8)),"Caution","Normal")))</f>
        <v/>
      </c>
      <c r="AJ61" s="26" t="str">
        <f aca="false">IF(AI61="","",IF(AI61="Normal",100,IF(AI61="Caution",60,20)))</f>
        <v/>
      </c>
      <c r="AK61" s="25"/>
      <c r="AL61" s="25"/>
      <c r="AM61" s="25"/>
      <c r="AN61" s="25"/>
      <c r="AO61" s="26" t="str">
        <f aca="false">IF(COUNTBLANK(AK61:AN61)=4,"",IF(COUNTIF(AK61:AN61,"Yes")&gt;0,"REFER - TB symptom screen positive","Clear"))</f>
        <v/>
      </c>
      <c r="AP61" s="25"/>
      <c r="AQ61" s="26" t="n">
        <f aca="false">COUNT(J61,L61,O61,S61,W61,AA61,AD61,AJ61)</f>
        <v>0</v>
      </c>
      <c r="AR61" s="26" t="str">
        <f aca="false">IF(AQ61=0,"",((IF(J61&lt;&gt;"",J61*UndernutritionWeight,0)+IF(L61&lt;&gt;"",L61*OverweightWeight,0)+IF(O61&lt;&gt;"",O61*AnaemiaWeight,0)+IF(S61&lt;&gt;"",S61*BPWeight,0)+IF(W61&lt;&gt;"",W61*MetabolicWeight,0)+IF(AA61&lt;&gt;"",AA61*VisionWeight,0)+IF(AD61&lt;&gt;"",AD61*OralWeight,0)+IF(AJ61&lt;&gt;"",AJ61*RespiratoryWeight,0))/(IF(J61&lt;&gt;"",UndernutritionWeight,0)+IF(L61&lt;&gt;"",OverweightWeight,0)+IF(O61&lt;&gt;"",AnaemiaWeight,0)+IF(S61&lt;&gt;"",BPWeight,0)+IF(W61&lt;&gt;"",MetabolicWeight,0)+IF(AA61&lt;&gt;"",VisionWeight,0)+IF(AD61&lt;&gt;"",OralWeight,0)+IF(AJ61&lt;&gt;"",RespiratoryWeight,0))))</f>
        <v/>
      </c>
      <c r="AS61" s="26" t="str">
        <f aca="false">IF(AR61="","Incomplete",IF(AR61&gt;=80,"Green - On Track",IF(AR61&gt;=60,"Amber - Monitor","Red - Refer")))</f>
        <v>Incomplete</v>
      </c>
      <c r="AT61" s="26" t="str">
        <f aca="false">IF(OR(I61="High-risk",K61="High-risk",N61="High-risk",R61="High-risk",V61="High-risk",Z61="High-risk",AC61="High-risk",AI61="High-risk"),"OVERRIDE - Individual referral required","")</f>
        <v/>
      </c>
      <c r="AU61" s="26" t="str">
        <f aca="false">TRIM(AS61&amp;IF(AT61&lt;&gt;""," | "&amp;AT61,"")&amp;IF(AND(AO61&lt;&gt;"",AO61&lt;&gt;"Clear")," | "&amp;AO61,"")&amp;IF(AND(AP61&lt;&gt;"",AP61&lt;&gt;"Clear")," | Mental wellbeing: "&amp;AP61,""))</f>
        <v>Incomplete</v>
      </c>
    </row>
    <row r="62" customFormat="false" ht="15" hidden="false" customHeight="false" outlineLevel="0" collapsed="false">
      <c r="A62" s="25"/>
      <c r="B62" s="25"/>
      <c r="C62" s="25"/>
      <c r="D62" s="25"/>
      <c r="E62" s="25"/>
      <c r="F62" s="25"/>
      <c r="G62" s="25"/>
      <c r="H62" s="26" t="str">
        <f aca="false">IF(AND(F62&lt;&gt;"",G62&lt;&gt;""),G62/((F62/100)^2),"")</f>
        <v/>
      </c>
      <c r="I62" s="25"/>
      <c r="J62" s="26" t="str">
        <f aca="false">IF(I62="","",IF(I62="Normal",100,IF(I62="Caution",60,IF(I62="High-risk",20,""))))</f>
        <v/>
      </c>
      <c r="K62" s="25"/>
      <c r="L62" s="26" t="str">
        <f aca="false">IF(K62="","",IF(K62="Normal",100,IF(K62="Caution",60,IF(K62="High-risk",20,""))))</f>
        <v/>
      </c>
      <c r="M62" s="25"/>
      <c r="N62" s="25"/>
      <c r="O62" s="26" t="str">
        <f aca="false">IF(N62="","",IF(N62="Normal",100,IF(N62="Caution",60,IF(N62="High-risk",20,""))))</f>
        <v/>
      </c>
      <c r="P62" s="25"/>
      <c r="Q62" s="25"/>
      <c r="R62" s="25"/>
      <c r="S62" s="26" t="str">
        <f aca="false">IF(R62="","",IF(R62="Normal",100,IF(R62="Caution",60,IF(R62="High-risk",20,""))))</f>
        <v/>
      </c>
      <c r="T62" s="25"/>
      <c r="U62" s="25"/>
      <c r="V62" s="25"/>
      <c r="W62" s="26" t="str">
        <f aca="false">IF(V62="","",IF(V62="Normal",100,IF(V62="Caution",60,IF(V62="High-risk",20,""))))</f>
        <v/>
      </c>
      <c r="X62" s="25"/>
      <c r="Y62" s="25"/>
      <c r="Z62" s="26" t="str">
        <f aca="false">IF(OR(X62="",Y62=""),"",IF(MIN(X62,Y62)&gt;=0.67,"Normal",IF(MIN(X62,Y62)&gt;=0.5,"Caution","High-risk")))</f>
        <v/>
      </c>
      <c r="AA62" s="26" t="str">
        <f aca="false">IF(Z62="","",IF(Z62="Normal",100,IF(Z62="Caution",60,20)))</f>
        <v/>
      </c>
      <c r="AB62" s="25"/>
      <c r="AC62" s="26" t="str">
        <f aca="false">IF(AB62="","",IF(AB62=0,"Normal",IF(AB62&lt;3,"Caution","High-risk")))</f>
        <v/>
      </c>
      <c r="AD62" s="26" t="str">
        <f aca="false">IF(AC62="","",IF(AC62="Normal",100,IF(AC62="Caution",60,20)))</f>
        <v/>
      </c>
      <c r="AE62" s="25"/>
      <c r="AF62" s="25"/>
      <c r="AG62" s="25"/>
      <c r="AH62" s="26" t="str">
        <f aca="false">IF(OR(AF62="",AG62="",AG62=0),"",AF62/AG62)</f>
        <v/>
      </c>
      <c r="AI62" s="26" t="str">
        <f aca="false">IF(AND(AE62="",AF62=""),"",IF(AND(AH62&lt;&gt;"",AH62&lt;0.5),"High-risk",IF(OR(AE62="Yes",AND(AH62&lt;&gt;"",AH62&lt;0.8)),"Caution","Normal")))</f>
        <v/>
      </c>
      <c r="AJ62" s="26" t="str">
        <f aca="false">IF(AI62="","",IF(AI62="Normal",100,IF(AI62="Caution",60,20)))</f>
        <v/>
      </c>
      <c r="AK62" s="25"/>
      <c r="AL62" s="25"/>
      <c r="AM62" s="25"/>
      <c r="AN62" s="25"/>
      <c r="AO62" s="26" t="str">
        <f aca="false">IF(COUNTBLANK(AK62:AN62)=4,"",IF(COUNTIF(AK62:AN62,"Yes")&gt;0,"REFER - TB symptom screen positive","Clear"))</f>
        <v/>
      </c>
      <c r="AP62" s="25"/>
      <c r="AQ62" s="26" t="n">
        <f aca="false">COUNT(J62,L62,O62,S62,W62,AA62,AD62,AJ62)</f>
        <v>0</v>
      </c>
      <c r="AR62" s="26" t="str">
        <f aca="false">IF(AQ62=0,"",((IF(J62&lt;&gt;"",J62*UndernutritionWeight,0)+IF(L62&lt;&gt;"",L62*OverweightWeight,0)+IF(O62&lt;&gt;"",O62*AnaemiaWeight,0)+IF(S62&lt;&gt;"",S62*BPWeight,0)+IF(W62&lt;&gt;"",W62*MetabolicWeight,0)+IF(AA62&lt;&gt;"",AA62*VisionWeight,0)+IF(AD62&lt;&gt;"",AD62*OralWeight,0)+IF(AJ62&lt;&gt;"",AJ62*RespiratoryWeight,0))/(IF(J62&lt;&gt;"",UndernutritionWeight,0)+IF(L62&lt;&gt;"",OverweightWeight,0)+IF(O62&lt;&gt;"",AnaemiaWeight,0)+IF(S62&lt;&gt;"",BPWeight,0)+IF(W62&lt;&gt;"",MetabolicWeight,0)+IF(AA62&lt;&gt;"",VisionWeight,0)+IF(AD62&lt;&gt;"",OralWeight,0)+IF(AJ62&lt;&gt;"",RespiratoryWeight,0))))</f>
        <v/>
      </c>
      <c r="AS62" s="26" t="str">
        <f aca="false">IF(AR62="","Incomplete",IF(AR62&gt;=80,"Green - On Track",IF(AR62&gt;=60,"Amber - Monitor","Red - Refer")))</f>
        <v>Incomplete</v>
      </c>
      <c r="AT62" s="26" t="str">
        <f aca="false">IF(OR(I62="High-risk",K62="High-risk",N62="High-risk",R62="High-risk",V62="High-risk",Z62="High-risk",AC62="High-risk",AI62="High-risk"),"OVERRIDE - Individual referral required","")</f>
        <v/>
      </c>
      <c r="AU62" s="26" t="str">
        <f aca="false">TRIM(AS62&amp;IF(AT62&lt;&gt;""," | "&amp;AT62,"")&amp;IF(AND(AO62&lt;&gt;"",AO62&lt;&gt;"Clear")," | "&amp;AO62,"")&amp;IF(AND(AP62&lt;&gt;"",AP62&lt;&gt;"Clear")," | Mental wellbeing: "&amp;AP62,""))</f>
        <v>Incomplete</v>
      </c>
    </row>
    <row r="63" customFormat="false" ht="15" hidden="false" customHeight="false" outlineLevel="0" collapsed="false">
      <c r="A63" s="25"/>
      <c r="B63" s="25"/>
      <c r="C63" s="25"/>
      <c r="D63" s="25"/>
      <c r="E63" s="25"/>
      <c r="F63" s="25"/>
      <c r="G63" s="25"/>
      <c r="H63" s="26" t="str">
        <f aca="false">IF(AND(F63&lt;&gt;"",G63&lt;&gt;""),G63/((F63/100)^2),"")</f>
        <v/>
      </c>
      <c r="I63" s="25"/>
      <c r="J63" s="26" t="str">
        <f aca="false">IF(I63="","",IF(I63="Normal",100,IF(I63="Caution",60,IF(I63="High-risk",20,""))))</f>
        <v/>
      </c>
      <c r="K63" s="25"/>
      <c r="L63" s="26" t="str">
        <f aca="false">IF(K63="","",IF(K63="Normal",100,IF(K63="Caution",60,IF(K63="High-risk",20,""))))</f>
        <v/>
      </c>
      <c r="M63" s="25"/>
      <c r="N63" s="25"/>
      <c r="O63" s="26" t="str">
        <f aca="false">IF(N63="","",IF(N63="Normal",100,IF(N63="Caution",60,IF(N63="High-risk",20,""))))</f>
        <v/>
      </c>
      <c r="P63" s="25"/>
      <c r="Q63" s="25"/>
      <c r="R63" s="25"/>
      <c r="S63" s="26" t="str">
        <f aca="false">IF(R63="","",IF(R63="Normal",100,IF(R63="Caution",60,IF(R63="High-risk",20,""))))</f>
        <v/>
      </c>
      <c r="T63" s="25"/>
      <c r="U63" s="25"/>
      <c r="V63" s="25"/>
      <c r="W63" s="26" t="str">
        <f aca="false">IF(V63="","",IF(V63="Normal",100,IF(V63="Caution",60,IF(V63="High-risk",20,""))))</f>
        <v/>
      </c>
      <c r="X63" s="25"/>
      <c r="Y63" s="25"/>
      <c r="Z63" s="26" t="str">
        <f aca="false">IF(OR(X63="",Y63=""),"",IF(MIN(X63,Y63)&gt;=0.67,"Normal",IF(MIN(X63,Y63)&gt;=0.5,"Caution","High-risk")))</f>
        <v/>
      </c>
      <c r="AA63" s="26" t="str">
        <f aca="false">IF(Z63="","",IF(Z63="Normal",100,IF(Z63="Caution",60,20)))</f>
        <v/>
      </c>
      <c r="AB63" s="25"/>
      <c r="AC63" s="26" t="str">
        <f aca="false">IF(AB63="","",IF(AB63=0,"Normal",IF(AB63&lt;3,"Caution","High-risk")))</f>
        <v/>
      </c>
      <c r="AD63" s="26" t="str">
        <f aca="false">IF(AC63="","",IF(AC63="Normal",100,IF(AC63="Caution",60,20)))</f>
        <v/>
      </c>
      <c r="AE63" s="25"/>
      <c r="AF63" s="25"/>
      <c r="AG63" s="25"/>
      <c r="AH63" s="26" t="str">
        <f aca="false">IF(OR(AF63="",AG63="",AG63=0),"",AF63/AG63)</f>
        <v/>
      </c>
      <c r="AI63" s="26" t="str">
        <f aca="false">IF(AND(AE63="",AF63=""),"",IF(AND(AH63&lt;&gt;"",AH63&lt;0.5),"High-risk",IF(OR(AE63="Yes",AND(AH63&lt;&gt;"",AH63&lt;0.8)),"Caution","Normal")))</f>
        <v/>
      </c>
      <c r="AJ63" s="26" t="str">
        <f aca="false">IF(AI63="","",IF(AI63="Normal",100,IF(AI63="Caution",60,20)))</f>
        <v/>
      </c>
      <c r="AK63" s="25"/>
      <c r="AL63" s="25"/>
      <c r="AM63" s="25"/>
      <c r="AN63" s="25"/>
      <c r="AO63" s="26" t="str">
        <f aca="false">IF(COUNTBLANK(AK63:AN63)=4,"",IF(COUNTIF(AK63:AN63,"Yes")&gt;0,"REFER - TB symptom screen positive","Clear"))</f>
        <v/>
      </c>
      <c r="AP63" s="25"/>
      <c r="AQ63" s="26" t="n">
        <f aca="false">COUNT(J63,L63,O63,S63,W63,AA63,AD63,AJ63)</f>
        <v>0</v>
      </c>
      <c r="AR63" s="26" t="str">
        <f aca="false">IF(AQ63=0,"",((IF(J63&lt;&gt;"",J63*UndernutritionWeight,0)+IF(L63&lt;&gt;"",L63*OverweightWeight,0)+IF(O63&lt;&gt;"",O63*AnaemiaWeight,0)+IF(S63&lt;&gt;"",S63*BPWeight,0)+IF(W63&lt;&gt;"",W63*MetabolicWeight,0)+IF(AA63&lt;&gt;"",AA63*VisionWeight,0)+IF(AD63&lt;&gt;"",AD63*OralWeight,0)+IF(AJ63&lt;&gt;"",AJ63*RespiratoryWeight,0))/(IF(J63&lt;&gt;"",UndernutritionWeight,0)+IF(L63&lt;&gt;"",OverweightWeight,0)+IF(O63&lt;&gt;"",AnaemiaWeight,0)+IF(S63&lt;&gt;"",BPWeight,0)+IF(W63&lt;&gt;"",MetabolicWeight,0)+IF(AA63&lt;&gt;"",VisionWeight,0)+IF(AD63&lt;&gt;"",OralWeight,0)+IF(AJ63&lt;&gt;"",RespiratoryWeight,0))))</f>
        <v/>
      </c>
      <c r="AS63" s="26" t="str">
        <f aca="false">IF(AR63="","Incomplete",IF(AR63&gt;=80,"Green - On Track",IF(AR63&gt;=60,"Amber - Monitor","Red - Refer")))</f>
        <v>Incomplete</v>
      </c>
      <c r="AT63" s="26" t="str">
        <f aca="false">IF(OR(I63="High-risk",K63="High-risk",N63="High-risk",R63="High-risk",V63="High-risk",Z63="High-risk",AC63="High-risk",AI63="High-risk"),"OVERRIDE - Individual referral required","")</f>
        <v/>
      </c>
      <c r="AU63" s="26" t="str">
        <f aca="false">TRIM(AS63&amp;IF(AT63&lt;&gt;""," | "&amp;AT63,"")&amp;IF(AND(AO63&lt;&gt;"",AO63&lt;&gt;"Clear")," | "&amp;AO63,"")&amp;IF(AND(AP63&lt;&gt;"",AP63&lt;&gt;"Clear")," | Mental wellbeing: "&amp;AP63,""))</f>
        <v>Incomplete</v>
      </c>
    </row>
    <row r="64" customFormat="false" ht="15" hidden="false" customHeight="false" outlineLevel="0" collapsed="false">
      <c r="A64" s="25"/>
      <c r="B64" s="25"/>
      <c r="C64" s="25"/>
      <c r="D64" s="25"/>
      <c r="E64" s="25"/>
      <c r="F64" s="25"/>
      <c r="G64" s="25"/>
      <c r="H64" s="26" t="str">
        <f aca="false">IF(AND(F64&lt;&gt;"",G64&lt;&gt;""),G64/((F64/100)^2),"")</f>
        <v/>
      </c>
      <c r="I64" s="25"/>
      <c r="J64" s="26" t="str">
        <f aca="false">IF(I64="","",IF(I64="Normal",100,IF(I64="Caution",60,IF(I64="High-risk",20,""))))</f>
        <v/>
      </c>
      <c r="K64" s="25"/>
      <c r="L64" s="26" t="str">
        <f aca="false">IF(K64="","",IF(K64="Normal",100,IF(K64="Caution",60,IF(K64="High-risk",20,""))))</f>
        <v/>
      </c>
      <c r="M64" s="25"/>
      <c r="N64" s="25"/>
      <c r="O64" s="26" t="str">
        <f aca="false">IF(N64="","",IF(N64="Normal",100,IF(N64="Caution",60,IF(N64="High-risk",20,""))))</f>
        <v/>
      </c>
      <c r="P64" s="25"/>
      <c r="Q64" s="25"/>
      <c r="R64" s="25"/>
      <c r="S64" s="26" t="str">
        <f aca="false">IF(R64="","",IF(R64="Normal",100,IF(R64="Caution",60,IF(R64="High-risk",20,""))))</f>
        <v/>
      </c>
      <c r="T64" s="25"/>
      <c r="U64" s="25"/>
      <c r="V64" s="25"/>
      <c r="W64" s="26" t="str">
        <f aca="false">IF(V64="","",IF(V64="Normal",100,IF(V64="Caution",60,IF(V64="High-risk",20,""))))</f>
        <v/>
      </c>
      <c r="X64" s="25"/>
      <c r="Y64" s="25"/>
      <c r="Z64" s="26" t="str">
        <f aca="false">IF(OR(X64="",Y64=""),"",IF(MIN(X64,Y64)&gt;=0.67,"Normal",IF(MIN(X64,Y64)&gt;=0.5,"Caution","High-risk")))</f>
        <v/>
      </c>
      <c r="AA64" s="26" t="str">
        <f aca="false">IF(Z64="","",IF(Z64="Normal",100,IF(Z64="Caution",60,20)))</f>
        <v/>
      </c>
      <c r="AB64" s="25"/>
      <c r="AC64" s="26" t="str">
        <f aca="false">IF(AB64="","",IF(AB64=0,"Normal",IF(AB64&lt;3,"Caution","High-risk")))</f>
        <v/>
      </c>
      <c r="AD64" s="26" t="str">
        <f aca="false">IF(AC64="","",IF(AC64="Normal",100,IF(AC64="Caution",60,20)))</f>
        <v/>
      </c>
      <c r="AE64" s="25"/>
      <c r="AF64" s="25"/>
      <c r="AG64" s="25"/>
      <c r="AH64" s="26" t="str">
        <f aca="false">IF(OR(AF64="",AG64="",AG64=0),"",AF64/AG64)</f>
        <v/>
      </c>
      <c r="AI64" s="26" t="str">
        <f aca="false">IF(AND(AE64="",AF64=""),"",IF(AND(AH64&lt;&gt;"",AH64&lt;0.5),"High-risk",IF(OR(AE64="Yes",AND(AH64&lt;&gt;"",AH64&lt;0.8)),"Caution","Normal")))</f>
        <v/>
      </c>
      <c r="AJ64" s="26" t="str">
        <f aca="false">IF(AI64="","",IF(AI64="Normal",100,IF(AI64="Caution",60,20)))</f>
        <v/>
      </c>
      <c r="AK64" s="25"/>
      <c r="AL64" s="25"/>
      <c r="AM64" s="25"/>
      <c r="AN64" s="25"/>
      <c r="AO64" s="26" t="str">
        <f aca="false">IF(COUNTBLANK(AK64:AN64)=4,"",IF(COUNTIF(AK64:AN64,"Yes")&gt;0,"REFER - TB symptom screen positive","Clear"))</f>
        <v/>
      </c>
      <c r="AP64" s="25"/>
      <c r="AQ64" s="26" t="n">
        <f aca="false">COUNT(J64,L64,O64,S64,W64,AA64,AD64,AJ64)</f>
        <v>0</v>
      </c>
      <c r="AR64" s="26" t="str">
        <f aca="false">IF(AQ64=0,"",((IF(J64&lt;&gt;"",J64*UndernutritionWeight,0)+IF(L64&lt;&gt;"",L64*OverweightWeight,0)+IF(O64&lt;&gt;"",O64*AnaemiaWeight,0)+IF(S64&lt;&gt;"",S64*BPWeight,0)+IF(W64&lt;&gt;"",W64*MetabolicWeight,0)+IF(AA64&lt;&gt;"",AA64*VisionWeight,0)+IF(AD64&lt;&gt;"",AD64*OralWeight,0)+IF(AJ64&lt;&gt;"",AJ64*RespiratoryWeight,0))/(IF(J64&lt;&gt;"",UndernutritionWeight,0)+IF(L64&lt;&gt;"",OverweightWeight,0)+IF(O64&lt;&gt;"",AnaemiaWeight,0)+IF(S64&lt;&gt;"",BPWeight,0)+IF(W64&lt;&gt;"",MetabolicWeight,0)+IF(AA64&lt;&gt;"",VisionWeight,0)+IF(AD64&lt;&gt;"",OralWeight,0)+IF(AJ64&lt;&gt;"",RespiratoryWeight,0))))</f>
        <v/>
      </c>
      <c r="AS64" s="26" t="str">
        <f aca="false">IF(AR64="","Incomplete",IF(AR64&gt;=80,"Green - On Track",IF(AR64&gt;=60,"Amber - Monitor","Red - Refer")))</f>
        <v>Incomplete</v>
      </c>
      <c r="AT64" s="26" t="str">
        <f aca="false">IF(OR(I64="High-risk",K64="High-risk",N64="High-risk",R64="High-risk",V64="High-risk",Z64="High-risk",AC64="High-risk",AI64="High-risk"),"OVERRIDE - Individual referral required","")</f>
        <v/>
      </c>
      <c r="AU64" s="26" t="str">
        <f aca="false">TRIM(AS64&amp;IF(AT64&lt;&gt;""," | "&amp;AT64,"")&amp;IF(AND(AO64&lt;&gt;"",AO64&lt;&gt;"Clear")," | "&amp;AO64,"")&amp;IF(AND(AP64&lt;&gt;"",AP64&lt;&gt;"Clear")," | Mental wellbeing: "&amp;AP64,""))</f>
        <v>Incomplete</v>
      </c>
    </row>
  </sheetData>
  <mergeCells count="11">
    <mergeCell ref="A2:E2"/>
    <mergeCell ref="F2:J2"/>
    <mergeCell ref="K2:L2"/>
    <mergeCell ref="M2:O2"/>
    <mergeCell ref="P2:S2"/>
    <mergeCell ref="T2:W2"/>
    <mergeCell ref="X2:AA2"/>
    <mergeCell ref="AB2:AD2"/>
    <mergeCell ref="AE2:AJ2"/>
    <mergeCell ref="AK2:AO2"/>
    <mergeCell ref="AQ2:AU2"/>
  </mergeCells>
  <conditionalFormatting sqref="AS4:AS64">
    <cfRule type="expression" priority="2" aboveAverage="0" equalAverage="0" bottom="0" percent="0" rank="0" text="" dxfId="0">
      <formula>$AS4="Green - On Track"</formula>
    </cfRule>
    <cfRule type="expression" priority="3" aboveAverage="0" equalAverage="0" bottom="0" percent="0" rank="0" text="" dxfId="1">
      <formula>$AS4="Amber - Monitor"</formula>
    </cfRule>
    <cfRule type="expression" priority="4" aboveAverage="0" equalAverage="0" bottom="0" percent="0" rank="0" text="" dxfId="2">
      <formula>$AS4="Red - Refer"</formula>
    </cfRule>
  </conditionalFormatting>
  <conditionalFormatting sqref="AT4:AT64">
    <cfRule type="expression" priority="5" aboveAverage="0" equalAverage="0" bottom="0" percent="0" rank="0" text="" dxfId="2">
      <formula>$AT4&lt;&gt;""</formula>
    </cfRule>
  </conditionalFormatting>
  <conditionalFormatting sqref="AO4:AO64">
    <cfRule type="expression" priority="6" aboveAverage="0" equalAverage="0" bottom="0" percent="0" rank="0" text="" dxfId="2">
      <formula>LEFT($AO4,5)="REFER"</formula>
    </cfRule>
  </conditionalFormatting>
  <conditionalFormatting sqref="AP4:AP64">
    <cfRule type="expression" priority="7" aboveAverage="0" equalAverage="0" bottom="0" percent="0" rank="0" text="" dxfId="2">
      <formula>LEFT($AP4,5)="REFER"</formula>
    </cfRule>
  </conditionalFormatting>
  <dataValidations count="4">
    <dataValidation allowBlank="true" errorStyle="stop" operator="between" showDropDown="false" showErrorMessage="false" showInputMessage="false" sqref="E4:E64" type="list">
      <formula1>"M,F"</formula1>
      <formula2>0</formula2>
    </dataValidation>
    <dataValidation allowBlank="true" errorStyle="stop" operator="between" showDropDown="false" showErrorMessage="false" showInputMessage="false" sqref="I4:I64 K4:K64 N4:N64 R4:R64 V4:V64" type="list">
      <formula1>"Normal,Caution,High-risk"</formula1>
      <formula2>0</formula2>
    </dataValidation>
    <dataValidation allowBlank="true" errorStyle="stop" operator="between" showDropDown="false" showErrorMessage="false" showInputMessage="false" sqref="AE4:AE64 AK4:AN64" type="list">
      <formula1>"Yes,No"</formula1>
      <formula2>0</formula2>
    </dataValidation>
    <dataValidation allowBlank="true" errorStyle="stop" operator="between" showDropDown="false" showErrorMessage="false" showInputMessage="false" sqref="AP4:AP64" type="list">
      <formula1>"Clear,REFER - Same day"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2026-07-18T12:59:12Z</dcterms:created>
  <dc:creator>openpyxl</dc:creator>
  <dc:description/>
  <dc:language>en-US</dc:language>
  <cp:lastModifiedBy/>
  <dcterms:modified xsi:type="dcterms:W3CDTF">2026-07-18T13:00:21Z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