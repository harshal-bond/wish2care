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ME" sheetId="1" state="visible" r:id="rId3"/>
    <sheet name="STUDENT SCREENING" sheetId="2" state="visible" r:id="rId4"/>
    <sheet name="DOCTOR ASSESSMENT" sheetId="3" state="visible" r:id="rId5"/>
    <sheet name="PARENT REPORT" sheetId="4" state="visible" r:id="rId6"/>
    <sheet name="SCHOOL DASHBOARD" sheetId="5" state="visible" r:id="rId7"/>
    <sheet name="RESEARCH DATABASE" sheetId="6" state="visible" r:id="rId8"/>
    <sheet name="SCORING MASTER" sheetId="7" state="visible" r:id="rId9"/>
    <sheet name="DROPDOWN MASTER" sheetId="8" state="visible" r:id="rId10"/>
    <sheet name="DOCUMENTATION" sheetId="9" state="visible" r:id="rId11"/>
  </sheets>
  <definedNames>
    <definedName function="false" hidden="false" localSheetId="3" name="_xlnm.Print_Area" vbProcedure="false">'PARENT REPORT'!$A$1:$G$41</definedName>
    <definedName function="false" hidden="false" name="Adm_Blood_Group" vbProcedure="false">'DROPDOWN MASTER'!$B$4:$B$12</definedName>
    <definedName function="false" hidden="false" name="Adm_Class" vbProcedure="false">'DROPDOWN MASTER'!$C$4:$C$20</definedName>
    <definedName function="false" hidden="false" name="Adm_Gender" vbProcedure="false">'DROPDOWN MASTER'!$A$4:$A$6</definedName>
    <definedName function="false" hidden="false" name="Adm_Referral_Type" vbProcedure="false">'DROPDOWN MASTER'!$H$4:$H$9</definedName>
    <definedName function="false" hidden="false" name="Adm_Risk_Category" vbProcedure="false">'DROPDOWN MASTER'!$G$4:$G$8</definedName>
    <definedName function="false" hidden="false" name="Adm_State" vbProcedure="false">'DROPDOWN MASTER'!$D$4:$D$15</definedName>
    <definedName function="false" hidden="false" name="Adm_Vaccination___Deworming" vbProcedure="false">'DROPDOWN MASTER'!$F$4:$F$6</definedName>
    <definedName function="false" hidden="false" name="Adm_Yes___No" vbProcedure="false">'DROPDOWN MASTER'!$E$4:$E$5</definedName>
    <definedName function="false" hidden="false" name="Sc_Alcohol_P" vbProcedure="false">'SCORING MASTER'!$D$54:$D$57</definedName>
    <definedName function="false" hidden="false" name="Sc_Alcohol_R" vbProcedure="false">'SCORING MASTER'!$C$54:$C$57</definedName>
    <definedName function="false" hidden="false" name="Sc_Breakfast_P" vbProcedure="false">'SCORING MASTER'!$D$5:$D$7</definedName>
    <definedName function="false" hidden="false" name="Sc_Breakfast_R" vbProcedure="false">'SCORING MASTER'!$C$5:$C$7</definedName>
    <definedName function="false" hidden="false" name="Sc_Bullying_P" vbProcedure="false">'SCORING MASTER'!$D$92:$D$93</definedName>
    <definedName function="false" hidden="false" name="Sc_Bullying_R" vbProcedure="false">'SCORING MASTER'!$C$92:$C$93</definedName>
    <definedName function="false" hidden="false" name="Sc_Chronic_Disease_P" vbProcedure="false">'SCORING MASTER'!$D$59:$D$60</definedName>
    <definedName function="false" hidden="false" name="Sc_Chronic_Disease_R" vbProcedure="false">'SCORING MASTER'!$C$59:$C$60</definedName>
    <definedName function="false" hidden="false" name="Sc_Concentration_P" vbProcedure="false">'SCORING MASTER'!$D$88:$D$90</definedName>
    <definedName function="false" hidden="false" name="Sc_Concentration_R" vbProcedure="false">'SCORING MASTER'!$C$88:$C$90</definedName>
    <definedName function="false" hidden="false" name="Sc_Dental_Caries_P" vbProcedure="false">'SCORING MASTER'!$D$98:$D$99</definedName>
    <definedName function="false" hidden="false" name="Sc_Dental_Caries_R" vbProcedure="false">'SCORING MASTER'!$C$98:$C$99</definedName>
    <definedName function="false" hidden="false" name="Sc_Dental_Check_up_P" vbProcedure="false">'SCORING MASTER'!$D$125:$D$126</definedName>
    <definedName function="false" hidden="false" name="Sc_Dental_Check_up_R" vbProcedure="false">'SCORING MASTER'!$C$125:$C$126</definedName>
    <definedName function="false" hidden="false" name="Sc_Deworming_P" vbProcedure="false">'SCORING MASTER'!$D$117:$D$119</definedName>
    <definedName function="false" hidden="false" name="Sc_Deworming_R" vbProcedure="false">'SCORING MASTER'!$C$117:$C$119</definedName>
    <definedName function="false" hidden="false" name="Sc_Frequent_Fever_P" vbProcedure="false">'SCORING MASTER'!$D$62:$D$63</definedName>
    <definedName function="false" hidden="false" name="Sc_Frequent_Fever_R" vbProcedure="false">'SCORING MASTER'!$C$62:$C$63</definedName>
    <definedName function="false" hidden="false" name="Sc_Fruit_Intake_P" vbProcedure="false">'SCORING MASTER'!$D$9:$D$11</definedName>
    <definedName function="false" hidden="false" name="Sc_Fruit_Intake_R" vbProcedure="false">'SCORING MASTER'!$C$9:$C$11</definedName>
    <definedName function="false" hidden="false" name="Sc_Hair_Changes_P" vbProcedure="false">'SCORING MASTER'!$D$107:$D$108</definedName>
    <definedName function="false" hidden="false" name="Sc_Hair_Changes_R" vbProcedure="false">'SCORING MASTER'!$C$107:$C$108</definedName>
    <definedName function="false" hidden="false" name="Sc_Hand_Hygiene_P" vbProcedure="false">'SCORING MASTER'!$D$121:$D$123</definedName>
    <definedName function="false" hidden="false" name="Sc_Hand_Hygiene_R" vbProcedure="false">'SCORING MASTER'!$C$121:$C$123</definedName>
    <definedName function="false" hidden="false" name="Sc_Hospitalisation_P" vbProcedure="false">'SCORING MASTER'!$D$74:$D$75</definedName>
    <definedName function="false" hidden="false" name="Sc_Hospitalisation_R" vbProcedure="false">'SCORING MASTER'!$C$74:$C$75</definedName>
    <definedName function="false" hidden="false" name="Sc_Junk_Food_P" vbProcedure="false">'SCORING MASTER'!$D$21:$D$23</definedName>
    <definedName function="false" hidden="false" name="Sc_Junk_Food_R" vbProcedure="false">'SCORING MASTER'!$C$21:$C$23</definedName>
    <definedName function="false" hidden="false" name="Sc_Medication_P" vbProcedure="false">'SCORING MASTER'!$D$77:$D$78</definedName>
    <definedName function="false" hidden="false" name="Sc_Medication_R" vbProcedure="false">'SCORING MASTER'!$C$77:$C$78</definedName>
    <definedName function="false" hidden="false" name="Sc_Mood_P" vbProcedure="false">'SCORING MASTER'!$D$84:$D$86</definedName>
    <definedName function="false" hidden="false" name="Sc_Mood_R" vbProcedure="false">'SCORING MASTER'!$C$84:$C$86</definedName>
    <definedName function="false" hidden="false" name="Sc_Outdoor_Play_P" vbProcedure="false">'SCORING MASTER'!$D$41:$D$43</definedName>
    <definedName function="false" hidden="false" name="Sc_Outdoor_Play_R" vbProcedure="false">'SCORING MASTER'!$C$41:$C$43</definedName>
    <definedName function="false" hidden="false" name="Sc_Pallor_P" vbProcedure="false">'SCORING MASTER'!$D$95:$D$96</definedName>
    <definedName function="false" hidden="false" name="Sc_Pallor_R" vbProcedure="false">'SCORING MASTER'!$C$95:$C$96</definedName>
    <definedName function="false" hidden="false" name="Sc_Physical_Activity_P" vbProcedure="false">'SCORING MASTER'!$D$33:$D$35</definedName>
    <definedName function="false" hidden="false" name="Sc_Physical_Activity_R" vbProcedure="false">'SCORING MASTER'!$C$33:$C$35</definedName>
    <definedName function="false" hidden="false" name="Sc_Poor_Appetite_P" vbProcedure="false">'SCORING MASTER'!$D$68:$D$69</definedName>
    <definedName function="false" hidden="false" name="Sc_Poor_Appetite_R" vbProcedure="false">'SCORING MASTER'!$C$68:$C$69</definedName>
    <definedName function="false" hidden="false" name="Sc_Poor_Oral_Hygiene_P" vbProcedure="false">'SCORING MASTER'!$D$101:$D$102</definedName>
    <definedName function="false" hidden="false" name="Sc_Poor_Oral_Hygiene_R" vbProcedure="false">'SCORING MASTER'!$C$101:$C$102</definedName>
    <definedName function="false" hidden="false" name="Sc_Protein_Intake_P" vbProcedure="false">'SCORING MASTER'!$D$17:$D$19</definedName>
    <definedName function="false" hidden="false" name="Sc_Protein_Intake_R" vbProcedure="false">'SCORING MASTER'!$C$17:$C$19</definedName>
    <definedName function="false" hidden="false" name="Sc_Repeated_Infection_P" vbProcedure="false">'SCORING MASTER'!$D$71:$D$72</definedName>
    <definedName function="false" hidden="false" name="Sc_Repeated_Infection_R" vbProcedure="false">'SCORING MASTER'!$C$71:$C$72</definedName>
    <definedName function="false" hidden="false" name="Sc_Screen_Time_P" vbProcedure="false">'SCORING MASTER'!$D$37:$D$39</definedName>
    <definedName function="false" hidden="false" name="Sc_Screen_Time_R" vbProcedure="false">'SCORING MASTER'!$C$37:$C$39</definedName>
    <definedName function="false" hidden="false" name="Sc_Skin_Changes_P" vbProcedure="false">'SCORING MASTER'!$D$110:$D$111</definedName>
    <definedName function="false" hidden="false" name="Sc_Skin_Changes_R" vbProcedure="false">'SCORING MASTER'!$C$110:$C$111</definedName>
    <definedName function="false" hidden="false" name="Sc_Sleep_Hours_P" vbProcedure="false">'SCORING MASTER'!$D$45:$D$47</definedName>
    <definedName function="false" hidden="false" name="Sc_Sleep_Hours_R" vbProcedure="false">'SCORING MASTER'!$C$45:$C$47</definedName>
    <definedName function="false" hidden="false" name="Sc_Smoking_P" vbProcedure="false">'SCORING MASTER'!$D$49:$D$52</definedName>
    <definedName function="false" hidden="false" name="Sc_Smoking_R" vbProcedure="false">'SCORING MASTER'!$C$49:$C$52</definedName>
    <definedName function="false" hidden="false" name="Sc_Stress_P" vbProcedure="false">'SCORING MASTER'!$D$80:$D$82</definedName>
    <definedName function="false" hidden="false" name="Sc_Stress_R" vbProcedure="false">'SCORING MASTER'!$C$80:$C$82</definedName>
    <definedName function="false" hidden="false" name="Sc_Sugary_Drinks_P" vbProcedure="false">'SCORING MASTER'!$D$25:$D$27</definedName>
    <definedName function="false" hidden="false" name="Sc_Sugary_Drinks_R" vbProcedure="false">'SCORING MASTER'!$C$25:$C$27</definedName>
    <definedName function="false" hidden="false" name="Sc_Vaccination_Complete_P" vbProcedure="false">'SCORING MASTER'!$D$113:$D$115</definedName>
    <definedName function="false" hidden="false" name="Sc_Vaccination_Complete_R" vbProcedure="false">'SCORING MASTER'!$C$113:$C$115</definedName>
    <definedName function="false" hidden="false" name="Sc_Vegetables_P" vbProcedure="false">'SCORING MASTER'!$D$13:$D$15</definedName>
    <definedName function="false" hidden="false" name="Sc_Vegetables_R" vbProcedure="false">'SCORING MASTER'!$C$13:$C$15</definedName>
    <definedName function="false" hidden="false" name="Sc_Vision_Problem_P" vbProcedure="false">'SCORING MASTER'!$D$104:$D$105</definedName>
    <definedName function="false" hidden="false" name="Sc_Vision_Problem_R" vbProcedure="false">'SCORING MASTER'!$C$104:$C$105</definedName>
    <definedName function="false" hidden="false" name="Sc_Vision_Screening_P" vbProcedure="false">'SCORING MASTER'!$D$128:$D$129</definedName>
    <definedName function="false" hidden="false" name="Sc_Vision_Screening_R" vbProcedure="false">'SCORING MASTER'!$C$128:$C$129</definedName>
    <definedName function="false" hidden="false" name="Sc_Water_Intake_P" vbProcedure="false">'SCORING MASTER'!$D$29:$D$31</definedName>
    <definedName function="false" hidden="false" name="Sc_Water_Intake_R" vbProcedure="false">'SCORING MASTER'!$C$29:$C$31</definedName>
    <definedName function="false" hidden="false" name="Sc_Weight_Loss_P" vbProcedure="false">'SCORING MASTER'!$D$65:$D$66</definedName>
    <definedName function="false" hidden="false" name="Sc_Weight_Loss_R" vbProcedure="false">'SCORING MASTER'!$C$65:$C$66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<sst xmlns="http://schemas.openxmlformats.org/spreadsheetml/2006/main" count="945" uniqueCount="369">
  <si>
    <t xml:space="preserve">WISH2CARE  SAFE HEALTH INTELLIGENCE SYSTEM</t>
  </si>
  <si>
    <t xml:space="preserve">School Assessment For Excellence  |  Student Health Screening &amp; Scoring Platform</t>
  </si>
  <si>
    <t xml:space="preserve">PROGRAMME OVERVIEW</t>
  </si>
  <si>
    <t xml:space="preserve">This workbook screens students aged 7-30 in schools and colleges in 5-7 minutes per student. It produces an Overall Health Score, Nutrition Score, Undernutrition Risk Score, Lifestyle Score, Mental Wellness Score, Preventive Health Score and a School Health Index - all calculated automatically. This is a v1.0 instrument: pilot-test and statistically validate locally before using scores for clinical or policy decisions.</t>
  </si>
  <si>
    <t xml:space="preserve">NAVIGATE</t>
  </si>
  <si>
    <t xml:space="preserve">1. STUDENT SCREENING</t>
  </si>
  <si>
    <t xml:space="preserve">Register students and capture the 7-section screening (Anthropometry, Diet, Lifestyle, Medical History, Mental Wellness, Clinical Observation, Preventive Health).</t>
  </si>
  <si>
    <t xml:space="preserve">2. DOCTOR ASSESSMENT</t>
  </si>
  <si>
    <t xml:space="preserve">Doctor's diagnosis, advice, referral and follow-up decisions per student.</t>
  </si>
  <si>
    <t xml:space="preserve">3. PARENT REPORT</t>
  </si>
  <si>
    <t xml:space="preserve">Printable one-page report per student: pick a Student ID, everything else fills in.</t>
  </si>
  <si>
    <t xml:space="preserve">4. SCHOOL DASHBOARD</t>
  </si>
  <si>
    <t xml:space="preserve">Live cohort statistics, risk distribution and top health problems with charts.</t>
  </si>
  <si>
    <t xml:space="preserve">5. RESEARCH DATABASE</t>
  </si>
  <si>
    <t xml:space="preserve">One numeric row per student, ready for SPSS / R / Python / Power BI / SQL.</t>
  </si>
  <si>
    <t xml:space="preserve">6. SCORING MASTER</t>
  </si>
  <si>
    <t xml:space="preserve">Editable point values behind every automated score.</t>
  </si>
  <si>
    <t xml:space="preserve">7. DROPDOWN MASTER</t>
  </si>
  <si>
    <t xml:space="preserve">Editable dropdown option lists.</t>
  </si>
  <si>
    <t xml:space="preserve">8. DOCUMENTATION</t>
  </si>
  <si>
    <t xml:space="preserve">What every worksheet, formula and score means.</t>
  </si>
  <si>
    <t xml:space="preserve">COLOUR KEY - RISK BANDS</t>
  </si>
  <si>
    <t xml:space="preserve">90+  Green  Healthy</t>
  </si>
  <si>
    <t xml:space="preserve">75-89  Light Green  Mild Watch</t>
  </si>
  <si>
    <t xml:space="preserve">60-74  Yellow  Mild Risk</t>
  </si>
  <si>
    <t xml:space="preserve">40-59  Orange  Moderate Risk</t>
  </si>
  <si>
    <t xml:space="preserve">Below 40  Red  High Risk</t>
  </si>
  <si>
    <t xml:space="preserve">Wish2Care Wellness Pvt Ltd  |  SAFE Programme  |  Confidential Student Health Data - handle per India DPDP Act 2023</t>
  </si>
  <si>
    <t xml:space="preserve">STUDENT SCREENING  |  Wish2Care SAFE Health Intelligence System</t>
  </si>
  <si>
    <t xml:space="preserve">Student Registration</t>
  </si>
  <si>
    <t xml:space="preserve">Section A - Anthropometry</t>
  </si>
  <si>
    <t xml:space="preserve">Section B - Diet</t>
  </si>
  <si>
    <t xml:space="preserve">Section C - Lifestyle</t>
  </si>
  <si>
    <t xml:space="preserve">Section D - Medical History</t>
  </si>
  <si>
    <t xml:space="preserve">Section E - Mental Wellness</t>
  </si>
  <si>
    <t xml:space="preserve">Section F - Clinical Observation</t>
  </si>
  <si>
    <t xml:space="preserve">Section G - Preventive Health</t>
  </si>
  <si>
    <t xml:space="preserve">Automated Scoring</t>
  </si>
  <si>
    <t xml:space="preserve">Student ID</t>
  </si>
  <si>
    <t xml:space="preserve">Screening Date</t>
  </si>
  <si>
    <t xml:space="preserve">School Name</t>
  </si>
  <si>
    <t xml:space="preserve">District</t>
  </si>
  <si>
    <t xml:space="preserve">State</t>
  </si>
  <si>
    <t xml:space="preserve">Class</t>
  </si>
  <si>
    <t xml:space="preserve">Division</t>
  </si>
  <si>
    <t xml:space="preserve">Roll Number</t>
  </si>
  <si>
    <t xml:space="preserve">Student Name</t>
  </si>
  <si>
    <t xml:space="preserve">Age</t>
  </si>
  <si>
    <t xml:space="preserve">Gender</t>
  </si>
  <si>
    <t xml:space="preserve">Date of Birth</t>
  </si>
  <si>
    <t xml:space="preserve">Parent Name</t>
  </si>
  <si>
    <t xml:space="preserve">Parent Mobile</t>
  </si>
  <si>
    <t xml:space="preserve">Emergency Contact</t>
  </si>
  <si>
    <t xml:space="preserve">Blood Group</t>
  </si>
  <si>
    <t xml:space="preserve">Height (cm)</t>
  </si>
  <si>
    <t xml:space="preserve">Weight (kg)</t>
  </si>
  <si>
    <t xml:space="preserve">BMI</t>
  </si>
  <si>
    <t xml:space="preserve">BMI Category</t>
  </si>
  <si>
    <t xml:space="preserve">MUAC (cm)</t>
  </si>
  <si>
    <t xml:space="preserve">Waist Circumference (cm)</t>
  </si>
  <si>
    <t xml:space="preserve">Breakfast</t>
  </si>
  <si>
    <t xml:space="preserve">Fruit Intake</t>
  </si>
  <si>
    <t xml:space="preserve">Vegetables</t>
  </si>
  <si>
    <t xml:space="preserve">Protein Intake</t>
  </si>
  <si>
    <t xml:space="preserve">Junk Food</t>
  </si>
  <si>
    <t xml:space="preserve">Sugary Drinks</t>
  </si>
  <si>
    <t xml:space="preserve">Water Intake</t>
  </si>
  <si>
    <t xml:space="preserve">Physical Activity</t>
  </si>
  <si>
    <t xml:space="preserve">Screen Time</t>
  </si>
  <si>
    <t xml:space="preserve">Outdoor Play</t>
  </si>
  <si>
    <t xml:space="preserve">Sleep Hours</t>
  </si>
  <si>
    <t xml:space="preserve">Smoking</t>
  </si>
  <si>
    <t xml:space="preserve">Alcohol</t>
  </si>
  <si>
    <t xml:space="preserve">Chronic Disease</t>
  </si>
  <si>
    <t xml:space="preserve">Frequent Fever</t>
  </si>
  <si>
    <t xml:space="preserve">Weight Loss</t>
  </si>
  <si>
    <t xml:space="preserve">Poor Appetite</t>
  </si>
  <si>
    <t xml:space="preserve">Repeated Infection</t>
  </si>
  <si>
    <t xml:space="preserve">Hospitalisation</t>
  </si>
  <si>
    <t xml:space="preserve">Medication</t>
  </si>
  <si>
    <t xml:space="preserve">Stress</t>
  </si>
  <si>
    <t xml:space="preserve">Mood</t>
  </si>
  <si>
    <t xml:space="preserve">Concentration</t>
  </si>
  <si>
    <t xml:space="preserve">Bullying</t>
  </si>
  <si>
    <t xml:space="preserve">Pallor</t>
  </si>
  <si>
    <t xml:space="preserve">Dental Caries</t>
  </si>
  <si>
    <t xml:space="preserve">Poor Oral Hygiene</t>
  </si>
  <si>
    <t xml:space="preserve">Vision Problem</t>
  </si>
  <si>
    <t xml:space="preserve">Hair Changes</t>
  </si>
  <si>
    <t xml:space="preserve">Skin Changes</t>
  </si>
  <si>
    <t xml:space="preserve">Vaccination Complete</t>
  </si>
  <si>
    <t xml:space="preserve">Deworming</t>
  </si>
  <si>
    <t xml:space="preserve">Hand Hygiene</t>
  </si>
  <si>
    <t xml:space="preserve">Dental Check-up</t>
  </si>
  <si>
    <t xml:space="preserve">Vision Screening</t>
  </si>
  <si>
    <t xml:space="preserve">Growth &amp; Anthropometry Score</t>
  </si>
  <si>
    <t xml:space="preserve">Diet Score</t>
  </si>
  <si>
    <t xml:space="preserve">Lifestyle Score</t>
  </si>
  <si>
    <t xml:space="preserve">Medical History Score</t>
  </si>
  <si>
    <t xml:space="preserve">Clinical Score</t>
  </si>
  <si>
    <t xml:space="preserve">Mental Wellness Score</t>
  </si>
  <si>
    <t xml:space="preserve">Preventive Score</t>
  </si>
  <si>
    <t xml:space="preserve">Overall Health Score</t>
  </si>
  <si>
    <t xml:space="preserve">Nutrition Score</t>
  </si>
  <si>
    <t xml:space="preserve">Undernutrition Risk Score</t>
  </si>
  <si>
    <t xml:space="preserve">Risk Category</t>
  </si>
  <si>
    <t xml:space="preserve">Need Referral</t>
  </si>
  <si>
    <t xml:space="preserve">Need Doctor Review</t>
  </si>
  <si>
    <t xml:space="preserve">Greenwood High</t>
  </si>
  <si>
    <t xml:space="preserve">Mumbai</t>
  </si>
  <si>
    <t xml:space="preserve">Maharashtra</t>
  </si>
  <si>
    <t xml:space="preserve">8</t>
  </si>
  <si>
    <t xml:space="preserve">A</t>
  </si>
  <si>
    <t xml:space="preserve">Aarav Shah</t>
  </si>
  <si>
    <t xml:space="preserve">Male</t>
  </si>
  <si>
    <t xml:space="preserve">Rakesh Shah</t>
  </si>
  <si>
    <t xml:space="preserve">9876543210</t>
  </si>
  <si>
    <t xml:space="preserve">B+</t>
  </si>
  <si>
    <t xml:space="preserve">Always</t>
  </si>
  <si>
    <t xml:space="preserve">Daily</t>
  </si>
  <si>
    <t xml:space="preserve">Never</t>
  </si>
  <si>
    <t xml:space="preserve">More than 2L</t>
  </si>
  <si>
    <t xml:space="preserve">Less than 2 hrs</t>
  </si>
  <si>
    <t xml:space="preserve">8+ hrs</t>
  </si>
  <si>
    <t xml:space="preserve">Not Applicable</t>
  </si>
  <si>
    <t xml:space="preserve">No</t>
  </si>
  <si>
    <t xml:space="preserve">Low</t>
  </si>
  <si>
    <t xml:space="preserve">Happy</t>
  </si>
  <si>
    <t xml:space="preserve">Good</t>
  </si>
  <si>
    <t xml:space="preserve">Yes</t>
  </si>
  <si>
    <t xml:space="preserve">6</t>
  </si>
  <si>
    <t xml:space="preserve">B</t>
  </si>
  <si>
    <t xml:space="preserve">Priya Kadam</t>
  </si>
  <si>
    <t xml:space="preserve">Female</t>
  </si>
  <si>
    <t xml:space="preserve">Sunita Kadam</t>
  </si>
  <si>
    <t xml:space="preserve">9822011223</t>
  </si>
  <si>
    <t xml:space="preserve">O+</t>
  </si>
  <si>
    <t xml:space="preserve">Rarely</t>
  </si>
  <si>
    <t xml:space="preserve">Less than 1L</t>
  </si>
  <si>
    <t xml:space="preserve">More than 4 hrs</t>
  </si>
  <si>
    <t xml:space="preserve">Less than 6 hrs</t>
  </si>
  <si>
    <t xml:space="preserve">High</t>
  </si>
  <si>
    <t xml:space="preserve">Poor</t>
  </si>
  <si>
    <t xml:space="preserve">Partial</t>
  </si>
  <si>
    <t xml:space="preserve">St. Xavier's College</t>
  </si>
  <si>
    <t xml:space="preserve">Pune</t>
  </si>
  <si>
    <t xml:space="preserve">UG-2</t>
  </si>
  <si>
    <t xml:space="preserve">C</t>
  </si>
  <si>
    <t xml:space="preserve">Rohan Deshmukh</t>
  </si>
  <si>
    <t xml:space="preserve">Vijay Deshmukh</t>
  </si>
  <si>
    <t xml:space="preserve">9765432109</t>
  </si>
  <si>
    <t xml:space="preserve">A+</t>
  </si>
  <si>
    <t xml:space="preserve">Sometimes</t>
  </si>
  <si>
    <t xml:space="preserve">3-5 per week</t>
  </si>
  <si>
    <t xml:space="preserve">Weekly</t>
  </si>
  <si>
    <t xml:space="preserve">1-2L</t>
  </si>
  <si>
    <t xml:space="preserve">Occasional</t>
  </si>
  <si>
    <t xml:space="preserve">Neutral</t>
  </si>
  <si>
    <t xml:space="preserve">Average</t>
  </si>
  <si>
    <t xml:space="preserve">UG-1</t>
  </si>
  <si>
    <t xml:space="preserve">Sneha Iyer</t>
  </si>
  <si>
    <t xml:space="preserve">Lakshmi Iyer</t>
  </si>
  <si>
    <t xml:space="preserve">9900112233</t>
  </si>
  <si>
    <t xml:space="preserve">AB+</t>
  </si>
  <si>
    <t xml:space="preserve">2-4 hrs</t>
  </si>
  <si>
    <t xml:space="preserve">6-8 hrs</t>
  </si>
  <si>
    <t xml:space="preserve">Moderate</t>
  </si>
  <si>
    <t xml:space="preserve">Delhi Public School</t>
  </si>
  <si>
    <t xml:space="preserve">South Delhi</t>
  </si>
  <si>
    <t xml:space="preserve">Delhi</t>
  </si>
  <si>
    <t xml:space="preserve">10</t>
  </si>
  <si>
    <t xml:space="preserve">Kabir Mehta</t>
  </si>
  <si>
    <t xml:space="preserve">Anil Mehta</t>
  </si>
  <si>
    <t xml:space="preserve">9811122233</t>
  </si>
  <si>
    <t xml:space="preserve">B-</t>
  </si>
  <si>
    <t xml:space="preserve">9</t>
  </si>
  <si>
    <t xml:space="preserve">Ananya Verma</t>
  </si>
  <si>
    <t xml:space="preserve">Deepa Verma</t>
  </si>
  <si>
    <t xml:space="preserve">9871234567</t>
  </si>
  <si>
    <t xml:space="preserve">O-</t>
  </si>
  <si>
    <t xml:space="preserve">DOCTOR ASSESSMENT  |  Clinical Review &amp; Referral Decisions</t>
  </si>
  <si>
    <t xml:space="preserve">Auto-pulled from STUDENT SCREENING (read-only)</t>
  </si>
  <si>
    <t xml:space="preserve">Doctor enters manually</t>
  </si>
  <si>
    <t xml:space="preserve">Diagnosis</t>
  </si>
  <si>
    <t xml:space="preserve">Clinical Advice</t>
  </si>
  <si>
    <t xml:space="preserve">Referral Needed</t>
  </si>
  <si>
    <t xml:space="preserve">Referral Type</t>
  </si>
  <si>
    <t xml:space="preserve">Lab Tests Needed</t>
  </si>
  <si>
    <t xml:space="preserve">Nutrition Counselling Needed</t>
  </si>
  <si>
    <t xml:space="preserve">Follow-up Needed</t>
  </si>
  <si>
    <t xml:space="preserve">Follow-up Date</t>
  </si>
  <si>
    <t xml:space="preserve">Doctor Name / Signature</t>
  </si>
  <si>
    <t xml:space="preserve">Undernutrition with suspected iron-deficiency anaemia</t>
  </si>
  <si>
    <t xml:space="preserve">Refer to paediatrician; start iron &amp; multivitamin supplementation; nutrition counselling for family</t>
  </si>
  <si>
    <t xml:space="preserve">Paediatrician</t>
  </si>
  <si>
    <t xml:space="preserve">Dr. Meera Nair</t>
  </si>
  <si>
    <t xml:space="preserve">Overweight with high screen time and stress; early dental caries</t>
  </si>
  <si>
    <t xml:space="preserve">Lifestyle counselling on screen time, sleep and physical activity; dental referral</t>
  </si>
  <si>
    <t xml:space="preserve">Dentist</t>
  </si>
  <si>
    <t xml:space="preserve">Overweight; poor dental hygiene; high stress</t>
  </si>
  <si>
    <t xml:space="preserve">Dietary counselling to reduce junk food and sugary drinks; dental check-up</t>
  </si>
  <si>
    <t xml:space="preserve">Nutritionist</t>
  </si>
  <si>
    <t xml:space="preserve">STUDENT HEALTH REPORT</t>
  </si>
  <si>
    <t xml:space="preserve">Wish2Care SAFE Programme  |  Confidential - For Parent / Guardian</t>
  </si>
  <si>
    <t xml:space="preserve">Enter Student ID:</t>
  </si>
  <si>
    <t xml:space="preserve">STU000002</t>
  </si>
  <si>
    <t xml:space="preserve">STUDENT DETAILS</t>
  </si>
  <si>
    <t xml:space="preserve">School</t>
  </si>
  <si>
    <t xml:space="preserve">HEALTH SCORES  (0-100, higher is better except Undernutrition Risk)</t>
  </si>
  <si>
    <t xml:space="preserve">KEY FINDINGS &amp; RECOMMENDATIONS</t>
  </si>
  <si>
    <t xml:space="preserve">DOCTOR'S ADVICE</t>
  </si>
  <si>
    <t xml:space="preserve">This is a screening tool, not a diagnosis. Please consult a qualified doctor for confirmation and treatment.</t>
  </si>
  <si>
    <t xml:space="preserve">SCHOOL DASHBOARD  |  Live Cohort Statistics</t>
  </si>
  <si>
    <t xml:space="preserve">Filter by School (blank = all schools):</t>
  </si>
  <si>
    <t xml:space="preserve">Number Screened</t>
  </si>
  <si>
    <t xml:space="preserve">Average BMI</t>
  </si>
  <si>
    <t xml:space="preserve">Average Overall Health Score</t>
  </si>
  <si>
    <t xml:space="preserve">Average Nutrition Score</t>
  </si>
  <si>
    <t xml:space="preserve">Average Lifestyle Score</t>
  </si>
  <si>
    <t xml:space="preserve">Average Mental Wellness Score</t>
  </si>
  <si>
    <t xml:space="preserve">NUTRITION &amp; HEALTH INDICATORS (% of screened cohort)</t>
  </si>
  <si>
    <t xml:space="preserve">Indicator</t>
  </si>
  <si>
    <t xml:space="preserve">Percent</t>
  </si>
  <si>
    <t xml:space="preserve">Underweight %</t>
  </si>
  <si>
    <t xml:space="preserve">Normal BMI %</t>
  </si>
  <si>
    <t xml:space="preserve">Overweight %</t>
  </si>
  <si>
    <t xml:space="preserve">Obese %</t>
  </si>
  <si>
    <t xml:space="preserve">Pallor (Anaemia Suspected) %</t>
  </si>
  <si>
    <t xml:space="preserve">Dental Problems %</t>
  </si>
  <si>
    <t xml:space="preserve">Vision Problems %</t>
  </si>
  <si>
    <t xml:space="preserve">Bullying Reported %</t>
  </si>
  <si>
    <t xml:space="preserve">Referral Recommended %</t>
  </si>
  <si>
    <t xml:space="preserve">TOP HEALTH CONCERNS (ranked by frequency)</t>
  </si>
  <si>
    <t xml:space="preserve">Health Concern</t>
  </si>
  <si>
    <t xml:space="preserve">Count</t>
  </si>
  <si>
    <t xml:space="preserve">Underweight (BMI)</t>
  </si>
  <si>
    <t xml:space="preserve">Overweight / Obese (BMI)</t>
  </si>
  <si>
    <t xml:space="preserve">Pallor / Suspected Anaemia</t>
  </si>
  <si>
    <t xml:space="preserve">Vision Problems</t>
  </si>
  <si>
    <t xml:space="preserve">Repeated Infections</t>
  </si>
  <si>
    <t xml:space="preserve">High Stress</t>
  </si>
  <si>
    <t xml:space="preserve">RESEARCH DATABASE  |  Numeric export for SPSS / R / Python / Power BI / SQL</t>
  </si>
  <si>
    <t xml:space="preserve">Age_yrs</t>
  </si>
  <si>
    <t xml:space="preserve">Gender_code</t>
  </si>
  <si>
    <t xml:space="preserve">Breakfast_code</t>
  </si>
  <si>
    <t xml:space="preserve">Fruit Intake_code</t>
  </si>
  <si>
    <t xml:space="preserve">Vegetables_code</t>
  </si>
  <si>
    <t xml:space="preserve">Protein Intake_code</t>
  </si>
  <si>
    <t xml:space="preserve">Junk Food_code</t>
  </si>
  <si>
    <t xml:space="preserve">Sugary Drinks_code</t>
  </si>
  <si>
    <t xml:space="preserve">Water Intake_code</t>
  </si>
  <si>
    <t xml:space="preserve">Physical Activity_code</t>
  </si>
  <si>
    <t xml:space="preserve">Screen Time_code</t>
  </si>
  <si>
    <t xml:space="preserve">Outdoor Play_code</t>
  </si>
  <si>
    <t xml:space="preserve">Sleep Hours_code</t>
  </si>
  <si>
    <t xml:space="preserve">Smoking_code</t>
  </si>
  <si>
    <t xml:space="preserve">Alcohol_code</t>
  </si>
  <si>
    <t xml:space="preserve">Chronic Disease_code</t>
  </si>
  <si>
    <t xml:space="preserve">Frequent Fever_code</t>
  </si>
  <si>
    <t xml:space="preserve">Weight Loss_code</t>
  </si>
  <si>
    <t xml:space="preserve">Poor Appetite_code</t>
  </si>
  <si>
    <t xml:space="preserve">Repeated Infection_code</t>
  </si>
  <si>
    <t xml:space="preserve">Hospitalisation_code</t>
  </si>
  <si>
    <t xml:space="preserve">Medication_code</t>
  </si>
  <si>
    <t xml:space="preserve">Stress_code</t>
  </si>
  <si>
    <t xml:space="preserve">Mood_code</t>
  </si>
  <si>
    <t xml:space="preserve">Concentration_code</t>
  </si>
  <si>
    <t xml:space="preserve">Bullying_code</t>
  </si>
  <si>
    <t xml:space="preserve">Pallor_code</t>
  </si>
  <si>
    <t xml:space="preserve">Dental Caries_code</t>
  </si>
  <si>
    <t xml:space="preserve">Poor Oral Hygiene_code</t>
  </si>
  <si>
    <t xml:space="preserve">Vision Problem_code</t>
  </si>
  <si>
    <t xml:space="preserve">Hair Changes_code</t>
  </si>
  <si>
    <t xml:space="preserve">Skin Changes_code</t>
  </si>
  <si>
    <t xml:space="preserve">Vaccination Complete_code</t>
  </si>
  <si>
    <t xml:space="preserve">Deworming_code</t>
  </si>
  <si>
    <t xml:space="preserve">Hand Hygiene_code</t>
  </si>
  <si>
    <t xml:space="preserve">Dental Check-up_code</t>
  </si>
  <si>
    <t xml:space="preserve">Vision Screening_code</t>
  </si>
  <si>
    <t xml:space="preserve">Risk_Category_code</t>
  </si>
  <si>
    <t xml:space="preserve">Need_Referral_bin</t>
  </si>
  <si>
    <t xml:space="preserve">Need_Doctor_Review_bin</t>
  </si>
  <si>
    <t xml:space="preserve">SCORING MASTER  |  Wish2Care SAFE Health Intelligence System</t>
  </si>
  <si>
    <t xml:space="preserve">Editable lookup engine. Change any Points value below and every score in the workbook recalculates automatically via XLOOKUP. Do not rename Variable or Response text without also updating the matching dropdown in SCREENING.</t>
  </si>
  <si>
    <t xml:space="preserve">Domain</t>
  </si>
  <si>
    <t xml:space="preserve">Variable</t>
  </si>
  <si>
    <t xml:space="preserve">Response Option</t>
  </si>
  <si>
    <t xml:space="preserve">Points (0-5)</t>
  </si>
  <si>
    <t xml:space="preserve">Diet Quality</t>
  </si>
  <si>
    <t xml:space="preserve">Lifestyle</t>
  </si>
  <si>
    <t xml:space="preserve">Regular</t>
  </si>
  <si>
    <t xml:space="preserve">Medical History</t>
  </si>
  <si>
    <t xml:space="preserve">Mental Wellness</t>
  </si>
  <si>
    <t xml:space="preserve">Clinical Findings</t>
  </si>
  <si>
    <t xml:space="preserve">Preventive Health</t>
  </si>
  <si>
    <t xml:space="preserve">DROPDOWN MASTER  |  Admin &amp; Demographic Lists</t>
  </si>
  <si>
    <t xml:space="preserve">These named lists power the dropdown (data validation) menus on STUDENT SCREENING, DOCTOR ASSESSMENT and PARENT REPORT. Clinical response options (Always/Sometimes/Never, Yes/No, etc.) live in SCORING MASTER instead, so the dropdown list and its point value can never fall out of sync.</t>
  </si>
  <si>
    <t xml:space="preserve">Yes / No</t>
  </si>
  <si>
    <t xml:space="preserve">Vaccination / Deworming</t>
  </si>
  <si>
    <t xml:space="preserve">1</t>
  </si>
  <si>
    <t xml:space="preserve">Green - Healthy</t>
  </si>
  <si>
    <t xml:space="preserve">A-</t>
  </si>
  <si>
    <t xml:space="preserve">2</t>
  </si>
  <si>
    <t xml:space="preserve">Light Green - Mild Watch</t>
  </si>
  <si>
    <t xml:space="preserve">Other</t>
  </si>
  <si>
    <t xml:space="preserve">3</t>
  </si>
  <si>
    <t xml:space="preserve">Karnataka</t>
  </si>
  <si>
    <t xml:space="preserve">Yellow - Mild Risk</t>
  </si>
  <si>
    <t xml:space="preserve">4</t>
  </si>
  <si>
    <t xml:space="preserve">Tamil Nadu</t>
  </si>
  <si>
    <t xml:space="preserve">Orange - Moderate Risk</t>
  </si>
  <si>
    <t xml:space="preserve">Ophthalmologist</t>
  </si>
  <si>
    <t xml:space="preserve">5</t>
  </si>
  <si>
    <t xml:space="preserve">Uttar Pradesh</t>
  </si>
  <si>
    <t xml:space="preserve">Red - High Risk</t>
  </si>
  <si>
    <t xml:space="preserve">Counsellor / Psychologist</t>
  </si>
  <si>
    <t xml:space="preserve">AB-</t>
  </si>
  <si>
    <t xml:space="preserve">Gujarat</t>
  </si>
  <si>
    <t xml:space="preserve">General Physician</t>
  </si>
  <si>
    <t xml:space="preserve">7</t>
  </si>
  <si>
    <t xml:space="preserve">West Bengal</t>
  </si>
  <si>
    <t xml:space="preserve">Rajasthan</t>
  </si>
  <si>
    <t xml:space="preserve">Unknown</t>
  </si>
  <si>
    <t xml:space="preserve">Telangana</t>
  </si>
  <si>
    <t xml:space="preserve">Kerala</t>
  </si>
  <si>
    <t xml:space="preserve">11</t>
  </si>
  <si>
    <t xml:space="preserve">Punjab</t>
  </si>
  <si>
    <t xml:space="preserve">12</t>
  </si>
  <si>
    <t xml:space="preserve">UG-3</t>
  </si>
  <si>
    <t xml:space="preserve">PG-1</t>
  </si>
  <si>
    <t xml:space="preserve">PG-2</t>
  </si>
  <si>
    <t xml:space="preserve">DOCUMENTATION</t>
  </si>
  <si>
    <t xml:space="preserve">WORKSHEETS IN THIS WORKBOOK</t>
  </si>
  <si>
    <t xml:space="preserve">HOME - navigation and colour key.</t>
  </si>
  <si>
    <t xml:space="preserve">STUDENT SCREENING - one row per student: registration + 7 screening sections (A-G) + all automated scores. This is the master data sheet.</t>
  </si>
  <si>
    <t xml:space="preserve">DOCTOR ASSESSMENT - read-only pulled columns (name, scores, risk) plus the doctor's manual diagnosis, referral and follow-up fields, row-aligned to STUDENT SCREENING.</t>
  </si>
  <si>
    <t xml:space="preserve">PARENT REPORT - type or pick a Student ID in cell C4 and the whole one-page printable report fills in automatically via INDEX/MATCH.</t>
  </si>
  <si>
    <t xml:space="preserve">SCHOOL DASHBOARD - live KPIs, percentage indicators, top health concerns and charts. Type a school name in C3 to filter to one school, or leave blank for all schools.</t>
  </si>
  <si>
    <t xml:space="preserve">RESEARCH DATABASE - the same students, recoded to numbers only (Yes/No -&gt; 1/0, Always/Sometimes/Never -&gt; 5/3/0, etc.) for SPSS, R, Python, Power BI or SQL.</t>
  </si>
  <si>
    <t xml:space="preserve">SCORING MASTER - every dropdown response and its point value (0-5). Edit a Points cell here and every score in the workbook recalculates.</t>
  </si>
  <si>
    <t xml:space="preserve">DROPDOWN MASTER - admin/demographic dropdown lists (Gender, Blood Group, Class, State, etc.).</t>
  </si>
  <si>
    <t xml:space="preserve">HOW THE OVERALL HEALTH SCORE IS BUILT</t>
  </si>
  <si>
    <t xml:space="preserve">Each of the 7 domains is scored 0-100, then combined using the requested weights:</t>
  </si>
  <si>
    <t xml:space="preserve">Growth &amp; Anthropometry 25%  +  Diet Quality 20%  +  Lifestyle 15%  +  Medical History 15%  +  Clinical Findings 10%  +  Mental Wellness 10%  +  Preventive Health 5%  =  Overall Health Score (0-100).</t>
  </si>
  <si>
    <t xml:space="preserve">Diet / Lifestyle / Medical History / Mental Wellness / Clinical / Preventive domain scores are each the average of their component responses' points (0-5, looked up from SCORING MASTER), scaled to 0-100 (points x 20).</t>
  </si>
  <si>
    <t xml:space="preserve">Growth &amp; Anthropometry Score comes directly from BMI Category: Normal=100, Overweight=65, Obese=50, Underweight=45 (or 30 if MUAC is also below 18.5cm, indicating more severe undernutrition).</t>
  </si>
  <si>
    <t xml:space="preserve">IMPORTANT LIMITATION: BMI Category currently uses fixed adult-style cut-offs (below 18.5 / 18.5-24.9 / 25-29.9 / 30+) for simplicity across the 7-30 age range. For clinical use in school-aged children, replace this with WHO/IAP age-and-sex-specific BMI-for-age growth charts before relying on it for individual diagnosis.</t>
  </si>
  <si>
    <t xml:space="preserve">NUTRITION SCORE &amp; UNDERNUTRITION RISK SCORE</t>
  </si>
  <si>
    <t xml:space="preserve">Nutrition Score = 50% Growth &amp; Anthropometry Score + 50% Diet Score.</t>
  </si>
  <si>
    <t xml:space="preserve">Undernutrition Risk Score (0-100, higher = more risk) = 100 minus Nutrition Score, then +15 if Weight Loss = Yes, +15 if Poor Appetite = Yes, +20 if MUAC &lt; 18.5cm, capped at 0-100.</t>
  </si>
  <si>
    <t xml:space="preserve">RISK CATEGORY, REFERRAL &amp; DOCTOR REVIEW LOGIC</t>
  </si>
  <si>
    <t xml:space="preserve">Risk Category bands on Overall Health Score: 90+ Green-Healthy | 75-89 Light Green-Mild Watch | 60-74 Yellow-Mild Risk | 40-59 Orange-Moderate Risk | below 40 Red-High Risk.</t>
  </si>
  <si>
    <t xml:space="preserve">Need Referral = Yes if Overall Health Score &lt; 60, OR Undernutrition Risk Score &gt;= 60, OR Chronic Disease = Yes.</t>
  </si>
  <si>
    <t xml:space="preserve">Need Doctor Review = Yes if Risk Category is Orange or Red, OR Need Referral = Yes.</t>
  </si>
  <si>
    <t xml:space="preserve">KEY FORMULAS USED (STUDENT SCREENING SHEET)</t>
  </si>
  <si>
    <t xml:space="preserve">BMI = ROUND(Weight_kg / (Height_cm/100)^2, 1)</t>
  </si>
  <si>
    <t xml:space="preserve">BMI Category = nested IF on the BMI value against the 18.5 / 25 / 30 cut-offs.</t>
  </si>
  <si>
    <t xml:space="preserve">Domain scores = ROUND(AVERAGE of INDEX/MATCH point look-ups against SCORING MASTER * 20, 0); blank if any response in that domain is still blank, so a score never appears before the section is complete.</t>
  </si>
  <si>
    <t xml:space="preserve">INDEX/MATCH (not XLOOKUP) is used throughout for the widest compatibility across Excel 2016+, Google Sheets and LibreOffice Calc.</t>
  </si>
  <si>
    <t xml:space="preserve">Student ID auto-generates as STU000001, STU000002... the moment a Student Name is entered on that row.</t>
  </si>
  <si>
    <t xml:space="preserve">EXTENDING THE WORKBOOK BEYOND THE PRE-BUILT ROWS</t>
  </si>
  <si>
    <t xml:space="preserve">This workbook ships with 300 pre-built formula rows on STUDENT SCREENING, DOCTOR ASSESSMENT and RESEARCH DATABASE (rows 4 onward) so every score, dropdown and conditional format is ready to use immediately.</t>
  </si>
  <si>
    <t xml:space="preserve">To screen more students: select the last completed row, then drag the fill handle down (or copy the last row and paste into new rows) - Excel copies every formula, dropdown and colour rule automatically. No formula ever needs to be retyped.</t>
  </si>
  <si>
    <t xml:space="preserve">For very large cohorts (100,000+ students), this row-per-student design with INDEX/MATCH (not volatile functions like OFFSET, INDIRECT or NOW) keeps recalculation fast. For 500,000+ students in daily use, consider loading RESEARCH DATABASE into Power Query, Access or a SQL database and refreshing the SCHOOL DASHBOARD from that instead of native worksheet formulas.</t>
  </si>
  <si>
    <t xml:space="preserve">GOVERNANCE &amp; ETHICS (NON-NEGOTIABLE)</t>
  </si>
  <si>
    <t xml:space="preserve">Obtain informed consent from parent/guardian before screening; explain purpose and data use in plain language.</t>
  </si>
  <si>
    <t xml:space="preserve">Handle all student data as sensitive personal data under India's Digital Personal Data Protection Act (DPDP) 2023 - restrict access, avoid unnecessary copies, and define a retention/deletion policy.</t>
  </si>
  <si>
    <t xml:space="preserve">Use scores to guide supportive referral and counselling - never to label, shame or exclude a student.</t>
  </si>
  <si>
    <t xml:space="preserve">This is a v1.0 draft instrument. Pilot-test it on a representative sample and run statistical validation (reliability, construct validity) before using it for clinical decisions, research publication or policy.</t>
  </si>
</sst>
</file>

<file path=xl/styles.xml><?xml version="1.0" encoding="utf-8"?>
<styleSheet xmlns="http://schemas.openxmlformats.org/spreadsheetml/2006/main">
  <numFmts count="4">
    <numFmt numFmtId="164" formatCode="General"/>
    <numFmt numFmtId="165" formatCode="yyyy\-mm\-dd"/>
    <numFmt numFmtId="166" formatCode="General"/>
    <numFmt numFmtId="167" formatCode="0\%"/>
  </numFmts>
  <fonts count="35">
    <font>
      <sz val="11"/>
      <color theme="1"/>
      <name val="Calibri"/>
      <family val="2"/>
      <charset val="1"/>
    </font>
    <font>
      <sz val="10"/>
      <name val="Arial"/>
      <family val="0"/>
    </font>
    <font>
      <sz val="10"/>
      <name val="Arial"/>
      <family val="0"/>
    </font>
    <font>
      <sz val="10"/>
      <name val="Arial"/>
      <family val="0"/>
    </font>
    <font>
      <b val="true"/>
      <sz val="12"/>
      <color rgb="FFFFFFFF"/>
      <name val="Calibri"/>
      <family val="0"/>
      <charset val="1"/>
    </font>
    <font>
      <b val="true"/>
      <sz val="22"/>
      <color rgb="FFFFFFFF"/>
      <name val="Calibri"/>
      <family val="0"/>
      <charset val="1"/>
    </font>
    <font>
      <sz val="12"/>
      <color rgb="FFFFFFFF"/>
      <name val="Calibri"/>
      <family val="0"/>
      <charset val="1"/>
    </font>
    <font>
      <b val="true"/>
      <sz val="13"/>
      <color rgb="FF3D1C5C"/>
      <name val="Calibri"/>
      <family val="0"/>
      <charset val="1"/>
    </font>
    <font>
      <sz val="10.5"/>
      <name val="Calibri"/>
      <family val="0"/>
      <charset val="1"/>
    </font>
    <font>
      <b val="true"/>
      <sz val="11"/>
      <color rgb="FFFFFFFF"/>
      <name val="Calibri"/>
      <family val="0"/>
      <charset val="1"/>
    </font>
    <font>
      <sz val="9.5"/>
      <color rgb="FF404040"/>
      <name val="Calibri"/>
      <family val="0"/>
      <charset val="1"/>
    </font>
    <font>
      <b val="true"/>
      <sz val="11"/>
      <color rgb="FF3D1C5C"/>
      <name val="Calibri"/>
      <family val="0"/>
      <charset val="1"/>
    </font>
    <font>
      <b val="true"/>
      <sz val="8.5"/>
      <color rgb="FFFFFFFF"/>
      <name val="Calibri"/>
      <family val="0"/>
      <charset val="1"/>
    </font>
    <font>
      <i val="true"/>
      <sz val="8.5"/>
      <color rgb="FF808080"/>
      <name val="Calibri"/>
      <family val="0"/>
      <charset val="1"/>
    </font>
    <font>
      <b val="true"/>
      <sz val="15"/>
      <color rgb="FFFFFFFF"/>
      <name val="Calibri"/>
      <family val="0"/>
      <charset val="1"/>
    </font>
    <font>
      <b val="true"/>
      <sz val="9.5"/>
      <color rgb="FFFFFFFF"/>
      <name val="Calibri"/>
      <family val="0"/>
      <charset val="1"/>
    </font>
    <font>
      <b val="true"/>
      <sz val="9"/>
      <color rgb="FF222222"/>
      <name val="Calibri"/>
      <family val="0"/>
      <charset val="1"/>
    </font>
    <font>
      <sz val="10"/>
      <name val="Calibri"/>
      <family val="0"/>
      <charset val="1"/>
    </font>
    <font>
      <b val="true"/>
      <sz val="10"/>
      <color rgb="FF222222"/>
      <name val="Calibri"/>
      <family val="0"/>
      <charset val="1"/>
    </font>
    <font>
      <sz val="10"/>
      <color rgb="FF595959"/>
      <name val="Calibri"/>
      <family val="0"/>
      <charset val="1"/>
    </font>
    <font>
      <b val="true"/>
      <sz val="20"/>
      <color rgb="FFFFFFFF"/>
      <name val="Calibri"/>
      <family val="0"/>
      <charset val="1"/>
    </font>
    <font>
      <sz val="11"/>
      <color rgb="FFFFFFFF"/>
      <name val="Calibri"/>
      <family val="0"/>
      <charset val="1"/>
    </font>
    <font>
      <b val="true"/>
      <sz val="12"/>
      <color rgb="FF3D1C5C"/>
      <name val="Calibri"/>
      <family val="0"/>
      <charset val="1"/>
    </font>
    <font>
      <b val="true"/>
      <sz val="13"/>
      <color rgb="FF1F4E78"/>
      <name val="Calibri"/>
      <family val="0"/>
      <charset val="1"/>
    </font>
    <font>
      <b val="true"/>
      <sz val="10"/>
      <name val="Calibri"/>
      <family val="0"/>
      <charset val="1"/>
    </font>
    <font>
      <b val="true"/>
      <sz val="11"/>
      <name val="Calibri"/>
      <family val="0"/>
      <charset val="1"/>
    </font>
    <font>
      <i val="true"/>
      <sz val="9"/>
      <color rgb="FF808080"/>
      <name val="Calibri"/>
      <family val="0"/>
      <charset val="1"/>
    </font>
    <font>
      <b val="true"/>
      <sz val="16"/>
      <color rgb="FFFFFFFF"/>
      <name val="Calibri"/>
      <family val="0"/>
      <charset val="1"/>
    </font>
    <font>
      <b val="true"/>
      <sz val="10"/>
      <color rgb="FFFFFFFF"/>
      <name val="Calibri"/>
      <family val="0"/>
      <charset val="1"/>
    </font>
    <font>
      <b val="true"/>
      <sz val="18"/>
      <color rgb="FF3D1C5C"/>
      <name val="Calibri"/>
      <family val="0"/>
      <charset val="1"/>
    </font>
    <font>
      <b val="true"/>
      <sz val="18"/>
      <color rgb="FF000000"/>
      <name val="Calibri"/>
      <family val="2"/>
    </font>
    <font>
      <sz val="10"/>
      <color rgb="FF000000"/>
      <name val="Calibri"/>
      <family val="2"/>
    </font>
    <font>
      <sz val="9.5"/>
      <name val="Calibri"/>
      <family val="0"/>
      <charset val="1"/>
    </font>
    <font>
      <i val="true"/>
      <sz val="9"/>
      <color rgb="FF595959"/>
      <name val="Calibri"/>
      <family val="0"/>
      <charset val="1"/>
    </font>
    <font>
      <b val="true"/>
      <sz val="10"/>
      <color rgb="FF1F4E78"/>
      <name val="Calibri"/>
      <family val="0"/>
      <charset val="1"/>
    </font>
  </fonts>
  <fills count="22">
    <fill>
      <patternFill patternType="none"/>
    </fill>
    <fill>
      <patternFill patternType="gray125"/>
    </fill>
    <fill>
      <patternFill patternType="solid">
        <fgColor rgb="FF3D1C5C"/>
        <bgColor rgb="FF5B2A86"/>
      </patternFill>
    </fill>
    <fill>
      <patternFill patternType="solid">
        <fgColor rgb="FF5B2A86"/>
        <bgColor rgb="FF3D1C5C"/>
      </patternFill>
    </fill>
    <fill>
      <patternFill patternType="solid">
        <fgColor rgb="FF0B5E45"/>
        <bgColor rgb="FF1F4E78"/>
      </patternFill>
    </fill>
    <fill>
      <patternFill patternType="solid">
        <fgColor rgb="FFE6F2EE"/>
        <bgColor rgb="FFEDEDED"/>
      </patternFill>
    </fill>
    <fill>
      <patternFill patternType="solid">
        <fgColor rgb="FFF3EDFB"/>
        <bgColor rgb="FFEDEDED"/>
      </patternFill>
    </fill>
    <fill>
      <patternFill patternType="solid">
        <fgColor rgb="FF2E7D32"/>
        <bgColor rgb="FF1F7A5C"/>
      </patternFill>
    </fill>
    <fill>
      <patternFill patternType="solid">
        <fgColor rgb="FF8BC34A"/>
        <bgColor rgb="FF9BBB59"/>
      </patternFill>
    </fill>
    <fill>
      <patternFill patternType="solid">
        <fgColor rgb="FFFBC02D"/>
        <bgColor rgb="FFC99A2E"/>
      </patternFill>
    </fill>
    <fill>
      <patternFill patternType="solid">
        <fgColor rgb="FFF57C00"/>
        <bgColor rgb="FFC99A2E"/>
      </patternFill>
    </fill>
    <fill>
      <patternFill patternType="solid">
        <fgColor rgb="FFC62828"/>
        <bgColor rgb="FFC0504D"/>
      </patternFill>
    </fill>
    <fill>
      <patternFill patternType="solid">
        <fgColor rgb="FF8E5FB5"/>
        <bgColor rgb="FF8064A2"/>
      </patternFill>
    </fill>
    <fill>
      <patternFill patternType="solid">
        <fgColor rgb="FF2E8B6E"/>
        <bgColor rgb="FF1F7A5C"/>
      </patternFill>
    </fill>
    <fill>
      <patternFill patternType="solid">
        <fgColor rgb="FFA6456A"/>
        <bgColor rgb="FFC0504D"/>
      </patternFill>
    </fill>
    <fill>
      <patternFill patternType="solid">
        <fgColor rgb="FF2E6DA4"/>
        <bgColor rgb="FF4F81BD"/>
      </patternFill>
    </fill>
    <fill>
      <patternFill patternType="solid">
        <fgColor rgb="FFB5651D"/>
        <bgColor rgb="FFC0504D"/>
      </patternFill>
    </fill>
    <fill>
      <patternFill patternType="solid">
        <fgColor rgb="FF1F7A5C"/>
        <bgColor rgb="FF2E7D32"/>
      </patternFill>
    </fill>
    <fill>
      <patternFill patternType="solid">
        <fgColor rgb="FFC99A2E"/>
        <bgColor rgb="FFF57C00"/>
      </patternFill>
    </fill>
    <fill>
      <patternFill patternType="solid">
        <fgColor rgb="FFEDEDED"/>
        <bgColor rgb="FFE6F2EE"/>
      </patternFill>
    </fill>
    <fill>
      <patternFill patternType="solid">
        <fgColor rgb="FFF7F7F9"/>
        <bgColor rgb="FFFFFFFF"/>
      </patternFill>
    </fill>
    <fill>
      <patternFill patternType="solid">
        <fgColor rgb="FFFFF6DA"/>
        <bgColor rgb="FFF7F7F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4" borderId="0" xfId="0" applyFont="true" applyBorder="true" applyAlignment="true" applyProtection="false">
      <alignment horizontal="left" vertical="center" textRotation="0" wrapText="false" indent="1" shrinkToFit="false"/>
      <protection locked="true" hidden="false"/>
    </xf>
    <xf numFmtId="164" fontId="10" fillId="5" borderId="0" xfId="0" applyFont="true" applyBorder="true" applyAlignment="true" applyProtection="false">
      <alignment horizontal="left" vertical="center" textRotation="0" wrapText="true" indent="1" shrinkToFit="false"/>
      <protection locked="true" hidden="false"/>
    </xf>
    <xf numFmtId="164" fontId="9" fillId="3" borderId="0" xfId="0" applyFont="true" applyBorder="true" applyAlignment="true" applyProtection="false">
      <alignment horizontal="left" vertical="center" textRotation="0" wrapText="false" indent="1" shrinkToFit="false"/>
      <protection locked="true" hidden="false"/>
    </xf>
    <xf numFmtId="164" fontId="10" fillId="6" borderId="0" xfId="0" applyFont="true" applyBorder="true" applyAlignment="true" applyProtection="false">
      <alignment horizontal="left" vertical="center" textRotation="0" wrapText="true" indent="1"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7" borderId="0" xfId="0" applyFont="true" applyBorder="false" applyAlignment="true" applyProtection="false">
      <alignment horizontal="center" vertical="center" textRotation="0" wrapText="true" indent="0" shrinkToFit="false"/>
      <protection locked="true" hidden="false"/>
    </xf>
    <xf numFmtId="164" fontId="12" fillId="8" borderId="0" xfId="0" applyFont="true" applyBorder="false" applyAlignment="true" applyProtection="false">
      <alignment horizontal="center" vertical="center" textRotation="0" wrapText="true" indent="0" shrinkToFit="false"/>
      <protection locked="true" hidden="false"/>
    </xf>
    <xf numFmtId="164" fontId="12" fillId="9" borderId="0" xfId="0" applyFont="true" applyBorder="false" applyAlignment="true" applyProtection="false">
      <alignment horizontal="center" vertical="center" textRotation="0" wrapText="true" indent="0" shrinkToFit="false"/>
      <protection locked="true" hidden="false"/>
    </xf>
    <xf numFmtId="164" fontId="12" fillId="10" borderId="0" xfId="0" applyFont="true" applyBorder="false" applyAlignment="true" applyProtection="false">
      <alignment horizontal="center" vertical="center" textRotation="0" wrapText="true" indent="0" shrinkToFit="false"/>
      <protection locked="true" hidden="false"/>
    </xf>
    <xf numFmtId="164" fontId="12" fillId="11"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4" fillId="3" borderId="0" xfId="0" applyFont="true" applyBorder="true" applyAlignment="true" applyProtection="false">
      <alignment horizontal="center" vertical="center" textRotation="0" wrapText="true" indent="0" shrinkToFit="false"/>
      <protection locked="true" hidden="false"/>
    </xf>
    <xf numFmtId="164" fontId="15" fillId="3" borderId="0" xfId="0" applyFont="true" applyBorder="true" applyAlignment="true" applyProtection="false">
      <alignment horizontal="center" vertical="center" textRotation="0" wrapText="true" indent="0" shrinkToFit="false"/>
      <protection locked="true" hidden="false"/>
    </xf>
    <xf numFmtId="164" fontId="15" fillId="4" borderId="0" xfId="0" applyFont="true" applyBorder="true" applyAlignment="true" applyProtection="false">
      <alignment horizontal="center" vertical="center" textRotation="0" wrapText="true" indent="0" shrinkToFit="false"/>
      <protection locked="true" hidden="false"/>
    </xf>
    <xf numFmtId="164" fontId="15" fillId="12" borderId="0" xfId="0" applyFont="true" applyBorder="true" applyAlignment="true" applyProtection="false">
      <alignment horizontal="center" vertical="center" textRotation="0" wrapText="true" indent="0" shrinkToFit="false"/>
      <protection locked="true" hidden="false"/>
    </xf>
    <xf numFmtId="164" fontId="15" fillId="13" borderId="0" xfId="0" applyFont="true" applyBorder="true" applyAlignment="true" applyProtection="false">
      <alignment horizontal="center" vertical="center" textRotation="0" wrapText="true" indent="0" shrinkToFit="false"/>
      <protection locked="true" hidden="false"/>
    </xf>
    <xf numFmtId="164" fontId="15" fillId="14" borderId="0" xfId="0" applyFont="true" applyBorder="true" applyAlignment="true" applyProtection="false">
      <alignment horizontal="center" vertical="center" textRotation="0" wrapText="true" indent="0" shrinkToFit="false"/>
      <protection locked="true" hidden="false"/>
    </xf>
    <xf numFmtId="164" fontId="15" fillId="15" borderId="0" xfId="0" applyFont="true" applyBorder="true" applyAlignment="true" applyProtection="false">
      <alignment horizontal="center" vertical="center" textRotation="0" wrapText="true" indent="0" shrinkToFit="false"/>
      <protection locked="true" hidden="false"/>
    </xf>
    <xf numFmtId="164" fontId="15" fillId="16" borderId="0" xfId="0" applyFont="true" applyBorder="true" applyAlignment="true" applyProtection="false">
      <alignment horizontal="center" vertical="center" textRotation="0" wrapText="true" indent="0" shrinkToFit="false"/>
      <protection locked="true" hidden="false"/>
    </xf>
    <xf numFmtId="164" fontId="15" fillId="17" borderId="0" xfId="0" applyFont="true" applyBorder="true" applyAlignment="true" applyProtection="false">
      <alignment horizontal="center" vertical="center" textRotation="0" wrapText="true" indent="0" shrinkToFit="false"/>
      <protection locked="true" hidden="false"/>
    </xf>
    <xf numFmtId="164" fontId="15" fillId="18" borderId="0" xfId="0" applyFont="true" applyBorder="true" applyAlignment="true" applyProtection="false">
      <alignment horizontal="center" vertical="center" textRotation="0" wrapText="true" indent="0" shrinkToFit="false"/>
      <protection locked="true" hidden="false"/>
    </xf>
    <xf numFmtId="164" fontId="16" fillId="19"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5" fontId="17"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center" vertical="bottom" textRotation="0" wrapText="false" indent="0" shrinkToFit="false"/>
      <protection locked="true" hidden="false"/>
    </xf>
    <xf numFmtId="166" fontId="17" fillId="0" borderId="1" xfId="0" applyFont="true" applyBorder="true" applyAlignment="true" applyProtection="false">
      <alignment horizontal="center" vertical="bottom" textRotation="0" wrapText="false" indent="0" shrinkToFit="false"/>
      <protection locked="true" hidden="false"/>
    </xf>
    <xf numFmtId="164" fontId="17" fillId="20" borderId="1" xfId="0" applyFont="true" applyBorder="true" applyAlignment="false" applyProtection="false">
      <alignment horizontal="general" vertical="bottom" textRotation="0" wrapText="false" indent="0" shrinkToFit="false"/>
      <protection locked="true" hidden="false"/>
    </xf>
    <xf numFmtId="165" fontId="17" fillId="20" borderId="1" xfId="0" applyFont="true" applyBorder="true" applyAlignment="false" applyProtection="false">
      <alignment horizontal="general" vertical="bottom" textRotation="0" wrapText="false" indent="0" shrinkToFit="false"/>
      <protection locked="true" hidden="false"/>
    </xf>
    <xf numFmtId="164" fontId="17" fillId="20" borderId="1" xfId="0" applyFont="true" applyBorder="true" applyAlignment="true" applyProtection="false">
      <alignment horizontal="center" vertical="bottom" textRotation="0" wrapText="false" indent="0" shrinkToFit="false"/>
      <protection locked="true" hidden="false"/>
    </xf>
    <xf numFmtId="166" fontId="17" fillId="20" borderId="1" xfId="0" applyFont="true" applyBorder="true" applyAlignment="true" applyProtection="false">
      <alignment horizontal="center" vertical="bottom" textRotation="0" wrapText="false" indent="0" shrinkToFit="false"/>
      <protection locked="true" hidden="false"/>
    </xf>
    <xf numFmtId="164" fontId="18" fillId="19"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20" borderId="1" xfId="0" applyFont="true" applyBorder="true" applyAlignment="false" applyProtection="false">
      <alignment horizontal="general" vertical="bottom" textRotation="0" wrapText="false" indent="0" shrinkToFit="false"/>
      <protection locked="true" hidden="false"/>
    </xf>
    <xf numFmtId="164" fontId="20" fillId="3" borderId="0" xfId="0" applyFont="true" applyBorder="true" applyAlignment="true" applyProtection="false">
      <alignment horizontal="center" vertical="center" textRotation="0" wrapText="true" indent="0" shrinkToFit="false"/>
      <protection locked="true" hidden="false"/>
    </xf>
    <xf numFmtId="164" fontId="21" fillId="4" borderId="0"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21" borderId="1" xfId="0" applyFont="true" applyBorder="true" applyAlignment="true" applyProtection="false">
      <alignment horizontal="center" vertical="bottom" textRotation="0" wrapText="false" indent="0"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25" fillId="0" borderId="1" xfId="0" applyFont="true" applyBorder="true" applyAlignment="false" applyProtection="false">
      <alignment horizontal="general" vertical="bottom" textRotation="0" wrapText="false" indent="0" shrinkToFit="false"/>
      <protection locked="true" hidden="false"/>
    </xf>
    <xf numFmtId="164" fontId="25" fillId="0" borderId="1" xfId="0" applyFont="true" applyBorder="true" applyAlignment="false" applyProtection="false">
      <alignment horizontal="general" vertical="bottom" textRotation="0" wrapText="false" indent="0" shrinkToFit="false"/>
      <protection locked="true" hidden="false"/>
    </xf>
    <xf numFmtId="164" fontId="26" fillId="0" borderId="0" xfId="0" applyFont="true" applyBorder="true" applyAlignment="false" applyProtection="false">
      <alignment horizontal="general" vertical="bottom" textRotation="0" wrapText="false" indent="0" shrinkToFit="false"/>
      <protection locked="true" hidden="false"/>
    </xf>
    <xf numFmtId="164" fontId="27" fillId="3" borderId="0"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0" fillId="21" borderId="1" xfId="0" applyFont="false" applyBorder="true" applyAlignment="false" applyProtection="false">
      <alignment horizontal="general" vertical="bottom" textRotation="0" wrapText="false" indent="0" shrinkToFit="false"/>
      <protection locked="true" hidden="false"/>
    </xf>
    <xf numFmtId="164" fontId="28" fillId="4" borderId="0" xfId="0" applyFont="true" applyBorder="true" applyAlignment="true" applyProtection="false">
      <alignment horizontal="center" vertical="center" textRotation="0" wrapText="false" indent="0" shrinkToFit="false"/>
      <protection locked="true" hidden="false"/>
    </xf>
    <xf numFmtId="166" fontId="29" fillId="6" borderId="0" xfId="0" applyFont="true" applyBorder="true" applyAlignment="true" applyProtection="false">
      <alignment horizontal="center" vertical="center" textRotation="0" wrapText="false" indent="0" shrinkToFit="false"/>
      <protection locked="true" hidden="false"/>
    </xf>
    <xf numFmtId="164" fontId="28" fillId="4" borderId="1" xfId="0" applyFont="true" applyBorder="true" applyAlignment="true" applyProtection="false">
      <alignment horizontal="center" vertical="center" textRotation="0" wrapText="true" indent="0" shrinkToFit="false"/>
      <protection locked="true" hidden="false"/>
    </xf>
    <xf numFmtId="167" fontId="24" fillId="0" borderId="1" xfId="0" applyFont="true" applyBorder="true" applyAlignment="false" applyProtection="false">
      <alignment horizontal="general" vertical="bottom" textRotation="0" wrapText="false" indent="0" shrinkToFit="false"/>
      <protection locked="true" hidden="false"/>
    </xf>
    <xf numFmtId="166" fontId="24" fillId="0" borderId="1" xfId="0" applyFont="true" applyBorder="true" applyAlignment="false" applyProtection="false">
      <alignment horizontal="general" vertical="bottom" textRotation="0" wrapText="false" indent="0" shrinkToFit="false"/>
      <protection locked="true" hidden="false"/>
    </xf>
    <xf numFmtId="164" fontId="32" fillId="0" borderId="1" xfId="0" applyFont="true" applyBorder="true" applyAlignment="true" applyProtection="false">
      <alignment horizontal="center" vertical="bottom" textRotation="0" wrapText="false" indent="0" shrinkToFit="false"/>
      <protection locked="true" hidden="false"/>
    </xf>
    <xf numFmtId="164" fontId="32" fillId="20" borderId="1" xfId="0" applyFont="true" applyBorder="true" applyAlignment="true" applyProtection="false">
      <alignment horizontal="center" vertical="bottom" textRotation="0" wrapText="false" indent="0" shrinkToFit="false"/>
      <protection locked="true" hidden="false"/>
    </xf>
    <xf numFmtId="164" fontId="33" fillId="0" borderId="0" xfId="0" applyFont="true" applyBorder="true" applyAlignment="true" applyProtection="false">
      <alignment horizontal="general" vertical="center" textRotation="0" wrapText="true" indent="0" shrinkToFit="false"/>
      <protection locked="true" hidden="false"/>
    </xf>
    <xf numFmtId="164" fontId="34" fillId="21" borderId="1" xfId="0" applyFont="true" applyBorder="true" applyAlignment="true" applyProtection="false">
      <alignment horizontal="center" vertical="bottom" textRotation="0" wrapText="false" indent="0" shrinkToFit="false"/>
      <protection locked="true" hidden="false"/>
    </xf>
    <xf numFmtId="164" fontId="9" fillId="4" borderId="0" xfId="0" applyFont="true" applyBorder="false" applyAlignment="true" applyProtection="false">
      <alignment horizontal="center" vertical="bottom" textRotation="0" wrapText="false" indent="0" shrinkToFit="false"/>
      <protection locked="true" hidden="false"/>
    </xf>
    <xf numFmtId="164" fontId="4" fillId="4" borderId="0" xfId="0" applyFont="true" applyBorder="true" applyAlignment="true" applyProtection="false">
      <alignment horizontal="left" vertical="center" textRotation="0" wrapText="false" indent="1" shrinkToFit="false"/>
      <protection locked="true" hidden="false"/>
    </xf>
    <xf numFmtId="164" fontId="17" fillId="0" borderId="0" xfId="0" applyFont="true" applyBorder="true" applyAlignment="true" applyProtection="false">
      <alignment horizontal="left"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ont>
        <b val="1"/>
        <color rgb="FFFFFFFF"/>
      </font>
      <fill>
        <patternFill>
          <bgColor rgb="FFC62828"/>
        </patternFill>
      </fill>
    </dxf>
    <dxf>
      <font>
        <b val="1"/>
        <color rgb="FFFFFFFF"/>
      </font>
      <fill>
        <patternFill>
          <bgColor rgb="FF2E7D32"/>
        </patternFill>
      </fill>
    </dxf>
    <dxf>
      <font>
        <b val="1"/>
        <color rgb="FFFFFFFF"/>
      </font>
      <fill>
        <patternFill>
          <bgColor rgb="FFF57C00"/>
        </patternFill>
      </fill>
    </dxf>
    <dxf>
      <font>
        <b val="1"/>
      </font>
      <fill>
        <patternFill>
          <bgColor rgb="FF8BC34A"/>
        </patternFill>
      </fill>
    </dxf>
    <dxf>
      <font>
        <b val="1"/>
      </font>
      <fill>
        <patternFill>
          <bgColor rgb="FFFBC02D"/>
        </patternFill>
      </fill>
    </dxf>
    <dxf>
      <font>
        <b val="1"/>
        <color rgb="FF000000"/>
      </font>
      <fill>
        <patternFill>
          <bgColor rgb="FF8BC34A"/>
        </patternFill>
      </fill>
    </dxf>
    <dxf>
      <font>
        <b val="1"/>
        <color rgb="FF000000"/>
      </font>
      <fill>
        <patternFill>
          <bgColor rgb="FFFBC02D"/>
        </patternFill>
      </fill>
    </dxf>
    <dxf>
      <fill>
        <patternFill>
          <bgColor rgb="FFFDE9E9"/>
        </patternFill>
      </fill>
    </dxf>
  </dxfs>
  <colors>
    <indexedColors>
      <rgbColor rgb="FF000000"/>
      <rgbColor rgb="FFFFFFFF"/>
      <rgbColor rgb="FFFF0000"/>
      <rgbColor rgb="FF00FF00"/>
      <rgbColor rgb="FF0000FF"/>
      <rgbColor rgb="FFFFFF00"/>
      <rgbColor rgb="FFFF00FF"/>
      <rgbColor rgb="FF00FFFF"/>
      <rgbColor rgb="FF800000"/>
      <rgbColor rgb="FF2E7D32"/>
      <rgbColor rgb="FF000080"/>
      <rgbColor rgb="FFB5651D"/>
      <rgbColor rgb="FF800080"/>
      <rgbColor rgb="FF1F7A5C"/>
      <rgbColor rgb="FF9BBB59"/>
      <rgbColor rgb="FF808080"/>
      <rgbColor rgb="FF8E5FB5"/>
      <rgbColor rgb="FFA6456A"/>
      <rgbColor rgb="FFFFF6DA"/>
      <rgbColor rgb="FFE6F2EE"/>
      <rgbColor rgb="FF3D1C5C"/>
      <rgbColor rgb="FFFF8080"/>
      <rgbColor rgb="FF2E6DA4"/>
      <rgbColor rgb="FFD9D9D9"/>
      <rgbColor rgb="FF000080"/>
      <rgbColor rgb="FFFF00FF"/>
      <rgbColor rgb="FFFFFF00"/>
      <rgbColor rgb="FF00FFFF"/>
      <rgbColor rgb="FF800080"/>
      <rgbColor rgb="FF800000"/>
      <rgbColor rgb="FF0B5E45"/>
      <rgbColor rgb="FF0000FF"/>
      <rgbColor rgb="FF00CCFF"/>
      <rgbColor rgb="FFEDEDED"/>
      <rgbColor rgb="FFF7F7F9"/>
      <rgbColor rgb="FFFDE9E9"/>
      <rgbColor rgb="FF99CCFF"/>
      <rgbColor rgb="FFFF99CC"/>
      <rgbColor rgb="FFCC99FF"/>
      <rgbColor rgb="FFF3EDFB"/>
      <rgbColor rgb="FF4F81BD"/>
      <rgbColor rgb="FF33CCCC"/>
      <rgbColor rgb="FF8BC34A"/>
      <rgbColor rgb="FFFBC02D"/>
      <rgbColor rgb="FFC99A2E"/>
      <rgbColor rgb="FFF57C00"/>
      <rgbColor rgb="FF8064A2"/>
      <rgbColor rgb="FF878787"/>
      <rgbColor rgb="FF1F4E78"/>
      <rgbColor rgb="FF2E8B6E"/>
      <rgbColor rgb="FF595959"/>
      <rgbColor rgb="FF222222"/>
      <rgbColor rgb="FFC62828"/>
      <rgbColor rgb="FFC0504D"/>
      <rgbColor rgb="FF5B2A86"/>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BMI Category Distribution (%)</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'SCHOOL DASHBOARD'!$A$18:$A$21</c:f>
              <c:strCache>
                <c:ptCount val="4"/>
                <c:pt idx="0">
                  <c:v>Underweight %</c:v>
                </c:pt>
                <c:pt idx="1">
                  <c:v>Normal BMI %</c:v>
                </c:pt>
                <c:pt idx="2">
                  <c:v>Overweight %</c:v>
                </c:pt>
                <c:pt idx="3">
                  <c:v>Obese %</c:v>
                </c:pt>
              </c:strCache>
            </c:strRef>
          </c:cat>
          <c:val>
            <c:numRef>
              <c:f>'SCHOOL DASHBOARD'!$B$18:$B$21</c:f>
              <c:numCache>
                <c:formatCode>0\%</c:formatCode>
                <c:ptCount val="4"/>
                <c:pt idx="0">
                  <c:v>33</c:v>
                </c:pt>
                <c:pt idx="1">
                  <c:v>33</c:v>
                </c:pt>
                <c:pt idx="2">
                  <c:v>33</c:v>
                </c:pt>
                <c:pt idx="3">
                  <c:v>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Health Concerns (student count)</a:t>
            </a:r>
          </a:p>
        </c:rich>
      </c:tx>
      <c:overlay val="0"/>
      <c:spPr>
        <a:noFill/>
        <a:ln w="0">
          <a:noFill/>
        </a:ln>
      </c:spPr>
    </c:title>
    <c:autoTitleDeleted val="0"/>
    <c:plotArea>
      <c:barChart>
        <c:barDir val="bar"/>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'SCHOOL DASHBOARD'!$A$30:$A$40</c:f>
              <c:strCache>
                <c:ptCount val="11"/>
                <c:pt idx="0">
                  <c:v>Underweight (BMI)</c:v>
                </c:pt>
                <c:pt idx="1">
                  <c:v>Overweight / Obese (BMI)</c:v>
                </c:pt>
                <c:pt idx="2">
                  <c:v>Pallor / Suspected Anaemia</c:v>
                </c:pt>
                <c:pt idx="3">
                  <c:v>Dental Caries</c:v>
                </c:pt>
                <c:pt idx="4">
                  <c:v>Poor Oral Hygiene</c:v>
                </c:pt>
                <c:pt idx="5">
                  <c:v>Vision Problems</c:v>
                </c:pt>
                <c:pt idx="6">
                  <c:v>Frequent Fever</c:v>
                </c:pt>
                <c:pt idx="7">
                  <c:v>Repeated Infections</c:v>
                </c:pt>
                <c:pt idx="8">
                  <c:v>Chronic Disease</c:v>
                </c:pt>
                <c:pt idx="9">
                  <c:v>High Stress</c:v>
                </c:pt>
                <c:pt idx="10">
                  <c:v>Bullying</c:v>
                </c:pt>
              </c:strCache>
            </c:strRef>
          </c:cat>
          <c:val>
            <c:numRef>
              <c:f>'SCHOOL DASHBOARD'!$B$30:$B$40</c:f>
              <c:numCache>
                <c:formatCode>General</c:formatCode>
                <c:ptCount val="11"/>
                <c:pt idx="0">
                  <c:v>2</c:v>
                </c:pt>
                <c:pt idx="1">
                  <c:v>2</c:v>
                </c:pt>
                <c:pt idx="2">
                  <c:v>1</c:v>
                </c:pt>
                <c:pt idx="3">
                  <c:v>3</c:v>
                </c:pt>
                <c:pt idx="4">
                  <c:v>2</c:v>
                </c:pt>
                <c:pt idx="5">
                  <c:v>1</c:v>
                </c:pt>
                <c:pt idx="6">
                  <c:v>1</c:v>
                </c:pt>
                <c:pt idx="7">
                  <c:v>1</c:v>
                </c:pt>
                <c:pt idx="8">
                  <c:v>0</c:v>
                </c:pt>
                <c:pt idx="9">
                  <c:v>3</c:v>
                </c:pt>
                <c:pt idx="10">
                  <c:v>1</c:v>
                </c:pt>
              </c:numCache>
            </c:numRef>
          </c:val>
        </c:ser>
        <c:gapWidth val="150"/>
        <c:overlap val="0"/>
        <c:axId val="53066215"/>
        <c:axId val="15344952"/>
      </c:barChart>
      <c:catAx>
        <c:axId val="5306621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344952"/>
        <c:crosses val="autoZero"/>
        <c:auto val="1"/>
        <c:lblAlgn val="ctr"/>
        <c:lblOffset val="100"/>
        <c:noMultiLvlLbl val="0"/>
      </c:catAx>
      <c:valAx>
        <c:axId val="15344952"/>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06621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4</xdr:row>
      <xdr:rowOff>0</xdr:rowOff>
    </xdr:from>
    <xdr:to>
      <xdr:col>8</xdr:col>
      <xdr:colOff>231480</xdr:colOff>
      <xdr:row>16</xdr:row>
      <xdr:rowOff>21960</xdr:rowOff>
    </xdr:to>
    <xdr:graphicFrame>
      <xdr:nvGraphicFramePr>
        <xdr:cNvPr id="0" name="Chart 1"/>
        <xdr:cNvGraphicFramePr/>
      </xdr:nvGraphicFramePr>
      <xdr:xfrm>
        <a:off x="7753320" y="1000080"/>
        <a:ext cx="43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17</xdr:row>
      <xdr:rowOff>0</xdr:rowOff>
    </xdr:from>
    <xdr:to>
      <xdr:col>10</xdr:col>
      <xdr:colOff>448560</xdr:colOff>
      <xdr:row>35</xdr:row>
      <xdr:rowOff>170640</xdr:rowOff>
    </xdr:to>
    <xdr:graphicFrame>
      <xdr:nvGraphicFramePr>
        <xdr:cNvPr id="1" name="Chart 2"/>
        <xdr:cNvGraphicFramePr/>
      </xdr:nvGraphicFramePr>
      <xdr:xfrm>
        <a:off x="7753320" y="4048200"/>
        <a:ext cx="575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2A86"/>
    <pageSetUpPr fitToPage="false"/>
  </sheetPr>
  <dimension ref="A1:H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7" min="2" style="0" width="26"/>
    <col collapsed="false" customWidth="true" hidden="false" outlineLevel="0" max="8" min="8" style="0" width="4"/>
  </cols>
  <sheetData>
    <row r="1" customFormat="false" ht="13.5" hidden="false" customHeight="true" outlineLevel="0" collapsed="false">
      <c r="A1" s="1"/>
      <c r="B1" s="1"/>
      <c r="C1" s="1"/>
      <c r="D1" s="1"/>
      <c r="E1" s="1"/>
      <c r="F1" s="1"/>
      <c r="G1" s="1"/>
      <c r="H1" s="1"/>
    </row>
    <row r="2" customFormat="false" ht="55.5" hidden="false" customHeight="true" outlineLevel="0" collapsed="false">
      <c r="A2" s="2" t="s">
        <v>0</v>
      </c>
      <c r="B2" s="2"/>
      <c r="C2" s="2"/>
      <c r="D2" s="2"/>
      <c r="E2" s="2"/>
      <c r="F2" s="2"/>
      <c r="G2" s="2"/>
      <c r="H2" s="2"/>
    </row>
    <row r="3" customFormat="false" ht="25.5" hidden="false" customHeight="true" outlineLevel="0" collapsed="false">
      <c r="A3" s="3" t="s">
        <v>1</v>
      </c>
      <c r="B3" s="3"/>
      <c r="C3" s="3"/>
      <c r="D3" s="3"/>
      <c r="E3" s="3"/>
      <c r="F3" s="3"/>
      <c r="G3" s="3"/>
      <c r="H3" s="3"/>
    </row>
    <row r="4" customFormat="false" ht="9.75" hidden="false" customHeight="true" outlineLevel="0" collapsed="false"/>
    <row r="6" customFormat="false" ht="16.15" hidden="false" customHeight="false" outlineLevel="0" collapsed="false">
      <c r="B6" s="4" t="s">
        <v>2</v>
      </c>
      <c r="C6" s="4"/>
      <c r="D6" s="4"/>
      <c r="E6" s="4"/>
      <c r="F6" s="4"/>
      <c r="G6" s="4"/>
    </row>
    <row r="7" customFormat="false" ht="15" hidden="false" customHeight="true" outlineLevel="0" collapsed="false">
      <c r="B7" s="5" t="s">
        <v>3</v>
      </c>
      <c r="C7" s="5"/>
      <c r="D7" s="5"/>
      <c r="E7" s="5"/>
      <c r="F7" s="5"/>
      <c r="G7" s="5"/>
    </row>
    <row r="8" customFormat="false" ht="15" hidden="false" customHeight="false" outlineLevel="0" collapsed="false">
      <c r="B8" s="5"/>
      <c r="C8" s="5"/>
      <c r="D8" s="5"/>
      <c r="E8" s="5"/>
      <c r="F8" s="5"/>
      <c r="G8" s="5"/>
    </row>
    <row r="9" customFormat="false" ht="15" hidden="false" customHeight="false" outlineLevel="0" collapsed="false">
      <c r="B9" s="5"/>
      <c r="C9" s="5"/>
      <c r="D9" s="5"/>
      <c r="E9" s="5"/>
      <c r="F9" s="5"/>
      <c r="G9" s="5"/>
    </row>
    <row r="11" customFormat="false" ht="16.15" hidden="false" customHeight="false" outlineLevel="0" collapsed="false">
      <c r="B11" s="4" t="s">
        <v>4</v>
      </c>
      <c r="C11" s="4"/>
      <c r="D11" s="4"/>
      <c r="E11" s="4"/>
      <c r="F11" s="4"/>
      <c r="G11" s="4"/>
    </row>
    <row r="12" customFormat="false" ht="19.5" hidden="false" customHeight="true" outlineLevel="0" collapsed="false">
      <c r="B12" s="6" t="s">
        <v>5</v>
      </c>
      <c r="C12" s="6"/>
      <c r="D12" s="6"/>
      <c r="E12" s="6"/>
      <c r="F12" s="6"/>
      <c r="G12" s="6"/>
    </row>
    <row r="13" customFormat="false" ht="30" hidden="false" customHeight="true" outlineLevel="0" collapsed="false">
      <c r="B13" s="7" t="s">
        <v>6</v>
      </c>
      <c r="C13" s="7"/>
      <c r="D13" s="7"/>
      <c r="E13" s="7"/>
      <c r="F13" s="7"/>
      <c r="G13" s="7"/>
    </row>
    <row r="14" customFormat="false" ht="19.5" hidden="false" customHeight="true" outlineLevel="0" collapsed="false">
      <c r="B14" s="8" t="s">
        <v>7</v>
      </c>
      <c r="C14" s="8"/>
      <c r="D14" s="8"/>
      <c r="E14" s="8"/>
      <c r="F14" s="8"/>
      <c r="G14" s="8"/>
    </row>
    <row r="15" customFormat="false" ht="30" hidden="false" customHeight="true" outlineLevel="0" collapsed="false">
      <c r="B15" s="9" t="s">
        <v>8</v>
      </c>
      <c r="C15" s="9"/>
      <c r="D15" s="9"/>
      <c r="E15" s="9"/>
      <c r="F15" s="9"/>
      <c r="G15" s="9"/>
    </row>
    <row r="16" customFormat="false" ht="19.5" hidden="false" customHeight="true" outlineLevel="0" collapsed="false">
      <c r="B16" s="6" t="s">
        <v>9</v>
      </c>
      <c r="C16" s="6"/>
      <c r="D16" s="6"/>
      <c r="E16" s="6"/>
      <c r="F16" s="6"/>
      <c r="G16" s="6"/>
    </row>
    <row r="17" customFormat="false" ht="30" hidden="false" customHeight="true" outlineLevel="0" collapsed="false">
      <c r="B17" s="7" t="s">
        <v>10</v>
      </c>
      <c r="C17" s="7"/>
      <c r="D17" s="7"/>
      <c r="E17" s="7"/>
      <c r="F17" s="7"/>
      <c r="G17" s="7"/>
    </row>
    <row r="18" customFormat="false" ht="19.5" hidden="false" customHeight="true" outlineLevel="0" collapsed="false">
      <c r="B18" s="8" t="s">
        <v>11</v>
      </c>
      <c r="C18" s="8"/>
      <c r="D18" s="8"/>
      <c r="E18" s="8"/>
      <c r="F18" s="8"/>
      <c r="G18" s="8"/>
    </row>
    <row r="19" customFormat="false" ht="30" hidden="false" customHeight="true" outlineLevel="0" collapsed="false">
      <c r="B19" s="9" t="s">
        <v>12</v>
      </c>
      <c r="C19" s="9"/>
      <c r="D19" s="9"/>
      <c r="E19" s="9"/>
      <c r="F19" s="9"/>
      <c r="G19" s="9"/>
    </row>
    <row r="20" customFormat="false" ht="19.5" hidden="false" customHeight="true" outlineLevel="0" collapsed="false">
      <c r="B20" s="6" t="s">
        <v>13</v>
      </c>
      <c r="C20" s="6"/>
      <c r="D20" s="6"/>
      <c r="E20" s="6"/>
      <c r="F20" s="6"/>
      <c r="G20" s="6"/>
    </row>
    <row r="21" customFormat="false" ht="30" hidden="false" customHeight="true" outlineLevel="0" collapsed="false">
      <c r="B21" s="7" t="s">
        <v>14</v>
      </c>
      <c r="C21" s="7"/>
      <c r="D21" s="7"/>
      <c r="E21" s="7"/>
      <c r="F21" s="7"/>
      <c r="G21" s="7"/>
    </row>
    <row r="22" customFormat="false" ht="19.5" hidden="false" customHeight="true" outlineLevel="0" collapsed="false">
      <c r="B22" s="8" t="s">
        <v>15</v>
      </c>
      <c r="C22" s="8"/>
      <c r="D22" s="8"/>
      <c r="E22" s="8"/>
      <c r="F22" s="8"/>
      <c r="G22" s="8"/>
    </row>
    <row r="23" customFormat="false" ht="30" hidden="false" customHeight="true" outlineLevel="0" collapsed="false">
      <c r="B23" s="9" t="s">
        <v>16</v>
      </c>
      <c r="C23" s="9"/>
      <c r="D23" s="9"/>
      <c r="E23" s="9"/>
      <c r="F23" s="9"/>
      <c r="G23" s="9"/>
    </row>
    <row r="24" customFormat="false" ht="19.5" hidden="false" customHeight="true" outlineLevel="0" collapsed="false">
      <c r="B24" s="6" t="s">
        <v>17</v>
      </c>
      <c r="C24" s="6"/>
      <c r="D24" s="6"/>
      <c r="E24" s="6"/>
      <c r="F24" s="6"/>
      <c r="G24" s="6"/>
    </row>
    <row r="25" customFormat="false" ht="30" hidden="false" customHeight="true" outlineLevel="0" collapsed="false">
      <c r="B25" s="7" t="s">
        <v>18</v>
      </c>
      <c r="C25" s="7"/>
      <c r="D25" s="7"/>
      <c r="E25" s="7"/>
      <c r="F25" s="7"/>
      <c r="G25" s="7"/>
    </row>
    <row r="26" customFormat="false" ht="19.5" hidden="false" customHeight="true" outlineLevel="0" collapsed="false">
      <c r="B26" s="8" t="s">
        <v>19</v>
      </c>
      <c r="C26" s="8"/>
      <c r="D26" s="8"/>
      <c r="E26" s="8"/>
      <c r="F26" s="8"/>
      <c r="G26" s="8"/>
    </row>
    <row r="27" customFormat="false" ht="30" hidden="false" customHeight="true" outlineLevel="0" collapsed="false">
      <c r="B27" s="9" t="s">
        <v>20</v>
      </c>
      <c r="C27" s="9"/>
      <c r="D27" s="9"/>
      <c r="E27" s="9"/>
      <c r="F27" s="9"/>
      <c r="G27" s="9"/>
    </row>
    <row r="28" customFormat="false" ht="6" hidden="false" customHeight="true" outlineLevel="0" collapsed="false"/>
    <row r="29" customFormat="false" ht="15" hidden="false" customHeight="false" outlineLevel="0" collapsed="false">
      <c r="B29" s="10" t="s">
        <v>21</v>
      </c>
      <c r="C29" s="10"/>
      <c r="D29" s="10"/>
      <c r="E29" s="10"/>
      <c r="F29" s="10"/>
      <c r="G29" s="10"/>
    </row>
    <row r="30" customFormat="false" ht="31.5" hidden="false" customHeight="true" outlineLevel="0" collapsed="false">
      <c r="B30" s="11" t="s">
        <v>22</v>
      </c>
      <c r="C30" s="12" t="s">
        <v>23</v>
      </c>
      <c r="D30" s="13" t="s">
        <v>24</v>
      </c>
      <c r="E30" s="14" t="s">
        <v>25</v>
      </c>
      <c r="F30" s="15" t="s">
        <v>26</v>
      </c>
    </row>
    <row r="32" customFormat="false" ht="13.5" hidden="false" customHeight="true" outlineLevel="0" collapsed="false">
      <c r="B32" s="16" t="s">
        <v>27</v>
      </c>
      <c r="C32" s="16"/>
      <c r="D32" s="16"/>
      <c r="E32" s="16"/>
      <c r="F32" s="16"/>
      <c r="G32" s="16"/>
    </row>
  </sheetData>
  <mergeCells count="24">
    <mergeCell ref="A1:H1"/>
    <mergeCell ref="A2:H2"/>
    <mergeCell ref="A3:H3"/>
    <mergeCell ref="B6:G6"/>
    <mergeCell ref="B7:G9"/>
    <mergeCell ref="B11:G11"/>
    <mergeCell ref="B12:G12"/>
    <mergeCell ref="B13:G13"/>
    <mergeCell ref="B14:G14"/>
    <mergeCell ref="B15:G15"/>
    <mergeCell ref="B16:G16"/>
    <mergeCell ref="B17:G17"/>
    <mergeCell ref="B18:G18"/>
    <mergeCell ref="B19:G19"/>
    <mergeCell ref="B20:G20"/>
    <mergeCell ref="B21:G21"/>
    <mergeCell ref="B22:G22"/>
    <mergeCell ref="B23:G23"/>
    <mergeCell ref="B24:G24"/>
    <mergeCell ref="B25:G25"/>
    <mergeCell ref="B26:G26"/>
    <mergeCell ref="B27:G27"/>
    <mergeCell ref="B29:G29"/>
    <mergeCell ref="B32:G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5E45"/>
    <pageSetUpPr fitToPage="false"/>
  </sheetPr>
  <dimension ref="A1:BR3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9" ySplit="3" topLeftCell="J4" activePane="bottomRight" state="frozen"/>
      <selection pane="topLeft" activeCell="A1" activeCellId="0" sqref="A1"/>
      <selection pane="topRight" activeCell="J1" activeCellId="0" sqref="J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5"/>
    <col collapsed="false" customWidth="true" hidden="false" outlineLevel="0" max="2" min="2" style="0" width="13"/>
    <col collapsed="false" customWidth="true" hidden="false" outlineLevel="0" max="3" min="3" style="0" width="20"/>
    <col collapsed="false" customWidth="true" hidden="false" outlineLevel="0" max="5" min="4" style="0" width="14"/>
    <col collapsed="false" customWidth="true" hidden="false" outlineLevel="0" max="8" min="6" style="0" width="13.5"/>
    <col collapsed="false" customWidth="true" hidden="false" outlineLevel="0" max="9" min="9" style="0" width="18"/>
    <col collapsed="false" customWidth="true" hidden="false" outlineLevel="0" max="11" min="10" style="0" width="13.5"/>
    <col collapsed="false" customWidth="true" hidden="false" outlineLevel="0" max="12" min="12" style="0" width="13"/>
    <col collapsed="false" customWidth="true" hidden="false" outlineLevel="0" max="13" min="13" style="0" width="18"/>
    <col collapsed="false" customWidth="true" hidden="false" outlineLevel="0" max="14" min="14" style="0" width="14"/>
    <col collapsed="false" customWidth="true" hidden="false" outlineLevel="0" max="15" min="15" style="0" width="15"/>
    <col collapsed="false" customWidth="true" hidden="false" outlineLevel="0" max="67" min="16" style="0" width="13.5"/>
    <col collapsed="false" customWidth="true" hidden="false" outlineLevel="0" max="68" min="68" style="0" width="20"/>
    <col collapsed="false" customWidth="true" hidden="false" outlineLevel="0" max="70" min="69" style="0" width="13.5"/>
  </cols>
  <sheetData>
    <row r="1" customFormat="false" ht="30" hidden="false" customHeight="true" outlineLevel="0" collapsed="false">
      <c r="A1" s="17" t="s">
        <v>28</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row>
    <row r="2" customFormat="false" ht="19.5" hidden="false" customHeight="true" outlineLevel="0" collapsed="false">
      <c r="A2" s="18" t="s">
        <v>29</v>
      </c>
      <c r="B2" s="18"/>
      <c r="C2" s="18"/>
      <c r="D2" s="18"/>
      <c r="E2" s="18"/>
      <c r="F2" s="18"/>
      <c r="G2" s="18"/>
      <c r="H2" s="18"/>
      <c r="I2" s="18"/>
      <c r="J2" s="18"/>
      <c r="K2" s="18"/>
      <c r="L2" s="18"/>
      <c r="M2" s="18"/>
      <c r="N2" s="18"/>
      <c r="O2" s="18"/>
      <c r="P2" s="18"/>
      <c r="Q2" s="19" t="s">
        <v>30</v>
      </c>
      <c r="R2" s="19"/>
      <c r="S2" s="19"/>
      <c r="T2" s="19"/>
      <c r="U2" s="19"/>
      <c r="V2" s="19"/>
      <c r="W2" s="20" t="s">
        <v>31</v>
      </c>
      <c r="X2" s="20"/>
      <c r="Y2" s="20"/>
      <c r="Z2" s="20"/>
      <c r="AA2" s="20"/>
      <c r="AB2" s="20"/>
      <c r="AC2" s="20"/>
      <c r="AD2" s="21" t="s">
        <v>32</v>
      </c>
      <c r="AE2" s="21"/>
      <c r="AF2" s="21"/>
      <c r="AG2" s="21"/>
      <c r="AH2" s="21"/>
      <c r="AI2" s="21"/>
      <c r="AJ2" s="22" t="s">
        <v>33</v>
      </c>
      <c r="AK2" s="22"/>
      <c r="AL2" s="22"/>
      <c r="AM2" s="22"/>
      <c r="AN2" s="22"/>
      <c r="AO2" s="22"/>
      <c r="AP2" s="22"/>
      <c r="AQ2" s="23" t="s">
        <v>34</v>
      </c>
      <c r="AR2" s="23"/>
      <c r="AS2" s="23"/>
      <c r="AT2" s="23"/>
      <c r="AU2" s="24" t="s">
        <v>35</v>
      </c>
      <c r="AV2" s="24"/>
      <c r="AW2" s="24"/>
      <c r="AX2" s="24"/>
      <c r="AY2" s="24"/>
      <c r="AZ2" s="24"/>
      <c r="BA2" s="25" t="s">
        <v>36</v>
      </c>
      <c r="BB2" s="25"/>
      <c r="BC2" s="25"/>
      <c r="BD2" s="25"/>
      <c r="BE2" s="25"/>
      <c r="BF2" s="26" t="s">
        <v>37</v>
      </c>
      <c r="BG2" s="26"/>
      <c r="BH2" s="26"/>
      <c r="BI2" s="26"/>
      <c r="BJ2" s="26"/>
      <c r="BK2" s="26"/>
      <c r="BL2" s="26"/>
      <c r="BM2" s="26"/>
      <c r="BN2" s="26"/>
      <c r="BO2" s="26"/>
      <c r="BP2" s="26"/>
      <c r="BQ2" s="26"/>
      <c r="BR2" s="26"/>
    </row>
    <row r="3" customFormat="false" ht="42" hidden="false" customHeight="true" outlineLevel="0" collapsed="false">
      <c r="A3" s="27" t="s">
        <v>38</v>
      </c>
      <c r="B3" s="27" t="s">
        <v>39</v>
      </c>
      <c r="C3" s="27" t="s">
        <v>40</v>
      </c>
      <c r="D3" s="27" t="s">
        <v>41</v>
      </c>
      <c r="E3" s="27" t="s">
        <v>42</v>
      </c>
      <c r="F3" s="27" t="s">
        <v>43</v>
      </c>
      <c r="G3" s="27" t="s">
        <v>44</v>
      </c>
      <c r="H3" s="27" t="s">
        <v>45</v>
      </c>
      <c r="I3" s="27" t="s">
        <v>46</v>
      </c>
      <c r="J3" s="27" t="s">
        <v>47</v>
      </c>
      <c r="K3" s="27" t="s">
        <v>48</v>
      </c>
      <c r="L3" s="27" t="s">
        <v>49</v>
      </c>
      <c r="M3" s="27" t="s">
        <v>50</v>
      </c>
      <c r="N3" s="27" t="s">
        <v>51</v>
      </c>
      <c r="O3" s="27" t="s">
        <v>52</v>
      </c>
      <c r="P3" s="27" t="s">
        <v>53</v>
      </c>
      <c r="Q3" s="27" t="s">
        <v>54</v>
      </c>
      <c r="R3" s="27" t="s">
        <v>55</v>
      </c>
      <c r="S3" s="27" t="s">
        <v>56</v>
      </c>
      <c r="T3" s="27" t="s">
        <v>57</v>
      </c>
      <c r="U3" s="27" t="s">
        <v>58</v>
      </c>
      <c r="V3" s="27" t="s">
        <v>59</v>
      </c>
      <c r="W3" s="27" t="s">
        <v>60</v>
      </c>
      <c r="X3" s="27" t="s">
        <v>61</v>
      </c>
      <c r="Y3" s="27" t="s">
        <v>62</v>
      </c>
      <c r="Z3" s="27" t="s">
        <v>63</v>
      </c>
      <c r="AA3" s="27" t="s">
        <v>64</v>
      </c>
      <c r="AB3" s="27" t="s">
        <v>65</v>
      </c>
      <c r="AC3" s="27" t="s">
        <v>66</v>
      </c>
      <c r="AD3" s="27" t="s">
        <v>67</v>
      </c>
      <c r="AE3" s="27" t="s">
        <v>68</v>
      </c>
      <c r="AF3" s="27" t="s">
        <v>69</v>
      </c>
      <c r="AG3" s="27" t="s">
        <v>70</v>
      </c>
      <c r="AH3" s="27" t="s">
        <v>71</v>
      </c>
      <c r="AI3" s="27" t="s">
        <v>72</v>
      </c>
      <c r="AJ3" s="27" t="s">
        <v>73</v>
      </c>
      <c r="AK3" s="27" t="s">
        <v>74</v>
      </c>
      <c r="AL3" s="27" t="s">
        <v>75</v>
      </c>
      <c r="AM3" s="27" t="s">
        <v>76</v>
      </c>
      <c r="AN3" s="27" t="s">
        <v>77</v>
      </c>
      <c r="AO3" s="27" t="s">
        <v>78</v>
      </c>
      <c r="AP3" s="27" t="s">
        <v>79</v>
      </c>
      <c r="AQ3" s="27" t="s">
        <v>80</v>
      </c>
      <c r="AR3" s="27" t="s">
        <v>81</v>
      </c>
      <c r="AS3" s="27" t="s">
        <v>82</v>
      </c>
      <c r="AT3" s="27" t="s">
        <v>83</v>
      </c>
      <c r="AU3" s="27" t="s">
        <v>84</v>
      </c>
      <c r="AV3" s="27" t="s">
        <v>85</v>
      </c>
      <c r="AW3" s="27" t="s">
        <v>86</v>
      </c>
      <c r="AX3" s="27" t="s">
        <v>87</v>
      </c>
      <c r="AY3" s="27" t="s">
        <v>88</v>
      </c>
      <c r="AZ3" s="27" t="s">
        <v>89</v>
      </c>
      <c r="BA3" s="27" t="s">
        <v>90</v>
      </c>
      <c r="BB3" s="27" t="s">
        <v>91</v>
      </c>
      <c r="BC3" s="27" t="s">
        <v>92</v>
      </c>
      <c r="BD3" s="27" t="s">
        <v>93</v>
      </c>
      <c r="BE3" s="27" t="s">
        <v>94</v>
      </c>
      <c r="BF3" s="27" t="s">
        <v>95</v>
      </c>
      <c r="BG3" s="27" t="s">
        <v>96</v>
      </c>
      <c r="BH3" s="27" t="s">
        <v>97</v>
      </c>
      <c r="BI3" s="27" t="s">
        <v>98</v>
      </c>
      <c r="BJ3" s="27" t="s">
        <v>99</v>
      </c>
      <c r="BK3" s="27" t="s">
        <v>100</v>
      </c>
      <c r="BL3" s="27" t="s">
        <v>101</v>
      </c>
      <c r="BM3" s="27" t="s">
        <v>102</v>
      </c>
      <c r="BN3" s="27" t="s">
        <v>103</v>
      </c>
      <c r="BO3" s="27" t="s">
        <v>104</v>
      </c>
      <c r="BP3" s="27" t="s">
        <v>105</v>
      </c>
      <c r="BQ3" s="27" t="s">
        <v>106</v>
      </c>
      <c r="BR3" s="27" t="s">
        <v>107</v>
      </c>
    </row>
    <row r="4" customFormat="false" ht="15" hidden="false" customHeight="false" outlineLevel="0" collapsed="false">
      <c r="A4" s="28" t="str">
        <f aca="false">IF(I4="","","STU"&amp;TEXT(ROW()-3,"000000"))</f>
        <v>STU000001</v>
      </c>
      <c r="B4" s="29" t="n">
        <v>46204</v>
      </c>
      <c r="C4" s="28" t="s">
        <v>108</v>
      </c>
      <c r="D4" s="28" t="s">
        <v>109</v>
      </c>
      <c r="E4" s="28" t="s">
        <v>110</v>
      </c>
      <c r="F4" s="28" t="s">
        <v>111</v>
      </c>
      <c r="G4" s="28" t="s">
        <v>112</v>
      </c>
      <c r="H4" s="28" t="n">
        <v>12</v>
      </c>
      <c r="I4" s="28" t="s">
        <v>113</v>
      </c>
      <c r="J4" s="30" t="n">
        <v>13</v>
      </c>
      <c r="K4" s="28" t="s">
        <v>114</v>
      </c>
      <c r="L4" s="28"/>
      <c r="M4" s="28" t="s">
        <v>115</v>
      </c>
      <c r="N4" s="28" t="s">
        <v>116</v>
      </c>
      <c r="O4" s="28"/>
      <c r="P4" s="28" t="s">
        <v>117</v>
      </c>
      <c r="Q4" s="30" t="n">
        <v>155</v>
      </c>
      <c r="R4" s="30" t="n">
        <v>45</v>
      </c>
      <c r="S4" s="31" t="n">
        <f aca="false">IF(OR(Q4="",R4=""),"",ROUND(R4/((Q4/100)^2),1))</f>
        <v>18.7</v>
      </c>
      <c r="T4" s="28" t="str">
        <f aca="false">IF(S4="","",IF(S4&lt;18.5,"Underweight",IF(S4&lt;25,"Normal",IF(S4&lt;30,"Overweight","Obese"))))</f>
        <v>Normal</v>
      </c>
      <c r="U4" s="30" t="n">
        <v>22</v>
      </c>
      <c r="V4" s="30" t="n">
        <v>60</v>
      </c>
      <c r="W4" s="28" t="s">
        <v>118</v>
      </c>
      <c r="X4" s="28" t="s">
        <v>119</v>
      </c>
      <c r="Y4" s="28" t="s">
        <v>119</v>
      </c>
      <c r="Z4" s="28" t="s">
        <v>119</v>
      </c>
      <c r="AA4" s="28" t="s">
        <v>120</v>
      </c>
      <c r="AB4" s="28" t="s">
        <v>120</v>
      </c>
      <c r="AC4" s="28" t="s">
        <v>121</v>
      </c>
      <c r="AD4" s="28" t="s">
        <v>119</v>
      </c>
      <c r="AE4" s="28" t="s">
        <v>122</v>
      </c>
      <c r="AF4" s="28" t="s">
        <v>119</v>
      </c>
      <c r="AG4" s="28" t="s">
        <v>123</v>
      </c>
      <c r="AH4" s="28" t="s">
        <v>124</v>
      </c>
      <c r="AI4" s="28" t="s">
        <v>124</v>
      </c>
      <c r="AJ4" s="28" t="s">
        <v>125</v>
      </c>
      <c r="AK4" s="28" t="s">
        <v>125</v>
      </c>
      <c r="AL4" s="28" t="s">
        <v>125</v>
      </c>
      <c r="AM4" s="28" t="s">
        <v>125</v>
      </c>
      <c r="AN4" s="28" t="s">
        <v>125</v>
      </c>
      <c r="AO4" s="28" t="s">
        <v>125</v>
      </c>
      <c r="AP4" s="28" t="s">
        <v>125</v>
      </c>
      <c r="AQ4" s="28" t="s">
        <v>126</v>
      </c>
      <c r="AR4" s="28" t="s">
        <v>127</v>
      </c>
      <c r="AS4" s="28" t="s">
        <v>128</v>
      </c>
      <c r="AT4" s="28" t="s">
        <v>125</v>
      </c>
      <c r="AU4" s="28" t="s">
        <v>125</v>
      </c>
      <c r="AV4" s="28" t="s">
        <v>125</v>
      </c>
      <c r="AW4" s="28" t="s">
        <v>125</v>
      </c>
      <c r="AX4" s="28" t="s">
        <v>125</v>
      </c>
      <c r="AY4" s="28" t="s">
        <v>125</v>
      </c>
      <c r="AZ4" s="28" t="s">
        <v>125</v>
      </c>
      <c r="BA4" s="28" t="s">
        <v>129</v>
      </c>
      <c r="BB4" s="28" t="s">
        <v>129</v>
      </c>
      <c r="BC4" s="28" t="s">
        <v>128</v>
      </c>
      <c r="BD4" s="28" t="s">
        <v>129</v>
      </c>
      <c r="BE4" s="28" t="s">
        <v>129</v>
      </c>
      <c r="BF4" s="31" t="n">
        <f aca="false">IF(T4="","",IF(T4="Normal",100,IF(T4="Overweight",65,IF(T4="Obese",50,IF(AND(U4&lt;&gt;"",U4&lt;18.5),30,45)))))</f>
        <v>100</v>
      </c>
      <c r="BG4" s="31" t="n">
        <f aca="false">IF(COUNTBLANK(W4:AC4)&gt;0,"",ROUND(AVERAGE(INDEX('SCORING MASTER'!$D$5:$D$7,MATCH(W4,'SCORING MASTER'!$C$5:$C$7,0)),INDEX('SCORING MASTER'!$D$9:$D$11,MATCH(X4,'SCORING MASTER'!$C$9:$C$11,0)),INDEX('SCORING MASTER'!$D$13:$D$15,MATCH(Y4,'SCORING MASTER'!$C$13:$C$15,0)),INDEX('SCORING MASTER'!$D$17:$D$19,MATCH(Z4,'SCORING MASTER'!$C$17:$C$19,0)),INDEX('SCORING MASTER'!$D$21:$D$23,MATCH(AA4,'SCORING MASTER'!$C$21:$C$23,0)),INDEX('SCORING MASTER'!$D$25:$D$27,MATCH(AB4,'SCORING MASTER'!$C$25:$C$27,0)),INDEX('SCORING MASTER'!$D$29:$D$31,MATCH(AC4,'SCORING MASTER'!$C$29:$C$31,0)))*20,0))</f>
        <v>100</v>
      </c>
      <c r="BH4" s="31" t="n">
        <f aca="false">IF(COUNTBLANK(AD4:AI4)&gt;0,"",ROUND(AVERAGE(INDEX('SCORING MASTER'!$D$33:$D$35,MATCH(AD4,'SCORING MASTER'!$C$33:$C$35,0)),INDEX('SCORING MASTER'!$D$37:$D$39,MATCH(AE4,'SCORING MASTER'!$C$37:$C$39,0)),INDEX('SCORING MASTER'!$D$41:$D$43,MATCH(AF4,'SCORING MASTER'!$C$41:$C$43,0)),INDEX('SCORING MASTER'!$D$45:$D$47,MATCH(AG4,'SCORING MASTER'!$C$45:$C$47,0)),INDEX('SCORING MASTER'!$D$49:$D$52,MATCH(AH4,'SCORING MASTER'!$C$49:$C$52,0)),INDEX('SCORING MASTER'!$D$54:$D$57,MATCH(AI4,'SCORING MASTER'!$C$54:$C$57,0)))*20,0))</f>
        <v>100</v>
      </c>
      <c r="BI4" s="31" t="n">
        <f aca="false">IF(COUNTBLANK(AJ4:AP4)&gt;0,"",ROUND(AVERAGE(INDEX('SCORING MASTER'!$D$59:$D$60,MATCH(AJ4,'SCORING MASTER'!$C$59:$C$60,0)),INDEX('SCORING MASTER'!$D$62:$D$63,MATCH(AK4,'SCORING MASTER'!$C$62:$C$63,0)),INDEX('SCORING MASTER'!$D$65:$D$66,MATCH(AL4,'SCORING MASTER'!$C$65:$C$66,0)),INDEX('SCORING MASTER'!$D$68:$D$69,MATCH(AM4,'SCORING MASTER'!$C$68:$C$69,0)),INDEX('SCORING MASTER'!$D$71:$D$72,MATCH(AN4,'SCORING MASTER'!$C$71:$C$72,0)),INDEX('SCORING MASTER'!$D$74:$D$75,MATCH(AO4,'SCORING MASTER'!$C$74:$C$75,0)),INDEX('SCORING MASTER'!$D$77:$D$78,MATCH(AP4,'SCORING MASTER'!$C$77:$C$78,0)))*20,0))</f>
        <v>100</v>
      </c>
      <c r="BJ4" s="31" t="n">
        <f aca="false">IF(COUNTBLANK(AU4:AZ4)&gt;0,"",ROUND(AVERAGE(INDEX('SCORING MASTER'!$D$95:$D$96,MATCH(AU4,'SCORING MASTER'!$C$95:$C$96,0)),INDEX('SCORING MASTER'!$D$98:$D$99,MATCH(AV4,'SCORING MASTER'!$C$98:$C$99,0)),INDEX('SCORING MASTER'!$D$101:$D$102,MATCH(AW4,'SCORING MASTER'!$C$101:$C$102,0)),INDEX('SCORING MASTER'!$D$104:$D$105,MATCH(AX4,'SCORING MASTER'!$C$104:$C$105,0)),INDEX('SCORING MASTER'!$D$107:$D$108,MATCH(AY4,'SCORING MASTER'!$C$107:$C$108,0)),INDEX('SCORING MASTER'!$D$110:$D$111,MATCH(AZ4,'SCORING MASTER'!$C$110:$C$111,0)))*20,0))</f>
        <v>100</v>
      </c>
      <c r="BK4" s="31" t="n">
        <f aca="false">IF(COUNTBLANK(AQ4:AT4)&gt;0,"",ROUND(AVERAGE(INDEX('SCORING MASTER'!$D$80:$D$82,MATCH(AQ4,'SCORING MASTER'!$C$80:$C$82,0)),INDEX('SCORING MASTER'!$D$84:$D$86,MATCH(AR4,'SCORING MASTER'!$C$84:$C$86,0)),INDEX('SCORING MASTER'!$D$88:$D$90,MATCH(AS4,'SCORING MASTER'!$C$88:$C$90,0)),INDEX('SCORING MASTER'!$D$92:$D$93,MATCH(AT4,'SCORING MASTER'!$C$92:$C$93,0)))*20,0))</f>
        <v>100</v>
      </c>
      <c r="BL4" s="31" t="n">
        <f aca="false">IF(COUNTBLANK(BA4:BE4)&gt;0,"",ROUND(AVERAGE(INDEX('SCORING MASTER'!$D$113:$D$115,MATCH(BA4,'SCORING MASTER'!$C$113:$C$115,0)),INDEX('SCORING MASTER'!$D$117:$D$119,MATCH(BB4,'SCORING MASTER'!$C$117:$C$119,0)),INDEX('SCORING MASTER'!$D$121:$D$123,MATCH(BC4,'SCORING MASTER'!$C$121:$C$123,0)),INDEX('SCORING MASTER'!$D$125:$D$126,MATCH(BD4,'SCORING MASTER'!$C$125:$C$126,0)),INDEX('SCORING MASTER'!$D$128:$D$129,MATCH(BE4,'SCORING MASTER'!$C$128:$C$129,0)))*20,0))</f>
        <v>100</v>
      </c>
      <c r="BM4" s="31" t="n">
        <f aca="false">IF(OR(BF4="",BG4="",BH4="",BI4="",BJ4="",BK4="",BL4=""),"",ROUND(BF4*0.25+BG4*0.2+BH4*0.15+BI4*0.15+BJ4*0.1+BK4*0.1+BL4*0.05,0))</f>
        <v>100</v>
      </c>
      <c r="BN4" s="31" t="n">
        <f aca="false">IF(OR(BF4="",BG4=""),"",ROUND(BF4*0.5+BG4*0.5,0))</f>
        <v>100</v>
      </c>
      <c r="BO4" s="31" t="n">
        <f aca="false">IF(BN4="","",ROUND(MIN(100,MAX(0,(100-BN4)+IF(AL4="Yes",15,0)+IF(AM4="Yes",15,0)+IF(AND(U4&lt;&gt;"",U4&lt;18.5),20,0))),0))</f>
        <v>0</v>
      </c>
      <c r="BP4" s="28" t="str">
        <f aca="false">IF(BM4="","",IF(BM4&gt;=90,"Green - Healthy",IF(BM4&gt;=75,"Light Green - Mild Watch",IF(BM4&gt;=60,"Yellow - Mild Risk",IF(BM4&gt;=40,"Orange - Moderate Risk","Red - High Risk")))))</f>
        <v>Green - Healthy</v>
      </c>
      <c r="BQ4" s="28" t="str">
        <f aca="false">IF(BM4="","",IF(OR(BM4&lt;60,BO4&gt;=60,AJ4="Yes"),"Yes","No"))</f>
        <v>No</v>
      </c>
      <c r="BR4" s="28" t="str">
        <f aca="false">IF(BM4="","",IF(OR(BP4="Orange - Moderate Risk",BP4="Red - High Risk",BQ4="Yes"),"Yes","No"))</f>
        <v>No</v>
      </c>
    </row>
    <row r="5" customFormat="false" ht="15" hidden="false" customHeight="false" outlineLevel="0" collapsed="false">
      <c r="A5" s="32" t="str">
        <f aca="false">IF(I5="","","STU"&amp;TEXT(ROW()-3,"000000"))</f>
        <v>STU000002</v>
      </c>
      <c r="B5" s="33" t="n">
        <v>46204</v>
      </c>
      <c r="C5" s="32" t="s">
        <v>108</v>
      </c>
      <c r="D5" s="32" t="s">
        <v>109</v>
      </c>
      <c r="E5" s="32" t="s">
        <v>110</v>
      </c>
      <c r="F5" s="32" t="s">
        <v>130</v>
      </c>
      <c r="G5" s="32" t="s">
        <v>131</v>
      </c>
      <c r="H5" s="32" t="n">
        <v>5</v>
      </c>
      <c r="I5" s="32" t="s">
        <v>132</v>
      </c>
      <c r="J5" s="34" t="n">
        <v>11</v>
      </c>
      <c r="K5" s="32" t="s">
        <v>133</v>
      </c>
      <c r="L5" s="32"/>
      <c r="M5" s="32" t="s">
        <v>134</v>
      </c>
      <c r="N5" s="32" t="s">
        <v>135</v>
      </c>
      <c r="O5" s="32"/>
      <c r="P5" s="32" t="s">
        <v>136</v>
      </c>
      <c r="Q5" s="34" t="n">
        <v>128</v>
      </c>
      <c r="R5" s="34" t="n">
        <v>21</v>
      </c>
      <c r="S5" s="35" t="n">
        <f aca="false">IF(OR(Q5="",R5=""),"",ROUND(R5/((Q5/100)^2),1))</f>
        <v>12.8</v>
      </c>
      <c r="T5" s="32" t="str">
        <f aca="false">IF(S5="","",IF(S5&lt;18.5,"Underweight",IF(S5&lt;25,"Normal",IF(S5&lt;30,"Overweight","Obese"))))</f>
        <v>Underweight</v>
      </c>
      <c r="U5" s="34" t="n">
        <v>16</v>
      </c>
      <c r="V5" s="34" t="n">
        <v>48</v>
      </c>
      <c r="W5" s="32" t="s">
        <v>120</v>
      </c>
      <c r="X5" s="32" t="s">
        <v>137</v>
      </c>
      <c r="Y5" s="32" t="s">
        <v>137</v>
      </c>
      <c r="Z5" s="32" t="s">
        <v>137</v>
      </c>
      <c r="AA5" s="32" t="s">
        <v>119</v>
      </c>
      <c r="AB5" s="32" t="s">
        <v>119</v>
      </c>
      <c r="AC5" s="32" t="s">
        <v>138</v>
      </c>
      <c r="AD5" s="32" t="s">
        <v>137</v>
      </c>
      <c r="AE5" s="32" t="s">
        <v>139</v>
      </c>
      <c r="AF5" s="32" t="s">
        <v>137</v>
      </c>
      <c r="AG5" s="32" t="s">
        <v>140</v>
      </c>
      <c r="AH5" s="32" t="s">
        <v>124</v>
      </c>
      <c r="AI5" s="32" t="s">
        <v>124</v>
      </c>
      <c r="AJ5" s="32" t="s">
        <v>125</v>
      </c>
      <c r="AK5" s="32" t="s">
        <v>129</v>
      </c>
      <c r="AL5" s="32" t="s">
        <v>129</v>
      </c>
      <c r="AM5" s="32" t="s">
        <v>129</v>
      </c>
      <c r="AN5" s="32" t="s">
        <v>129</v>
      </c>
      <c r="AO5" s="32" t="s">
        <v>125</v>
      </c>
      <c r="AP5" s="32" t="s">
        <v>125</v>
      </c>
      <c r="AQ5" s="32" t="s">
        <v>141</v>
      </c>
      <c r="AR5" s="32" t="s">
        <v>126</v>
      </c>
      <c r="AS5" s="32" t="s">
        <v>142</v>
      </c>
      <c r="AT5" s="32" t="s">
        <v>129</v>
      </c>
      <c r="AU5" s="32" t="s">
        <v>129</v>
      </c>
      <c r="AV5" s="32" t="s">
        <v>129</v>
      </c>
      <c r="AW5" s="32" t="s">
        <v>129</v>
      </c>
      <c r="AX5" s="32" t="s">
        <v>125</v>
      </c>
      <c r="AY5" s="32" t="s">
        <v>129</v>
      </c>
      <c r="AZ5" s="32" t="s">
        <v>125</v>
      </c>
      <c r="BA5" s="32" t="s">
        <v>143</v>
      </c>
      <c r="BB5" s="32" t="s">
        <v>125</v>
      </c>
      <c r="BC5" s="32" t="s">
        <v>142</v>
      </c>
      <c r="BD5" s="32" t="s">
        <v>125</v>
      </c>
      <c r="BE5" s="32" t="s">
        <v>125</v>
      </c>
      <c r="BF5" s="35" t="n">
        <f aca="false">IF(T5="","",IF(T5="Normal",100,IF(T5="Overweight",65,IF(T5="Obese",50,IF(AND(U5&lt;&gt;"",U5&lt;18.5),30,45)))))</f>
        <v>30</v>
      </c>
      <c r="BG5" s="35" t="n">
        <f aca="false">IF(COUNTBLANK(W5:AC5)&gt;0,"",ROUND(AVERAGE(INDEX('SCORING MASTER'!$D$5:$D$7,MATCH(W5,'SCORING MASTER'!$C$5:$C$7,0)),INDEX('SCORING MASTER'!$D$9:$D$11,MATCH(X5,'SCORING MASTER'!$C$9:$C$11,0)),INDEX('SCORING MASTER'!$D$13:$D$15,MATCH(Y5,'SCORING MASTER'!$C$13:$C$15,0)),INDEX('SCORING MASTER'!$D$17:$D$19,MATCH(Z5,'SCORING MASTER'!$C$17:$C$19,0)),INDEX('SCORING MASTER'!$D$21:$D$23,MATCH(AA5,'SCORING MASTER'!$C$21:$C$23,0)),INDEX('SCORING MASTER'!$D$25:$D$27,MATCH(AB5,'SCORING MASTER'!$C$25:$C$27,0)),INDEX('SCORING MASTER'!$D$29:$D$31,MATCH(AC5,'SCORING MASTER'!$C$29:$C$31,0)))*20,0))</f>
        <v>0</v>
      </c>
      <c r="BH5" s="35" t="n">
        <f aca="false">IF(COUNTBLANK(AD5:AI5)&gt;0,"",ROUND(AVERAGE(INDEX('SCORING MASTER'!$D$33:$D$35,MATCH(AD5,'SCORING MASTER'!$C$33:$C$35,0)),INDEX('SCORING MASTER'!$D$37:$D$39,MATCH(AE5,'SCORING MASTER'!$C$37:$C$39,0)),INDEX('SCORING MASTER'!$D$41:$D$43,MATCH(AF5,'SCORING MASTER'!$C$41:$C$43,0)),INDEX('SCORING MASTER'!$D$45:$D$47,MATCH(AG5,'SCORING MASTER'!$C$45:$C$47,0)),INDEX('SCORING MASTER'!$D$49:$D$52,MATCH(AH5,'SCORING MASTER'!$C$49:$C$52,0)),INDEX('SCORING MASTER'!$D$54:$D$57,MATCH(AI5,'SCORING MASTER'!$C$54:$C$57,0)))*20,0))</f>
        <v>33</v>
      </c>
      <c r="BI5" s="35" t="n">
        <f aca="false">IF(COUNTBLANK(AJ5:AP5)&gt;0,"",ROUND(AVERAGE(INDEX('SCORING MASTER'!$D$59:$D$60,MATCH(AJ5,'SCORING MASTER'!$C$59:$C$60,0)),INDEX('SCORING MASTER'!$D$62:$D$63,MATCH(AK5,'SCORING MASTER'!$C$62:$C$63,0)),INDEX('SCORING MASTER'!$D$65:$D$66,MATCH(AL5,'SCORING MASTER'!$C$65:$C$66,0)),INDEX('SCORING MASTER'!$D$68:$D$69,MATCH(AM5,'SCORING MASTER'!$C$68:$C$69,0)),INDEX('SCORING MASTER'!$D$71:$D$72,MATCH(AN5,'SCORING MASTER'!$C$71:$C$72,0)),INDEX('SCORING MASTER'!$D$74:$D$75,MATCH(AO5,'SCORING MASTER'!$C$74:$C$75,0)),INDEX('SCORING MASTER'!$D$77:$D$78,MATCH(AP5,'SCORING MASTER'!$C$77:$C$78,0)))*20,0))</f>
        <v>43</v>
      </c>
      <c r="BJ5" s="35" t="n">
        <f aca="false">IF(COUNTBLANK(AU5:AZ5)&gt;0,"",ROUND(AVERAGE(INDEX('SCORING MASTER'!$D$95:$D$96,MATCH(AU5,'SCORING MASTER'!$C$95:$C$96,0)),INDEX('SCORING MASTER'!$D$98:$D$99,MATCH(AV5,'SCORING MASTER'!$C$98:$C$99,0)),INDEX('SCORING MASTER'!$D$101:$D$102,MATCH(AW5,'SCORING MASTER'!$C$101:$C$102,0)),INDEX('SCORING MASTER'!$D$104:$D$105,MATCH(AX5,'SCORING MASTER'!$C$104:$C$105,0)),INDEX('SCORING MASTER'!$D$107:$D$108,MATCH(AY5,'SCORING MASTER'!$C$107:$C$108,0)),INDEX('SCORING MASTER'!$D$110:$D$111,MATCH(AZ5,'SCORING MASTER'!$C$110:$C$111,0)))*20,0))</f>
        <v>33</v>
      </c>
      <c r="BK5" s="35" t="n">
        <f aca="false">IF(COUNTBLANK(AQ5:AT5)&gt;0,"",ROUND(AVERAGE(INDEX('SCORING MASTER'!$D$80:$D$82,MATCH(AQ5,'SCORING MASTER'!$C$80:$C$82,0)),INDEX('SCORING MASTER'!$D$84:$D$86,MATCH(AR5,'SCORING MASTER'!$C$84:$C$86,0)),INDEX('SCORING MASTER'!$D$88:$D$90,MATCH(AS5,'SCORING MASTER'!$C$88:$C$90,0)),INDEX('SCORING MASTER'!$D$92:$D$93,MATCH(AT5,'SCORING MASTER'!$C$92:$C$93,0)))*20,0))</f>
        <v>0</v>
      </c>
      <c r="BL5" s="35" t="n">
        <f aca="false">IF(COUNTBLANK(BA5:BE5)&gt;0,"",ROUND(AVERAGE(INDEX('SCORING MASTER'!$D$113:$D$115,MATCH(BA5,'SCORING MASTER'!$C$113:$C$115,0)),INDEX('SCORING MASTER'!$D$117:$D$119,MATCH(BB5,'SCORING MASTER'!$C$117:$C$119,0)),INDEX('SCORING MASTER'!$D$121:$D$123,MATCH(BC5,'SCORING MASTER'!$C$121:$C$123,0)),INDEX('SCORING MASTER'!$D$125:$D$126,MATCH(BD5,'SCORING MASTER'!$C$125:$C$126,0)),INDEX('SCORING MASTER'!$D$128:$D$129,MATCH(BE5,'SCORING MASTER'!$C$128:$C$129,0)))*20,0))</f>
        <v>12</v>
      </c>
      <c r="BM5" s="35" t="n">
        <f aca="false">IF(OR(BF5="",BG5="",BH5="",BI5="",BJ5="",BK5="",BL5=""),"",ROUND(BF5*0.25+BG5*0.2+BH5*0.15+BI5*0.15+BJ5*0.1+BK5*0.1+BL5*0.05,0))</f>
        <v>23</v>
      </c>
      <c r="BN5" s="35" t="n">
        <f aca="false">IF(OR(BF5="",BG5=""),"",ROUND(BF5*0.5+BG5*0.5,0))</f>
        <v>15</v>
      </c>
      <c r="BO5" s="35" t="n">
        <f aca="false">IF(BN5="","",ROUND(MIN(100,MAX(0,(100-BN5)+IF(AL5="Yes",15,0)+IF(AM5="Yes",15,0)+IF(AND(U5&lt;&gt;"",U5&lt;18.5),20,0))),0))</f>
        <v>100</v>
      </c>
      <c r="BP5" s="32" t="str">
        <f aca="false">IF(BM5="","",IF(BM5&gt;=90,"Green - Healthy",IF(BM5&gt;=75,"Light Green - Mild Watch",IF(BM5&gt;=60,"Yellow - Mild Risk",IF(BM5&gt;=40,"Orange - Moderate Risk","Red - High Risk")))))</f>
        <v>Red - High Risk</v>
      </c>
      <c r="BQ5" s="32" t="str">
        <f aca="false">IF(BM5="","",IF(OR(BM5&lt;60,BO5&gt;=60,AJ5="Yes"),"Yes","No"))</f>
        <v>Yes</v>
      </c>
      <c r="BR5" s="32" t="str">
        <f aca="false">IF(BM5="","",IF(OR(BP5="Orange - Moderate Risk",BP5="Red - High Risk",BQ5="Yes"),"Yes","No"))</f>
        <v>Yes</v>
      </c>
    </row>
    <row r="6" customFormat="false" ht="15" hidden="false" customHeight="false" outlineLevel="0" collapsed="false">
      <c r="A6" s="28" t="str">
        <f aca="false">IF(I6="","","STU"&amp;TEXT(ROW()-3,"000000"))</f>
        <v>STU000003</v>
      </c>
      <c r="B6" s="29" t="n">
        <v>46204</v>
      </c>
      <c r="C6" s="28" t="s">
        <v>144</v>
      </c>
      <c r="D6" s="28" t="s">
        <v>145</v>
      </c>
      <c r="E6" s="28" t="s">
        <v>110</v>
      </c>
      <c r="F6" s="28" t="s">
        <v>146</v>
      </c>
      <c r="G6" s="28" t="s">
        <v>147</v>
      </c>
      <c r="H6" s="28" t="n">
        <v>45</v>
      </c>
      <c r="I6" s="28" t="s">
        <v>148</v>
      </c>
      <c r="J6" s="30" t="n">
        <v>19</v>
      </c>
      <c r="K6" s="28" t="s">
        <v>114</v>
      </c>
      <c r="L6" s="28"/>
      <c r="M6" s="28" t="s">
        <v>149</v>
      </c>
      <c r="N6" s="28" t="s">
        <v>150</v>
      </c>
      <c r="O6" s="28"/>
      <c r="P6" s="28" t="s">
        <v>151</v>
      </c>
      <c r="Q6" s="30" t="n">
        <v>172</v>
      </c>
      <c r="R6" s="30" t="n">
        <v>88</v>
      </c>
      <c r="S6" s="31" t="n">
        <f aca="false">IF(OR(Q6="",R6=""),"",ROUND(R6/((Q6/100)^2),1))</f>
        <v>29.7</v>
      </c>
      <c r="T6" s="28" t="str">
        <f aca="false">IF(S6="","",IF(S6&lt;18.5,"Underweight",IF(S6&lt;25,"Normal",IF(S6&lt;30,"Overweight","Obese"))))</f>
        <v>Overweight</v>
      </c>
      <c r="U6" s="30" t="n">
        <v>27</v>
      </c>
      <c r="V6" s="30" t="n">
        <v>98</v>
      </c>
      <c r="W6" s="28" t="s">
        <v>152</v>
      </c>
      <c r="X6" s="28" t="s">
        <v>153</v>
      </c>
      <c r="Y6" s="28" t="s">
        <v>152</v>
      </c>
      <c r="Z6" s="28" t="s">
        <v>119</v>
      </c>
      <c r="AA6" s="28" t="s">
        <v>154</v>
      </c>
      <c r="AB6" s="28" t="s">
        <v>154</v>
      </c>
      <c r="AC6" s="28" t="s">
        <v>155</v>
      </c>
      <c r="AD6" s="28" t="s">
        <v>137</v>
      </c>
      <c r="AE6" s="28" t="s">
        <v>139</v>
      </c>
      <c r="AF6" s="28" t="s">
        <v>137</v>
      </c>
      <c r="AG6" s="28" t="s">
        <v>140</v>
      </c>
      <c r="AH6" s="28" t="s">
        <v>156</v>
      </c>
      <c r="AI6" s="28" t="s">
        <v>156</v>
      </c>
      <c r="AJ6" s="28" t="s">
        <v>125</v>
      </c>
      <c r="AK6" s="28" t="s">
        <v>125</v>
      </c>
      <c r="AL6" s="28" t="s">
        <v>125</v>
      </c>
      <c r="AM6" s="28" t="s">
        <v>125</v>
      </c>
      <c r="AN6" s="28" t="s">
        <v>125</v>
      </c>
      <c r="AO6" s="28" t="s">
        <v>125</v>
      </c>
      <c r="AP6" s="28" t="s">
        <v>125</v>
      </c>
      <c r="AQ6" s="28" t="s">
        <v>141</v>
      </c>
      <c r="AR6" s="28" t="s">
        <v>157</v>
      </c>
      <c r="AS6" s="28" t="s">
        <v>158</v>
      </c>
      <c r="AT6" s="28" t="s">
        <v>125</v>
      </c>
      <c r="AU6" s="28" t="s">
        <v>125</v>
      </c>
      <c r="AV6" s="28" t="s">
        <v>129</v>
      </c>
      <c r="AW6" s="28" t="s">
        <v>125</v>
      </c>
      <c r="AX6" s="28" t="s">
        <v>129</v>
      </c>
      <c r="AY6" s="28" t="s">
        <v>125</v>
      </c>
      <c r="AZ6" s="28" t="s">
        <v>125</v>
      </c>
      <c r="BA6" s="28" t="s">
        <v>129</v>
      </c>
      <c r="BB6" s="28" t="s">
        <v>129</v>
      </c>
      <c r="BC6" s="28" t="s">
        <v>158</v>
      </c>
      <c r="BD6" s="28" t="s">
        <v>125</v>
      </c>
      <c r="BE6" s="28" t="s">
        <v>125</v>
      </c>
      <c r="BF6" s="31" t="n">
        <f aca="false">IF(T6="","",IF(T6="Normal",100,IF(T6="Overweight",65,IF(T6="Obese",50,IF(AND(U6&lt;&gt;"",U6&lt;18.5),30,45)))))</f>
        <v>65</v>
      </c>
      <c r="BG6" s="31" t="n">
        <f aca="false">IF(COUNTBLANK(W6:AC6)&gt;0,"",ROUND(AVERAGE(INDEX('SCORING MASTER'!$D$5:$D$7,MATCH(W6,'SCORING MASTER'!$C$5:$C$7,0)),INDEX('SCORING MASTER'!$D$9:$D$11,MATCH(X6,'SCORING MASTER'!$C$9:$C$11,0)),INDEX('SCORING MASTER'!$D$13:$D$15,MATCH(Y6,'SCORING MASTER'!$C$13:$C$15,0)),INDEX('SCORING MASTER'!$D$17:$D$19,MATCH(Z6,'SCORING MASTER'!$C$17:$C$19,0)),INDEX('SCORING MASTER'!$D$21:$D$23,MATCH(AA6,'SCORING MASTER'!$C$21:$C$23,0)),INDEX('SCORING MASTER'!$D$25:$D$27,MATCH(AB6,'SCORING MASTER'!$C$25:$C$27,0)),INDEX('SCORING MASTER'!$D$29:$D$31,MATCH(AC6,'SCORING MASTER'!$C$29:$C$31,0)))*20,0))</f>
        <v>66</v>
      </c>
      <c r="BH6" s="31" t="n">
        <f aca="false">IF(COUNTBLANK(AD6:AI6)&gt;0,"",ROUND(AVERAGE(INDEX('SCORING MASTER'!$D$33:$D$35,MATCH(AD6,'SCORING MASTER'!$C$33:$C$35,0)),INDEX('SCORING MASTER'!$D$37:$D$39,MATCH(AE6,'SCORING MASTER'!$C$37:$C$39,0)),INDEX('SCORING MASTER'!$D$41:$D$43,MATCH(AF6,'SCORING MASTER'!$C$41:$C$43,0)),INDEX('SCORING MASTER'!$D$45:$D$47,MATCH(AG6,'SCORING MASTER'!$C$45:$C$47,0)),INDEX('SCORING MASTER'!$D$49:$D$52,MATCH(AH6,'SCORING MASTER'!$C$49:$C$52,0)),INDEX('SCORING MASTER'!$D$54:$D$57,MATCH(AI6,'SCORING MASTER'!$C$54:$C$57,0)))*20,0))</f>
        <v>13</v>
      </c>
      <c r="BI6" s="31" t="n">
        <f aca="false">IF(COUNTBLANK(AJ6:AP6)&gt;0,"",ROUND(AVERAGE(INDEX('SCORING MASTER'!$D$59:$D$60,MATCH(AJ6,'SCORING MASTER'!$C$59:$C$60,0)),INDEX('SCORING MASTER'!$D$62:$D$63,MATCH(AK6,'SCORING MASTER'!$C$62:$C$63,0)),INDEX('SCORING MASTER'!$D$65:$D$66,MATCH(AL6,'SCORING MASTER'!$C$65:$C$66,0)),INDEX('SCORING MASTER'!$D$68:$D$69,MATCH(AM6,'SCORING MASTER'!$C$68:$C$69,0)),INDEX('SCORING MASTER'!$D$71:$D$72,MATCH(AN6,'SCORING MASTER'!$C$71:$C$72,0)),INDEX('SCORING MASTER'!$D$74:$D$75,MATCH(AO6,'SCORING MASTER'!$C$74:$C$75,0)),INDEX('SCORING MASTER'!$D$77:$D$78,MATCH(AP6,'SCORING MASTER'!$C$77:$C$78,0)))*20,0))</f>
        <v>100</v>
      </c>
      <c r="BJ6" s="31" t="n">
        <f aca="false">IF(COUNTBLANK(AU6:AZ6)&gt;0,"",ROUND(AVERAGE(INDEX('SCORING MASTER'!$D$95:$D$96,MATCH(AU6,'SCORING MASTER'!$C$95:$C$96,0)),INDEX('SCORING MASTER'!$D$98:$D$99,MATCH(AV6,'SCORING MASTER'!$C$98:$C$99,0)),INDEX('SCORING MASTER'!$D$101:$D$102,MATCH(AW6,'SCORING MASTER'!$C$101:$C$102,0)),INDEX('SCORING MASTER'!$D$104:$D$105,MATCH(AX6,'SCORING MASTER'!$C$104:$C$105,0)),INDEX('SCORING MASTER'!$D$107:$D$108,MATCH(AY6,'SCORING MASTER'!$C$107:$C$108,0)),INDEX('SCORING MASTER'!$D$110:$D$111,MATCH(AZ6,'SCORING MASTER'!$C$110:$C$111,0)))*20,0))</f>
        <v>67</v>
      </c>
      <c r="BK6" s="31" t="n">
        <f aca="false">IF(COUNTBLANK(AQ6:AT6)&gt;0,"",ROUND(AVERAGE(INDEX('SCORING MASTER'!$D$80:$D$82,MATCH(AQ6,'SCORING MASTER'!$C$80:$C$82,0)),INDEX('SCORING MASTER'!$D$84:$D$86,MATCH(AR6,'SCORING MASTER'!$C$84:$C$86,0)),INDEX('SCORING MASTER'!$D$88:$D$90,MATCH(AS6,'SCORING MASTER'!$C$88:$C$90,0)),INDEX('SCORING MASTER'!$D$92:$D$93,MATCH(AT6,'SCORING MASTER'!$C$92:$C$93,0)))*20,0))</f>
        <v>55</v>
      </c>
      <c r="BL6" s="31" t="n">
        <f aca="false">IF(COUNTBLANK(BA6:BE6)&gt;0,"",ROUND(AVERAGE(INDEX('SCORING MASTER'!$D$113:$D$115,MATCH(BA6,'SCORING MASTER'!$C$113:$C$115,0)),INDEX('SCORING MASTER'!$D$117:$D$119,MATCH(BB6,'SCORING MASTER'!$C$117:$C$119,0)),INDEX('SCORING MASTER'!$D$121:$D$123,MATCH(BC6,'SCORING MASTER'!$C$121:$C$123,0)),INDEX('SCORING MASTER'!$D$125:$D$126,MATCH(BD6,'SCORING MASTER'!$C$125:$C$126,0)),INDEX('SCORING MASTER'!$D$128:$D$129,MATCH(BE6,'SCORING MASTER'!$C$128:$C$129,0)))*20,0))</f>
        <v>52</v>
      </c>
      <c r="BM6" s="31" t="n">
        <f aca="false">IF(OR(BF6="",BG6="",BH6="",BI6="",BJ6="",BK6="",BL6=""),"",ROUND(BF6*0.25+BG6*0.2+BH6*0.15+BI6*0.15+BJ6*0.1+BK6*0.1+BL6*0.05,0))</f>
        <v>61</v>
      </c>
      <c r="BN6" s="31" t="n">
        <f aca="false">IF(OR(BF6="",BG6=""),"",ROUND(BF6*0.5+BG6*0.5,0))</f>
        <v>66</v>
      </c>
      <c r="BO6" s="31" t="n">
        <f aca="false">IF(BN6="","",ROUND(MIN(100,MAX(0,(100-BN6)+IF(AL6="Yes",15,0)+IF(AM6="Yes",15,0)+IF(AND(U6&lt;&gt;"",U6&lt;18.5),20,0))),0))</f>
        <v>34</v>
      </c>
      <c r="BP6" s="28" t="str">
        <f aca="false">IF(BM6="","",IF(BM6&gt;=90,"Green - Healthy",IF(BM6&gt;=75,"Light Green - Mild Watch",IF(BM6&gt;=60,"Yellow - Mild Risk",IF(BM6&gt;=40,"Orange - Moderate Risk","Red - High Risk")))))</f>
        <v>Yellow - Mild Risk</v>
      </c>
      <c r="BQ6" s="28" t="str">
        <f aca="false">IF(BM6="","",IF(OR(BM6&lt;60,BO6&gt;=60,AJ6="Yes"),"Yes","No"))</f>
        <v>No</v>
      </c>
      <c r="BR6" s="28" t="str">
        <f aca="false">IF(BM6="","",IF(OR(BP6="Orange - Moderate Risk",BP6="Red - High Risk",BQ6="Yes"),"Yes","No"))</f>
        <v>No</v>
      </c>
    </row>
    <row r="7" customFormat="false" ht="15" hidden="false" customHeight="false" outlineLevel="0" collapsed="false">
      <c r="A7" s="32" t="str">
        <f aca="false">IF(I7="","","STU"&amp;TEXT(ROW()-3,"000000"))</f>
        <v>STU000004</v>
      </c>
      <c r="B7" s="33" t="n">
        <v>46204</v>
      </c>
      <c r="C7" s="32" t="s">
        <v>144</v>
      </c>
      <c r="D7" s="32" t="s">
        <v>145</v>
      </c>
      <c r="E7" s="32" t="s">
        <v>110</v>
      </c>
      <c r="F7" s="32" t="s">
        <v>159</v>
      </c>
      <c r="G7" s="32" t="s">
        <v>112</v>
      </c>
      <c r="H7" s="32" t="n">
        <v>8</v>
      </c>
      <c r="I7" s="32" t="s">
        <v>160</v>
      </c>
      <c r="J7" s="34" t="n">
        <v>18</v>
      </c>
      <c r="K7" s="32" t="s">
        <v>133</v>
      </c>
      <c r="L7" s="32"/>
      <c r="M7" s="32" t="s">
        <v>161</v>
      </c>
      <c r="N7" s="32" t="s">
        <v>162</v>
      </c>
      <c r="O7" s="32"/>
      <c r="P7" s="32" t="s">
        <v>163</v>
      </c>
      <c r="Q7" s="34" t="n">
        <v>160</v>
      </c>
      <c r="R7" s="34" t="n">
        <v>54</v>
      </c>
      <c r="S7" s="35" t="n">
        <f aca="false">IF(OR(Q7="",R7=""),"",ROUND(R7/((Q7/100)^2),1))</f>
        <v>21.1</v>
      </c>
      <c r="T7" s="32" t="str">
        <f aca="false">IF(S7="","",IF(S7&lt;18.5,"Underweight",IF(S7&lt;25,"Normal",IF(S7&lt;30,"Overweight","Obese"))))</f>
        <v>Normal</v>
      </c>
      <c r="U7" s="34" t="n">
        <v>24</v>
      </c>
      <c r="V7" s="34" t="n">
        <v>70</v>
      </c>
      <c r="W7" s="32" t="s">
        <v>118</v>
      </c>
      <c r="X7" s="32" t="s">
        <v>153</v>
      </c>
      <c r="Y7" s="32" t="s">
        <v>119</v>
      </c>
      <c r="Z7" s="32" t="s">
        <v>153</v>
      </c>
      <c r="AA7" s="32" t="s">
        <v>154</v>
      </c>
      <c r="AB7" s="32" t="s">
        <v>120</v>
      </c>
      <c r="AC7" s="32" t="s">
        <v>155</v>
      </c>
      <c r="AD7" s="32" t="s">
        <v>153</v>
      </c>
      <c r="AE7" s="32" t="s">
        <v>164</v>
      </c>
      <c r="AF7" s="32" t="s">
        <v>153</v>
      </c>
      <c r="AG7" s="32" t="s">
        <v>165</v>
      </c>
      <c r="AH7" s="32" t="s">
        <v>120</v>
      </c>
      <c r="AI7" s="32" t="s">
        <v>120</v>
      </c>
      <c r="AJ7" s="32" t="s">
        <v>125</v>
      </c>
      <c r="AK7" s="32" t="s">
        <v>125</v>
      </c>
      <c r="AL7" s="32" t="s">
        <v>125</v>
      </c>
      <c r="AM7" s="32" t="s">
        <v>125</v>
      </c>
      <c r="AN7" s="32" t="s">
        <v>125</v>
      </c>
      <c r="AO7" s="32" t="s">
        <v>125</v>
      </c>
      <c r="AP7" s="32" t="s">
        <v>125</v>
      </c>
      <c r="AQ7" s="32" t="s">
        <v>166</v>
      </c>
      <c r="AR7" s="32" t="s">
        <v>157</v>
      </c>
      <c r="AS7" s="32" t="s">
        <v>158</v>
      </c>
      <c r="AT7" s="32" t="s">
        <v>125</v>
      </c>
      <c r="AU7" s="32" t="s">
        <v>125</v>
      </c>
      <c r="AV7" s="32" t="s">
        <v>125</v>
      </c>
      <c r="AW7" s="32" t="s">
        <v>125</v>
      </c>
      <c r="AX7" s="32" t="s">
        <v>125</v>
      </c>
      <c r="AY7" s="32" t="s">
        <v>125</v>
      </c>
      <c r="AZ7" s="32" t="s">
        <v>125</v>
      </c>
      <c r="BA7" s="32" t="s">
        <v>129</v>
      </c>
      <c r="BB7" s="32" t="s">
        <v>129</v>
      </c>
      <c r="BC7" s="32" t="s">
        <v>128</v>
      </c>
      <c r="BD7" s="32" t="s">
        <v>129</v>
      </c>
      <c r="BE7" s="32" t="s">
        <v>129</v>
      </c>
      <c r="BF7" s="35" t="n">
        <f aca="false">IF(T7="","",IF(T7="Normal",100,IF(T7="Overweight",65,IF(T7="Obese",50,IF(AND(U7&lt;&gt;"",U7&lt;18.5),30,45)))))</f>
        <v>100</v>
      </c>
      <c r="BG7" s="35" t="n">
        <f aca="false">IF(COUNTBLANK(W7:AC7)&gt;0,"",ROUND(AVERAGE(INDEX('SCORING MASTER'!$D$5:$D$7,MATCH(W7,'SCORING MASTER'!$C$5:$C$7,0)),INDEX('SCORING MASTER'!$D$9:$D$11,MATCH(X7,'SCORING MASTER'!$C$9:$C$11,0)),INDEX('SCORING MASTER'!$D$13:$D$15,MATCH(Y7,'SCORING MASTER'!$C$13:$C$15,0)),INDEX('SCORING MASTER'!$D$17:$D$19,MATCH(Z7,'SCORING MASTER'!$C$17:$C$19,0)),INDEX('SCORING MASTER'!$D$21:$D$23,MATCH(AA7,'SCORING MASTER'!$C$21:$C$23,0)),INDEX('SCORING MASTER'!$D$25:$D$27,MATCH(AB7,'SCORING MASTER'!$C$25:$C$27,0)),INDEX('SCORING MASTER'!$D$29:$D$31,MATCH(AC7,'SCORING MASTER'!$C$29:$C$31,0)))*20,0))</f>
        <v>77</v>
      </c>
      <c r="BH7" s="35" t="n">
        <f aca="false">IF(COUNTBLANK(AD7:AI7)&gt;0,"",ROUND(AVERAGE(INDEX('SCORING MASTER'!$D$33:$D$35,MATCH(AD7,'SCORING MASTER'!$C$33:$C$35,0)),INDEX('SCORING MASTER'!$D$37:$D$39,MATCH(AE7,'SCORING MASTER'!$C$37:$C$39,0)),INDEX('SCORING MASTER'!$D$41:$D$43,MATCH(AF7,'SCORING MASTER'!$C$41:$C$43,0)),INDEX('SCORING MASTER'!$D$45:$D$47,MATCH(AG7,'SCORING MASTER'!$C$45:$C$47,0)),INDEX('SCORING MASTER'!$D$49:$D$52,MATCH(AH7,'SCORING MASTER'!$C$49:$C$52,0)),INDEX('SCORING MASTER'!$D$54:$D$57,MATCH(AI7,'SCORING MASTER'!$C$54:$C$57,0)))*20,0))</f>
        <v>73</v>
      </c>
      <c r="BI7" s="35" t="n">
        <f aca="false">IF(COUNTBLANK(AJ7:AP7)&gt;0,"",ROUND(AVERAGE(INDEX('SCORING MASTER'!$D$59:$D$60,MATCH(AJ7,'SCORING MASTER'!$C$59:$C$60,0)),INDEX('SCORING MASTER'!$D$62:$D$63,MATCH(AK7,'SCORING MASTER'!$C$62:$C$63,0)),INDEX('SCORING MASTER'!$D$65:$D$66,MATCH(AL7,'SCORING MASTER'!$C$65:$C$66,0)),INDEX('SCORING MASTER'!$D$68:$D$69,MATCH(AM7,'SCORING MASTER'!$C$68:$C$69,0)),INDEX('SCORING MASTER'!$D$71:$D$72,MATCH(AN7,'SCORING MASTER'!$C$71:$C$72,0)),INDEX('SCORING MASTER'!$D$74:$D$75,MATCH(AO7,'SCORING MASTER'!$C$74:$C$75,0)),INDEX('SCORING MASTER'!$D$77:$D$78,MATCH(AP7,'SCORING MASTER'!$C$77:$C$78,0)))*20,0))</f>
        <v>100</v>
      </c>
      <c r="BJ7" s="35" t="n">
        <f aca="false">IF(COUNTBLANK(AU7:AZ7)&gt;0,"",ROUND(AVERAGE(INDEX('SCORING MASTER'!$D$95:$D$96,MATCH(AU7,'SCORING MASTER'!$C$95:$C$96,0)),INDEX('SCORING MASTER'!$D$98:$D$99,MATCH(AV7,'SCORING MASTER'!$C$98:$C$99,0)),INDEX('SCORING MASTER'!$D$101:$D$102,MATCH(AW7,'SCORING MASTER'!$C$101:$C$102,0)),INDEX('SCORING MASTER'!$D$104:$D$105,MATCH(AX7,'SCORING MASTER'!$C$104:$C$105,0)),INDEX('SCORING MASTER'!$D$107:$D$108,MATCH(AY7,'SCORING MASTER'!$C$107:$C$108,0)),INDEX('SCORING MASTER'!$D$110:$D$111,MATCH(AZ7,'SCORING MASTER'!$C$110:$C$111,0)))*20,0))</f>
        <v>100</v>
      </c>
      <c r="BK7" s="35" t="n">
        <f aca="false">IF(COUNTBLANK(AQ7:AT7)&gt;0,"",ROUND(AVERAGE(INDEX('SCORING MASTER'!$D$80:$D$82,MATCH(AQ7,'SCORING MASTER'!$C$80:$C$82,0)),INDEX('SCORING MASTER'!$D$84:$D$86,MATCH(AR7,'SCORING MASTER'!$C$84:$C$86,0)),INDEX('SCORING MASTER'!$D$88:$D$90,MATCH(AS7,'SCORING MASTER'!$C$88:$C$90,0)),INDEX('SCORING MASTER'!$D$92:$D$93,MATCH(AT7,'SCORING MASTER'!$C$92:$C$93,0)))*20,0))</f>
        <v>70</v>
      </c>
      <c r="BL7" s="35" t="n">
        <f aca="false">IF(COUNTBLANK(BA7:BE7)&gt;0,"",ROUND(AVERAGE(INDEX('SCORING MASTER'!$D$113:$D$115,MATCH(BA7,'SCORING MASTER'!$C$113:$C$115,0)),INDEX('SCORING MASTER'!$D$117:$D$119,MATCH(BB7,'SCORING MASTER'!$C$117:$C$119,0)),INDEX('SCORING MASTER'!$D$121:$D$123,MATCH(BC7,'SCORING MASTER'!$C$121:$C$123,0)),INDEX('SCORING MASTER'!$D$125:$D$126,MATCH(BD7,'SCORING MASTER'!$C$125:$C$126,0)),INDEX('SCORING MASTER'!$D$128:$D$129,MATCH(BE7,'SCORING MASTER'!$C$128:$C$129,0)))*20,0))</f>
        <v>100</v>
      </c>
      <c r="BM7" s="35" t="n">
        <f aca="false">IF(OR(BF7="",BG7="",BH7="",BI7="",BJ7="",BK7="",BL7=""),"",ROUND(BF7*0.25+BG7*0.2+BH7*0.15+BI7*0.15+BJ7*0.1+BK7*0.1+BL7*0.05,0))</f>
        <v>88</v>
      </c>
      <c r="BN7" s="35" t="n">
        <f aca="false">IF(OR(BF7="",BG7=""),"",ROUND(BF7*0.5+BG7*0.5,0))</f>
        <v>89</v>
      </c>
      <c r="BO7" s="35" t="n">
        <f aca="false">IF(BN7="","",ROUND(MIN(100,MAX(0,(100-BN7)+IF(AL7="Yes",15,0)+IF(AM7="Yes",15,0)+IF(AND(U7&lt;&gt;"",U7&lt;18.5),20,0))),0))</f>
        <v>11</v>
      </c>
      <c r="BP7" s="32" t="str">
        <f aca="false">IF(BM7="","",IF(BM7&gt;=90,"Green - Healthy",IF(BM7&gt;=75,"Light Green - Mild Watch",IF(BM7&gt;=60,"Yellow - Mild Risk",IF(BM7&gt;=40,"Orange - Moderate Risk","Red - High Risk")))))</f>
        <v>Light Green - Mild Watch</v>
      </c>
      <c r="BQ7" s="32" t="str">
        <f aca="false">IF(BM7="","",IF(OR(BM7&lt;60,BO7&gt;=60,AJ7="Yes"),"Yes","No"))</f>
        <v>No</v>
      </c>
      <c r="BR7" s="32" t="str">
        <f aca="false">IF(BM7="","",IF(OR(BP7="Orange - Moderate Risk",BP7="Red - High Risk",BQ7="Yes"),"Yes","No"))</f>
        <v>No</v>
      </c>
    </row>
    <row r="8" customFormat="false" ht="15" hidden="false" customHeight="false" outlineLevel="0" collapsed="false">
      <c r="A8" s="28" t="str">
        <f aca="false">IF(I8="","","STU"&amp;TEXT(ROW()-3,"000000"))</f>
        <v>STU000005</v>
      </c>
      <c r="B8" s="29" t="n">
        <v>46204</v>
      </c>
      <c r="C8" s="28" t="s">
        <v>167</v>
      </c>
      <c r="D8" s="28" t="s">
        <v>168</v>
      </c>
      <c r="E8" s="28" t="s">
        <v>169</v>
      </c>
      <c r="F8" s="28" t="s">
        <v>170</v>
      </c>
      <c r="G8" s="28" t="s">
        <v>112</v>
      </c>
      <c r="H8" s="28" t="n">
        <v>21</v>
      </c>
      <c r="I8" s="28" t="s">
        <v>171</v>
      </c>
      <c r="J8" s="30" t="n">
        <v>15</v>
      </c>
      <c r="K8" s="28" t="s">
        <v>114</v>
      </c>
      <c r="L8" s="28"/>
      <c r="M8" s="28" t="s">
        <v>172</v>
      </c>
      <c r="N8" s="28" t="s">
        <v>173</v>
      </c>
      <c r="O8" s="28"/>
      <c r="P8" s="28" t="s">
        <v>174</v>
      </c>
      <c r="Q8" s="30" t="n">
        <v>163</v>
      </c>
      <c r="R8" s="30" t="n">
        <v>72</v>
      </c>
      <c r="S8" s="31" t="n">
        <f aca="false">IF(OR(Q8="",R8=""),"",ROUND(R8/((Q8/100)^2),1))</f>
        <v>27.1</v>
      </c>
      <c r="T8" s="28" t="str">
        <f aca="false">IF(S8="","",IF(S8&lt;18.5,"Underweight",IF(S8&lt;25,"Normal",IF(S8&lt;30,"Overweight","Obese"))))</f>
        <v>Overweight</v>
      </c>
      <c r="U8" s="30" t="n">
        <v>25</v>
      </c>
      <c r="V8" s="30" t="n">
        <v>88</v>
      </c>
      <c r="W8" s="28" t="s">
        <v>152</v>
      </c>
      <c r="X8" s="28" t="s">
        <v>137</v>
      </c>
      <c r="Y8" s="28" t="s">
        <v>137</v>
      </c>
      <c r="Z8" s="28" t="s">
        <v>119</v>
      </c>
      <c r="AA8" s="28" t="s">
        <v>119</v>
      </c>
      <c r="AB8" s="28" t="s">
        <v>119</v>
      </c>
      <c r="AC8" s="28" t="s">
        <v>155</v>
      </c>
      <c r="AD8" s="28" t="s">
        <v>137</v>
      </c>
      <c r="AE8" s="28" t="s">
        <v>139</v>
      </c>
      <c r="AF8" s="28" t="s">
        <v>137</v>
      </c>
      <c r="AG8" s="28" t="s">
        <v>140</v>
      </c>
      <c r="AH8" s="28" t="s">
        <v>124</v>
      </c>
      <c r="AI8" s="28" t="s">
        <v>124</v>
      </c>
      <c r="AJ8" s="28" t="s">
        <v>125</v>
      </c>
      <c r="AK8" s="28" t="s">
        <v>125</v>
      </c>
      <c r="AL8" s="28" t="s">
        <v>125</v>
      </c>
      <c r="AM8" s="28" t="s">
        <v>125</v>
      </c>
      <c r="AN8" s="28" t="s">
        <v>125</v>
      </c>
      <c r="AO8" s="28" t="s">
        <v>125</v>
      </c>
      <c r="AP8" s="28" t="s">
        <v>125</v>
      </c>
      <c r="AQ8" s="28" t="s">
        <v>141</v>
      </c>
      <c r="AR8" s="28" t="s">
        <v>126</v>
      </c>
      <c r="AS8" s="28" t="s">
        <v>142</v>
      </c>
      <c r="AT8" s="28" t="s">
        <v>125</v>
      </c>
      <c r="AU8" s="28" t="s">
        <v>125</v>
      </c>
      <c r="AV8" s="28" t="s">
        <v>129</v>
      </c>
      <c r="AW8" s="28" t="s">
        <v>129</v>
      </c>
      <c r="AX8" s="28" t="s">
        <v>125</v>
      </c>
      <c r="AY8" s="28" t="s">
        <v>125</v>
      </c>
      <c r="AZ8" s="28" t="s">
        <v>125</v>
      </c>
      <c r="BA8" s="28" t="s">
        <v>129</v>
      </c>
      <c r="BB8" s="28" t="s">
        <v>129</v>
      </c>
      <c r="BC8" s="28" t="s">
        <v>158</v>
      </c>
      <c r="BD8" s="28" t="s">
        <v>125</v>
      </c>
      <c r="BE8" s="28" t="s">
        <v>125</v>
      </c>
      <c r="BF8" s="31" t="n">
        <f aca="false">IF(T8="","",IF(T8="Normal",100,IF(T8="Overweight",65,IF(T8="Obese",50,IF(AND(U8&lt;&gt;"",U8&lt;18.5),30,45)))))</f>
        <v>65</v>
      </c>
      <c r="BG8" s="31" t="n">
        <f aca="false">IF(COUNTBLANK(W8:AC8)&gt;0,"",ROUND(AVERAGE(INDEX('SCORING MASTER'!$D$5:$D$7,MATCH(W8,'SCORING MASTER'!$C$5:$C$7,0)),INDEX('SCORING MASTER'!$D$9:$D$11,MATCH(X8,'SCORING MASTER'!$C$9:$C$11,0)),INDEX('SCORING MASTER'!$D$13:$D$15,MATCH(Y8,'SCORING MASTER'!$C$13:$C$15,0)),INDEX('SCORING MASTER'!$D$17:$D$19,MATCH(Z8,'SCORING MASTER'!$C$17:$C$19,0)),INDEX('SCORING MASTER'!$D$21:$D$23,MATCH(AA8,'SCORING MASTER'!$C$21:$C$23,0)),INDEX('SCORING MASTER'!$D$25:$D$27,MATCH(AB8,'SCORING MASTER'!$C$25:$C$27,0)),INDEX('SCORING MASTER'!$D$29:$D$31,MATCH(AC8,'SCORING MASTER'!$C$29:$C$31,0)))*20,0))</f>
        <v>31</v>
      </c>
      <c r="BH8" s="31" t="n">
        <f aca="false">IF(COUNTBLANK(AD8:AI8)&gt;0,"",ROUND(AVERAGE(INDEX('SCORING MASTER'!$D$33:$D$35,MATCH(AD8,'SCORING MASTER'!$C$33:$C$35,0)),INDEX('SCORING MASTER'!$D$37:$D$39,MATCH(AE8,'SCORING MASTER'!$C$37:$C$39,0)),INDEX('SCORING MASTER'!$D$41:$D$43,MATCH(AF8,'SCORING MASTER'!$C$41:$C$43,0)),INDEX('SCORING MASTER'!$D$45:$D$47,MATCH(AG8,'SCORING MASTER'!$C$45:$C$47,0)),INDEX('SCORING MASTER'!$D$49:$D$52,MATCH(AH8,'SCORING MASTER'!$C$49:$C$52,0)),INDEX('SCORING MASTER'!$D$54:$D$57,MATCH(AI8,'SCORING MASTER'!$C$54:$C$57,0)))*20,0))</f>
        <v>33</v>
      </c>
      <c r="BI8" s="31" t="n">
        <f aca="false">IF(COUNTBLANK(AJ8:AP8)&gt;0,"",ROUND(AVERAGE(INDEX('SCORING MASTER'!$D$59:$D$60,MATCH(AJ8,'SCORING MASTER'!$C$59:$C$60,0)),INDEX('SCORING MASTER'!$D$62:$D$63,MATCH(AK8,'SCORING MASTER'!$C$62:$C$63,0)),INDEX('SCORING MASTER'!$D$65:$D$66,MATCH(AL8,'SCORING MASTER'!$C$65:$C$66,0)),INDEX('SCORING MASTER'!$D$68:$D$69,MATCH(AM8,'SCORING MASTER'!$C$68:$C$69,0)),INDEX('SCORING MASTER'!$D$71:$D$72,MATCH(AN8,'SCORING MASTER'!$C$71:$C$72,0)),INDEX('SCORING MASTER'!$D$74:$D$75,MATCH(AO8,'SCORING MASTER'!$C$74:$C$75,0)),INDEX('SCORING MASTER'!$D$77:$D$78,MATCH(AP8,'SCORING MASTER'!$C$77:$C$78,0)))*20,0))</f>
        <v>100</v>
      </c>
      <c r="BJ8" s="31" t="n">
        <f aca="false">IF(COUNTBLANK(AU8:AZ8)&gt;0,"",ROUND(AVERAGE(INDEX('SCORING MASTER'!$D$95:$D$96,MATCH(AU8,'SCORING MASTER'!$C$95:$C$96,0)),INDEX('SCORING MASTER'!$D$98:$D$99,MATCH(AV8,'SCORING MASTER'!$C$98:$C$99,0)),INDEX('SCORING MASTER'!$D$101:$D$102,MATCH(AW8,'SCORING MASTER'!$C$101:$C$102,0)),INDEX('SCORING MASTER'!$D$104:$D$105,MATCH(AX8,'SCORING MASTER'!$C$104:$C$105,0)),INDEX('SCORING MASTER'!$D$107:$D$108,MATCH(AY8,'SCORING MASTER'!$C$107:$C$108,0)),INDEX('SCORING MASTER'!$D$110:$D$111,MATCH(AZ8,'SCORING MASTER'!$C$110:$C$111,0)))*20,0))</f>
        <v>67</v>
      </c>
      <c r="BK8" s="31" t="n">
        <f aca="false">IF(COUNTBLANK(AQ8:AT8)&gt;0,"",ROUND(AVERAGE(INDEX('SCORING MASTER'!$D$80:$D$82,MATCH(AQ8,'SCORING MASTER'!$C$80:$C$82,0)),INDEX('SCORING MASTER'!$D$84:$D$86,MATCH(AR8,'SCORING MASTER'!$C$84:$C$86,0)),INDEX('SCORING MASTER'!$D$88:$D$90,MATCH(AS8,'SCORING MASTER'!$C$88:$C$90,0)),INDEX('SCORING MASTER'!$D$92:$D$93,MATCH(AT8,'SCORING MASTER'!$C$92:$C$93,0)))*20,0))</f>
        <v>25</v>
      </c>
      <c r="BL8" s="31" t="n">
        <f aca="false">IF(COUNTBLANK(BA8:BE8)&gt;0,"",ROUND(AVERAGE(INDEX('SCORING MASTER'!$D$113:$D$115,MATCH(BA8,'SCORING MASTER'!$C$113:$C$115,0)),INDEX('SCORING MASTER'!$D$117:$D$119,MATCH(BB8,'SCORING MASTER'!$C$117:$C$119,0)),INDEX('SCORING MASTER'!$D$121:$D$123,MATCH(BC8,'SCORING MASTER'!$C$121:$C$123,0)),INDEX('SCORING MASTER'!$D$125:$D$126,MATCH(BD8,'SCORING MASTER'!$C$125:$C$126,0)),INDEX('SCORING MASTER'!$D$128:$D$129,MATCH(BE8,'SCORING MASTER'!$C$128:$C$129,0)))*20,0))</f>
        <v>52</v>
      </c>
      <c r="BM8" s="31" t="n">
        <f aca="false">IF(OR(BF8="",BG8="",BH8="",BI8="",BJ8="",BK8="",BL8=""),"",ROUND(BF8*0.25+BG8*0.2+BH8*0.15+BI8*0.15+BJ8*0.1+BK8*0.1+BL8*0.05,0))</f>
        <v>54</v>
      </c>
      <c r="BN8" s="31" t="n">
        <f aca="false">IF(OR(BF8="",BG8=""),"",ROUND(BF8*0.5+BG8*0.5,0))</f>
        <v>48</v>
      </c>
      <c r="BO8" s="31" t="n">
        <f aca="false">IF(BN8="","",ROUND(MIN(100,MAX(0,(100-BN8)+IF(AL8="Yes",15,0)+IF(AM8="Yes",15,0)+IF(AND(U8&lt;&gt;"",U8&lt;18.5),20,0))),0))</f>
        <v>52</v>
      </c>
      <c r="BP8" s="28" t="str">
        <f aca="false">IF(BM8="","",IF(BM8&gt;=90,"Green - Healthy",IF(BM8&gt;=75,"Light Green - Mild Watch",IF(BM8&gt;=60,"Yellow - Mild Risk",IF(BM8&gt;=40,"Orange - Moderate Risk","Red - High Risk")))))</f>
        <v>Orange - Moderate Risk</v>
      </c>
      <c r="BQ8" s="28" t="str">
        <f aca="false">IF(BM8="","",IF(OR(BM8&lt;60,BO8&gt;=60,AJ8="Yes"),"Yes","No"))</f>
        <v>Yes</v>
      </c>
      <c r="BR8" s="28" t="str">
        <f aca="false">IF(BM8="","",IF(OR(BP8="Orange - Moderate Risk",BP8="Red - High Risk",BQ8="Yes"),"Yes","No"))</f>
        <v>Yes</v>
      </c>
    </row>
    <row r="9" customFormat="false" ht="15" hidden="false" customHeight="false" outlineLevel="0" collapsed="false">
      <c r="A9" s="32" t="str">
        <f aca="false">IF(I9="","","STU"&amp;TEXT(ROW()-3,"000000"))</f>
        <v>STU000006</v>
      </c>
      <c r="B9" s="33" t="n">
        <v>46204</v>
      </c>
      <c r="C9" s="32" t="s">
        <v>167</v>
      </c>
      <c r="D9" s="32" t="s">
        <v>168</v>
      </c>
      <c r="E9" s="32" t="s">
        <v>169</v>
      </c>
      <c r="F9" s="32" t="s">
        <v>175</v>
      </c>
      <c r="G9" s="32" t="s">
        <v>131</v>
      </c>
      <c r="H9" s="32" t="n">
        <v>3</v>
      </c>
      <c r="I9" s="32" t="s">
        <v>176</v>
      </c>
      <c r="J9" s="34" t="n">
        <v>14</v>
      </c>
      <c r="K9" s="32" t="s">
        <v>133</v>
      </c>
      <c r="L9" s="32"/>
      <c r="M9" s="32" t="s">
        <v>177</v>
      </c>
      <c r="N9" s="32" t="s">
        <v>178</v>
      </c>
      <c r="O9" s="32"/>
      <c r="P9" s="32" t="s">
        <v>179</v>
      </c>
      <c r="Q9" s="34" t="n">
        <v>150</v>
      </c>
      <c r="R9" s="34" t="n">
        <v>38</v>
      </c>
      <c r="S9" s="35" t="n">
        <f aca="false">IF(OR(Q9="",R9=""),"",ROUND(R9/((Q9/100)^2),1))</f>
        <v>16.9</v>
      </c>
      <c r="T9" s="32" t="str">
        <f aca="false">IF(S9="","",IF(S9&lt;18.5,"Underweight",IF(S9&lt;25,"Normal",IF(S9&lt;30,"Overweight","Obese"))))</f>
        <v>Underweight</v>
      </c>
      <c r="U9" s="34" t="n">
        <v>19</v>
      </c>
      <c r="V9" s="34" t="n">
        <v>58</v>
      </c>
      <c r="W9" s="32" t="s">
        <v>118</v>
      </c>
      <c r="X9" s="32" t="s">
        <v>119</v>
      </c>
      <c r="Y9" s="32" t="s">
        <v>119</v>
      </c>
      <c r="Z9" s="32" t="s">
        <v>153</v>
      </c>
      <c r="AA9" s="32" t="s">
        <v>154</v>
      </c>
      <c r="AB9" s="32" t="s">
        <v>154</v>
      </c>
      <c r="AC9" s="32" t="s">
        <v>121</v>
      </c>
      <c r="AD9" s="32" t="s">
        <v>119</v>
      </c>
      <c r="AE9" s="32" t="s">
        <v>164</v>
      </c>
      <c r="AF9" s="32" t="s">
        <v>119</v>
      </c>
      <c r="AG9" s="32" t="s">
        <v>123</v>
      </c>
      <c r="AH9" s="32" t="s">
        <v>124</v>
      </c>
      <c r="AI9" s="32" t="s">
        <v>124</v>
      </c>
      <c r="AJ9" s="32" t="s">
        <v>125</v>
      </c>
      <c r="AK9" s="32" t="s">
        <v>125</v>
      </c>
      <c r="AL9" s="32" t="s">
        <v>125</v>
      </c>
      <c r="AM9" s="32" t="s">
        <v>125</v>
      </c>
      <c r="AN9" s="32" t="s">
        <v>125</v>
      </c>
      <c r="AO9" s="32" t="s">
        <v>125</v>
      </c>
      <c r="AP9" s="32" t="s">
        <v>125</v>
      </c>
      <c r="AQ9" s="32" t="s">
        <v>126</v>
      </c>
      <c r="AR9" s="32" t="s">
        <v>127</v>
      </c>
      <c r="AS9" s="32" t="s">
        <v>128</v>
      </c>
      <c r="AT9" s="32" t="s">
        <v>125</v>
      </c>
      <c r="AU9" s="32" t="s">
        <v>125</v>
      </c>
      <c r="AV9" s="32" t="s">
        <v>125</v>
      </c>
      <c r="AW9" s="32" t="s">
        <v>125</v>
      </c>
      <c r="AX9" s="32" t="s">
        <v>125</v>
      </c>
      <c r="AY9" s="32" t="s">
        <v>125</v>
      </c>
      <c r="AZ9" s="32" t="s">
        <v>125</v>
      </c>
      <c r="BA9" s="32" t="s">
        <v>129</v>
      </c>
      <c r="BB9" s="32" t="s">
        <v>129</v>
      </c>
      <c r="BC9" s="32" t="s">
        <v>128</v>
      </c>
      <c r="BD9" s="32" t="s">
        <v>129</v>
      </c>
      <c r="BE9" s="32" t="s">
        <v>129</v>
      </c>
      <c r="BF9" s="35" t="n">
        <f aca="false">IF(T9="","",IF(T9="Normal",100,IF(T9="Overweight",65,IF(T9="Obese",50,IF(AND(U9&lt;&gt;"",U9&lt;18.5),30,45)))))</f>
        <v>45</v>
      </c>
      <c r="BG9" s="35" t="n">
        <f aca="false">IF(COUNTBLANK(W9:AC9)&gt;0,"",ROUND(AVERAGE(INDEX('SCORING MASTER'!$D$5:$D$7,MATCH(W9,'SCORING MASTER'!$C$5:$C$7,0)),INDEX('SCORING MASTER'!$D$9:$D$11,MATCH(X9,'SCORING MASTER'!$C$9:$C$11,0)),INDEX('SCORING MASTER'!$D$13:$D$15,MATCH(Y9,'SCORING MASTER'!$C$13:$C$15,0)),INDEX('SCORING MASTER'!$D$17:$D$19,MATCH(Z9,'SCORING MASTER'!$C$17:$C$19,0)),INDEX('SCORING MASTER'!$D$21:$D$23,MATCH(AA9,'SCORING MASTER'!$C$21:$C$23,0)),INDEX('SCORING MASTER'!$D$25:$D$27,MATCH(AB9,'SCORING MASTER'!$C$25:$C$27,0)),INDEX('SCORING MASTER'!$D$29:$D$31,MATCH(AC9,'SCORING MASTER'!$C$29:$C$31,0)))*20,0))</f>
        <v>83</v>
      </c>
      <c r="BH9" s="35" t="n">
        <f aca="false">IF(COUNTBLANK(AD9:AI9)&gt;0,"",ROUND(AVERAGE(INDEX('SCORING MASTER'!$D$33:$D$35,MATCH(AD9,'SCORING MASTER'!$C$33:$C$35,0)),INDEX('SCORING MASTER'!$D$37:$D$39,MATCH(AE9,'SCORING MASTER'!$C$37:$C$39,0)),INDEX('SCORING MASTER'!$D$41:$D$43,MATCH(AF9,'SCORING MASTER'!$C$41:$C$43,0)),INDEX('SCORING MASTER'!$D$45:$D$47,MATCH(AG9,'SCORING MASTER'!$C$45:$C$47,0)),INDEX('SCORING MASTER'!$D$49:$D$52,MATCH(AH9,'SCORING MASTER'!$C$49:$C$52,0)),INDEX('SCORING MASTER'!$D$54:$D$57,MATCH(AI9,'SCORING MASTER'!$C$54:$C$57,0)))*20,0))</f>
        <v>93</v>
      </c>
      <c r="BI9" s="35" t="n">
        <f aca="false">IF(COUNTBLANK(AJ9:AP9)&gt;0,"",ROUND(AVERAGE(INDEX('SCORING MASTER'!$D$59:$D$60,MATCH(AJ9,'SCORING MASTER'!$C$59:$C$60,0)),INDEX('SCORING MASTER'!$D$62:$D$63,MATCH(AK9,'SCORING MASTER'!$C$62:$C$63,0)),INDEX('SCORING MASTER'!$D$65:$D$66,MATCH(AL9,'SCORING MASTER'!$C$65:$C$66,0)),INDEX('SCORING MASTER'!$D$68:$D$69,MATCH(AM9,'SCORING MASTER'!$C$68:$C$69,0)),INDEX('SCORING MASTER'!$D$71:$D$72,MATCH(AN9,'SCORING MASTER'!$C$71:$C$72,0)),INDEX('SCORING MASTER'!$D$74:$D$75,MATCH(AO9,'SCORING MASTER'!$C$74:$C$75,0)),INDEX('SCORING MASTER'!$D$77:$D$78,MATCH(AP9,'SCORING MASTER'!$C$77:$C$78,0)))*20,0))</f>
        <v>100</v>
      </c>
      <c r="BJ9" s="35" t="n">
        <f aca="false">IF(COUNTBLANK(AU9:AZ9)&gt;0,"",ROUND(AVERAGE(INDEX('SCORING MASTER'!$D$95:$D$96,MATCH(AU9,'SCORING MASTER'!$C$95:$C$96,0)),INDEX('SCORING MASTER'!$D$98:$D$99,MATCH(AV9,'SCORING MASTER'!$C$98:$C$99,0)),INDEX('SCORING MASTER'!$D$101:$D$102,MATCH(AW9,'SCORING MASTER'!$C$101:$C$102,0)),INDEX('SCORING MASTER'!$D$104:$D$105,MATCH(AX9,'SCORING MASTER'!$C$104:$C$105,0)),INDEX('SCORING MASTER'!$D$107:$D$108,MATCH(AY9,'SCORING MASTER'!$C$107:$C$108,0)),INDEX('SCORING MASTER'!$D$110:$D$111,MATCH(AZ9,'SCORING MASTER'!$C$110:$C$111,0)))*20,0))</f>
        <v>100</v>
      </c>
      <c r="BK9" s="35" t="n">
        <f aca="false">IF(COUNTBLANK(AQ9:AT9)&gt;0,"",ROUND(AVERAGE(INDEX('SCORING MASTER'!$D$80:$D$82,MATCH(AQ9,'SCORING MASTER'!$C$80:$C$82,0)),INDEX('SCORING MASTER'!$D$84:$D$86,MATCH(AR9,'SCORING MASTER'!$C$84:$C$86,0)),INDEX('SCORING MASTER'!$D$88:$D$90,MATCH(AS9,'SCORING MASTER'!$C$88:$C$90,0)),INDEX('SCORING MASTER'!$D$92:$D$93,MATCH(AT9,'SCORING MASTER'!$C$92:$C$93,0)))*20,0))</f>
        <v>100</v>
      </c>
      <c r="BL9" s="35" t="n">
        <f aca="false">IF(COUNTBLANK(BA9:BE9)&gt;0,"",ROUND(AVERAGE(INDEX('SCORING MASTER'!$D$113:$D$115,MATCH(BA9,'SCORING MASTER'!$C$113:$C$115,0)),INDEX('SCORING MASTER'!$D$117:$D$119,MATCH(BB9,'SCORING MASTER'!$C$117:$C$119,0)),INDEX('SCORING MASTER'!$D$121:$D$123,MATCH(BC9,'SCORING MASTER'!$C$121:$C$123,0)),INDEX('SCORING MASTER'!$D$125:$D$126,MATCH(BD9,'SCORING MASTER'!$C$125:$C$126,0)),INDEX('SCORING MASTER'!$D$128:$D$129,MATCH(BE9,'SCORING MASTER'!$C$128:$C$129,0)))*20,0))</f>
        <v>100</v>
      </c>
      <c r="BM9" s="35" t="n">
        <f aca="false">IF(OR(BF9="",BG9="",BH9="",BI9="",BJ9="",BK9="",BL9=""),"",ROUND(BF9*0.25+BG9*0.2+BH9*0.15+BI9*0.15+BJ9*0.1+BK9*0.1+BL9*0.05,0))</f>
        <v>82</v>
      </c>
      <c r="BN9" s="35" t="n">
        <f aca="false">IF(OR(BF9="",BG9=""),"",ROUND(BF9*0.5+BG9*0.5,0))</f>
        <v>64</v>
      </c>
      <c r="BO9" s="35" t="n">
        <f aca="false">IF(BN9="","",ROUND(MIN(100,MAX(0,(100-BN9)+IF(AL9="Yes",15,0)+IF(AM9="Yes",15,0)+IF(AND(U9&lt;&gt;"",U9&lt;18.5),20,0))),0))</f>
        <v>36</v>
      </c>
      <c r="BP9" s="32" t="str">
        <f aca="false">IF(BM9="","",IF(BM9&gt;=90,"Green - Healthy",IF(BM9&gt;=75,"Light Green - Mild Watch",IF(BM9&gt;=60,"Yellow - Mild Risk",IF(BM9&gt;=40,"Orange - Moderate Risk","Red - High Risk")))))</f>
        <v>Light Green - Mild Watch</v>
      </c>
      <c r="BQ9" s="32" t="str">
        <f aca="false">IF(BM9="","",IF(OR(BM9&lt;60,BO9&gt;=60,AJ9="Yes"),"Yes","No"))</f>
        <v>No</v>
      </c>
      <c r="BR9" s="32" t="str">
        <f aca="false">IF(BM9="","",IF(OR(BP9="Orange - Moderate Risk",BP9="Red - High Risk",BQ9="Yes"),"Yes","No"))</f>
        <v>No</v>
      </c>
    </row>
    <row r="10" customFormat="false" ht="15" hidden="false" customHeight="false" outlineLevel="0" collapsed="false">
      <c r="A10" s="28" t="str">
        <f aca="false">IF(I10="","","STU"&amp;TEXT(ROW()-3,"000000"))</f>
        <v/>
      </c>
      <c r="B10" s="28"/>
      <c r="C10" s="28"/>
      <c r="D10" s="28"/>
      <c r="E10" s="28"/>
      <c r="F10" s="28"/>
      <c r="G10" s="28"/>
      <c r="H10" s="28"/>
      <c r="I10" s="28"/>
      <c r="J10" s="30"/>
      <c r="K10" s="28"/>
      <c r="L10" s="28"/>
      <c r="M10" s="28"/>
      <c r="N10" s="28"/>
      <c r="O10" s="28"/>
      <c r="P10" s="28"/>
      <c r="Q10" s="30"/>
      <c r="R10" s="30"/>
      <c r="S10" s="31" t="str">
        <f aca="false">IF(OR(Q10="",R10=""),"",ROUND(R10/((Q10/100)^2),1))</f>
        <v/>
      </c>
      <c r="T10" s="28" t="str">
        <f aca="false">IF(S10="","",IF(S10&lt;18.5,"Underweight",IF(S10&lt;25,"Normal",IF(S10&lt;30,"Overweight","Obese"))))</f>
        <v/>
      </c>
      <c r="U10" s="30"/>
      <c r="V10" s="30"/>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31" t="str">
        <f aca="false">IF(T10="","",IF(T10="Normal",100,IF(T10="Overweight",65,IF(T10="Obese",50,IF(AND(U10&lt;&gt;"",U10&lt;18.5),30,45)))))</f>
        <v/>
      </c>
      <c r="BG10" s="31" t="str">
        <f aca="false">IF(COUNTBLANK(W10:AC10)&gt;0,"",ROUND(AVERAGE(INDEX('SCORING MASTER'!$D$5:$D$7,MATCH(W10,'SCORING MASTER'!$C$5:$C$7,0)),INDEX('SCORING MASTER'!$D$9:$D$11,MATCH(X10,'SCORING MASTER'!$C$9:$C$11,0)),INDEX('SCORING MASTER'!$D$13:$D$15,MATCH(Y10,'SCORING MASTER'!$C$13:$C$15,0)),INDEX('SCORING MASTER'!$D$17:$D$19,MATCH(Z10,'SCORING MASTER'!$C$17:$C$19,0)),INDEX('SCORING MASTER'!$D$21:$D$23,MATCH(AA10,'SCORING MASTER'!$C$21:$C$23,0)),INDEX('SCORING MASTER'!$D$25:$D$27,MATCH(AB10,'SCORING MASTER'!$C$25:$C$27,0)),INDEX('SCORING MASTER'!$D$29:$D$31,MATCH(AC10,'SCORING MASTER'!$C$29:$C$31,0)))*20,0))</f>
        <v/>
      </c>
      <c r="BH10" s="31" t="str">
        <f aca="false">IF(COUNTBLANK(AD10:AI10)&gt;0,"",ROUND(AVERAGE(INDEX('SCORING MASTER'!$D$33:$D$35,MATCH(AD10,'SCORING MASTER'!$C$33:$C$35,0)),INDEX('SCORING MASTER'!$D$37:$D$39,MATCH(AE10,'SCORING MASTER'!$C$37:$C$39,0)),INDEX('SCORING MASTER'!$D$41:$D$43,MATCH(AF10,'SCORING MASTER'!$C$41:$C$43,0)),INDEX('SCORING MASTER'!$D$45:$D$47,MATCH(AG10,'SCORING MASTER'!$C$45:$C$47,0)),INDEX('SCORING MASTER'!$D$49:$D$52,MATCH(AH10,'SCORING MASTER'!$C$49:$C$52,0)),INDEX('SCORING MASTER'!$D$54:$D$57,MATCH(AI10,'SCORING MASTER'!$C$54:$C$57,0)))*20,0))</f>
        <v/>
      </c>
      <c r="BI10" s="31" t="str">
        <f aca="false">IF(COUNTBLANK(AJ10:AP10)&gt;0,"",ROUND(AVERAGE(INDEX('SCORING MASTER'!$D$59:$D$60,MATCH(AJ10,'SCORING MASTER'!$C$59:$C$60,0)),INDEX('SCORING MASTER'!$D$62:$D$63,MATCH(AK10,'SCORING MASTER'!$C$62:$C$63,0)),INDEX('SCORING MASTER'!$D$65:$D$66,MATCH(AL10,'SCORING MASTER'!$C$65:$C$66,0)),INDEX('SCORING MASTER'!$D$68:$D$69,MATCH(AM10,'SCORING MASTER'!$C$68:$C$69,0)),INDEX('SCORING MASTER'!$D$71:$D$72,MATCH(AN10,'SCORING MASTER'!$C$71:$C$72,0)),INDEX('SCORING MASTER'!$D$74:$D$75,MATCH(AO10,'SCORING MASTER'!$C$74:$C$75,0)),INDEX('SCORING MASTER'!$D$77:$D$78,MATCH(AP10,'SCORING MASTER'!$C$77:$C$78,0)))*20,0))</f>
        <v/>
      </c>
      <c r="BJ10" s="31" t="str">
        <f aca="false">IF(COUNTBLANK(AU10:AZ10)&gt;0,"",ROUND(AVERAGE(INDEX('SCORING MASTER'!$D$95:$D$96,MATCH(AU10,'SCORING MASTER'!$C$95:$C$96,0)),INDEX('SCORING MASTER'!$D$98:$D$99,MATCH(AV10,'SCORING MASTER'!$C$98:$C$99,0)),INDEX('SCORING MASTER'!$D$101:$D$102,MATCH(AW10,'SCORING MASTER'!$C$101:$C$102,0)),INDEX('SCORING MASTER'!$D$104:$D$105,MATCH(AX10,'SCORING MASTER'!$C$104:$C$105,0)),INDEX('SCORING MASTER'!$D$107:$D$108,MATCH(AY10,'SCORING MASTER'!$C$107:$C$108,0)),INDEX('SCORING MASTER'!$D$110:$D$111,MATCH(AZ10,'SCORING MASTER'!$C$110:$C$111,0)))*20,0))</f>
        <v/>
      </c>
      <c r="BK10" s="31" t="str">
        <f aca="false">IF(COUNTBLANK(AQ10:AT10)&gt;0,"",ROUND(AVERAGE(INDEX('SCORING MASTER'!$D$80:$D$82,MATCH(AQ10,'SCORING MASTER'!$C$80:$C$82,0)),INDEX('SCORING MASTER'!$D$84:$D$86,MATCH(AR10,'SCORING MASTER'!$C$84:$C$86,0)),INDEX('SCORING MASTER'!$D$88:$D$90,MATCH(AS10,'SCORING MASTER'!$C$88:$C$90,0)),INDEX('SCORING MASTER'!$D$92:$D$93,MATCH(AT10,'SCORING MASTER'!$C$92:$C$93,0)))*20,0))</f>
        <v/>
      </c>
      <c r="BL10" s="31" t="str">
        <f aca="false">IF(COUNTBLANK(BA10:BE10)&gt;0,"",ROUND(AVERAGE(INDEX('SCORING MASTER'!$D$113:$D$115,MATCH(BA10,'SCORING MASTER'!$C$113:$C$115,0)),INDEX('SCORING MASTER'!$D$117:$D$119,MATCH(BB10,'SCORING MASTER'!$C$117:$C$119,0)),INDEX('SCORING MASTER'!$D$121:$D$123,MATCH(BC10,'SCORING MASTER'!$C$121:$C$123,0)),INDEX('SCORING MASTER'!$D$125:$D$126,MATCH(BD10,'SCORING MASTER'!$C$125:$C$126,0)),INDEX('SCORING MASTER'!$D$128:$D$129,MATCH(BE10,'SCORING MASTER'!$C$128:$C$129,0)))*20,0))</f>
        <v/>
      </c>
      <c r="BM10" s="31" t="str">
        <f aca="false">IF(OR(BF10="",BG10="",BH10="",BI10="",BJ10="",BK10="",BL10=""),"",ROUND(BF10*0.25+BG10*0.2+BH10*0.15+BI10*0.15+BJ10*0.1+BK10*0.1+BL10*0.05,0))</f>
        <v/>
      </c>
      <c r="BN10" s="31" t="str">
        <f aca="false">IF(OR(BF10="",BG10=""),"",ROUND(BF10*0.5+BG10*0.5,0))</f>
        <v/>
      </c>
      <c r="BO10" s="31" t="str">
        <f aca="false">IF(BN10="","",ROUND(MIN(100,MAX(0,(100-BN10)+IF(AL10="Yes",15,0)+IF(AM10="Yes",15,0)+IF(AND(U10&lt;&gt;"",U10&lt;18.5),20,0))),0))</f>
        <v/>
      </c>
      <c r="BP10" s="28" t="str">
        <f aca="false">IF(BM10="","",IF(BM10&gt;=90,"Green - Healthy",IF(BM10&gt;=75,"Light Green - Mild Watch",IF(BM10&gt;=60,"Yellow - Mild Risk",IF(BM10&gt;=40,"Orange - Moderate Risk","Red - High Risk")))))</f>
        <v/>
      </c>
      <c r="BQ10" s="28" t="str">
        <f aca="false">IF(BM10="","",IF(OR(BM10&lt;60,BO10&gt;=60,AJ10="Yes"),"Yes","No"))</f>
        <v/>
      </c>
      <c r="BR10" s="28" t="str">
        <f aca="false">IF(BM10="","",IF(OR(BP10="Orange - Moderate Risk",BP10="Red - High Risk",BQ10="Yes"),"Yes","No"))</f>
        <v/>
      </c>
    </row>
    <row r="11" customFormat="false" ht="15" hidden="false" customHeight="false" outlineLevel="0" collapsed="false">
      <c r="A11" s="32" t="str">
        <f aca="false">IF(I11="","","STU"&amp;TEXT(ROW()-3,"000000"))</f>
        <v/>
      </c>
      <c r="B11" s="32"/>
      <c r="C11" s="32"/>
      <c r="D11" s="32"/>
      <c r="E11" s="32"/>
      <c r="F11" s="32"/>
      <c r="G11" s="32"/>
      <c r="H11" s="32"/>
      <c r="I11" s="32"/>
      <c r="J11" s="34"/>
      <c r="K11" s="32"/>
      <c r="L11" s="32"/>
      <c r="M11" s="32"/>
      <c r="N11" s="32"/>
      <c r="O11" s="32"/>
      <c r="P11" s="32"/>
      <c r="Q11" s="34"/>
      <c r="R11" s="34"/>
      <c r="S11" s="35" t="str">
        <f aca="false">IF(OR(Q11="",R11=""),"",ROUND(R11/((Q11/100)^2),1))</f>
        <v/>
      </c>
      <c r="T11" s="32" t="str">
        <f aca="false">IF(S11="","",IF(S11&lt;18.5,"Underweight",IF(S11&lt;25,"Normal",IF(S11&lt;30,"Overweight","Obese"))))</f>
        <v/>
      </c>
      <c r="U11" s="34"/>
      <c r="V11" s="34"/>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5" t="str">
        <f aca="false">IF(T11="","",IF(T11="Normal",100,IF(T11="Overweight",65,IF(T11="Obese",50,IF(AND(U11&lt;&gt;"",U11&lt;18.5),30,45)))))</f>
        <v/>
      </c>
      <c r="BG11" s="35" t="str">
        <f aca="false">IF(COUNTBLANK(W11:AC11)&gt;0,"",ROUND(AVERAGE(INDEX('SCORING MASTER'!$D$5:$D$7,MATCH(W11,'SCORING MASTER'!$C$5:$C$7,0)),INDEX('SCORING MASTER'!$D$9:$D$11,MATCH(X11,'SCORING MASTER'!$C$9:$C$11,0)),INDEX('SCORING MASTER'!$D$13:$D$15,MATCH(Y11,'SCORING MASTER'!$C$13:$C$15,0)),INDEX('SCORING MASTER'!$D$17:$D$19,MATCH(Z11,'SCORING MASTER'!$C$17:$C$19,0)),INDEX('SCORING MASTER'!$D$21:$D$23,MATCH(AA11,'SCORING MASTER'!$C$21:$C$23,0)),INDEX('SCORING MASTER'!$D$25:$D$27,MATCH(AB11,'SCORING MASTER'!$C$25:$C$27,0)),INDEX('SCORING MASTER'!$D$29:$D$31,MATCH(AC11,'SCORING MASTER'!$C$29:$C$31,0)))*20,0))</f>
        <v/>
      </c>
      <c r="BH11" s="35" t="str">
        <f aca="false">IF(COUNTBLANK(AD11:AI11)&gt;0,"",ROUND(AVERAGE(INDEX('SCORING MASTER'!$D$33:$D$35,MATCH(AD11,'SCORING MASTER'!$C$33:$C$35,0)),INDEX('SCORING MASTER'!$D$37:$D$39,MATCH(AE11,'SCORING MASTER'!$C$37:$C$39,0)),INDEX('SCORING MASTER'!$D$41:$D$43,MATCH(AF11,'SCORING MASTER'!$C$41:$C$43,0)),INDEX('SCORING MASTER'!$D$45:$D$47,MATCH(AG11,'SCORING MASTER'!$C$45:$C$47,0)),INDEX('SCORING MASTER'!$D$49:$D$52,MATCH(AH11,'SCORING MASTER'!$C$49:$C$52,0)),INDEX('SCORING MASTER'!$D$54:$D$57,MATCH(AI11,'SCORING MASTER'!$C$54:$C$57,0)))*20,0))</f>
        <v/>
      </c>
      <c r="BI11" s="35" t="str">
        <f aca="false">IF(COUNTBLANK(AJ11:AP11)&gt;0,"",ROUND(AVERAGE(INDEX('SCORING MASTER'!$D$59:$D$60,MATCH(AJ11,'SCORING MASTER'!$C$59:$C$60,0)),INDEX('SCORING MASTER'!$D$62:$D$63,MATCH(AK11,'SCORING MASTER'!$C$62:$C$63,0)),INDEX('SCORING MASTER'!$D$65:$D$66,MATCH(AL11,'SCORING MASTER'!$C$65:$C$66,0)),INDEX('SCORING MASTER'!$D$68:$D$69,MATCH(AM11,'SCORING MASTER'!$C$68:$C$69,0)),INDEX('SCORING MASTER'!$D$71:$D$72,MATCH(AN11,'SCORING MASTER'!$C$71:$C$72,0)),INDEX('SCORING MASTER'!$D$74:$D$75,MATCH(AO11,'SCORING MASTER'!$C$74:$C$75,0)),INDEX('SCORING MASTER'!$D$77:$D$78,MATCH(AP11,'SCORING MASTER'!$C$77:$C$78,0)))*20,0))</f>
        <v/>
      </c>
      <c r="BJ11" s="35" t="str">
        <f aca="false">IF(COUNTBLANK(AU11:AZ11)&gt;0,"",ROUND(AVERAGE(INDEX('SCORING MASTER'!$D$95:$D$96,MATCH(AU11,'SCORING MASTER'!$C$95:$C$96,0)),INDEX('SCORING MASTER'!$D$98:$D$99,MATCH(AV11,'SCORING MASTER'!$C$98:$C$99,0)),INDEX('SCORING MASTER'!$D$101:$D$102,MATCH(AW11,'SCORING MASTER'!$C$101:$C$102,0)),INDEX('SCORING MASTER'!$D$104:$D$105,MATCH(AX11,'SCORING MASTER'!$C$104:$C$105,0)),INDEX('SCORING MASTER'!$D$107:$D$108,MATCH(AY11,'SCORING MASTER'!$C$107:$C$108,0)),INDEX('SCORING MASTER'!$D$110:$D$111,MATCH(AZ11,'SCORING MASTER'!$C$110:$C$111,0)))*20,0))</f>
        <v/>
      </c>
      <c r="BK11" s="35" t="str">
        <f aca="false">IF(COUNTBLANK(AQ11:AT11)&gt;0,"",ROUND(AVERAGE(INDEX('SCORING MASTER'!$D$80:$D$82,MATCH(AQ11,'SCORING MASTER'!$C$80:$C$82,0)),INDEX('SCORING MASTER'!$D$84:$D$86,MATCH(AR11,'SCORING MASTER'!$C$84:$C$86,0)),INDEX('SCORING MASTER'!$D$88:$D$90,MATCH(AS11,'SCORING MASTER'!$C$88:$C$90,0)),INDEX('SCORING MASTER'!$D$92:$D$93,MATCH(AT11,'SCORING MASTER'!$C$92:$C$93,0)))*20,0))</f>
        <v/>
      </c>
      <c r="BL11" s="35" t="str">
        <f aca="false">IF(COUNTBLANK(BA11:BE11)&gt;0,"",ROUND(AVERAGE(INDEX('SCORING MASTER'!$D$113:$D$115,MATCH(BA11,'SCORING MASTER'!$C$113:$C$115,0)),INDEX('SCORING MASTER'!$D$117:$D$119,MATCH(BB11,'SCORING MASTER'!$C$117:$C$119,0)),INDEX('SCORING MASTER'!$D$121:$D$123,MATCH(BC11,'SCORING MASTER'!$C$121:$C$123,0)),INDEX('SCORING MASTER'!$D$125:$D$126,MATCH(BD11,'SCORING MASTER'!$C$125:$C$126,0)),INDEX('SCORING MASTER'!$D$128:$D$129,MATCH(BE11,'SCORING MASTER'!$C$128:$C$129,0)))*20,0))</f>
        <v/>
      </c>
      <c r="BM11" s="35" t="str">
        <f aca="false">IF(OR(BF11="",BG11="",BH11="",BI11="",BJ11="",BK11="",BL11=""),"",ROUND(BF11*0.25+BG11*0.2+BH11*0.15+BI11*0.15+BJ11*0.1+BK11*0.1+BL11*0.05,0))</f>
        <v/>
      </c>
      <c r="BN11" s="35" t="str">
        <f aca="false">IF(OR(BF11="",BG11=""),"",ROUND(BF11*0.5+BG11*0.5,0))</f>
        <v/>
      </c>
      <c r="BO11" s="35" t="str">
        <f aca="false">IF(BN11="","",ROUND(MIN(100,MAX(0,(100-BN11)+IF(AL11="Yes",15,0)+IF(AM11="Yes",15,0)+IF(AND(U11&lt;&gt;"",U11&lt;18.5),20,0))),0))</f>
        <v/>
      </c>
      <c r="BP11" s="32" t="str">
        <f aca="false">IF(BM11="","",IF(BM11&gt;=90,"Green - Healthy",IF(BM11&gt;=75,"Light Green - Mild Watch",IF(BM11&gt;=60,"Yellow - Mild Risk",IF(BM11&gt;=40,"Orange - Moderate Risk","Red - High Risk")))))</f>
        <v/>
      </c>
      <c r="BQ11" s="32" t="str">
        <f aca="false">IF(BM11="","",IF(OR(BM11&lt;60,BO11&gt;=60,AJ11="Yes"),"Yes","No"))</f>
        <v/>
      </c>
      <c r="BR11" s="32" t="str">
        <f aca="false">IF(BM11="","",IF(OR(BP11="Orange - Moderate Risk",BP11="Red - High Risk",BQ11="Yes"),"Yes","No"))</f>
        <v/>
      </c>
    </row>
    <row r="12" customFormat="false" ht="15" hidden="false" customHeight="false" outlineLevel="0" collapsed="false">
      <c r="A12" s="28" t="str">
        <f aca="false">IF(I12="","","STU"&amp;TEXT(ROW()-3,"000000"))</f>
        <v/>
      </c>
      <c r="B12" s="28"/>
      <c r="C12" s="28"/>
      <c r="D12" s="28"/>
      <c r="E12" s="28"/>
      <c r="F12" s="28"/>
      <c r="G12" s="28"/>
      <c r="H12" s="28"/>
      <c r="I12" s="28"/>
      <c r="J12" s="30"/>
      <c r="K12" s="28"/>
      <c r="L12" s="28"/>
      <c r="M12" s="28"/>
      <c r="N12" s="28"/>
      <c r="O12" s="28"/>
      <c r="P12" s="28"/>
      <c r="Q12" s="30"/>
      <c r="R12" s="30"/>
      <c r="S12" s="31" t="str">
        <f aca="false">IF(OR(Q12="",R12=""),"",ROUND(R12/((Q12/100)^2),1))</f>
        <v/>
      </c>
      <c r="T12" s="28" t="str">
        <f aca="false">IF(S12="","",IF(S12&lt;18.5,"Underweight",IF(S12&lt;25,"Normal",IF(S12&lt;30,"Overweight","Obese"))))</f>
        <v/>
      </c>
      <c r="U12" s="30"/>
      <c r="V12" s="30"/>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31" t="str">
        <f aca="false">IF(T12="","",IF(T12="Normal",100,IF(T12="Overweight",65,IF(T12="Obese",50,IF(AND(U12&lt;&gt;"",U12&lt;18.5),30,45)))))</f>
        <v/>
      </c>
      <c r="BG12" s="31" t="str">
        <f aca="false">IF(COUNTBLANK(W12:AC12)&gt;0,"",ROUND(AVERAGE(INDEX('SCORING MASTER'!$D$5:$D$7,MATCH(W12,'SCORING MASTER'!$C$5:$C$7,0)),INDEX('SCORING MASTER'!$D$9:$D$11,MATCH(X12,'SCORING MASTER'!$C$9:$C$11,0)),INDEX('SCORING MASTER'!$D$13:$D$15,MATCH(Y12,'SCORING MASTER'!$C$13:$C$15,0)),INDEX('SCORING MASTER'!$D$17:$D$19,MATCH(Z12,'SCORING MASTER'!$C$17:$C$19,0)),INDEX('SCORING MASTER'!$D$21:$D$23,MATCH(AA12,'SCORING MASTER'!$C$21:$C$23,0)),INDEX('SCORING MASTER'!$D$25:$D$27,MATCH(AB12,'SCORING MASTER'!$C$25:$C$27,0)),INDEX('SCORING MASTER'!$D$29:$D$31,MATCH(AC12,'SCORING MASTER'!$C$29:$C$31,0)))*20,0))</f>
        <v/>
      </c>
      <c r="BH12" s="31" t="str">
        <f aca="false">IF(COUNTBLANK(AD12:AI12)&gt;0,"",ROUND(AVERAGE(INDEX('SCORING MASTER'!$D$33:$D$35,MATCH(AD12,'SCORING MASTER'!$C$33:$C$35,0)),INDEX('SCORING MASTER'!$D$37:$D$39,MATCH(AE12,'SCORING MASTER'!$C$37:$C$39,0)),INDEX('SCORING MASTER'!$D$41:$D$43,MATCH(AF12,'SCORING MASTER'!$C$41:$C$43,0)),INDEX('SCORING MASTER'!$D$45:$D$47,MATCH(AG12,'SCORING MASTER'!$C$45:$C$47,0)),INDEX('SCORING MASTER'!$D$49:$D$52,MATCH(AH12,'SCORING MASTER'!$C$49:$C$52,0)),INDEX('SCORING MASTER'!$D$54:$D$57,MATCH(AI12,'SCORING MASTER'!$C$54:$C$57,0)))*20,0))</f>
        <v/>
      </c>
      <c r="BI12" s="31" t="str">
        <f aca="false">IF(COUNTBLANK(AJ12:AP12)&gt;0,"",ROUND(AVERAGE(INDEX('SCORING MASTER'!$D$59:$D$60,MATCH(AJ12,'SCORING MASTER'!$C$59:$C$60,0)),INDEX('SCORING MASTER'!$D$62:$D$63,MATCH(AK12,'SCORING MASTER'!$C$62:$C$63,0)),INDEX('SCORING MASTER'!$D$65:$D$66,MATCH(AL12,'SCORING MASTER'!$C$65:$C$66,0)),INDEX('SCORING MASTER'!$D$68:$D$69,MATCH(AM12,'SCORING MASTER'!$C$68:$C$69,0)),INDEX('SCORING MASTER'!$D$71:$D$72,MATCH(AN12,'SCORING MASTER'!$C$71:$C$72,0)),INDEX('SCORING MASTER'!$D$74:$D$75,MATCH(AO12,'SCORING MASTER'!$C$74:$C$75,0)),INDEX('SCORING MASTER'!$D$77:$D$78,MATCH(AP12,'SCORING MASTER'!$C$77:$C$78,0)))*20,0))</f>
        <v/>
      </c>
      <c r="BJ12" s="31" t="str">
        <f aca="false">IF(COUNTBLANK(AU12:AZ12)&gt;0,"",ROUND(AVERAGE(INDEX('SCORING MASTER'!$D$95:$D$96,MATCH(AU12,'SCORING MASTER'!$C$95:$C$96,0)),INDEX('SCORING MASTER'!$D$98:$D$99,MATCH(AV12,'SCORING MASTER'!$C$98:$C$99,0)),INDEX('SCORING MASTER'!$D$101:$D$102,MATCH(AW12,'SCORING MASTER'!$C$101:$C$102,0)),INDEX('SCORING MASTER'!$D$104:$D$105,MATCH(AX12,'SCORING MASTER'!$C$104:$C$105,0)),INDEX('SCORING MASTER'!$D$107:$D$108,MATCH(AY12,'SCORING MASTER'!$C$107:$C$108,0)),INDEX('SCORING MASTER'!$D$110:$D$111,MATCH(AZ12,'SCORING MASTER'!$C$110:$C$111,0)))*20,0))</f>
        <v/>
      </c>
      <c r="BK12" s="31" t="str">
        <f aca="false">IF(COUNTBLANK(AQ12:AT12)&gt;0,"",ROUND(AVERAGE(INDEX('SCORING MASTER'!$D$80:$D$82,MATCH(AQ12,'SCORING MASTER'!$C$80:$C$82,0)),INDEX('SCORING MASTER'!$D$84:$D$86,MATCH(AR12,'SCORING MASTER'!$C$84:$C$86,0)),INDEX('SCORING MASTER'!$D$88:$D$90,MATCH(AS12,'SCORING MASTER'!$C$88:$C$90,0)),INDEX('SCORING MASTER'!$D$92:$D$93,MATCH(AT12,'SCORING MASTER'!$C$92:$C$93,0)))*20,0))</f>
        <v/>
      </c>
      <c r="BL12" s="31" t="str">
        <f aca="false">IF(COUNTBLANK(BA12:BE12)&gt;0,"",ROUND(AVERAGE(INDEX('SCORING MASTER'!$D$113:$D$115,MATCH(BA12,'SCORING MASTER'!$C$113:$C$115,0)),INDEX('SCORING MASTER'!$D$117:$D$119,MATCH(BB12,'SCORING MASTER'!$C$117:$C$119,0)),INDEX('SCORING MASTER'!$D$121:$D$123,MATCH(BC12,'SCORING MASTER'!$C$121:$C$123,0)),INDEX('SCORING MASTER'!$D$125:$D$126,MATCH(BD12,'SCORING MASTER'!$C$125:$C$126,0)),INDEX('SCORING MASTER'!$D$128:$D$129,MATCH(BE12,'SCORING MASTER'!$C$128:$C$129,0)))*20,0))</f>
        <v/>
      </c>
      <c r="BM12" s="31" t="str">
        <f aca="false">IF(OR(BF12="",BG12="",BH12="",BI12="",BJ12="",BK12="",BL12=""),"",ROUND(BF12*0.25+BG12*0.2+BH12*0.15+BI12*0.15+BJ12*0.1+BK12*0.1+BL12*0.05,0))</f>
        <v/>
      </c>
      <c r="BN12" s="31" t="str">
        <f aca="false">IF(OR(BF12="",BG12=""),"",ROUND(BF12*0.5+BG12*0.5,0))</f>
        <v/>
      </c>
      <c r="BO12" s="31" t="str">
        <f aca="false">IF(BN12="","",ROUND(MIN(100,MAX(0,(100-BN12)+IF(AL12="Yes",15,0)+IF(AM12="Yes",15,0)+IF(AND(U12&lt;&gt;"",U12&lt;18.5),20,0))),0))</f>
        <v/>
      </c>
      <c r="BP12" s="28" t="str">
        <f aca="false">IF(BM12="","",IF(BM12&gt;=90,"Green - Healthy",IF(BM12&gt;=75,"Light Green - Mild Watch",IF(BM12&gt;=60,"Yellow - Mild Risk",IF(BM12&gt;=40,"Orange - Moderate Risk","Red - High Risk")))))</f>
        <v/>
      </c>
      <c r="BQ12" s="28" t="str">
        <f aca="false">IF(BM12="","",IF(OR(BM12&lt;60,BO12&gt;=60,AJ12="Yes"),"Yes","No"))</f>
        <v/>
      </c>
      <c r="BR12" s="28" t="str">
        <f aca="false">IF(BM12="","",IF(OR(BP12="Orange - Moderate Risk",BP12="Red - High Risk",BQ12="Yes"),"Yes","No"))</f>
        <v/>
      </c>
    </row>
    <row r="13" customFormat="false" ht="15" hidden="false" customHeight="false" outlineLevel="0" collapsed="false">
      <c r="A13" s="32" t="str">
        <f aca="false">IF(I13="","","STU"&amp;TEXT(ROW()-3,"000000"))</f>
        <v/>
      </c>
      <c r="B13" s="32"/>
      <c r="C13" s="32"/>
      <c r="D13" s="32"/>
      <c r="E13" s="32"/>
      <c r="F13" s="32"/>
      <c r="G13" s="32"/>
      <c r="H13" s="32"/>
      <c r="I13" s="32"/>
      <c r="J13" s="34"/>
      <c r="K13" s="32"/>
      <c r="L13" s="32"/>
      <c r="M13" s="32"/>
      <c r="N13" s="32"/>
      <c r="O13" s="32"/>
      <c r="P13" s="32"/>
      <c r="Q13" s="34"/>
      <c r="R13" s="34"/>
      <c r="S13" s="35" t="str">
        <f aca="false">IF(OR(Q13="",R13=""),"",ROUND(R13/((Q13/100)^2),1))</f>
        <v/>
      </c>
      <c r="T13" s="32" t="str">
        <f aca="false">IF(S13="","",IF(S13&lt;18.5,"Underweight",IF(S13&lt;25,"Normal",IF(S13&lt;30,"Overweight","Obese"))))</f>
        <v/>
      </c>
      <c r="U13" s="34"/>
      <c r="V13" s="34"/>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5" t="str">
        <f aca="false">IF(T13="","",IF(T13="Normal",100,IF(T13="Overweight",65,IF(T13="Obese",50,IF(AND(U13&lt;&gt;"",U13&lt;18.5),30,45)))))</f>
        <v/>
      </c>
      <c r="BG13" s="35" t="str">
        <f aca="false">IF(COUNTBLANK(W13:AC13)&gt;0,"",ROUND(AVERAGE(INDEX('SCORING MASTER'!$D$5:$D$7,MATCH(W13,'SCORING MASTER'!$C$5:$C$7,0)),INDEX('SCORING MASTER'!$D$9:$D$11,MATCH(X13,'SCORING MASTER'!$C$9:$C$11,0)),INDEX('SCORING MASTER'!$D$13:$D$15,MATCH(Y13,'SCORING MASTER'!$C$13:$C$15,0)),INDEX('SCORING MASTER'!$D$17:$D$19,MATCH(Z13,'SCORING MASTER'!$C$17:$C$19,0)),INDEX('SCORING MASTER'!$D$21:$D$23,MATCH(AA13,'SCORING MASTER'!$C$21:$C$23,0)),INDEX('SCORING MASTER'!$D$25:$D$27,MATCH(AB13,'SCORING MASTER'!$C$25:$C$27,0)),INDEX('SCORING MASTER'!$D$29:$D$31,MATCH(AC13,'SCORING MASTER'!$C$29:$C$31,0)))*20,0))</f>
        <v/>
      </c>
      <c r="BH13" s="35" t="str">
        <f aca="false">IF(COUNTBLANK(AD13:AI13)&gt;0,"",ROUND(AVERAGE(INDEX('SCORING MASTER'!$D$33:$D$35,MATCH(AD13,'SCORING MASTER'!$C$33:$C$35,0)),INDEX('SCORING MASTER'!$D$37:$D$39,MATCH(AE13,'SCORING MASTER'!$C$37:$C$39,0)),INDEX('SCORING MASTER'!$D$41:$D$43,MATCH(AF13,'SCORING MASTER'!$C$41:$C$43,0)),INDEX('SCORING MASTER'!$D$45:$D$47,MATCH(AG13,'SCORING MASTER'!$C$45:$C$47,0)),INDEX('SCORING MASTER'!$D$49:$D$52,MATCH(AH13,'SCORING MASTER'!$C$49:$C$52,0)),INDEX('SCORING MASTER'!$D$54:$D$57,MATCH(AI13,'SCORING MASTER'!$C$54:$C$57,0)))*20,0))</f>
        <v/>
      </c>
      <c r="BI13" s="35" t="str">
        <f aca="false">IF(COUNTBLANK(AJ13:AP13)&gt;0,"",ROUND(AVERAGE(INDEX('SCORING MASTER'!$D$59:$D$60,MATCH(AJ13,'SCORING MASTER'!$C$59:$C$60,0)),INDEX('SCORING MASTER'!$D$62:$D$63,MATCH(AK13,'SCORING MASTER'!$C$62:$C$63,0)),INDEX('SCORING MASTER'!$D$65:$D$66,MATCH(AL13,'SCORING MASTER'!$C$65:$C$66,0)),INDEX('SCORING MASTER'!$D$68:$D$69,MATCH(AM13,'SCORING MASTER'!$C$68:$C$69,0)),INDEX('SCORING MASTER'!$D$71:$D$72,MATCH(AN13,'SCORING MASTER'!$C$71:$C$72,0)),INDEX('SCORING MASTER'!$D$74:$D$75,MATCH(AO13,'SCORING MASTER'!$C$74:$C$75,0)),INDEX('SCORING MASTER'!$D$77:$D$78,MATCH(AP13,'SCORING MASTER'!$C$77:$C$78,0)))*20,0))</f>
        <v/>
      </c>
      <c r="BJ13" s="35" t="str">
        <f aca="false">IF(COUNTBLANK(AU13:AZ13)&gt;0,"",ROUND(AVERAGE(INDEX('SCORING MASTER'!$D$95:$D$96,MATCH(AU13,'SCORING MASTER'!$C$95:$C$96,0)),INDEX('SCORING MASTER'!$D$98:$D$99,MATCH(AV13,'SCORING MASTER'!$C$98:$C$99,0)),INDEX('SCORING MASTER'!$D$101:$D$102,MATCH(AW13,'SCORING MASTER'!$C$101:$C$102,0)),INDEX('SCORING MASTER'!$D$104:$D$105,MATCH(AX13,'SCORING MASTER'!$C$104:$C$105,0)),INDEX('SCORING MASTER'!$D$107:$D$108,MATCH(AY13,'SCORING MASTER'!$C$107:$C$108,0)),INDEX('SCORING MASTER'!$D$110:$D$111,MATCH(AZ13,'SCORING MASTER'!$C$110:$C$111,0)))*20,0))</f>
        <v/>
      </c>
      <c r="BK13" s="35" t="str">
        <f aca="false">IF(COUNTBLANK(AQ13:AT13)&gt;0,"",ROUND(AVERAGE(INDEX('SCORING MASTER'!$D$80:$D$82,MATCH(AQ13,'SCORING MASTER'!$C$80:$C$82,0)),INDEX('SCORING MASTER'!$D$84:$D$86,MATCH(AR13,'SCORING MASTER'!$C$84:$C$86,0)),INDEX('SCORING MASTER'!$D$88:$D$90,MATCH(AS13,'SCORING MASTER'!$C$88:$C$90,0)),INDEX('SCORING MASTER'!$D$92:$D$93,MATCH(AT13,'SCORING MASTER'!$C$92:$C$93,0)))*20,0))</f>
        <v/>
      </c>
      <c r="BL13" s="35" t="str">
        <f aca="false">IF(COUNTBLANK(BA13:BE13)&gt;0,"",ROUND(AVERAGE(INDEX('SCORING MASTER'!$D$113:$D$115,MATCH(BA13,'SCORING MASTER'!$C$113:$C$115,0)),INDEX('SCORING MASTER'!$D$117:$D$119,MATCH(BB13,'SCORING MASTER'!$C$117:$C$119,0)),INDEX('SCORING MASTER'!$D$121:$D$123,MATCH(BC13,'SCORING MASTER'!$C$121:$C$123,0)),INDEX('SCORING MASTER'!$D$125:$D$126,MATCH(BD13,'SCORING MASTER'!$C$125:$C$126,0)),INDEX('SCORING MASTER'!$D$128:$D$129,MATCH(BE13,'SCORING MASTER'!$C$128:$C$129,0)))*20,0))</f>
        <v/>
      </c>
      <c r="BM13" s="35" t="str">
        <f aca="false">IF(OR(BF13="",BG13="",BH13="",BI13="",BJ13="",BK13="",BL13=""),"",ROUND(BF13*0.25+BG13*0.2+BH13*0.15+BI13*0.15+BJ13*0.1+BK13*0.1+BL13*0.05,0))</f>
        <v/>
      </c>
      <c r="BN13" s="35" t="str">
        <f aca="false">IF(OR(BF13="",BG13=""),"",ROUND(BF13*0.5+BG13*0.5,0))</f>
        <v/>
      </c>
      <c r="BO13" s="35" t="str">
        <f aca="false">IF(BN13="","",ROUND(MIN(100,MAX(0,(100-BN13)+IF(AL13="Yes",15,0)+IF(AM13="Yes",15,0)+IF(AND(U13&lt;&gt;"",U13&lt;18.5),20,0))),0))</f>
        <v/>
      </c>
      <c r="BP13" s="32" t="str">
        <f aca="false">IF(BM13="","",IF(BM13&gt;=90,"Green - Healthy",IF(BM13&gt;=75,"Light Green - Mild Watch",IF(BM13&gt;=60,"Yellow - Mild Risk",IF(BM13&gt;=40,"Orange - Moderate Risk","Red - High Risk")))))</f>
        <v/>
      </c>
      <c r="BQ13" s="32" t="str">
        <f aca="false">IF(BM13="","",IF(OR(BM13&lt;60,BO13&gt;=60,AJ13="Yes"),"Yes","No"))</f>
        <v/>
      </c>
      <c r="BR13" s="32" t="str">
        <f aca="false">IF(BM13="","",IF(OR(BP13="Orange - Moderate Risk",BP13="Red - High Risk",BQ13="Yes"),"Yes","No"))</f>
        <v/>
      </c>
    </row>
    <row r="14" customFormat="false" ht="15" hidden="false" customHeight="false" outlineLevel="0" collapsed="false">
      <c r="A14" s="28" t="str">
        <f aca="false">IF(I14="","","STU"&amp;TEXT(ROW()-3,"000000"))</f>
        <v/>
      </c>
      <c r="B14" s="28"/>
      <c r="C14" s="28"/>
      <c r="D14" s="28"/>
      <c r="E14" s="28"/>
      <c r="F14" s="28"/>
      <c r="G14" s="28"/>
      <c r="H14" s="28"/>
      <c r="I14" s="28"/>
      <c r="J14" s="30"/>
      <c r="K14" s="28"/>
      <c r="L14" s="28"/>
      <c r="M14" s="28"/>
      <c r="N14" s="28"/>
      <c r="O14" s="28"/>
      <c r="P14" s="28"/>
      <c r="Q14" s="30"/>
      <c r="R14" s="30"/>
      <c r="S14" s="31" t="str">
        <f aca="false">IF(OR(Q14="",R14=""),"",ROUND(R14/((Q14/100)^2),1))</f>
        <v/>
      </c>
      <c r="T14" s="28" t="str">
        <f aca="false">IF(S14="","",IF(S14&lt;18.5,"Underweight",IF(S14&lt;25,"Normal",IF(S14&lt;30,"Overweight","Obese"))))</f>
        <v/>
      </c>
      <c r="U14" s="30"/>
      <c r="V14" s="30"/>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31" t="str">
        <f aca="false">IF(T14="","",IF(T14="Normal",100,IF(T14="Overweight",65,IF(T14="Obese",50,IF(AND(U14&lt;&gt;"",U14&lt;18.5),30,45)))))</f>
        <v/>
      </c>
      <c r="BG14" s="31" t="str">
        <f aca="false">IF(COUNTBLANK(W14:AC14)&gt;0,"",ROUND(AVERAGE(INDEX('SCORING MASTER'!$D$5:$D$7,MATCH(W14,'SCORING MASTER'!$C$5:$C$7,0)),INDEX('SCORING MASTER'!$D$9:$D$11,MATCH(X14,'SCORING MASTER'!$C$9:$C$11,0)),INDEX('SCORING MASTER'!$D$13:$D$15,MATCH(Y14,'SCORING MASTER'!$C$13:$C$15,0)),INDEX('SCORING MASTER'!$D$17:$D$19,MATCH(Z14,'SCORING MASTER'!$C$17:$C$19,0)),INDEX('SCORING MASTER'!$D$21:$D$23,MATCH(AA14,'SCORING MASTER'!$C$21:$C$23,0)),INDEX('SCORING MASTER'!$D$25:$D$27,MATCH(AB14,'SCORING MASTER'!$C$25:$C$27,0)),INDEX('SCORING MASTER'!$D$29:$D$31,MATCH(AC14,'SCORING MASTER'!$C$29:$C$31,0)))*20,0))</f>
        <v/>
      </c>
      <c r="BH14" s="31" t="str">
        <f aca="false">IF(COUNTBLANK(AD14:AI14)&gt;0,"",ROUND(AVERAGE(INDEX('SCORING MASTER'!$D$33:$D$35,MATCH(AD14,'SCORING MASTER'!$C$33:$C$35,0)),INDEX('SCORING MASTER'!$D$37:$D$39,MATCH(AE14,'SCORING MASTER'!$C$37:$C$39,0)),INDEX('SCORING MASTER'!$D$41:$D$43,MATCH(AF14,'SCORING MASTER'!$C$41:$C$43,0)),INDEX('SCORING MASTER'!$D$45:$D$47,MATCH(AG14,'SCORING MASTER'!$C$45:$C$47,0)),INDEX('SCORING MASTER'!$D$49:$D$52,MATCH(AH14,'SCORING MASTER'!$C$49:$C$52,0)),INDEX('SCORING MASTER'!$D$54:$D$57,MATCH(AI14,'SCORING MASTER'!$C$54:$C$57,0)))*20,0))</f>
        <v/>
      </c>
      <c r="BI14" s="31" t="str">
        <f aca="false">IF(COUNTBLANK(AJ14:AP14)&gt;0,"",ROUND(AVERAGE(INDEX('SCORING MASTER'!$D$59:$D$60,MATCH(AJ14,'SCORING MASTER'!$C$59:$C$60,0)),INDEX('SCORING MASTER'!$D$62:$D$63,MATCH(AK14,'SCORING MASTER'!$C$62:$C$63,0)),INDEX('SCORING MASTER'!$D$65:$D$66,MATCH(AL14,'SCORING MASTER'!$C$65:$C$66,0)),INDEX('SCORING MASTER'!$D$68:$D$69,MATCH(AM14,'SCORING MASTER'!$C$68:$C$69,0)),INDEX('SCORING MASTER'!$D$71:$D$72,MATCH(AN14,'SCORING MASTER'!$C$71:$C$72,0)),INDEX('SCORING MASTER'!$D$74:$D$75,MATCH(AO14,'SCORING MASTER'!$C$74:$C$75,0)),INDEX('SCORING MASTER'!$D$77:$D$78,MATCH(AP14,'SCORING MASTER'!$C$77:$C$78,0)))*20,0))</f>
        <v/>
      </c>
      <c r="BJ14" s="31" t="str">
        <f aca="false">IF(COUNTBLANK(AU14:AZ14)&gt;0,"",ROUND(AVERAGE(INDEX('SCORING MASTER'!$D$95:$D$96,MATCH(AU14,'SCORING MASTER'!$C$95:$C$96,0)),INDEX('SCORING MASTER'!$D$98:$D$99,MATCH(AV14,'SCORING MASTER'!$C$98:$C$99,0)),INDEX('SCORING MASTER'!$D$101:$D$102,MATCH(AW14,'SCORING MASTER'!$C$101:$C$102,0)),INDEX('SCORING MASTER'!$D$104:$D$105,MATCH(AX14,'SCORING MASTER'!$C$104:$C$105,0)),INDEX('SCORING MASTER'!$D$107:$D$108,MATCH(AY14,'SCORING MASTER'!$C$107:$C$108,0)),INDEX('SCORING MASTER'!$D$110:$D$111,MATCH(AZ14,'SCORING MASTER'!$C$110:$C$111,0)))*20,0))</f>
        <v/>
      </c>
      <c r="BK14" s="31" t="str">
        <f aca="false">IF(COUNTBLANK(AQ14:AT14)&gt;0,"",ROUND(AVERAGE(INDEX('SCORING MASTER'!$D$80:$D$82,MATCH(AQ14,'SCORING MASTER'!$C$80:$C$82,0)),INDEX('SCORING MASTER'!$D$84:$D$86,MATCH(AR14,'SCORING MASTER'!$C$84:$C$86,0)),INDEX('SCORING MASTER'!$D$88:$D$90,MATCH(AS14,'SCORING MASTER'!$C$88:$C$90,0)),INDEX('SCORING MASTER'!$D$92:$D$93,MATCH(AT14,'SCORING MASTER'!$C$92:$C$93,0)))*20,0))</f>
        <v/>
      </c>
      <c r="BL14" s="31" t="str">
        <f aca="false">IF(COUNTBLANK(BA14:BE14)&gt;0,"",ROUND(AVERAGE(INDEX('SCORING MASTER'!$D$113:$D$115,MATCH(BA14,'SCORING MASTER'!$C$113:$C$115,0)),INDEX('SCORING MASTER'!$D$117:$D$119,MATCH(BB14,'SCORING MASTER'!$C$117:$C$119,0)),INDEX('SCORING MASTER'!$D$121:$D$123,MATCH(BC14,'SCORING MASTER'!$C$121:$C$123,0)),INDEX('SCORING MASTER'!$D$125:$D$126,MATCH(BD14,'SCORING MASTER'!$C$125:$C$126,0)),INDEX('SCORING MASTER'!$D$128:$D$129,MATCH(BE14,'SCORING MASTER'!$C$128:$C$129,0)))*20,0))</f>
        <v/>
      </c>
      <c r="BM14" s="31" t="str">
        <f aca="false">IF(OR(BF14="",BG14="",BH14="",BI14="",BJ14="",BK14="",BL14=""),"",ROUND(BF14*0.25+BG14*0.2+BH14*0.15+BI14*0.15+BJ14*0.1+BK14*0.1+BL14*0.05,0))</f>
        <v/>
      </c>
      <c r="BN14" s="31" t="str">
        <f aca="false">IF(OR(BF14="",BG14=""),"",ROUND(BF14*0.5+BG14*0.5,0))</f>
        <v/>
      </c>
      <c r="BO14" s="31" t="str">
        <f aca="false">IF(BN14="","",ROUND(MIN(100,MAX(0,(100-BN14)+IF(AL14="Yes",15,0)+IF(AM14="Yes",15,0)+IF(AND(U14&lt;&gt;"",U14&lt;18.5),20,0))),0))</f>
        <v/>
      </c>
      <c r="BP14" s="28" t="str">
        <f aca="false">IF(BM14="","",IF(BM14&gt;=90,"Green - Healthy",IF(BM14&gt;=75,"Light Green - Mild Watch",IF(BM14&gt;=60,"Yellow - Mild Risk",IF(BM14&gt;=40,"Orange - Moderate Risk","Red - High Risk")))))</f>
        <v/>
      </c>
      <c r="BQ14" s="28" t="str">
        <f aca="false">IF(BM14="","",IF(OR(BM14&lt;60,BO14&gt;=60,AJ14="Yes"),"Yes","No"))</f>
        <v/>
      </c>
      <c r="BR14" s="28" t="str">
        <f aca="false">IF(BM14="","",IF(OR(BP14="Orange - Moderate Risk",BP14="Red - High Risk",BQ14="Yes"),"Yes","No"))</f>
        <v/>
      </c>
    </row>
    <row r="15" customFormat="false" ht="15" hidden="false" customHeight="false" outlineLevel="0" collapsed="false">
      <c r="A15" s="32" t="str">
        <f aca="false">IF(I15="","","STU"&amp;TEXT(ROW()-3,"000000"))</f>
        <v/>
      </c>
      <c r="B15" s="32"/>
      <c r="C15" s="32"/>
      <c r="D15" s="32"/>
      <c r="E15" s="32"/>
      <c r="F15" s="32"/>
      <c r="G15" s="32"/>
      <c r="H15" s="32"/>
      <c r="I15" s="32"/>
      <c r="J15" s="34"/>
      <c r="K15" s="32"/>
      <c r="L15" s="32"/>
      <c r="M15" s="32"/>
      <c r="N15" s="32"/>
      <c r="O15" s="32"/>
      <c r="P15" s="32"/>
      <c r="Q15" s="34"/>
      <c r="R15" s="34"/>
      <c r="S15" s="35" t="str">
        <f aca="false">IF(OR(Q15="",R15=""),"",ROUND(R15/((Q15/100)^2),1))</f>
        <v/>
      </c>
      <c r="T15" s="32" t="str">
        <f aca="false">IF(S15="","",IF(S15&lt;18.5,"Underweight",IF(S15&lt;25,"Normal",IF(S15&lt;30,"Overweight","Obese"))))</f>
        <v/>
      </c>
      <c r="U15" s="34"/>
      <c r="V15" s="34"/>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5" t="str">
        <f aca="false">IF(T15="","",IF(T15="Normal",100,IF(T15="Overweight",65,IF(T15="Obese",50,IF(AND(U15&lt;&gt;"",U15&lt;18.5),30,45)))))</f>
        <v/>
      </c>
      <c r="BG15" s="35" t="str">
        <f aca="false">IF(COUNTBLANK(W15:AC15)&gt;0,"",ROUND(AVERAGE(INDEX('SCORING MASTER'!$D$5:$D$7,MATCH(W15,'SCORING MASTER'!$C$5:$C$7,0)),INDEX('SCORING MASTER'!$D$9:$D$11,MATCH(X15,'SCORING MASTER'!$C$9:$C$11,0)),INDEX('SCORING MASTER'!$D$13:$D$15,MATCH(Y15,'SCORING MASTER'!$C$13:$C$15,0)),INDEX('SCORING MASTER'!$D$17:$D$19,MATCH(Z15,'SCORING MASTER'!$C$17:$C$19,0)),INDEX('SCORING MASTER'!$D$21:$D$23,MATCH(AA15,'SCORING MASTER'!$C$21:$C$23,0)),INDEX('SCORING MASTER'!$D$25:$D$27,MATCH(AB15,'SCORING MASTER'!$C$25:$C$27,0)),INDEX('SCORING MASTER'!$D$29:$D$31,MATCH(AC15,'SCORING MASTER'!$C$29:$C$31,0)))*20,0))</f>
        <v/>
      </c>
      <c r="BH15" s="35" t="str">
        <f aca="false">IF(COUNTBLANK(AD15:AI15)&gt;0,"",ROUND(AVERAGE(INDEX('SCORING MASTER'!$D$33:$D$35,MATCH(AD15,'SCORING MASTER'!$C$33:$C$35,0)),INDEX('SCORING MASTER'!$D$37:$D$39,MATCH(AE15,'SCORING MASTER'!$C$37:$C$39,0)),INDEX('SCORING MASTER'!$D$41:$D$43,MATCH(AF15,'SCORING MASTER'!$C$41:$C$43,0)),INDEX('SCORING MASTER'!$D$45:$D$47,MATCH(AG15,'SCORING MASTER'!$C$45:$C$47,0)),INDEX('SCORING MASTER'!$D$49:$D$52,MATCH(AH15,'SCORING MASTER'!$C$49:$C$52,0)),INDEX('SCORING MASTER'!$D$54:$D$57,MATCH(AI15,'SCORING MASTER'!$C$54:$C$57,0)))*20,0))</f>
        <v/>
      </c>
      <c r="BI15" s="35" t="str">
        <f aca="false">IF(COUNTBLANK(AJ15:AP15)&gt;0,"",ROUND(AVERAGE(INDEX('SCORING MASTER'!$D$59:$D$60,MATCH(AJ15,'SCORING MASTER'!$C$59:$C$60,0)),INDEX('SCORING MASTER'!$D$62:$D$63,MATCH(AK15,'SCORING MASTER'!$C$62:$C$63,0)),INDEX('SCORING MASTER'!$D$65:$D$66,MATCH(AL15,'SCORING MASTER'!$C$65:$C$66,0)),INDEX('SCORING MASTER'!$D$68:$D$69,MATCH(AM15,'SCORING MASTER'!$C$68:$C$69,0)),INDEX('SCORING MASTER'!$D$71:$D$72,MATCH(AN15,'SCORING MASTER'!$C$71:$C$72,0)),INDEX('SCORING MASTER'!$D$74:$D$75,MATCH(AO15,'SCORING MASTER'!$C$74:$C$75,0)),INDEX('SCORING MASTER'!$D$77:$D$78,MATCH(AP15,'SCORING MASTER'!$C$77:$C$78,0)))*20,0))</f>
        <v/>
      </c>
      <c r="BJ15" s="35" t="str">
        <f aca="false">IF(COUNTBLANK(AU15:AZ15)&gt;0,"",ROUND(AVERAGE(INDEX('SCORING MASTER'!$D$95:$D$96,MATCH(AU15,'SCORING MASTER'!$C$95:$C$96,0)),INDEX('SCORING MASTER'!$D$98:$D$99,MATCH(AV15,'SCORING MASTER'!$C$98:$C$99,0)),INDEX('SCORING MASTER'!$D$101:$D$102,MATCH(AW15,'SCORING MASTER'!$C$101:$C$102,0)),INDEX('SCORING MASTER'!$D$104:$D$105,MATCH(AX15,'SCORING MASTER'!$C$104:$C$105,0)),INDEX('SCORING MASTER'!$D$107:$D$108,MATCH(AY15,'SCORING MASTER'!$C$107:$C$108,0)),INDEX('SCORING MASTER'!$D$110:$D$111,MATCH(AZ15,'SCORING MASTER'!$C$110:$C$111,0)))*20,0))</f>
        <v/>
      </c>
      <c r="BK15" s="35" t="str">
        <f aca="false">IF(COUNTBLANK(AQ15:AT15)&gt;0,"",ROUND(AVERAGE(INDEX('SCORING MASTER'!$D$80:$D$82,MATCH(AQ15,'SCORING MASTER'!$C$80:$C$82,0)),INDEX('SCORING MASTER'!$D$84:$D$86,MATCH(AR15,'SCORING MASTER'!$C$84:$C$86,0)),INDEX('SCORING MASTER'!$D$88:$D$90,MATCH(AS15,'SCORING MASTER'!$C$88:$C$90,0)),INDEX('SCORING MASTER'!$D$92:$D$93,MATCH(AT15,'SCORING MASTER'!$C$92:$C$93,0)))*20,0))</f>
        <v/>
      </c>
      <c r="BL15" s="35" t="str">
        <f aca="false">IF(COUNTBLANK(BA15:BE15)&gt;0,"",ROUND(AVERAGE(INDEX('SCORING MASTER'!$D$113:$D$115,MATCH(BA15,'SCORING MASTER'!$C$113:$C$115,0)),INDEX('SCORING MASTER'!$D$117:$D$119,MATCH(BB15,'SCORING MASTER'!$C$117:$C$119,0)),INDEX('SCORING MASTER'!$D$121:$D$123,MATCH(BC15,'SCORING MASTER'!$C$121:$C$123,0)),INDEX('SCORING MASTER'!$D$125:$D$126,MATCH(BD15,'SCORING MASTER'!$C$125:$C$126,0)),INDEX('SCORING MASTER'!$D$128:$D$129,MATCH(BE15,'SCORING MASTER'!$C$128:$C$129,0)))*20,0))</f>
        <v/>
      </c>
      <c r="BM15" s="35" t="str">
        <f aca="false">IF(OR(BF15="",BG15="",BH15="",BI15="",BJ15="",BK15="",BL15=""),"",ROUND(BF15*0.25+BG15*0.2+BH15*0.15+BI15*0.15+BJ15*0.1+BK15*0.1+BL15*0.05,0))</f>
        <v/>
      </c>
      <c r="BN15" s="35" t="str">
        <f aca="false">IF(OR(BF15="",BG15=""),"",ROUND(BF15*0.5+BG15*0.5,0))</f>
        <v/>
      </c>
      <c r="BO15" s="35" t="str">
        <f aca="false">IF(BN15="","",ROUND(MIN(100,MAX(0,(100-BN15)+IF(AL15="Yes",15,0)+IF(AM15="Yes",15,0)+IF(AND(U15&lt;&gt;"",U15&lt;18.5),20,0))),0))</f>
        <v/>
      </c>
      <c r="BP15" s="32" t="str">
        <f aca="false">IF(BM15="","",IF(BM15&gt;=90,"Green - Healthy",IF(BM15&gt;=75,"Light Green - Mild Watch",IF(BM15&gt;=60,"Yellow - Mild Risk",IF(BM15&gt;=40,"Orange - Moderate Risk","Red - High Risk")))))</f>
        <v/>
      </c>
      <c r="BQ15" s="32" t="str">
        <f aca="false">IF(BM15="","",IF(OR(BM15&lt;60,BO15&gt;=60,AJ15="Yes"),"Yes","No"))</f>
        <v/>
      </c>
      <c r="BR15" s="32" t="str">
        <f aca="false">IF(BM15="","",IF(OR(BP15="Orange - Moderate Risk",BP15="Red - High Risk",BQ15="Yes"),"Yes","No"))</f>
        <v/>
      </c>
    </row>
    <row r="16" customFormat="false" ht="15" hidden="false" customHeight="false" outlineLevel="0" collapsed="false">
      <c r="A16" s="28" t="str">
        <f aca="false">IF(I16="","","STU"&amp;TEXT(ROW()-3,"000000"))</f>
        <v/>
      </c>
      <c r="B16" s="28"/>
      <c r="C16" s="28"/>
      <c r="D16" s="28"/>
      <c r="E16" s="28"/>
      <c r="F16" s="28"/>
      <c r="G16" s="28"/>
      <c r="H16" s="28"/>
      <c r="I16" s="28"/>
      <c r="J16" s="30"/>
      <c r="K16" s="28"/>
      <c r="L16" s="28"/>
      <c r="M16" s="28"/>
      <c r="N16" s="28"/>
      <c r="O16" s="28"/>
      <c r="P16" s="28"/>
      <c r="Q16" s="30"/>
      <c r="R16" s="30"/>
      <c r="S16" s="31" t="str">
        <f aca="false">IF(OR(Q16="",R16=""),"",ROUND(R16/((Q16/100)^2),1))</f>
        <v/>
      </c>
      <c r="T16" s="28" t="str">
        <f aca="false">IF(S16="","",IF(S16&lt;18.5,"Underweight",IF(S16&lt;25,"Normal",IF(S16&lt;30,"Overweight","Obese"))))</f>
        <v/>
      </c>
      <c r="U16" s="30"/>
      <c r="V16" s="30"/>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31" t="str">
        <f aca="false">IF(T16="","",IF(T16="Normal",100,IF(T16="Overweight",65,IF(T16="Obese",50,IF(AND(U16&lt;&gt;"",U16&lt;18.5),30,45)))))</f>
        <v/>
      </c>
      <c r="BG16" s="31" t="str">
        <f aca="false">IF(COUNTBLANK(W16:AC16)&gt;0,"",ROUND(AVERAGE(INDEX('SCORING MASTER'!$D$5:$D$7,MATCH(W16,'SCORING MASTER'!$C$5:$C$7,0)),INDEX('SCORING MASTER'!$D$9:$D$11,MATCH(X16,'SCORING MASTER'!$C$9:$C$11,0)),INDEX('SCORING MASTER'!$D$13:$D$15,MATCH(Y16,'SCORING MASTER'!$C$13:$C$15,0)),INDEX('SCORING MASTER'!$D$17:$D$19,MATCH(Z16,'SCORING MASTER'!$C$17:$C$19,0)),INDEX('SCORING MASTER'!$D$21:$D$23,MATCH(AA16,'SCORING MASTER'!$C$21:$C$23,0)),INDEX('SCORING MASTER'!$D$25:$D$27,MATCH(AB16,'SCORING MASTER'!$C$25:$C$27,0)),INDEX('SCORING MASTER'!$D$29:$D$31,MATCH(AC16,'SCORING MASTER'!$C$29:$C$31,0)))*20,0))</f>
        <v/>
      </c>
      <c r="BH16" s="31" t="str">
        <f aca="false">IF(COUNTBLANK(AD16:AI16)&gt;0,"",ROUND(AVERAGE(INDEX('SCORING MASTER'!$D$33:$D$35,MATCH(AD16,'SCORING MASTER'!$C$33:$C$35,0)),INDEX('SCORING MASTER'!$D$37:$D$39,MATCH(AE16,'SCORING MASTER'!$C$37:$C$39,0)),INDEX('SCORING MASTER'!$D$41:$D$43,MATCH(AF16,'SCORING MASTER'!$C$41:$C$43,0)),INDEX('SCORING MASTER'!$D$45:$D$47,MATCH(AG16,'SCORING MASTER'!$C$45:$C$47,0)),INDEX('SCORING MASTER'!$D$49:$D$52,MATCH(AH16,'SCORING MASTER'!$C$49:$C$52,0)),INDEX('SCORING MASTER'!$D$54:$D$57,MATCH(AI16,'SCORING MASTER'!$C$54:$C$57,0)))*20,0))</f>
        <v/>
      </c>
      <c r="BI16" s="31" t="str">
        <f aca="false">IF(COUNTBLANK(AJ16:AP16)&gt;0,"",ROUND(AVERAGE(INDEX('SCORING MASTER'!$D$59:$D$60,MATCH(AJ16,'SCORING MASTER'!$C$59:$C$60,0)),INDEX('SCORING MASTER'!$D$62:$D$63,MATCH(AK16,'SCORING MASTER'!$C$62:$C$63,0)),INDEX('SCORING MASTER'!$D$65:$D$66,MATCH(AL16,'SCORING MASTER'!$C$65:$C$66,0)),INDEX('SCORING MASTER'!$D$68:$D$69,MATCH(AM16,'SCORING MASTER'!$C$68:$C$69,0)),INDEX('SCORING MASTER'!$D$71:$D$72,MATCH(AN16,'SCORING MASTER'!$C$71:$C$72,0)),INDEX('SCORING MASTER'!$D$74:$D$75,MATCH(AO16,'SCORING MASTER'!$C$74:$C$75,0)),INDEX('SCORING MASTER'!$D$77:$D$78,MATCH(AP16,'SCORING MASTER'!$C$77:$C$78,0)))*20,0))</f>
        <v/>
      </c>
      <c r="BJ16" s="31" t="str">
        <f aca="false">IF(COUNTBLANK(AU16:AZ16)&gt;0,"",ROUND(AVERAGE(INDEX('SCORING MASTER'!$D$95:$D$96,MATCH(AU16,'SCORING MASTER'!$C$95:$C$96,0)),INDEX('SCORING MASTER'!$D$98:$D$99,MATCH(AV16,'SCORING MASTER'!$C$98:$C$99,0)),INDEX('SCORING MASTER'!$D$101:$D$102,MATCH(AW16,'SCORING MASTER'!$C$101:$C$102,0)),INDEX('SCORING MASTER'!$D$104:$D$105,MATCH(AX16,'SCORING MASTER'!$C$104:$C$105,0)),INDEX('SCORING MASTER'!$D$107:$D$108,MATCH(AY16,'SCORING MASTER'!$C$107:$C$108,0)),INDEX('SCORING MASTER'!$D$110:$D$111,MATCH(AZ16,'SCORING MASTER'!$C$110:$C$111,0)))*20,0))</f>
        <v/>
      </c>
      <c r="BK16" s="31" t="str">
        <f aca="false">IF(COUNTBLANK(AQ16:AT16)&gt;0,"",ROUND(AVERAGE(INDEX('SCORING MASTER'!$D$80:$D$82,MATCH(AQ16,'SCORING MASTER'!$C$80:$C$82,0)),INDEX('SCORING MASTER'!$D$84:$D$86,MATCH(AR16,'SCORING MASTER'!$C$84:$C$86,0)),INDEX('SCORING MASTER'!$D$88:$D$90,MATCH(AS16,'SCORING MASTER'!$C$88:$C$90,0)),INDEX('SCORING MASTER'!$D$92:$D$93,MATCH(AT16,'SCORING MASTER'!$C$92:$C$93,0)))*20,0))</f>
        <v/>
      </c>
      <c r="BL16" s="31" t="str">
        <f aca="false">IF(COUNTBLANK(BA16:BE16)&gt;0,"",ROUND(AVERAGE(INDEX('SCORING MASTER'!$D$113:$D$115,MATCH(BA16,'SCORING MASTER'!$C$113:$C$115,0)),INDEX('SCORING MASTER'!$D$117:$D$119,MATCH(BB16,'SCORING MASTER'!$C$117:$C$119,0)),INDEX('SCORING MASTER'!$D$121:$D$123,MATCH(BC16,'SCORING MASTER'!$C$121:$C$123,0)),INDEX('SCORING MASTER'!$D$125:$D$126,MATCH(BD16,'SCORING MASTER'!$C$125:$C$126,0)),INDEX('SCORING MASTER'!$D$128:$D$129,MATCH(BE16,'SCORING MASTER'!$C$128:$C$129,0)))*20,0))</f>
        <v/>
      </c>
      <c r="BM16" s="31" t="str">
        <f aca="false">IF(OR(BF16="",BG16="",BH16="",BI16="",BJ16="",BK16="",BL16=""),"",ROUND(BF16*0.25+BG16*0.2+BH16*0.15+BI16*0.15+BJ16*0.1+BK16*0.1+BL16*0.05,0))</f>
        <v/>
      </c>
      <c r="BN16" s="31" t="str">
        <f aca="false">IF(OR(BF16="",BG16=""),"",ROUND(BF16*0.5+BG16*0.5,0))</f>
        <v/>
      </c>
      <c r="BO16" s="31" t="str">
        <f aca="false">IF(BN16="","",ROUND(MIN(100,MAX(0,(100-BN16)+IF(AL16="Yes",15,0)+IF(AM16="Yes",15,0)+IF(AND(U16&lt;&gt;"",U16&lt;18.5),20,0))),0))</f>
        <v/>
      </c>
      <c r="BP16" s="28" t="str">
        <f aca="false">IF(BM16="","",IF(BM16&gt;=90,"Green - Healthy",IF(BM16&gt;=75,"Light Green - Mild Watch",IF(BM16&gt;=60,"Yellow - Mild Risk",IF(BM16&gt;=40,"Orange - Moderate Risk","Red - High Risk")))))</f>
        <v/>
      </c>
      <c r="BQ16" s="28" t="str">
        <f aca="false">IF(BM16="","",IF(OR(BM16&lt;60,BO16&gt;=60,AJ16="Yes"),"Yes","No"))</f>
        <v/>
      </c>
      <c r="BR16" s="28" t="str">
        <f aca="false">IF(BM16="","",IF(OR(BP16="Orange - Moderate Risk",BP16="Red - High Risk",BQ16="Yes"),"Yes","No"))</f>
        <v/>
      </c>
    </row>
    <row r="17" customFormat="false" ht="15" hidden="false" customHeight="false" outlineLevel="0" collapsed="false">
      <c r="A17" s="32" t="str">
        <f aca="false">IF(I17="","","STU"&amp;TEXT(ROW()-3,"000000"))</f>
        <v/>
      </c>
      <c r="B17" s="32"/>
      <c r="C17" s="32"/>
      <c r="D17" s="32"/>
      <c r="E17" s="32"/>
      <c r="F17" s="32"/>
      <c r="G17" s="32"/>
      <c r="H17" s="32"/>
      <c r="I17" s="32"/>
      <c r="J17" s="34"/>
      <c r="K17" s="32"/>
      <c r="L17" s="32"/>
      <c r="M17" s="32"/>
      <c r="N17" s="32"/>
      <c r="O17" s="32"/>
      <c r="P17" s="32"/>
      <c r="Q17" s="34"/>
      <c r="R17" s="34"/>
      <c r="S17" s="35" t="str">
        <f aca="false">IF(OR(Q17="",R17=""),"",ROUND(R17/((Q17/100)^2),1))</f>
        <v/>
      </c>
      <c r="T17" s="32" t="str">
        <f aca="false">IF(S17="","",IF(S17&lt;18.5,"Underweight",IF(S17&lt;25,"Normal",IF(S17&lt;30,"Overweight","Obese"))))</f>
        <v/>
      </c>
      <c r="U17" s="34"/>
      <c r="V17" s="34"/>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5" t="str">
        <f aca="false">IF(T17="","",IF(T17="Normal",100,IF(T17="Overweight",65,IF(T17="Obese",50,IF(AND(U17&lt;&gt;"",U17&lt;18.5),30,45)))))</f>
        <v/>
      </c>
      <c r="BG17" s="35" t="str">
        <f aca="false">IF(COUNTBLANK(W17:AC17)&gt;0,"",ROUND(AVERAGE(INDEX('SCORING MASTER'!$D$5:$D$7,MATCH(W17,'SCORING MASTER'!$C$5:$C$7,0)),INDEX('SCORING MASTER'!$D$9:$D$11,MATCH(X17,'SCORING MASTER'!$C$9:$C$11,0)),INDEX('SCORING MASTER'!$D$13:$D$15,MATCH(Y17,'SCORING MASTER'!$C$13:$C$15,0)),INDEX('SCORING MASTER'!$D$17:$D$19,MATCH(Z17,'SCORING MASTER'!$C$17:$C$19,0)),INDEX('SCORING MASTER'!$D$21:$D$23,MATCH(AA17,'SCORING MASTER'!$C$21:$C$23,0)),INDEX('SCORING MASTER'!$D$25:$D$27,MATCH(AB17,'SCORING MASTER'!$C$25:$C$27,0)),INDEX('SCORING MASTER'!$D$29:$D$31,MATCH(AC17,'SCORING MASTER'!$C$29:$C$31,0)))*20,0))</f>
        <v/>
      </c>
      <c r="BH17" s="35" t="str">
        <f aca="false">IF(COUNTBLANK(AD17:AI17)&gt;0,"",ROUND(AVERAGE(INDEX('SCORING MASTER'!$D$33:$D$35,MATCH(AD17,'SCORING MASTER'!$C$33:$C$35,0)),INDEX('SCORING MASTER'!$D$37:$D$39,MATCH(AE17,'SCORING MASTER'!$C$37:$C$39,0)),INDEX('SCORING MASTER'!$D$41:$D$43,MATCH(AF17,'SCORING MASTER'!$C$41:$C$43,0)),INDEX('SCORING MASTER'!$D$45:$D$47,MATCH(AG17,'SCORING MASTER'!$C$45:$C$47,0)),INDEX('SCORING MASTER'!$D$49:$D$52,MATCH(AH17,'SCORING MASTER'!$C$49:$C$52,0)),INDEX('SCORING MASTER'!$D$54:$D$57,MATCH(AI17,'SCORING MASTER'!$C$54:$C$57,0)))*20,0))</f>
        <v/>
      </c>
      <c r="BI17" s="35" t="str">
        <f aca="false">IF(COUNTBLANK(AJ17:AP17)&gt;0,"",ROUND(AVERAGE(INDEX('SCORING MASTER'!$D$59:$D$60,MATCH(AJ17,'SCORING MASTER'!$C$59:$C$60,0)),INDEX('SCORING MASTER'!$D$62:$D$63,MATCH(AK17,'SCORING MASTER'!$C$62:$C$63,0)),INDEX('SCORING MASTER'!$D$65:$D$66,MATCH(AL17,'SCORING MASTER'!$C$65:$C$66,0)),INDEX('SCORING MASTER'!$D$68:$D$69,MATCH(AM17,'SCORING MASTER'!$C$68:$C$69,0)),INDEX('SCORING MASTER'!$D$71:$D$72,MATCH(AN17,'SCORING MASTER'!$C$71:$C$72,0)),INDEX('SCORING MASTER'!$D$74:$D$75,MATCH(AO17,'SCORING MASTER'!$C$74:$C$75,0)),INDEX('SCORING MASTER'!$D$77:$D$78,MATCH(AP17,'SCORING MASTER'!$C$77:$C$78,0)))*20,0))</f>
        <v/>
      </c>
      <c r="BJ17" s="35" t="str">
        <f aca="false">IF(COUNTBLANK(AU17:AZ17)&gt;0,"",ROUND(AVERAGE(INDEX('SCORING MASTER'!$D$95:$D$96,MATCH(AU17,'SCORING MASTER'!$C$95:$C$96,0)),INDEX('SCORING MASTER'!$D$98:$D$99,MATCH(AV17,'SCORING MASTER'!$C$98:$C$99,0)),INDEX('SCORING MASTER'!$D$101:$D$102,MATCH(AW17,'SCORING MASTER'!$C$101:$C$102,0)),INDEX('SCORING MASTER'!$D$104:$D$105,MATCH(AX17,'SCORING MASTER'!$C$104:$C$105,0)),INDEX('SCORING MASTER'!$D$107:$D$108,MATCH(AY17,'SCORING MASTER'!$C$107:$C$108,0)),INDEX('SCORING MASTER'!$D$110:$D$111,MATCH(AZ17,'SCORING MASTER'!$C$110:$C$111,0)))*20,0))</f>
        <v/>
      </c>
      <c r="BK17" s="35" t="str">
        <f aca="false">IF(COUNTBLANK(AQ17:AT17)&gt;0,"",ROUND(AVERAGE(INDEX('SCORING MASTER'!$D$80:$D$82,MATCH(AQ17,'SCORING MASTER'!$C$80:$C$82,0)),INDEX('SCORING MASTER'!$D$84:$D$86,MATCH(AR17,'SCORING MASTER'!$C$84:$C$86,0)),INDEX('SCORING MASTER'!$D$88:$D$90,MATCH(AS17,'SCORING MASTER'!$C$88:$C$90,0)),INDEX('SCORING MASTER'!$D$92:$D$93,MATCH(AT17,'SCORING MASTER'!$C$92:$C$93,0)))*20,0))</f>
        <v/>
      </c>
      <c r="BL17" s="35" t="str">
        <f aca="false">IF(COUNTBLANK(BA17:BE17)&gt;0,"",ROUND(AVERAGE(INDEX('SCORING MASTER'!$D$113:$D$115,MATCH(BA17,'SCORING MASTER'!$C$113:$C$115,0)),INDEX('SCORING MASTER'!$D$117:$D$119,MATCH(BB17,'SCORING MASTER'!$C$117:$C$119,0)),INDEX('SCORING MASTER'!$D$121:$D$123,MATCH(BC17,'SCORING MASTER'!$C$121:$C$123,0)),INDEX('SCORING MASTER'!$D$125:$D$126,MATCH(BD17,'SCORING MASTER'!$C$125:$C$126,0)),INDEX('SCORING MASTER'!$D$128:$D$129,MATCH(BE17,'SCORING MASTER'!$C$128:$C$129,0)))*20,0))</f>
        <v/>
      </c>
      <c r="BM17" s="35" t="str">
        <f aca="false">IF(OR(BF17="",BG17="",BH17="",BI17="",BJ17="",BK17="",BL17=""),"",ROUND(BF17*0.25+BG17*0.2+BH17*0.15+BI17*0.15+BJ17*0.1+BK17*0.1+BL17*0.05,0))</f>
        <v/>
      </c>
      <c r="BN17" s="35" t="str">
        <f aca="false">IF(OR(BF17="",BG17=""),"",ROUND(BF17*0.5+BG17*0.5,0))</f>
        <v/>
      </c>
      <c r="BO17" s="35" t="str">
        <f aca="false">IF(BN17="","",ROUND(MIN(100,MAX(0,(100-BN17)+IF(AL17="Yes",15,0)+IF(AM17="Yes",15,0)+IF(AND(U17&lt;&gt;"",U17&lt;18.5),20,0))),0))</f>
        <v/>
      </c>
      <c r="BP17" s="32" t="str">
        <f aca="false">IF(BM17="","",IF(BM17&gt;=90,"Green - Healthy",IF(BM17&gt;=75,"Light Green - Mild Watch",IF(BM17&gt;=60,"Yellow - Mild Risk",IF(BM17&gt;=40,"Orange - Moderate Risk","Red - High Risk")))))</f>
        <v/>
      </c>
      <c r="BQ17" s="32" t="str">
        <f aca="false">IF(BM17="","",IF(OR(BM17&lt;60,BO17&gt;=60,AJ17="Yes"),"Yes","No"))</f>
        <v/>
      </c>
      <c r="BR17" s="32" t="str">
        <f aca="false">IF(BM17="","",IF(OR(BP17="Orange - Moderate Risk",BP17="Red - High Risk",BQ17="Yes"),"Yes","No"))</f>
        <v/>
      </c>
    </row>
    <row r="18" customFormat="false" ht="15" hidden="false" customHeight="false" outlineLevel="0" collapsed="false">
      <c r="A18" s="28" t="str">
        <f aca="false">IF(I18="","","STU"&amp;TEXT(ROW()-3,"000000"))</f>
        <v/>
      </c>
      <c r="B18" s="28"/>
      <c r="C18" s="28"/>
      <c r="D18" s="28"/>
      <c r="E18" s="28"/>
      <c r="F18" s="28"/>
      <c r="G18" s="28"/>
      <c r="H18" s="28"/>
      <c r="I18" s="28"/>
      <c r="J18" s="30"/>
      <c r="K18" s="28"/>
      <c r="L18" s="28"/>
      <c r="M18" s="28"/>
      <c r="N18" s="28"/>
      <c r="O18" s="28"/>
      <c r="P18" s="28"/>
      <c r="Q18" s="30"/>
      <c r="R18" s="30"/>
      <c r="S18" s="31" t="str">
        <f aca="false">IF(OR(Q18="",R18=""),"",ROUND(R18/((Q18/100)^2),1))</f>
        <v/>
      </c>
      <c r="T18" s="28" t="str">
        <f aca="false">IF(S18="","",IF(S18&lt;18.5,"Underweight",IF(S18&lt;25,"Normal",IF(S18&lt;30,"Overweight","Obese"))))</f>
        <v/>
      </c>
      <c r="U18" s="30"/>
      <c r="V18" s="30"/>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31" t="str">
        <f aca="false">IF(T18="","",IF(T18="Normal",100,IF(T18="Overweight",65,IF(T18="Obese",50,IF(AND(U18&lt;&gt;"",U18&lt;18.5),30,45)))))</f>
        <v/>
      </c>
      <c r="BG18" s="31" t="str">
        <f aca="false">IF(COUNTBLANK(W18:AC18)&gt;0,"",ROUND(AVERAGE(INDEX('SCORING MASTER'!$D$5:$D$7,MATCH(W18,'SCORING MASTER'!$C$5:$C$7,0)),INDEX('SCORING MASTER'!$D$9:$D$11,MATCH(X18,'SCORING MASTER'!$C$9:$C$11,0)),INDEX('SCORING MASTER'!$D$13:$D$15,MATCH(Y18,'SCORING MASTER'!$C$13:$C$15,0)),INDEX('SCORING MASTER'!$D$17:$D$19,MATCH(Z18,'SCORING MASTER'!$C$17:$C$19,0)),INDEX('SCORING MASTER'!$D$21:$D$23,MATCH(AA18,'SCORING MASTER'!$C$21:$C$23,0)),INDEX('SCORING MASTER'!$D$25:$D$27,MATCH(AB18,'SCORING MASTER'!$C$25:$C$27,0)),INDEX('SCORING MASTER'!$D$29:$D$31,MATCH(AC18,'SCORING MASTER'!$C$29:$C$31,0)))*20,0))</f>
        <v/>
      </c>
      <c r="BH18" s="31" t="str">
        <f aca="false">IF(COUNTBLANK(AD18:AI18)&gt;0,"",ROUND(AVERAGE(INDEX('SCORING MASTER'!$D$33:$D$35,MATCH(AD18,'SCORING MASTER'!$C$33:$C$35,0)),INDEX('SCORING MASTER'!$D$37:$D$39,MATCH(AE18,'SCORING MASTER'!$C$37:$C$39,0)),INDEX('SCORING MASTER'!$D$41:$D$43,MATCH(AF18,'SCORING MASTER'!$C$41:$C$43,0)),INDEX('SCORING MASTER'!$D$45:$D$47,MATCH(AG18,'SCORING MASTER'!$C$45:$C$47,0)),INDEX('SCORING MASTER'!$D$49:$D$52,MATCH(AH18,'SCORING MASTER'!$C$49:$C$52,0)),INDEX('SCORING MASTER'!$D$54:$D$57,MATCH(AI18,'SCORING MASTER'!$C$54:$C$57,0)))*20,0))</f>
        <v/>
      </c>
      <c r="BI18" s="31" t="str">
        <f aca="false">IF(COUNTBLANK(AJ18:AP18)&gt;0,"",ROUND(AVERAGE(INDEX('SCORING MASTER'!$D$59:$D$60,MATCH(AJ18,'SCORING MASTER'!$C$59:$C$60,0)),INDEX('SCORING MASTER'!$D$62:$D$63,MATCH(AK18,'SCORING MASTER'!$C$62:$C$63,0)),INDEX('SCORING MASTER'!$D$65:$D$66,MATCH(AL18,'SCORING MASTER'!$C$65:$C$66,0)),INDEX('SCORING MASTER'!$D$68:$D$69,MATCH(AM18,'SCORING MASTER'!$C$68:$C$69,0)),INDEX('SCORING MASTER'!$D$71:$D$72,MATCH(AN18,'SCORING MASTER'!$C$71:$C$72,0)),INDEX('SCORING MASTER'!$D$74:$D$75,MATCH(AO18,'SCORING MASTER'!$C$74:$C$75,0)),INDEX('SCORING MASTER'!$D$77:$D$78,MATCH(AP18,'SCORING MASTER'!$C$77:$C$78,0)))*20,0))</f>
        <v/>
      </c>
      <c r="BJ18" s="31" t="str">
        <f aca="false">IF(COUNTBLANK(AU18:AZ18)&gt;0,"",ROUND(AVERAGE(INDEX('SCORING MASTER'!$D$95:$D$96,MATCH(AU18,'SCORING MASTER'!$C$95:$C$96,0)),INDEX('SCORING MASTER'!$D$98:$D$99,MATCH(AV18,'SCORING MASTER'!$C$98:$C$99,0)),INDEX('SCORING MASTER'!$D$101:$D$102,MATCH(AW18,'SCORING MASTER'!$C$101:$C$102,0)),INDEX('SCORING MASTER'!$D$104:$D$105,MATCH(AX18,'SCORING MASTER'!$C$104:$C$105,0)),INDEX('SCORING MASTER'!$D$107:$D$108,MATCH(AY18,'SCORING MASTER'!$C$107:$C$108,0)),INDEX('SCORING MASTER'!$D$110:$D$111,MATCH(AZ18,'SCORING MASTER'!$C$110:$C$111,0)))*20,0))</f>
        <v/>
      </c>
      <c r="BK18" s="31" t="str">
        <f aca="false">IF(COUNTBLANK(AQ18:AT18)&gt;0,"",ROUND(AVERAGE(INDEX('SCORING MASTER'!$D$80:$D$82,MATCH(AQ18,'SCORING MASTER'!$C$80:$C$82,0)),INDEX('SCORING MASTER'!$D$84:$D$86,MATCH(AR18,'SCORING MASTER'!$C$84:$C$86,0)),INDEX('SCORING MASTER'!$D$88:$D$90,MATCH(AS18,'SCORING MASTER'!$C$88:$C$90,0)),INDEX('SCORING MASTER'!$D$92:$D$93,MATCH(AT18,'SCORING MASTER'!$C$92:$C$93,0)))*20,0))</f>
        <v/>
      </c>
      <c r="BL18" s="31" t="str">
        <f aca="false">IF(COUNTBLANK(BA18:BE18)&gt;0,"",ROUND(AVERAGE(INDEX('SCORING MASTER'!$D$113:$D$115,MATCH(BA18,'SCORING MASTER'!$C$113:$C$115,0)),INDEX('SCORING MASTER'!$D$117:$D$119,MATCH(BB18,'SCORING MASTER'!$C$117:$C$119,0)),INDEX('SCORING MASTER'!$D$121:$D$123,MATCH(BC18,'SCORING MASTER'!$C$121:$C$123,0)),INDEX('SCORING MASTER'!$D$125:$D$126,MATCH(BD18,'SCORING MASTER'!$C$125:$C$126,0)),INDEX('SCORING MASTER'!$D$128:$D$129,MATCH(BE18,'SCORING MASTER'!$C$128:$C$129,0)))*20,0))</f>
        <v/>
      </c>
      <c r="BM18" s="31" t="str">
        <f aca="false">IF(OR(BF18="",BG18="",BH18="",BI18="",BJ18="",BK18="",BL18=""),"",ROUND(BF18*0.25+BG18*0.2+BH18*0.15+BI18*0.15+BJ18*0.1+BK18*0.1+BL18*0.05,0))</f>
        <v/>
      </c>
      <c r="BN18" s="31" t="str">
        <f aca="false">IF(OR(BF18="",BG18=""),"",ROUND(BF18*0.5+BG18*0.5,0))</f>
        <v/>
      </c>
      <c r="BO18" s="31" t="str">
        <f aca="false">IF(BN18="","",ROUND(MIN(100,MAX(0,(100-BN18)+IF(AL18="Yes",15,0)+IF(AM18="Yes",15,0)+IF(AND(U18&lt;&gt;"",U18&lt;18.5),20,0))),0))</f>
        <v/>
      </c>
      <c r="BP18" s="28" t="str">
        <f aca="false">IF(BM18="","",IF(BM18&gt;=90,"Green - Healthy",IF(BM18&gt;=75,"Light Green - Mild Watch",IF(BM18&gt;=60,"Yellow - Mild Risk",IF(BM18&gt;=40,"Orange - Moderate Risk","Red - High Risk")))))</f>
        <v/>
      </c>
      <c r="BQ18" s="28" t="str">
        <f aca="false">IF(BM18="","",IF(OR(BM18&lt;60,BO18&gt;=60,AJ18="Yes"),"Yes","No"))</f>
        <v/>
      </c>
      <c r="BR18" s="28" t="str">
        <f aca="false">IF(BM18="","",IF(OR(BP18="Orange - Moderate Risk",BP18="Red - High Risk",BQ18="Yes"),"Yes","No"))</f>
        <v/>
      </c>
    </row>
    <row r="19" customFormat="false" ht="15" hidden="false" customHeight="false" outlineLevel="0" collapsed="false">
      <c r="A19" s="32" t="str">
        <f aca="false">IF(I19="","","STU"&amp;TEXT(ROW()-3,"000000"))</f>
        <v/>
      </c>
      <c r="B19" s="32"/>
      <c r="C19" s="32"/>
      <c r="D19" s="32"/>
      <c r="E19" s="32"/>
      <c r="F19" s="32"/>
      <c r="G19" s="32"/>
      <c r="H19" s="32"/>
      <c r="I19" s="32"/>
      <c r="J19" s="34"/>
      <c r="K19" s="32"/>
      <c r="L19" s="32"/>
      <c r="M19" s="32"/>
      <c r="N19" s="32"/>
      <c r="O19" s="32"/>
      <c r="P19" s="32"/>
      <c r="Q19" s="34"/>
      <c r="R19" s="34"/>
      <c r="S19" s="35" t="str">
        <f aca="false">IF(OR(Q19="",R19=""),"",ROUND(R19/((Q19/100)^2),1))</f>
        <v/>
      </c>
      <c r="T19" s="32" t="str">
        <f aca="false">IF(S19="","",IF(S19&lt;18.5,"Underweight",IF(S19&lt;25,"Normal",IF(S19&lt;30,"Overweight","Obese"))))</f>
        <v/>
      </c>
      <c r="U19" s="34"/>
      <c r="V19" s="34"/>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5" t="str">
        <f aca="false">IF(T19="","",IF(T19="Normal",100,IF(T19="Overweight",65,IF(T19="Obese",50,IF(AND(U19&lt;&gt;"",U19&lt;18.5),30,45)))))</f>
        <v/>
      </c>
      <c r="BG19" s="35" t="str">
        <f aca="false">IF(COUNTBLANK(W19:AC19)&gt;0,"",ROUND(AVERAGE(INDEX('SCORING MASTER'!$D$5:$D$7,MATCH(W19,'SCORING MASTER'!$C$5:$C$7,0)),INDEX('SCORING MASTER'!$D$9:$D$11,MATCH(X19,'SCORING MASTER'!$C$9:$C$11,0)),INDEX('SCORING MASTER'!$D$13:$D$15,MATCH(Y19,'SCORING MASTER'!$C$13:$C$15,0)),INDEX('SCORING MASTER'!$D$17:$D$19,MATCH(Z19,'SCORING MASTER'!$C$17:$C$19,0)),INDEX('SCORING MASTER'!$D$21:$D$23,MATCH(AA19,'SCORING MASTER'!$C$21:$C$23,0)),INDEX('SCORING MASTER'!$D$25:$D$27,MATCH(AB19,'SCORING MASTER'!$C$25:$C$27,0)),INDEX('SCORING MASTER'!$D$29:$D$31,MATCH(AC19,'SCORING MASTER'!$C$29:$C$31,0)))*20,0))</f>
        <v/>
      </c>
      <c r="BH19" s="35" t="str">
        <f aca="false">IF(COUNTBLANK(AD19:AI19)&gt;0,"",ROUND(AVERAGE(INDEX('SCORING MASTER'!$D$33:$D$35,MATCH(AD19,'SCORING MASTER'!$C$33:$C$35,0)),INDEX('SCORING MASTER'!$D$37:$D$39,MATCH(AE19,'SCORING MASTER'!$C$37:$C$39,0)),INDEX('SCORING MASTER'!$D$41:$D$43,MATCH(AF19,'SCORING MASTER'!$C$41:$C$43,0)),INDEX('SCORING MASTER'!$D$45:$D$47,MATCH(AG19,'SCORING MASTER'!$C$45:$C$47,0)),INDEX('SCORING MASTER'!$D$49:$D$52,MATCH(AH19,'SCORING MASTER'!$C$49:$C$52,0)),INDEX('SCORING MASTER'!$D$54:$D$57,MATCH(AI19,'SCORING MASTER'!$C$54:$C$57,0)))*20,0))</f>
        <v/>
      </c>
      <c r="BI19" s="35" t="str">
        <f aca="false">IF(COUNTBLANK(AJ19:AP19)&gt;0,"",ROUND(AVERAGE(INDEX('SCORING MASTER'!$D$59:$D$60,MATCH(AJ19,'SCORING MASTER'!$C$59:$C$60,0)),INDEX('SCORING MASTER'!$D$62:$D$63,MATCH(AK19,'SCORING MASTER'!$C$62:$C$63,0)),INDEX('SCORING MASTER'!$D$65:$D$66,MATCH(AL19,'SCORING MASTER'!$C$65:$C$66,0)),INDEX('SCORING MASTER'!$D$68:$D$69,MATCH(AM19,'SCORING MASTER'!$C$68:$C$69,0)),INDEX('SCORING MASTER'!$D$71:$D$72,MATCH(AN19,'SCORING MASTER'!$C$71:$C$72,0)),INDEX('SCORING MASTER'!$D$74:$D$75,MATCH(AO19,'SCORING MASTER'!$C$74:$C$75,0)),INDEX('SCORING MASTER'!$D$77:$D$78,MATCH(AP19,'SCORING MASTER'!$C$77:$C$78,0)))*20,0))</f>
        <v/>
      </c>
      <c r="BJ19" s="35" t="str">
        <f aca="false">IF(COUNTBLANK(AU19:AZ19)&gt;0,"",ROUND(AVERAGE(INDEX('SCORING MASTER'!$D$95:$D$96,MATCH(AU19,'SCORING MASTER'!$C$95:$C$96,0)),INDEX('SCORING MASTER'!$D$98:$D$99,MATCH(AV19,'SCORING MASTER'!$C$98:$C$99,0)),INDEX('SCORING MASTER'!$D$101:$D$102,MATCH(AW19,'SCORING MASTER'!$C$101:$C$102,0)),INDEX('SCORING MASTER'!$D$104:$D$105,MATCH(AX19,'SCORING MASTER'!$C$104:$C$105,0)),INDEX('SCORING MASTER'!$D$107:$D$108,MATCH(AY19,'SCORING MASTER'!$C$107:$C$108,0)),INDEX('SCORING MASTER'!$D$110:$D$111,MATCH(AZ19,'SCORING MASTER'!$C$110:$C$111,0)))*20,0))</f>
        <v/>
      </c>
      <c r="BK19" s="35" t="str">
        <f aca="false">IF(COUNTBLANK(AQ19:AT19)&gt;0,"",ROUND(AVERAGE(INDEX('SCORING MASTER'!$D$80:$D$82,MATCH(AQ19,'SCORING MASTER'!$C$80:$C$82,0)),INDEX('SCORING MASTER'!$D$84:$D$86,MATCH(AR19,'SCORING MASTER'!$C$84:$C$86,0)),INDEX('SCORING MASTER'!$D$88:$D$90,MATCH(AS19,'SCORING MASTER'!$C$88:$C$90,0)),INDEX('SCORING MASTER'!$D$92:$D$93,MATCH(AT19,'SCORING MASTER'!$C$92:$C$93,0)))*20,0))</f>
        <v/>
      </c>
      <c r="BL19" s="35" t="str">
        <f aca="false">IF(COUNTBLANK(BA19:BE19)&gt;0,"",ROUND(AVERAGE(INDEX('SCORING MASTER'!$D$113:$D$115,MATCH(BA19,'SCORING MASTER'!$C$113:$C$115,0)),INDEX('SCORING MASTER'!$D$117:$D$119,MATCH(BB19,'SCORING MASTER'!$C$117:$C$119,0)),INDEX('SCORING MASTER'!$D$121:$D$123,MATCH(BC19,'SCORING MASTER'!$C$121:$C$123,0)),INDEX('SCORING MASTER'!$D$125:$D$126,MATCH(BD19,'SCORING MASTER'!$C$125:$C$126,0)),INDEX('SCORING MASTER'!$D$128:$D$129,MATCH(BE19,'SCORING MASTER'!$C$128:$C$129,0)))*20,0))</f>
        <v/>
      </c>
      <c r="BM19" s="35" t="str">
        <f aca="false">IF(OR(BF19="",BG19="",BH19="",BI19="",BJ19="",BK19="",BL19=""),"",ROUND(BF19*0.25+BG19*0.2+BH19*0.15+BI19*0.15+BJ19*0.1+BK19*0.1+BL19*0.05,0))</f>
        <v/>
      </c>
      <c r="BN19" s="35" t="str">
        <f aca="false">IF(OR(BF19="",BG19=""),"",ROUND(BF19*0.5+BG19*0.5,0))</f>
        <v/>
      </c>
      <c r="BO19" s="35" t="str">
        <f aca="false">IF(BN19="","",ROUND(MIN(100,MAX(0,(100-BN19)+IF(AL19="Yes",15,0)+IF(AM19="Yes",15,0)+IF(AND(U19&lt;&gt;"",U19&lt;18.5),20,0))),0))</f>
        <v/>
      </c>
      <c r="BP19" s="32" t="str">
        <f aca="false">IF(BM19="","",IF(BM19&gt;=90,"Green - Healthy",IF(BM19&gt;=75,"Light Green - Mild Watch",IF(BM19&gt;=60,"Yellow - Mild Risk",IF(BM19&gt;=40,"Orange - Moderate Risk","Red - High Risk")))))</f>
        <v/>
      </c>
      <c r="BQ19" s="32" t="str">
        <f aca="false">IF(BM19="","",IF(OR(BM19&lt;60,BO19&gt;=60,AJ19="Yes"),"Yes","No"))</f>
        <v/>
      </c>
      <c r="BR19" s="32" t="str">
        <f aca="false">IF(BM19="","",IF(OR(BP19="Orange - Moderate Risk",BP19="Red - High Risk",BQ19="Yes"),"Yes","No"))</f>
        <v/>
      </c>
    </row>
    <row r="20" customFormat="false" ht="15" hidden="false" customHeight="false" outlineLevel="0" collapsed="false">
      <c r="A20" s="28" t="str">
        <f aca="false">IF(I20="","","STU"&amp;TEXT(ROW()-3,"000000"))</f>
        <v/>
      </c>
      <c r="B20" s="28"/>
      <c r="C20" s="28"/>
      <c r="D20" s="28"/>
      <c r="E20" s="28"/>
      <c r="F20" s="28"/>
      <c r="G20" s="28"/>
      <c r="H20" s="28"/>
      <c r="I20" s="28"/>
      <c r="J20" s="30"/>
      <c r="K20" s="28"/>
      <c r="L20" s="28"/>
      <c r="M20" s="28"/>
      <c r="N20" s="28"/>
      <c r="O20" s="28"/>
      <c r="P20" s="28"/>
      <c r="Q20" s="30"/>
      <c r="R20" s="30"/>
      <c r="S20" s="31" t="str">
        <f aca="false">IF(OR(Q20="",R20=""),"",ROUND(R20/((Q20/100)^2),1))</f>
        <v/>
      </c>
      <c r="T20" s="28" t="str">
        <f aca="false">IF(S20="","",IF(S20&lt;18.5,"Underweight",IF(S20&lt;25,"Normal",IF(S20&lt;30,"Overweight","Obese"))))</f>
        <v/>
      </c>
      <c r="U20" s="30"/>
      <c r="V20" s="30"/>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31" t="str">
        <f aca="false">IF(T20="","",IF(T20="Normal",100,IF(T20="Overweight",65,IF(T20="Obese",50,IF(AND(U20&lt;&gt;"",U20&lt;18.5),30,45)))))</f>
        <v/>
      </c>
      <c r="BG20" s="31" t="str">
        <f aca="false">IF(COUNTBLANK(W20:AC20)&gt;0,"",ROUND(AVERAGE(INDEX('SCORING MASTER'!$D$5:$D$7,MATCH(W20,'SCORING MASTER'!$C$5:$C$7,0)),INDEX('SCORING MASTER'!$D$9:$D$11,MATCH(X20,'SCORING MASTER'!$C$9:$C$11,0)),INDEX('SCORING MASTER'!$D$13:$D$15,MATCH(Y20,'SCORING MASTER'!$C$13:$C$15,0)),INDEX('SCORING MASTER'!$D$17:$D$19,MATCH(Z20,'SCORING MASTER'!$C$17:$C$19,0)),INDEX('SCORING MASTER'!$D$21:$D$23,MATCH(AA20,'SCORING MASTER'!$C$21:$C$23,0)),INDEX('SCORING MASTER'!$D$25:$D$27,MATCH(AB20,'SCORING MASTER'!$C$25:$C$27,0)),INDEX('SCORING MASTER'!$D$29:$D$31,MATCH(AC20,'SCORING MASTER'!$C$29:$C$31,0)))*20,0))</f>
        <v/>
      </c>
      <c r="BH20" s="31" t="str">
        <f aca="false">IF(COUNTBLANK(AD20:AI20)&gt;0,"",ROUND(AVERAGE(INDEX('SCORING MASTER'!$D$33:$D$35,MATCH(AD20,'SCORING MASTER'!$C$33:$C$35,0)),INDEX('SCORING MASTER'!$D$37:$D$39,MATCH(AE20,'SCORING MASTER'!$C$37:$C$39,0)),INDEX('SCORING MASTER'!$D$41:$D$43,MATCH(AF20,'SCORING MASTER'!$C$41:$C$43,0)),INDEX('SCORING MASTER'!$D$45:$D$47,MATCH(AG20,'SCORING MASTER'!$C$45:$C$47,0)),INDEX('SCORING MASTER'!$D$49:$D$52,MATCH(AH20,'SCORING MASTER'!$C$49:$C$52,0)),INDEX('SCORING MASTER'!$D$54:$D$57,MATCH(AI20,'SCORING MASTER'!$C$54:$C$57,0)))*20,0))</f>
        <v/>
      </c>
      <c r="BI20" s="31" t="str">
        <f aca="false">IF(COUNTBLANK(AJ20:AP20)&gt;0,"",ROUND(AVERAGE(INDEX('SCORING MASTER'!$D$59:$D$60,MATCH(AJ20,'SCORING MASTER'!$C$59:$C$60,0)),INDEX('SCORING MASTER'!$D$62:$D$63,MATCH(AK20,'SCORING MASTER'!$C$62:$C$63,0)),INDEX('SCORING MASTER'!$D$65:$D$66,MATCH(AL20,'SCORING MASTER'!$C$65:$C$66,0)),INDEX('SCORING MASTER'!$D$68:$D$69,MATCH(AM20,'SCORING MASTER'!$C$68:$C$69,0)),INDEX('SCORING MASTER'!$D$71:$D$72,MATCH(AN20,'SCORING MASTER'!$C$71:$C$72,0)),INDEX('SCORING MASTER'!$D$74:$D$75,MATCH(AO20,'SCORING MASTER'!$C$74:$C$75,0)),INDEX('SCORING MASTER'!$D$77:$D$78,MATCH(AP20,'SCORING MASTER'!$C$77:$C$78,0)))*20,0))</f>
        <v/>
      </c>
      <c r="BJ20" s="31" t="str">
        <f aca="false">IF(COUNTBLANK(AU20:AZ20)&gt;0,"",ROUND(AVERAGE(INDEX('SCORING MASTER'!$D$95:$D$96,MATCH(AU20,'SCORING MASTER'!$C$95:$C$96,0)),INDEX('SCORING MASTER'!$D$98:$D$99,MATCH(AV20,'SCORING MASTER'!$C$98:$C$99,0)),INDEX('SCORING MASTER'!$D$101:$D$102,MATCH(AW20,'SCORING MASTER'!$C$101:$C$102,0)),INDEX('SCORING MASTER'!$D$104:$D$105,MATCH(AX20,'SCORING MASTER'!$C$104:$C$105,0)),INDEX('SCORING MASTER'!$D$107:$D$108,MATCH(AY20,'SCORING MASTER'!$C$107:$C$108,0)),INDEX('SCORING MASTER'!$D$110:$D$111,MATCH(AZ20,'SCORING MASTER'!$C$110:$C$111,0)))*20,0))</f>
        <v/>
      </c>
      <c r="BK20" s="31" t="str">
        <f aca="false">IF(COUNTBLANK(AQ20:AT20)&gt;0,"",ROUND(AVERAGE(INDEX('SCORING MASTER'!$D$80:$D$82,MATCH(AQ20,'SCORING MASTER'!$C$80:$C$82,0)),INDEX('SCORING MASTER'!$D$84:$D$86,MATCH(AR20,'SCORING MASTER'!$C$84:$C$86,0)),INDEX('SCORING MASTER'!$D$88:$D$90,MATCH(AS20,'SCORING MASTER'!$C$88:$C$90,0)),INDEX('SCORING MASTER'!$D$92:$D$93,MATCH(AT20,'SCORING MASTER'!$C$92:$C$93,0)))*20,0))</f>
        <v/>
      </c>
      <c r="BL20" s="31" t="str">
        <f aca="false">IF(COUNTBLANK(BA20:BE20)&gt;0,"",ROUND(AVERAGE(INDEX('SCORING MASTER'!$D$113:$D$115,MATCH(BA20,'SCORING MASTER'!$C$113:$C$115,0)),INDEX('SCORING MASTER'!$D$117:$D$119,MATCH(BB20,'SCORING MASTER'!$C$117:$C$119,0)),INDEX('SCORING MASTER'!$D$121:$D$123,MATCH(BC20,'SCORING MASTER'!$C$121:$C$123,0)),INDEX('SCORING MASTER'!$D$125:$D$126,MATCH(BD20,'SCORING MASTER'!$C$125:$C$126,0)),INDEX('SCORING MASTER'!$D$128:$D$129,MATCH(BE20,'SCORING MASTER'!$C$128:$C$129,0)))*20,0))</f>
        <v/>
      </c>
      <c r="BM20" s="31" t="str">
        <f aca="false">IF(OR(BF20="",BG20="",BH20="",BI20="",BJ20="",BK20="",BL20=""),"",ROUND(BF20*0.25+BG20*0.2+BH20*0.15+BI20*0.15+BJ20*0.1+BK20*0.1+BL20*0.05,0))</f>
        <v/>
      </c>
      <c r="BN20" s="31" t="str">
        <f aca="false">IF(OR(BF20="",BG20=""),"",ROUND(BF20*0.5+BG20*0.5,0))</f>
        <v/>
      </c>
      <c r="BO20" s="31" t="str">
        <f aca="false">IF(BN20="","",ROUND(MIN(100,MAX(0,(100-BN20)+IF(AL20="Yes",15,0)+IF(AM20="Yes",15,0)+IF(AND(U20&lt;&gt;"",U20&lt;18.5),20,0))),0))</f>
        <v/>
      </c>
      <c r="BP20" s="28" t="str">
        <f aca="false">IF(BM20="","",IF(BM20&gt;=90,"Green - Healthy",IF(BM20&gt;=75,"Light Green - Mild Watch",IF(BM20&gt;=60,"Yellow - Mild Risk",IF(BM20&gt;=40,"Orange - Moderate Risk","Red - High Risk")))))</f>
        <v/>
      </c>
      <c r="BQ20" s="28" t="str">
        <f aca="false">IF(BM20="","",IF(OR(BM20&lt;60,BO20&gt;=60,AJ20="Yes"),"Yes","No"))</f>
        <v/>
      </c>
      <c r="BR20" s="28" t="str">
        <f aca="false">IF(BM20="","",IF(OR(BP20="Orange - Moderate Risk",BP20="Red - High Risk",BQ20="Yes"),"Yes","No"))</f>
        <v/>
      </c>
    </row>
    <row r="21" customFormat="false" ht="15" hidden="false" customHeight="false" outlineLevel="0" collapsed="false">
      <c r="A21" s="32" t="str">
        <f aca="false">IF(I21="","","STU"&amp;TEXT(ROW()-3,"000000"))</f>
        <v/>
      </c>
      <c r="B21" s="32"/>
      <c r="C21" s="32"/>
      <c r="D21" s="32"/>
      <c r="E21" s="32"/>
      <c r="F21" s="32"/>
      <c r="G21" s="32"/>
      <c r="H21" s="32"/>
      <c r="I21" s="32"/>
      <c r="J21" s="34"/>
      <c r="K21" s="32"/>
      <c r="L21" s="32"/>
      <c r="M21" s="32"/>
      <c r="N21" s="32"/>
      <c r="O21" s="32"/>
      <c r="P21" s="32"/>
      <c r="Q21" s="34"/>
      <c r="R21" s="34"/>
      <c r="S21" s="35" t="str">
        <f aca="false">IF(OR(Q21="",R21=""),"",ROUND(R21/((Q21/100)^2),1))</f>
        <v/>
      </c>
      <c r="T21" s="32" t="str">
        <f aca="false">IF(S21="","",IF(S21&lt;18.5,"Underweight",IF(S21&lt;25,"Normal",IF(S21&lt;30,"Overweight","Obese"))))</f>
        <v/>
      </c>
      <c r="U21" s="34"/>
      <c r="V21" s="34"/>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5" t="str">
        <f aca="false">IF(T21="","",IF(T21="Normal",100,IF(T21="Overweight",65,IF(T21="Obese",50,IF(AND(U21&lt;&gt;"",U21&lt;18.5),30,45)))))</f>
        <v/>
      </c>
      <c r="BG21" s="35" t="str">
        <f aca="false">IF(COUNTBLANK(W21:AC21)&gt;0,"",ROUND(AVERAGE(INDEX('SCORING MASTER'!$D$5:$D$7,MATCH(W21,'SCORING MASTER'!$C$5:$C$7,0)),INDEX('SCORING MASTER'!$D$9:$D$11,MATCH(X21,'SCORING MASTER'!$C$9:$C$11,0)),INDEX('SCORING MASTER'!$D$13:$D$15,MATCH(Y21,'SCORING MASTER'!$C$13:$C$15,0)),INDEX('SCORING MASTER'!$D$17:$D$19,MATCH(Z21,'SCORING MASTER'!$C$17:$C$19,0)),INDEX('SCORING MASTER'!$D$21:$D$23,MATCH(AA21,'SCORING MASTER'!$C$21:$C$23,0)),INDEX('SCORING MASTER'!$D$25:$D$27,MATCH(AB21,'SCORING MASTER'!$C$25:$C$27,0)),INDEX('SCORING MASTER'!$D$29:$D$31,MATCH(AC21,'SCORING MASTER'!$C$29:$C$31,0)))*20,0))</f>
        <v/>
      </c>
      <c r="BH21" s="35" t="str">
        <f aca="false">IF(COUNTBLANK(AD21:AI21)&gt;0,"",ROUND(AVERAGE(INDEX('SCORING MASTER'!$D$33:$D$35,MATCH(AD21,'SCORING MASTER'!$C$33:$C$35,0)),INDEX('SCORING MASTER'!$D$37:$D$39,MATCH(AE21,'SCORING MASTER'!$C$37:$C$39,0)),INDEX('SCORING MASTER'!$D$41:$D$43,MATCH(AF21,'SCORING MASTER'!$C$41:$C$43,0)),INDEX('SCORING MASTER'!$D$45:$D$47,MATCH(AG21,'SCORING MASTER'!$C$45:$C$47,0)),INDEX('SCORING MASTER'!$D$49:$D$52,MATCH(AH21,'SCORING MASTER'!$C$49:$C$52,0)),INDEX('SCORING MASTER'!$D$54:$D$57,MATCH(AI21,'SCORING MASTER'!$C$54:$C$57,0)))*20,0))</f>
        <v/>
      </c>
      <c r="BI21" s="35" t="str">
        <f aca="false">IF(COUNTBLANK(AJ21:AP21)&gt;0,"",ROUND(AVERAGE(INDEX('SCORING MASTER'!$D$59:$D$60,MATCH(AJ21,'SCORING MASTER'!$C$59:$C$60,0)),INDEX('SCORING MASTER'!$D$62:$D$63,MATCH(AK21,'SCORING MASTER'!$C$62:$C$63,0)),INDEX('SCORING MASTER'!$D$65:$D$66,MATCH(AL21,'SCORING MASTER'!$C$65:$C$66,0)),INDEX('SCORING MASTER'!$D$68:$D$69,MATCH(AM21,'SCORING MASTER'!$C$68:$C$69,0)),INDEX('SCORING MASTER'!$D$71:$D$72,MATCH(AN21,'SCORING MASTER'!$C$71:$C$72,0)),INDEX('SCORING MASTER'!$D$74:$D$75,MATCH(AO21,'SCORING MASTER'!$C$74:$C$75,0)),INDEX('SCORING MASTER'!$D$77:$D$78,MATCH(AP21,'SCORING MASTER'!$C$77:$C$78,0)))*20,0))</f>
        <v/>
      </c>
      <c r="BJ21" s="35" t="str">
        <f aca="false">IF(COUNTBLANK(AU21:AZ21)&gt;0,"",ROUND(AVERAGE(INDEX('SCORING MASTER'!$D$95:$D$96,MATCH(AU21,'SCORING MASTER'!$C$95:$C$96,0)),INDEX('SCORING MASTER'!$D$98:$D$99,MATCH(AV21,'SCORING MASTER'!$C$98:$C$99,0)),INDEX('SCORING MASTER'!$D$101:$D$102,MATCH(AW21,'SCORING MASTER'!$C$101:$C$102,0)),INDEX('SCORING MASTER'!$D$104:$D$105,MATCH(AX21,'SCORING MASTER'!$C$104:$C$105,0)),INDEX('SCORING MASTER'!$D$107:$D$108,MATCH(AY21,'SCORING MASTER'!$C$107:$C$108,0)),INDEX('SCORING MASTER'!$D$110:$D$111,MATCH(AZ21,'SCORING MASTER'!$C$110:$C$111,0)))*20,0))</f>
        <v/>
      </c>
      <c r="BK21" s="35" t="str">
        <f aca="false">IF(COUNTBLANK(AQ21:AT21)&gt;0,"",ROUND(AVERAGE(INDEX('SCORING MASTER'!$D$80:$D$82,MATCH(AQ21,'SCORING MASTER'!$C$80:$C$82,0)),INDEX('SCORING MASTER'!$D$84:$D$86,MATCH(AR21,'SCORING MASTER'!$C$84:$C$86,0)),INDEX('SCORING MASTER'!$D$88:$D$90,MATCH(AS21,'SCORING MASTER'!$C$88:$C$90,0)),INDEX('SCORING MASTER'!$D$92:$D$93,MATCH(AT21,'SCORING MASTER'!$C$92:$C$93,0)))*20,0))</f>
        <v/>
      </c>
      <c r="BL21" s="35" t="str">
        <f aca="false">IF(COUNTBLANK(BA21:BE21)&gt;0,"",ROUND(AVERAGE(INDEX('SCORING MASTER'!$D$113:$D$115,MATCH(BA21,'SCORING MASTER'!$C$113:$C$115,0)),INDEX('SCORING MASTER'!$D$117:$D$119,MATCH(BB21,'SCORING MASTER'!$C$117:$C$119,0)),INDEX('SCORING MASTER'!$D$121:$D$123,MATCH(BC21,'SCORING MASTER'!$C$121:$C$123,0)),INDEX('SCORING MASTER'!$D$125:$D$126,MATCH(BD21,'SCORING MASTER'!$C$125:$C$126,0)),INDEX('SCORING MASTER'!$D$128:$D$129,MATCH(BE21,'SCORING MASTER'!$C$128:$C$129,0)))*20,0))</f>
        <v/>
      </c>
      <c r="BM21" s="35" t="str">
        <f aca="false">IF(OR(BF21="",BG21="",BH21="",BI21="",BJ21="",BK21="",BL21=""),"",ROUND(BF21*0.25+BG21*0.2+BH21*0.15+BI21*0.15+BJ21*0.1+BK21*0.1+BL21*0.05,0))</f>
        <v/>
      </c>
      <c r="BN21" s="35" t="str">
        <f aca="false">IF(OR(BF21="",BG21=""),"",ROUND(BF21*0.5+BG21*0.5,0))</f>
        <v/>
      </c>
      <c r="BO21" s="35" t="str">
        <f aca="false">IF(BN21="","",ROUND(MIN(100,MAX(0,(100-BN21)+IF(AL21="Yes",15,0)+IF(AM21="Yes",15,0)+IF(AND(U21&lt;&gt;"",U21&lt;18.5),20,0))),0))</f>
        <v/>
      </c>
      <c r="BP21" s="32" t="str">
        <f aca="false">IF(BM21="","",IF(BM21&gt;=90,"Green - Healthy",IF(BM21&gt;=75,"Light Green - Mild Watch",IF(BM21&gt;=60,"Yellow - Mild Risk",IF(BM21&gt;=40,"Orange - Moderate Risk","Red - High Risk")))))</f>
        <v/>
      </c>
      <c r="BQ21" s="32" t="str">
        <f aca="false">IF(BM21="","",IF(OR(BM21&lt;60,BO21&gt;=60,AJ21="Yes"),"Yes","No"))</f>
        <v/>
      </c>
      <c r="BR21" s="32" t="str">
        <f aca="false">IF(BM21="","",IF(OR(BP21="Orange - Moderate Risk",BP21="Red - High Risk",BQ21="Yes"),"Yes","No"))</f>
        <v/>
      </c>
    </row>
    <row r="22" customFormat="false" ht="15" hidden="false" customHeight="false" outlineLevel="0" collapsed="false">
      <c r="A22" s="28" t="str">
        <f aca="false">IF(I22="","","STU"&amp;TEXT(ROW()-3,"000000"))</f>
        <v/>
      </c>
      <c r="B22" s="28"/>
      <c r="C22" s="28"/>
      <c r="D22" s="28"/>
      <c r="E22" s="28"/>
      <c r="F22" s="28"/>
      <c r="G22" s="28"/>
      <c r="H22" s="28"/>
      <c r="I22" s="28"/>
      <c r="J22" s="30"/>
      <c r="K22" s="28"/>
      <c r="L22" s="28"/>
      <c r="M22" s="28"/>
      <c r="N22" s="28"/>
      <c r="O22" s="28"/>
      <c r="P22" s="28"/>
      <c r="Q22" s="30"/>
      <c r="R22" s="30"/>
      <c r="S22" s="31" t="str">
        <f aca="false">IF(OR(Q22="",R22=""),"",ROUND(R22/((Q22/100)^2),1))</f>
        <v/>
      </c>
      <c r="T22" s="28" t="str">
        <f aca="false">IF(S22="","",IF(S22&lt;18.5,"Underweight",IF(S22&lt;25,"Normal",IF(S22&lt;30,"Overweight","Obese"))))</f>
        <v/>
      </c>
      <c r="U22" s="30"/>
      <c r="V22" s="30"/>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31" t="str">
        <f aca="false">IF(T22="","",IF(T22="Normal",100,IF(T22="Overweight",65,IF(T22="Obese",50,IF(AND(U22&lt;&gt;"",U22&lt;18.5),30,45)))))</f>
        <v/>
      </c>
      <c r="BG22" s="31" t="str">
        <f aca="false">IF(COUNTBLANK(W22:AC22)&gt;0,"",ROUND(AVERAGE(INDEX('SCORING MASTER'!$D$5:$D$7,MATCH(W22,'SCORING MASTER'!$C$5:$C$7,0)),INDEX('SCORING MASTER'!$D$9:$D$11,MATCH(X22,'SCORING MASTER'!$C$9:$C$11,0)),INDEX('SCORING MASTER'!$D$13:$D$15,MATCH(Y22,'SCORING MASTER'!$C$13:$C$15,0)),INDEX('SCORING MASTER'!$D$17:$D$19,MATCH(Z22,'SCORING MASTER'!$C$17:$C$19,0)),INDEX('SCORING MASTER'!$D$21:$D$23,MATCH(AA22,'SCORING MASTER'!$C$21:$C$23,0)),INDEX('SCORING MASTER'!$D$25:$D$27,MATCH(AB22,'SCORING MASTER'!$C$25:$C$27,0)),INDEX('SCORING MASTER'!$D$29:$D$31,MATCH(AC22,'SCORING MASTER'!$C$29:$C$31,0)))*20,0))</f>
        <v/>
      </c>
      <c r="BH22" s="31" t="str">
        <f aca="false">IF(COUNTBLANK(AD22:AI22)&gt;0,"",ROUND(AVERAGE(INDEX('SCORING MASTER'!$D$33:$D$35,MATCH(AD22,'SCORING MASTER'!$C$33:$C$35,0)),INDEX('SCORING MASTER'!$D$37:$D$39,MATCH(AE22,'SCORING MASTER'!$C$37:$C$39,0)),INDEX('SCORING MASTER'!$D$41:$D$43,MATCH(AF22,'SCORING MASTER'!$C$41:$C$43,0)),INDEX('SCORING MASTER'!$D$45:$D$47,MATCH(AG22,'SCORING MASTER'!$C$45:$C$47,0)),INDEX('SCORING MASTER'!$D$49:$D$52,MATCH(AH22,'SCORING MASTER'!$C$49:$C$52,0)),INDEX('SCORING MASTER'!$D$54:$D$57,MATCH(AI22,'SCORING MASTER'!$C$54:$C$57,0)))*20,0))</f>
        <v/>
      </c>
      <c r="BI22" s="31" t="str">
        <f aca="false">IF(COUNTBLANK(AJ22:AP22)&gt;0,"",ROUND(AVERAGE(INDEX('SCORING MASTER'!$D$59:$D$60,MATCH(AJ22,'SCORING MASTER'!$C$59:$C$60,0)),INDEX('SCORING MASTER'!$D$62:$D$63,MATCH(AK22,'SCORING MASTER'!$C$62:$C$63,0)),INDEX('SCORING MASTER'!$D$65:$D$66,MATCH(AL22,'SCORING MASTER'!$C$65:$C$66,0)),INDEX('SCORING MASTER'!$D$68:$D$69,MATCH(AM22,'SCORING MASTER'!$C$68:$C$69,0)),INDEX('SCORING MASTER'!$D$71:$D$72,MATCH(AN22,'SCORING MASTER'!$C$71:$C$72,0)),INDEX('SCORING MASTER'!$D$74:$D$75,MATCH(AO22,'SCORING MASTER'!$C$74:$C$75,0)),INDEX('SCORING MASTER'!$D$77:$D$78,MATCH(AP22,'SCORING MASTER'!$C$77:$C$78,0)))*20,0))</f>
        <v/>
      </c>
      <c r="BJ22" s="31" t="str">
        <f aca="false">IF(COUNTBLANK(AU22:AZ22)&gt;0,"",ROUND(AVERAGE(INDEX('SCORING MASTER'!$D$95:$D$96,MATCH(AU22,'SCORING MASTER'!$C$95:$C$96,0)),INDEX('SCORING MASTER'!$D$98:$D$99,MATCH(AV22,'SCORING MASTER'!$C$98:$C$99,0)),INDEX('SCORING MASTER'!$D$101:$D$102,MATCH(AW22,'SCORING MASTER'!$C$101:$C$102,0)),INDEX('SCORING MASTER'!$D$104:$D$105,MATCH(AX22,'SCORING MASTER'!$C$104:$C$105,0)),INDEX('SCORING MASTER'!$D$107:$D$108,MATCH(AY22,'SCORING MASTER'!$C$107:$C$108,0)),INDEX('SCORING MASTER'!$D$110:$D$111,MATCH(AZ22,'SCORING MASTER'!$C$110:$C$111,0)))*20,0))</f>
        <v/>
      </c>
      <c r="BK22" s="31" t="str">
        <f aca="false">IF(COUNTBLANK(AQ22:AT22)&gt;0,"",ROUND(AVERAGE(INDEX('SCORING MASTER'!$D$80:$D$82,MATCH(AQ22,'SCORING MASTER'!$C$80:$C$82,0)),INDEX('SCORING MASTER'!$D$84:$D$86,MATCH(AR22,'SCORING MASTER'!$C$84:$C$86,0)),INDEX('SCORING MASTER'!$D$88:$D$90,MATCH(AS22,'SCORING MASTER'!$C$88:$C$90,0)),INDEX('SCORING MASTER'!$D$92:$D$93,MATCH(AT22,'SCORING MASTER'!$C$92:$C$93,0)))*20,0))</f>
        <v/>
      </c>
      <c r="BL22" s="31" t="str">
        <f aca="false">IF(COUNTBLANK(BA22:BE22)&gt;0,"",ROUND(AVERAGE(INDEX('SCORING MASTER'!$D$113:$D$115,MATCH(BA22,'SCORING MASTER'!$C$113:$C$115,0)),INDEX('SCORING MASTER'!$D$117:$D$119,MATCH(BB22,'SCORING MASTER'!$C$117:$C$119,0)),INDEX('SCORING MASTER'!$D$121:$D$123,MATCH(BC22,'SCORING MASTER'!$C$121:$C$123,0)),INDEX('SCORING MASTER'!$D$125:$D$126,MATCH(BD22,'SCORING MASTER'!$C$125:$C$126,0)),INDEX('SCORING MASTER'!$D$128:$D$129,MATCH(BE22,'SCORING MASTER'!$C$128:$C$129,0)))*20,0))</f>
        <v/>
      </c>
      <c r="BM22" s="31" t="str">
        <f aca="false">IF(OR(BF22="",BG22="",BH22="",BI22="",BJ22="",BK22="",BL22=""),"",ROUND(BF22*0.25+BG22*0.2+BH22*0.15+BI22*0.15+BJ22*0.1+BK22*0.1+BL22*0.05,0))</f>
        <v/>
      </c>
      <c r="BN22" s="31" t="str">
        <f aca="false">IF(OR(BF22="",BG22=""),"",ROUND(BF22*0.5+BG22*0.5,0))</f>
        <v/>
      </c>
      <c r="BO22" s="31" t="str">
        <f aca="false">IF(BN22="","",ROUND(MIN(100,MAX(0,(100-BN22)+IF(AL22="Yes",15,0)+IF(AM22="Yes",15,0)+IF(AND(U22&lt;&gt;"",U22&lt;18.5),20,0))),0))</f>
        <v/>
      </c>
      <c r="BP22" s="28" t="str">
        <f aca="false">IF(BM22="","",IF(BM22&gt;=90,"Green - Healthy",IF(BM22&gt;=75,"Light Green - Mild Watch",IF(BM22&gt;=60,"Yellow - Mild Risk",IF(BM22&gt;=40,"Orange - Moderate Risk","Red - High Risk")))))</f>
        <v/>
      </c>
      <c r="BQ22" s="28" t="str">
        <f aca="false">IF(BM22="","",IF(OR(BM22&lt;60,BO22&gt;=60,AJ22="Yes"),"Yes","No"))</f>
        <v/>
      </c>
      <c r="BR22" s="28" t="str">
        <f aca="false">IF(BM22="","",IF(OR(BP22="Orange - Moderate Risk",BP22="Red - High Risk",BQ22="Yes"),"Yes","No"))</f>
        <v/>
      </c>
    </row>
    <row r="23" customFormat="false" ht="15" hidden="false" customHeight="false" outlineLevel="0" collapsed="false">
      <c r="A23" s="32" t="str">
        <f aca="false">IF(I23="","","STU"&amp;TEXT(ROW()-3,"000000"))</f>
        <v/>
      </c>
      <c r="B23" s="32"/>
      <c r="C23" s="32"/>
      <c r="D23" s="32"/>
      <c r="E23" s="32"/>
      <c r="F23" s="32"/>
      <c r="G23" s="32"/>
      <c r="H23" s="32"/>
      <c r="I23" s="32"/>
      <c r="J23" s="34"/>
      <c r="K23" s="32"/>
      <c r="L23" s="32"/>
      <c r="M23" s="32"/>
      <c r="N23" s="32"/>
      <c r="O23" s="32"/>
      <c r="P23" s="32"/>
      <c r="Q23" s="34"/>
      <c r="R23" s="34"/>
      <c r="S23" s="35" t="str">
        <f aca="false">IF(OR(Q23="",R23=""),"",ROUND(R23/((Q23/100)^2),1))</f>
        <v/>
      </c>
      <c r="T23" s="32" t="str">
        <f aca="false">IF(S23="","",IF(S23&lt;18.5,"Underweight",IF(S23&lt;25,"Normal",IF(S23&lt;30,"Overweight","Obese"))))</f>
        <v/>
      </c>
      <c r="U23" s="34"/>
      <c r="V23" s="34"/>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5" t="str">
        <f aca="false">IF(T23="","",IF(T23="Normal",100,IF(T23="Overweight",65,IF(T23="Obese",50,IF(AND(U23&lt;&gt;"",U23&lt;18.5),30,45)))))</f>
        <v/>
      </c>
      <c r="BG23" s="35" t="str">
        <f aca="false">IF(COUNTBLANK(W23:AC23)&gt;0,"",ROUND(AVERAGE(INDEX('SCORING MASTER'!$D$5:$D$7,MATCH(W23,'SCORING MASTER'!$C$5:$C$7,0)),INDEX('SCORING MASTER'!$D$9:$D$11,MATCH(X23,'SCORING MASTER'!$C$9:$C$11,0)),INDEX('SCORING MASTER'!$D$13:$D$15,MATCH(Y23,'SCORING MASTER'!$C$13:$C$15,0)),INDEX('SCORING MASTER'!$D$17:$D$19,MATCH(Z23,'SCORING MASTER'!$C$17:$C$19,0)),INDEX('SCORING MASTER'!$D$21:$D$23,MATCH(AA23,'SCORING MASTER'!$C$21:$C$23,0)),INDEX('SCORING MASTER'!$D$25:$D$27,MATCH(AB23,'SCORING MASTER'!$C$25:$C$27,0)),INDEX('SCORING MASTER'!$D$29:$D$31,MATCH(AC23,'SCORING MASTER'!$C$29:$C$31,0)))*20,0))</f>
        <v/>
      </c>
      <c r="BH23" s="35" t="str">
        <f aca="false">IF(COUNTBLANK(AD23:AI23)&gt;0,"",ROUND(AVERAGE(INDEX('SCORING MASTER'!$D$33:$D$35,MATCH(AD23,'SCORING MASTER'!$C$33:$C$35,0)),INDEX('SCORING MASTER'!$D$37:$D$39,MATCH(AE23,'SCORING MASTER'!$C$37:$C$39,0)),INDEX('SCORING MASTER'!$D$41:$D$43,MATCH(AF23,'SCORING MASTER'!$C$41:$C$43,0)),INDEX('SCORING MASTER'!$D$45:$D$47,MATCH(AG23,'SCORING MASTER'!$C$45:$C$47,0)),INDEX('SCORING MASTER'!$D$49:$D$52,MATCH(AH23,'SCORING MASTER'!$C$49:$C$52,0)),INDEX('SCORING MASTER'!$D$54:$D$57,MATCH(AI23,'SCORING MASTER'!$C$54:$C$57,0)))*20,0))</f>
        <v/>
      </c>
      <c r="BI23" s="35" t="str">
        <f aca="false">IF(COUNTBLANK(AJ23:AP23)&gt;0,"",ROUND(AVERAGE(INDEX('SCORING MASTER'!$D$59:$D$60,MATCH(AJ23,'SCORING MASTER'!$C$59:$C$60,0)),INDEX('SCORING MASTER'!$D$62:$D$63,MATCH(AK23,'SCORING MASTER'!$C$62:$C$63,0)),INDEX('SCORING MASTER'!$D$65:$D$66,MATCH(AL23,'SCORING MASTER'!$C$65:$C$66,0)),INDEX('SCORING MASTER'!$D$68:$D$69,MATCH(AM23,'SCORING MASTER'!$C$68:$C$69,0)),INDEX('SCORING MASTER'!$D$71:$D$72,MATCH(AN23,'SCORING MASTER'!$C$71:$C$72,0)),INDEX('SCORING MASTER'!$D$74:$D$75,MATCH(AO23,'SCORING MASTER'!$C$74:$C$75,0)),INDEX('SCORING MASTER'!$D$77:$D$78,MATCH(AP23,'SCORING MASTER'!$C$77:$C$78,0)))*20,0))</f>
        <v/>
      </c>
      <c r="BJ23" s="35" t="str">
        <f aca="false">IF(COUNTBLANK(AU23:AZ23)&gt;0,"",ROUND(AVERAGE(INDEX('SCORING MASTER'!$D$95:$D$96,MATCH(AU23,'SCORING MASTER'!$C$95:$C$96,0)),INDEX('SCORING MASTER'!$D$98:$D$99,MATCH(AV23,'SCORING MASTER'!$C$98:$C$99,0)),INDEX('SCORING MASTER'!$D$101:$D$102,MATCH(AW23,'SCORING MASTER'!$C$101:$C$102,0)),INDEX('SCORING MASTER'!$D$104:$D$105,MATCH(AX23,'SCORING MASTER'!$C$104:$C$105,0)),INDEX('SCORING MASTER'!$D$107:$D$108,MATCH(AY23,'SCORING MASTER'!$C$107:$C$108,0)),INDEX('SCORING MASTER'!$D$110:$D$111,MATCH(AZ23,'SCORING MASTER'!$C$110:$C$111,0)))*20,0))</f>
        <v/>
      </c>
      <c r="BK23" s="35" t="str">
        <f aca="false">IF(COUNTBLANK(AQ23:AT23)&gt;0,"",ROUND(AVERAGE(INDEX('SCORING MASTER'!$D$80:$D$82,MATCH(AQ23,'SCORING MASTER'!$C$80:$C$82,0)),INDEX('SCORING MASTER'!$D$84:$D$86,MATCH(AR23,'SCORING MASTER'!$C$84:$C$86,0)),INDEX('SCORING MASTER'!$D$88:$D$90,MATCH(AS23,'SCORING MASTER'!$C$88:$C$90,0)),INDEX('SCORING MASTER'!$D$92:$D$93,MATCH(AT23,'SCORING MASTER'!$C$92:$C$93,0)))*20,0))</f>
        <v/>
      </c>
      <c r="BL23" s="35" t="str">
        <f aca="false">IF(COUNTBLANK(BA23:BE23)&gt;0,"",ROUND(AVERAGE(INDEX('SCORING MASTER'!$D$113:$D$115,MATCH(BA23,'SCORING MASTER'!$C$113:$C$115,0)),INDEX('SCORING MASTER'!$D$117:$D$119,MATCH(BB23,'SCORING MASTER'!$C$117:$C$119,0)),INDEX('SCORING MASTER'!$D$121:$D$123,MATCH(BC23,'SCORING MASTER'!$C$121:$C$123,0)),INDEX('SCORING MASTER'!$D$125:$D$126,MATCH(BD23,'SCORING MASTER'!$C$125:$C$126,0)),INDEX('SCORING MASTER'!$D$128:$D$129,MATCH(BE23,'SCORING MASTER'!$C$128:$C$129,0)))*20,0))</f>
        <v/>
      </c>
      <c r="BM23" s="35" t="str">
        <f aca="false">IF(OR(BF23="",BG23="",BH23="",BI23="",BJ23="",BK23="",BL23=""),"",ROUND(BF23*0.25+BG23*0.2+BH23*0.15+BI23*0.15+BJ23*0.1+BK23*0.1+BL23*0.05,0))</f>
        <v/>
      </c>
      <c r="BN23" s="35" t="str">
        <f aca="false">IF(OR(BF23="",BG23=""),"",ROUND(BF23*0.5+BG23*0.5,0))</f>
        <v/>
      </c>
      <c r="BO23" s="35" t="str">
        <f aca="false">IF(BN23="","",ROUND(MIN(100,MAX(0,(100-BN23)+IF(AL23="Yes",15,0)+IF(AM23="Yes",15,0)+IF(AND(U23&lt;&gt;"",U23&lt;18.5),20,0))),0))</f>
        <v/>
      </c>
      <c r="BP23" s="32" t="str">
        <f aca="false">IF(BM23="","",IF(BM23&gt;=90,"Green - Healthy",IF(BM23&gt;=75,"Light Green - Mild Watch",IF(BM23&gt;=60,"Yellow - Mild Risk",IF(BM23&gt;=40,"Orange - Moderate Risk","Red - High Risk")))))</f>
        <v/>
      </c>
      <c r="BQ23" s="32" t="str">
        <f aca="false">IF(BM23="","",IF(OR(BM23&lt;60,BO23&gt;=60,AJ23="Yes"),"Yes","No"))</f>
        <v/>
      </c>
      <c r="BR23" s="32" t="str">
        <f aca="false">IF(BM23="","",IF(OR(BP23="Orange - Moderate Risk",BP23="Red - High Risk",BQ23="Yes"),"Yes","No"))</f>
        <v/>
      </c>
    </row>
    <row r="24" customFormat="false" ht="15" hidden="false" customHeight="false" outlineLevel="0" collapsed="false">
      <c r="A24" s="28" t="str">
        <f aca="false">IF(I24="","","STU"&amp;TEXT(ROW()-3,"000000"))</f>
        <v/>
      </c>
      <c r="B24" s="28"/>
      <c r="C24" s="28"/>
      <c r="D24" s="28"/>
      <c r="E24" s="28"/>
      <c r="F24" s="28"/>
      <c r="G24" s="28"/>
      <c r="H24" s="28"/>
      <c r="I24" s="28"/>
      <c r="J24" s="30"/>
      <c r="K24" s="28"/>
      <c r="L24" s="28"/>
      <c r="M24" s="28"/>
      <c r="N24" s="28"/>
      <c r="O24" s="28"/>
      <c r="P24" s="28"/>
      <c r="Q24" s="30"/>
      <c r="R24" s="30"/>
      <c r="S24" s="31" t="str">
        <f aca="false">IF(OR(Q24="",R24=""),"",ROUND(R24/((Q24/100)^2),1))</f>
        <v/>
      </c>
      <c r="T24" s="28" t="str">
        <f aca="false">IF(S24="","",IF(S24&lt;18.5,"Underweight",IF(S24&lt;25,"Normal",IF(S24&lt;30,"Overweight","Obese"))))</f>
        <v/>
      </c>
      <c r="U24" s="30"/>
      <c r="V24" s="30"/>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31" t="str">
        <f aca="false">IF(T24="","",IF(T24="Normal",100,IF(T24="Overweight",65,IF(T24="Obese",50,IF(AND(U24&lt;&gt;"",U24&lt;18.5),30,45)))))</f>
        <v/>
      </c>
      <c r="BG24" s="31" t="str">
        <f aca="false">IF(COUNTBLANK(W24:AC24)&gt;0,"",ROUND(AVERAGE(INDEX('SCORING MASTER'!$D$5:$D$7,MATCH(W24,'SCORING MASTER'!$C$5:$C$7,0)),INDEX('SCORING MASTER'!$D$9:$D$11,MATCH(X24,'SCORING MASTER'!$C$9:$C$11,0)),INDEX('SCORING MASTER'!$D$13:$D$15,MATCH(Y24,'SCORING MASTER'!$C$13:$C$15,0)),INDEX('SCORING MASTER'!$D$17:$D$19,MATCH(Z24,'SCORING MASTER'!$C$17:$C$19,0)),INDEX('SCORING MASTER'!$D$21:$D$23,MATCH(AA24,'SCORING MASTER'!$C$21:$C$23,0)),INDEX('SCORING MASTER'!$D$25:$D$27,MATCH(AB24,'SCORING MASTER'!$C$25:$C$27,0)),INDEX('SCORING MASTER'!$D$29:$D$31,MATCH(AC24,'SCORING MASTER'!$C$29:$C$31,0)))*20,0))</f>
        <v/>
      </c>
      <c r="BH24" s="31" t="str">
        <f aca="false">IF(COUNTBLANK(AD24:AI24)&gt;0,"",ROUND(AVERAGE(INDEX('SCORING MASTER'!$D$33:$D$35,MATCH(AD24,'SCORING MASTER'!$C$33:$C$35,0)),INDEX('SCORING MASTER'!$D$37:$D$39,MATCH(AE24,'SCORING MASTER'!$C$37:$C$39,0)),INDEX('SCORING MASTER'!$D$41:$D$43,MATCH(AF24,'SCORING MASTER'!$C$41:$C$43,0)),INDEX('SCORING MASTER'!$D$45:$D$47,MATCH(AG24,'SCORING MASTER'!$C$45:$C$47,0)),INDEX('SCORING MASTER'!$D$49:$D$52,MATCH(AH24,'SCORING MASTER'!$C$49:$C$52,0)),INDEX('SCORING MASTER'!$D$54:$D$57,MATCH(AI24,'SCORING MASTER'!$C$54:$C$57,0)))*20,0))</f>
        <v/>
      </c>
      <c r="BI24" s="31" t="str">
        <f aca="false">IF(COUNTBLANK(AJ24:AP24)&gt;0,"",ROUND(AVERAGE(INDEX('SCORING MASTER'!$D$59:$D$60,MATCH(AJ24,'SCORING MASTER'!$C$59:$C$60,0)),INDEX('SCORING MASTER'!$D$62:$D$63,MATCH(AK24,'SCORING MASTER'!$C$62:$C$63,0)),INDEX('SCORING MASTER'!$D$65:$D$66,MATCH(AL24,'SCORING MASTER'!$C$65:$C$66,0)),INDEX('SCORING MASTER'!$D$68:$D$69,MATCH(AM24,'SCORING MASTER'!$C$68:$C$69,0)),INDEX('SCORING MASTER'!$D$71:$D$72,MATCH(AN24,'SCORING MASTER'!$C$71:$C$72,0)),INDEX('SCORING MASTER'!$D$74:$D$75,MATCH(AO24,'SCORING MASTER'!$C$74:$C$75,0)),INDEX('SCORING MASTER'!$D$77:$D$78,MATCH(AP24,'SCORING MASTER'!$C$77:$C$78,0)))*20,0))</f>
        <v/>
      </c>
      <c r="BJ24" s="31" t="str">
        <f aca="false">IF(COUNTBLANK(AU24:AZ24)&gt;0,"",ROUND(AVERAGE(INDEX('SCORING MASTER'!$D$95:$D$96,MATCH(AU24,'SCORING MASTER'!$C$95:$C$96,0)),INDEX('SCORING MASTER'!$D$98:$D$99,MATCH(AV24,'SCORING MASTER'!$C$98:$C$99,0)),INDEX('SCORING MASTER'!$D$101:$D$102,MATCH(AW24,'SCORING MASTER'!$C$101:$C$102,0)),INDEX('SCORING MASTER'!$D$104:$D$105,MATCH(AX24,'SCORING MASTER'!$C$104:$C$105,0)),INDEX('SCORING MASTER'!$D$107:$D$108,MATCH(AY24,'SCORING MASTER'!$C$107:$C$108,0)),INDEX('SCORING MASTER'!$D$110:$D$111,MATCH(AZ24,'SCORING MASTER'!$C$110:$C$111,0)))*20,0))</f>
        <v/>
      </c>
      <c r="BK24" s="31" t="str">
        <f aca="false">IF(COUNTBLANK(AQ24:AT24)&gt;0,"",ROUND(AVERAGE(INDEX('SCORING MASTER'!$D$80:$D$82,MATCH(AQ24,'SCORING MASTER'!$C$80:$C$82,0)),INDEX('SCORING MASTER'!$D$84:$D$86,MATCH(AR24,'SCORING MASTER'!$C$84:$C$86,0)),INDEX('SCORING MASTER'!$D$88:$D$90,MATCH(AS24,'SCORING MASTER'!$C$88:$C$90,0)),INDEX('SCORING MASTER'!$D$92:$D$93,MATCH(AT24,'SCORING MASTER'!$C$92:$C$93,0)))*20,0))</f>
        <v/>
      </c>
      <c r="BL24" s="31" t="str">
        <f aca="false">IF(COUNTBLANK(BA24:BE24)&gt;0,"",ROUND(AVERAGE(INDEX('SCORING MASTER'!$D$113:$D$115,MATCH(BA24,'SCORING MASTER'!$C$113:$C$115,0)),INDEX('SCORING MASTER'!$D$117:$D$119,MATCH(BB24,'SCORING MASTER'!$C$117:$C$119,0)),INDEX('SCORING MASTER'!$D$121:$D$123,MATCH(BC24,'SCORING MASTER'!$C$121:$C$123,0)),INDEX('SCORING MASTER'!$D$125:$D$126,MATCH(BD24,'SCORING MASTER'!$C$125:$C$126,0)),INDEX('SCORING MASTER'!$D$128:$D$129,MATCH(BE24,'SCORING MASTER'!$C$128:$C$129,0)))*20,0))</f>
        <v/>
      </c>
      <c r="BM24" s="31" t="str">
        <f aca="false">IF(OR(BF24="",BG24="",BH24="",BI24="",BJ24="",BK24="",BL24=""),"",ROUND(BF24*0.25+BG24*0.2+BH24*0.15+BI24*0.15+BJ24*0.1+BK24*0.1+BL24*0.05,0))</f>
        <v/>
      </c>
      <c r="BN24" s="31" t="str">
        <f aca="false">IF(OR(BF24="",BG24=""),"",ROUND(BF24*0.5+BG24*0.5,0))</f>
        <v/>
      </c>
      <c r="BO24" s="31" t="str">
        <f aca="false">IF(BN24="","",ROUND(MIN(100,MAX(0,(100-BN24)+IF(AL24="Yes",15,0)+IF(AM24="Yes",15,0)+IF(AND(U24&lt;&gt;"",U24&lt;18.5),20,0))),0))</f>
        <v/>
      </c>
      <c r="BP24" s="28" t="str">
        <f aca="false">IF(BM24="","",IF(BM24&gt;=90,"Green - Healthy",IF(BM24&gt;=75,"Light Green - Mild Watch",IF(BM24&gt;=60,"Yellow - Mild Risk",IF(BM24&gt;=40,"Orange - Moderate Risk","Red - High Risk")))))</f>
        <v/>
      </c>
      <c r="BQ24" s="28" t="str">
        <f aca="false">IF(BM24="","",IF(OR(BM24&lt;60,BO24&gt;=60,AJ24="Yes"),"Yes","No"))</f>
        <v/>
      </c>
      <c r="BR24" s="28" t="str">
        <f aca="false">IF(BM24="","",IF(OR(BP24="Orange - Moderate Risk",BP24="Red - High Risk",BQ24="Yes"),"Yes","No"))</f>
        <v/>
      </c>
    </row>
    <row r="25" customFormat="false" ht="15" hidden="false" customHeight="false" outlineLevel="0" collapsed="false">
      <c r="A25" s="32" t="str">
        <f aca="false">IF(I25="","","STU"&amp;TEXT(ROW()-3,"000000"))</f>
        <v/>
      </c>
      <c r="B25" s="32"/>
      <c r="C25" s="32"/>
      <c r="D25" s="32"/>
      <c r="E25" s="32"/>
      <c r="F25" s="32"/>
      <c r="G25" s="32"/>
      <c r="H25" s="32"/>
      <c r="I25" s="32"/>
      <c r="J25" s="34"/>
      <c r="K25" s="32"/>
      <c r="L25" s="32"/>
      <c r="M25" s="32"/>
      <c r="N25" s="32"/>
      <c r="O25" s="32"/>
      <c r="P25" s="32"/>
      <c r="Q25" s="34"/>
      <c r="R25" s="34"/>
      <c r="S25" s="35" t="str">
        <f aca="false">IF(OR(Q25="",R25=""),"",ROUND(R25/((Q25/100)^2),1))</f>
        <v/>
      </c>
      <c r="T25" s="32" t="str">
        <f aca="false">IF(S25="","",IF(S25&lt;18.5,"Underweight",IF(S25&lt;25,"Normal",IF(S25&lt;30,"Overweight","Obese"))))</f>
        <v/>
      </c>
      <c r="U25" s="34"/>
      <c r="V25" s="34"/>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5" t="str">
        <f aca="false">IF(T25="","",IF(T25="Normal",100,IF(T25="Overweight",65,IF(T25="Obese",50,IF(AND(U25&lt;&gt;"",U25&lt;18.5),30,45)))))</f>
        <v/>
      </c>
      <c r="BG25" s="35" t="str">
        <f aca="false">IF(COUNTBLANK(W25:AC25)&gt;0,"",ROUND(AVERAGE(INDEX('SCORING MASTER'!$D$5:$D$7,MATCH(W25,'SCORING MASTER'!$C$5:$C$7,0)),INDEX('SCORING MASTER'!$D$9:$D$11,MATCH(X25,'SCORING MASTER'!$C$9:$C$11,0)),INDEX('SCORING MASTER'!$D$13:$D$15,MATCH(Y25,'SCORING MASTER'!$C$13:$C$15,0)),INDEX('SCORING MASTER'!$D$17:$D$19,MATCH(Z25,'SCORING MASTER'!$C$17:$C$19,0)),INDEX('SCORING MASTER'!$D$21:$D$23,MATCH(AA25,'SCORING MASTER'!$C$21:$C$23,0)),INDEX('SCORING MASTER'!$D$25:$D$27,MATCH(AB25,'SCORING MASTER'!$C$25:$C$27,0)),INDEX('SCORING MASTER'!$D$29:$D$31,MATCH(AC25,'SCORING MASTER'!$C$29:$C$31,0)))*20,0))</f>
        <v/>
      </c>
      <c r="BH25" s="35" t="str">
        <f aca="false">IF(COUNTBLANK(AD25:AI25)&gt;0,"",ROUND(AVERAGE(INDEX('SCORING MASTER'!$D$33:$D$35,MATCH(AD25,'SCORING MASTER'!$C$33:$C$35,0)),INDEX('SCORING MASTER'!$D$37:$D$39,MATCH(AE25,'SCORING MASTER'!$C$37:$C$39,0)),INDEX('SCORING MASTER'!$D$41:$D$43,MATCH(AF25,'SCORING MASTER'!$C$41:$C$43,0)),INDEX('SCORING MASTER'!$D$45:$D$47,MATCH(AG25,'SCORING MASTER'!$C$45:$C$47,0)),INDEX('SCORING MASTER'!$D$49:$D$52,MATCH(AH25,'SCORING MASTER'!$C$49:$C$52,0)),INDEX('SCORING MASTER'!$D$54:$D$57,MATCH(AI25,'SCORING MASTER'!$C$54:$C$57,0)))*20,0))</f>
        <v/>
      </c>
      <c r="BI25" s="35" t="str">
        <f aca="false">IF(COUNTBLANK(AJ25:AP25)&gt;0,"",ROUND(AVERAGE(INDEX('SCORING MASTER'!$D$59:$D$60,MATCH(AJ25,'SCORING MASTER'!$C$59:$C$60,0)),INDEX('SCORING MASTER'!$D$62:$D$63,MATCH(AK25,'SCORING MASTER'!$C$62:$C$63,0)),INDEX('SCORING MASTER'!$D$65:$D$66,MATCH(AL25,'SCORING MASTER'!$C$65:$C$66,0)),INDEX('SCORING MASTER'!$D$68:$D$69,MATCH(AM25,'SCORING MASTER'!$C$68:$C$69,0)),INDEX('SCORING MASTER'!$D$71:$D$72,MATCH(AN25,'SCORING MASTER'!$C$71:$C$72,0)),INDEX('SCORING MASTER'!$D$74:$D$75,MATCH(AO25,'SCORING MASTER'!$C$74:$C$75,0)),INDEX('SCORING MASTER'!$D$77:$D$78,MATCH(AP25,'SCORING MASTER'!$C$77:$C$78,0)))*20,0))</f>
        <v/>
      </c>
      <c r="BJ25" s="35" t="str">
        <f aca="false">IF(COUNTBLANK(AU25:AZ25)&gt;0,"",ROUND(AVERAGE(INDEX('SCORING MASTER'!$D$95:$D$96,MATCH(AU25,'SCORING MASTER'!$C$95:$C$96,0)),INDEX('SCORING MASTER'!$D$98:$D$99,MATCH(AV25,'SCORING MASTER'!$C$98:$C$99,0)),INDEX('SCORING MASTER'!$D$101:$D$102,MATCH(AW25,'SCORING MASTER'!$C$101:$C$102,0)),INDEX('SCORING MASTER'!$D$104:$D$105,MATCH(AX25,'SCORING MASTER'!$C$104:$C$105,0)),INDEX('SCORING MASTER'!$D$107:$D$108,MATCH(AY25,'SCORING MASTER'!$C$107:$C$108,0)),INDEX('SCORING MASTER'!$D$110:$D$111,MATCH(AZ25,'SCORING MASTER'!$C$110:$C$111,0)))*20,0))</f>
        <v/>
      </c>
      <c r="BK25" s="35" t="str">
        <f aca="false">IF(COUNTBLANK(AQ25:AT25)&gt;0,"",ROUND(AVERAGE(INDEX('SCORING MASTER'!$D$80:$D$82,MATCH(AQ25,'SCORING MASTER'!$C$80:$C$82,0)),INDEX('SCORING MASTER'!$D$84:$D$86,MATCH(AR25,'SCORING MASTER'!$C$84:$C$86,0)),INDEX('SCORING MASTER'!$D$88:$D$90,MATCH(AS25,'SCORING MASTER'!$C$88:$C$90,0)),INDEX('SCORING MASTER'!$D$92:$D$93,MATCH(AT25,'SCORING MASTER'!$C$92:$C$93,0)))*20,0))</f>
        <v/>
      </c>
      <c r="BL25" s="35" t="str">
        <f aca="false">IF(COUNTBLANK(BA25:BE25)&gt;0,"",ROUND(AVERAGE(INDEX('SCORING MASTER'!$D$113:$D$115,MATCH(BA25,'SCORING MASTER'!$C$113:$C$115,0)),INDEX('SCORING MASTER'!$D$117:$D$119,MATCH(BB25,'SCORING MASTER'!$C$117:$C$119,0)),INDEX('SCORING MASTER'!$D$121:$D$123,MATCH(BC25,'SCORING MASTER'!$C$121:$C$123,0)),INDEX('SCORING MASTER'!$D$125:$D$126,MATCH(BD25,'SCORING MASTER'!$C$125:$C$126,0)),INDEX('SCORING MASTER'!$D$128:$D$129,MATCH(BE25,'SCORING MASTER'!$C$128:$C$129,0)))*20,0))</f>
        <v/>
      </c>
      <c r="BM25" s="35" t="str">
        <f aca="false">IF(OR(BF25="",BG25="",BH25="",BI25="",BJ25="",BK25="",BL25=""),"",ROUND(BF25*0.25+BG25*0.2+BH25*0.15+BI25*0.15+BJ25*0.1+BK25*0.1+BL25*0.05,0))</f>
        <v/>
      </c>
      <c r="BN25" s="35" t="str">
        <f aca="false">IF(OR(BF25="",BG25=""),"",ROUND(BF25*0.5+BG25*0.5,0))</f>
        <v/>
      </c>
      <c r="BO25" s="35" t="str">
        <f aca="false">IF(BN25="","",ROUND(MIN(100,MAX(0,(100-BN25)+IF(AL25="Yes",15,0)+IF(AM25="Yes",15,0)+IF(AND(U25&lt;&gt;"",U25&lt;18.5),20,0))),0))</f>
        <v/>
      </c>
      <c r="BP25" s="32" t="str">
        <f aca="false">IF(BM25="","",IF(BM25&gt;=90,"Green - Healthy",IF(BM25&gt;=75,"Light Green - Mild Watch",IF(BM25&gt;=60,"Yellow - Mild Risk",IF(BM25&gt;=40,"Orange - Moderate Risk","Red - High Risk")))))</f>
        <v/>
      </c>
      <c r="BQ25" s="32" t="str">
        <f aca="false">IF(BM25="","",IF(OR(BM25&lt;60,BO25&gt;=60,AJ25="Yes"),"Yes","No"))</f>
        <v/>
      </c>
      <c r="BR25" s="32" t="str">
        <f aca="false">IF(BM25="","",IF(OR(BP25="Orange - Moderate Risk",BP25="Red - High Risk",BQ25="Yes"),"Yes","No"))</f>
        <v/>
      </c>
    </row>
    <row r="26" customFormat="false" ht="15" hidden="false" customHeight="false" outlineLevel="0" collapsed="false">
      <c r="A26" s="28" t="str">
        <f aca="false">IF(I26="","","STU"&amp;TEXT(ROW()-3,"000000"))</f>
        <v/>
      </c>
      <c r="B26" s="28"/>
      <c r="C26" s="28"/>
      <c r="D26" s="28"/>
      <c r="E26" s="28"/>
      <c r="F26" s="28"/>
      <c r="G26" s="28"/>
      <c r="H26" s="28"/>
      <c r="I26" s="28"/>
      <c r="J26" s="30"/>
      <c r="K26" s="28"/>
      <c r="L26" s="28"/>
      <c r="M26" s="28"/>
      <c r="N26" s="28"/>
      <c r="O26" s="28"/>
      <c r="P26" s="28"/>
      <c r="Q26" s="30"/>
      <c r="R26" s="30"/>
      <c r="S26" s="31" t="str">
        <f aca="false">IF(OR(Q26="",R26=""),"",ROUND(R26/((Q26/100)^2),1))</f>
        <v/>
      </c>
      <c r="T26" s="28" t="str">
        <f aca="false">IF(S26="","",IF(S26&lt;18.5,"Underweight",IF(S26&lt;25,"Normal",IF(S26&lt;30,"Overweight","Obese"))))</f>
        <v/>
      </c>
      <c r="U26" s="30"/>
      <c r="V26" s="30"/>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31" t="str">
        <f aca="false">IF(T26="","",IF(T26="Normal",100,IF(T26="Overweight",65,IF(T26="Obese",50,IF(AND(U26&lt;&gt;"",U26&lt;18.5),30,45)))))</f>
        <v/>
      </c>
      <c r="BG26" s="31" t="str">
        <f aca="false">IF(COUNTBLANK(W26:AC26)&gt;0,"",ROUND(AVERAGE(INDEX('SCORING MASTER'!$D$5:$D$7,MATCH(W26,'SCORING MASTER'!$C$5:$C$7,0)),INDEX('SCORING MASTER'!$D$9:$D$11,MATCH(X26,'SCORING MASTER'!$C$9:$C$11,0)),INDEX('SCORING MASTER'!$D$13:$D$15,MATCH(Y26,'SCORING MASTER'!$C$13:$C$15,0)),INDEX('SCORING MASTER'!$D$17:$D$19,MATCH(Z26,'SCORING MASTER'!$C$17:$C$19,0)),INDEX('SCORING MASTER'!$D$21:$D$23,MATCH(AA26,'SCORING MASTER'!$C$21:$C$23,0)),INDEX('SCORING MASTER'!$D$25:$D$27,MATCH(AB26,'SCORING MASTER'!$C$25:$C$27,0)),INDEX('SCORING MASTER'!$D$29:$D$31,MATCH(AC26,'SCORING MASTER'!$C$29:$C$31,0)))*20,0))</f>
        <v/>
      </c>
      <c r="BH26" s="31" t="str">
        <f aca="false">IF(COUNTBLANK(AD26:AI26)&gt;0,"",ROUND(AVERAGE(INDEX('SCORING MASTER'!$D$33:$D$35,MATCH(AD26,'SCORING MASTER'!$C$33:$C$35,0)),INDEX('SCORING MASTER'!$D$37:$D$39,MATCH(AE26,'SCORING MASTER'!$C$37:$C$39,0)),INDEX('SCORING MASTER'!$D$41:$D$43,MATCH(AF26,'SCORING MASTER'!$C$41:$C$43,0)),INDEX('SCORING MASTER'!$D$45:$D$47,MATCH(AG26,'SCORING MASTER'!$C$45:$C$47,0)),INDEX('SCORING MASTER'!$D$49:$D$52,MATCH(AH26,'SCORING MASTER'!$C$49:$C$52,0)),INDEX('SCORING MASTER'!$D$54:$D$57,MATCH(AI26,'SCORING MASTER'!$C$54:$C$57,0)))*20,0))</f>
        <v/>
      </c>
      <c r="BI26" s="31" t="str">
        <f aca="false">IF(COUNTBLANK(AJ26:AP26)&gt;0,"",ROUND(AVERAGE(INDEX('SCORING MASTER'!$D$59:$D$60,MATCH(AJ26,'SCORING MASTER'!$C$59:$C$60,0)),INDEX('SCORING MASTER'!$D$62:$D$63,MATCH(AK26,'SCORING MASTER'!$C$62:$C$63,0)),INDEX('SCORING MASTER'!$D$65:$D$66,MATCH(AL26,'SCORING MASTER'!$C$65:$C$66,0)),INDEX('SCORING MASTER'!$D$68:$D$69,MATCH(AM26,'SCORING MASTER'!$C$68:$C$69,0)),INDEX('SCORING MASTER'!$D$71:$D$72,MATCH(AN26,'SCORING MASTER'!$C$71:$C$72,0)),INDEX('SCORING MASTER'!$D$74:$D$75,MATCH(AO26,'SCORING MASTER'!$C$74:$C$75,0)),INDEX('SCORING MASTER'!$D$77:$D$78,MATCH(AP26,'SCORING MASTER'!$C$77:$C$78,0)))*20,0))</f>
        <v/>
      </c>
      <c r="BJ26" s="31" t="str">
        <f aca="false">IF(COUNTBLANK(AU26:AZ26)&gt;0,"",ROUND(AVERAGE(INDEX('SCORING MASTER'!$D$95:$D$96,MATCH(AU26,'SCORING MASTER'!$C$95:$C$96,0)),INDEX('SCORING MASTER'!$D$98:$D$99,MATCH(AV26,'SCORING MASTER'!$C$98:$C$99,0)),INDEX('SCORING MASTER'!$D$101:$D$102,MATCH(AW26,'SCORING MASTER'!$C$101:$C$102,0)),INDEX('SCORING MASTER'!$D$104:$D$105,MATCH(AX26,'SCORING MASTER'!$C$104:$C$105,0)),INDEX('SCORING MASTER'!$D$107:$D$108,MATCH(AY26,'SCORING MASTER'!$C$107:$C$108,0)),INDEX('SCORING MASTER'!$D$110:$D$111,MATCH(AZ26,'SCORING MASTER'!$C$110:$C$111,0)))*20,0))</f>
        <v/>
      </c>
      <c r="BK26" s="31" t="str">
        <f aca="false">IF(COUNTBLANK(AQ26:AT26)&gt;0,"",ROUND(AVERAGE(INDEX('SCORING MASTER'!$D$80:$D$82,MATCH(AQ26,'SCORING MASTER'!$C$80:$C$82,0)),INDEX('SCORING MASTER'!$D$84:$D$86,MATCH(AR26,'SCORING MASTER'!$C$84:$C$86,0)),INDEX('SCORING MASTER'!$D$88:$D$90,MATCH(AS26,'SCORING MASTER'!$C$88:$C$90,0)),INDEX('SCORING MASTER'!$D$92:$D$93,MATCH(AT26,'SCORING MASTER'!$C$92:$C$93,0)))*20,0))</f>
        <v/>
      </c>
      <c r="BL26" s="31" t="str">
        <f aca="false">IF(COUNTBLANK(BA26:BE26)&gt;0,"",ROUND(AVERAGE(INDEX('SCORING MASTER'!$D$113:$D$115,MATCH(BA26,'SCORING MASTER'!$C$113:$C$115,0)),INDEX('SCORING MASTER'!$D$117:$D$119,MATCH(BB26,'SCORING MASTER'!$C$117:$C$119,0)),INDEX('SCORING MASTER'!$D$121:$D$123,MATCH(BC26,'SCORING MASTER'!$C$121:$C$123,0)),INDEX('SCORING MASTER'!$D$125:$D$126,MATCH(BD26,'SCORING MASTER'!$C$125:$C$126,0)),INDEX('SCORING MASTER'!$D$128:$D$129,MATCH(BE26,'SCORING MASTER'!$C$128:$C$129,0)))*20,0))</f>
        <v/>
      </c>
      <c r="BM26" s="31" t="str">
        <f aca="false">IF(OR(BF26="",BG26="",BH26="",BI26="",BJ26="",BK26="",BL26=""),"",ROUND(BF26*0.25+BG26*0.2+BH26*0.15+BI26*0.15+BJ26*0.1+BK26*0.1+BL26*0.05,0))</f>
        <v/>
      </c>
      <c r="BN26" s="31" t="str">
        <f aca="false">IF(OR(BF26="",BG26=""),"",ROUND(BF26*0.5+BG26*0.5,0))</f>
        <v/>
      </c>
      <c r="BO26" s="31" t="str">
        <f aca="false">IF(BN26="","",ROUND(MIN(100,MAX(0,(100-BN26)+IF(AL26="Yes",15,0)+IF(AM26="Yes",15,0)+IF(AND(U26&lt;&gt;"",U26&lt;18.5),20,0))),0))</f>
        <v/>
      </c>
      <c r="BP26" s="28" t="str">
        <f aca="false">IF(BM26="","",IF(BM26&gt;=90,"Green - Healthy",IF(BM26&gt;=75,"Light Green - Mild Watch",IF(BM26&gt;=60,"Yellow - Mild Risk",IF(BM26&gt;=40,"Orange - Moderate Risk","Red - High Risk")))))</f>
        <v/>
      </c>
      <c r="BQ26" s="28" t="str">
        <f aca="false">IF(BM26="","",IF(OR(BM26&lt;60,BO26&gt;=60,AJ26="Yes"),"Yes","No"))</f>
        <v/>
      </c>
      <c r="BR26" s="28" t="str">
        <f aca="false">IF(BM26="","",IF(OR(BP26="Orange - Moderate Risk",BP26="Red - High Risk",BQ26="Yes"),"Yes","No"))</f>
        <v/>
      </c>
    </row>
    <row r="27" customFormat="false" ht="15" hidden="false" customHeight="false" outlineLevel="0" collapsed="false">
      <c r="A27" s="32" t="str">
        <f aca="false">IF(I27="","","STU"&amp;TEXT(ROW()-3,"000000"))</f>
        <v/>
      </c>
      <c r="B27" s="32"/>
      <c r="C27" s="32"/>
      <c r="D27" s="32"/>
      <c r="E27" s="32"/>
      <c r="F27" s="32"/>
      <c r="G27" s="32"/>
      <c r="H27" s="32"/>
      <c r="I27" s="32"/>
      <c r="J27" s="34"/>
      <c r="K27" s="32"/>
      <c r="L27" s="32"/>
      <c r="M27" s="32"/>
      <c r="N27" s="32"/>
      <c r="O27" s="32"/>
      <c r="P27" s="32"/>
      <c r="Q27" s="34"/>
      <c r="R27" s="34"/>
      <c r="S27" s="35" t="str">
        <f aca="false">IF(OR(Q27="",R27=""),"",ROUND(R27/((Q27/100)^2),1))</f>
        <v/>
      </c>
      <c r="T27" s="32" t="str">
        <f aca="false">IF(S27="","",IF(S27&lt;18.5,"Underweight",IF(S27&lt;25,"Normal",IF(S27&lt;30,"Overweight","Obese"))))</f>
        <v/>
      </c>
      <c r="U27" s="34"/>
      <c r="V27" s="34"/>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5" t="str">
        <f aca="false">IF(T27="","",IF(T27="Normal",100,IF(T27="Overweight",65,IF(T27="Obese",50,IF(AND(U27&lt;&gt;"",U27&lt;18.5),30,45)))))</f>
        <v/>
      </c>
      <c r="BG27" s="35" t="str">
        <f aca="false">IF(COUNTBLANK(W27:AC27)&gt;0,"",ROUND(AVERAGE(INDEX('SCORING MASTER'!$D$5:$D$7,MATCH(W27,'SCORING MASTER'!$C$5:$C$7,0)),INDEX('SCORING MASTER'!$D$9:$D$11,MATCH(X27,'SCORING MASTER'!$C$9:$C$11,0)),INDEX('SCORING MASTER'!$D$13:$D$15,MATCH(Y27,'SCORING MASTER'!$C$13:$C$15,0)),INDEX('SCORING MASTER'!$D$17:$D$19,MATCH(Z27,'SCORING MASTER'!$C$17:$C$19,0)),INDEX('SCORING MASTER'!$D$21:$D$23,MATCH(AA27,'SCORING MASTER'!$C$21:$C$23,0)),INDEX('SCORING MASTER'!$D$25:$D$27,MATCH(AB27,'SCORING MASTER'!$C$25:$C$27,0)),INDEX('SCORING MASTER'!$D$29:$D$31,MATCH(AC27,'SCORING MASTER'!$C$29:$C$31,0)))*20,0))</f>
        <v/>
      </c>
      <c r="BH27" s="35" t="str">
        <f aca="false">IF(COUNTBLANK(AD27:AI27)&gt;0,"",ROUND(AVERAGE(INDEX('SCORING MASTER'!$D$33:$D$35,MATCH(AD27,'SCORING MASTER'!$C$33:$C$35,0)),INDEX('SCORING MASTER'!$D$37:$D$39,MATCH(AE27,'SCORING MASTER'!$C$37:$C$39,0)),INDEX('SCORING MASTER'!$D$41:$D$43,MATCH(AF27,'SCORING MASTER'!$C$41:$C$43,0)),INDEX('SCORING MASTER'!$D$45:$D$47,MATCH(AG27,'SCORING MASTER'!$C$45:$C$47,0)),INDEX('SCORING MASTER'!$D$49:$D$52,MATCH(AH27,'SCORING MASTER'!$C$49:$C$52,0)),INDEX('SCORING MASTER'!$D$54:$D$57,MATCH(AI27,'SCORING MASTER'!$C$54:$C$57,0)))*20,0))</f>
        <v/>
      </c>
      <c r="BI27" s="35" t="str">
        <f aca="false">IF(COUNTBLANK(AJ27:AP27)&gt;0,"",ROUND(AVERAGE(INDEX('SCORING MASTER'!$D$59:$D$60,MATCH(AJ27,'SCORING MASTER'!$C$59:$C$60,0)),INDEX('SCORING MASTER'!$D$62:$D$63,MATCH(AK27,'SCORING MASTER'!$C$62:$C$63,0)),INDEX('SCORING MASTER'!$D$65:$D$66,MATCH(AL27,'SCORING MASTER'!$C$65:$C$66,0)),INDEX('SCORING MASTER'!$D$68:$D$69,MATCH(AM27,'SCORING MASTER'!$C$68:$C$69,0)),INDEX('SCORING MASTER'!$D$71:$D$72,MATCH(AN27,'SCORING MASTER'!$C$71:$C$72,0)),INDEX('SCORING MASTER'!$D$74:$D$75,MATCH(AO27,'SCORING MASTER'!$C$74:$C$75,0)),INDEX('SCORING MASTER'!$D$77:$D$78,MATCH(AP27,'SCORING MASTER'!$C$77:$C$78,0)))*20,0))</f>
        <v/>
      </c>
      <c r="BJ27" s="35" t="str">
        <f aca="false">IF(COUNTBLANK(AU27:AZ27)&gt;0,"",ROUND(AVERAGE(INDEX('SCORING MASTER'!$D$95:$D$96,MATCH(AU27,'SCORING MASTER'!$C$95:$C$96,0)),INDEX('SCORING MASTER'!$D$98:$D$99,MATCH(AV27,'SCORING MASTER'!$C$98:$C$99,0)),INDEX('SCORING MASTER'!$D$101:$D$102,MATCH(AW27,'SCORING MASTER'!$C$101:$C$102,0)),INDEX('SCORING MASTER'!$D$104:$D$105,MATCH(AX27,'SCORING MASTER'!$C$104:$C$105,0)),INDEX('SCORING MASTER'!$D$107:$D$108,MATCH(AY27,'SCORING MASTER'!$C$107:$C$108,0)),INDEX('SCORING MASTER'!$D$110:$D$111,MATCH(AZ27,'SCORING MASTER'!$C$110:$C$111,0)))*20,0))</f>
        <v/>
      </c>
      <c r="BK27" s="35" t="str">
        <f aca="false">IF(COUNTBLANK(AQ27:AT27)&gt;0,"",ROUND(AVERAGE(INDEX('SCORING MASTER'!$D$80:$D$82,MATCH(AQ27,'SCORING MASTER'!$C$80:$C$82,0)),INDEX('SCORING MASTER'!$D$84:$D$86,MATCH(AR27,'SCORING MASTER'!$C$84:$C$86,0)),INDEX('SCORING MASTER'!$D$88:$D$90,MATCH(AS27,'SCORING MASTER'!$C$88:$C$90,0)),INDEX('SCORING MASTER'!$D$92:$D$93,MATCH(AT27,'SCORING MASTER'!$C$92:$C$93,0)))*20,0))</f>
        <v/>
      </c>
      <c r="BL27" s="35" t="str">
        <f aca="false">IF(COUNTBLANK(BA27:BE27)&gt;0,"",ROUND(AVERAGE(INDEX('SCORING MASTER'!$D$113:$D$115,MATCH(BA27,'SCORING MASTER'!$C$113:$C$115,0)),INDEX('SCORING MASTER'!$D$117:$D$119,MATCH(BB27,'SCORING MASTER'!$C$117:$C$119,0)),INDEX('SCORING MASTER'!$D$121:$D$123,MATCH(BC27,'SCORING MASTER'!$C$121:$C$123,0)),INDEX('SCORING MASTER'!$D$125:$D$126,MATCH(BD27,'SCORING MASTER'!$C$125:$C$126,0)),INDEX('SCORING MASTER'!$D$128:$D$129,MATCH(BE27,'SCORING MASTER'!$C$128:$C$129,0)))*20,0))</f>
        <v/>
      </c>
      <c r="BM27" s="35" t="str">
        <f aca="false">IF(OR(BF27="",BG27="",BH27="",BI27="",BJ27="",BK27="",BL27=""),"",ROUND(BF27*0.25+BG27*0.2+BH27*0.15+BI27*0.15+BJ27*0.1+BK27*0.1+BL27*0.05,0))</f>
        <v/>
      </c>
      <c r="BN27" s="35" t="str">
        <f aca="false">IF(OR(BF27="",BG27=""),"",ROUND(BF27*0.5+BG27*0.5,0))</f>
        <v/>
      </c>
      <c r="BO27" s="35" t="str">
        <f aca="false">IF(BN27="","",ROUND(MIN(100,MAX(0,(100-BN27)+IF(AL27="Yes",15,0)+IF(AM27="Yes",15,0)+IF(AND(U27&lt;&gt;"",U27&lt;18.5),20,0))),0))</f>
        <v/>
      </c>
      <c r="BP27" s="32" t="str">
        <f aca="false">IF(BM27="","",IF(BM27&gt;=90,"Green - Healthy",IF(BM27&gt;=75,"Light Green - Mild Watch",IF(BM27&gt;=60,"Yellow - Mild Risk",IF(BM27&gt;=40,"Orange - Moderate Risk","Red - High Risk")))))</f>
        <v/>
      </c>
      <c r="BQ27" s="32" t="str">
        <f aca="false">IF(BM27="","",IF(OR(BM27&lt;60,BO27&gt;=60,AJ27="Yes"),"Yes","No"))</f>
        <v/>
      </c>
      <c r="BR27" s="32" t="str">
        <f aca="false">IF(BM27="","",IF(OR(BP27="Orange - Moderate Risk",BP27="Red - High Risk",BQ27="Yes"),"Yes","No"))</f>
        <v/>
      </c>
    </row>
    <row r="28" customFormat="false" ht="15" hidden="false" customHeight="false" outlineLevel="0" collapsed="false">
      <c r="A28" s="28" t="str">
        <f aca="false">IF(I28="","","STU"&amp;TEXT(ROW()-3,"000000"))</f>
        <v/>
      </c>
      <c r="B28" s="28"/>
      <c r="C28" s="28"/>
      <c r="D28" s="28"/>
      <c r="E28" s="28"/>
      <c r="F28" s="28"/>
      <c r="G28" s="28"/>
      <c r="H28" s="28"/>
      <c r="I28" s="28"/>
      <c r="J28" s="30"/>
      <c r="K28" s="28"/>
      <c r="L28" s="28"/>
      <c r="M28" s="28"/>
      <c r="N28" s="28"/>
      <c r="O28" s="28"/>
      <c r="P28" s="28"/>
      <c r="Q28" s="30"/>
      <c r="R28" s="30"/>
      <c r="S28" s="31" t="str">
        <f aca="false">IF(OR(Q28="",R28=""),"",ROUND(R28/((Q28/100)^2),1))</f>
        <v/>
      </c>
      <c r="T28" s="28" t="str">
        <f aca="false">IF(S28="","",IF(S28&lt;18.5,"Underweight",IF(S28&lt;25,"Normal",IF(S28&lt;30,"Overweight","Obese"))))</f>
        <v/>
      </c>
      <c r="U28" s="30"/>
      <c r="V28" s="30"/>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31" t="str">
        <f aca="false">IF(T28="","",IF(T28="Normal",100,IF(T28="Overweight",65,IF(T28="Obese",50,IF(AND(U28&lt;&gt;"",U28&lt;18.5),30,45)))))</f>
        <v/>
      </c>
      <c r="BG28" s="31" t="str">
        <f aca="false">IF(COUNTBLANK(W28:AC28)&gt;0,"",ROUND(AVERAGE(INDEX('SCORING MASTER'!$D$5:$D$7,MATCH(W28,'SCORING MASTER'!$C$5:$C$7,0)),INDEX('SCORING MASTER'!$D$9:$D$11,MATCH(X28,'SCORING MASTER'!$C$9:$C$11,0)),INDEX('SCORING MASTER'!$D$13:$D$15,MATCH(Y28,'SCORING MASTER'!$C$13:$C$15,0)),INDEX('SCORING MASTER'!$D$17:$D$19,MATCH(Z28,'SCORING MASTER'!$C$17:$C$19,0)),INDEX('SCORING MASTER'!$D$21:$D$23,MATCH(AA28,'SCORING MASTER'!$C$21:$C$23,0)),INDEX('SCORING MASTER'!$D$25:$D$27,MATCH(AB28,'SCORING MASTER'!$C$25:$C$27,0)),INDEX('SCORING MASTER'!$D$29:$D$31,MATCH(AC28,'SCORING MASTER'!$C$29:$C$31,0)))*20,0))</f>
        <v/>
      </c>
      <c r="BH28" s="31" t="str">
        <f aca="false">IF(COUNTBLANK(AD28:AI28)&gt;0,"",ROUND(AVERAGE(INDEX('SCORING MASTER'!$D$33:$D$35,MATCH(AD28,'SCORING MASTER'!$C$33:$C$35,0)),INDEX('SCORING MASTER'!$D$37:$D$39,MATCH(AE28,'SCORING MASTER'!$C$37:$C$39,0)),INDEX('SCORING MASTER'!$D$41:$D$43,MATCH(AF28,'SCORING MASTER'!$C$41:$C$43,0)),INDEX('SCORING MASTER'!$D$45:$D$47,MATCH(AG28,'SCORING MASTER'!$C$45:$C$47,0)),INDEX('SCORING MASTER'!$D$49:$D$52,MATCH(AH28,'SCORING MASTER'!$C$49:$C$52,0)),INDEX('SCORING MASTER'!$D$54:$D$57,MATCH(AI28,'SCORING MASTER'!$C$54:$C$57,0)))*20,0))</f>
        <v/>
      </c>
      <c r="BI28" s="31" t="str">
        <f aca="false">IF(COUNTBLANK(AJ28:AP28)&gt;0,"",ROUND(AVERAGE(INDEX('SCORING MASTER'!$D$59:$D$60,MATCH(AJ28,'SCORING MASTER'!$C$59:$C$60,0)),INDEX('SCORING MASTER'!$D$62:$D$63,MATCH(AK28,'SCORING MASTER'!$C$62:$C$63,0)),INDEX('SCORING MASTER'!$D$65:$D$66,MATCH(AL28,'SCORING MASTER'!$C$65:$C$66,0)),INDEX('SCORING MASTER'!$D$68:$D$69,MATCH(AM28,'SCORING MASTER'!$C$68:$C$69,0)),INDEX('SCORING MASTER'!$D$71:$D$72,MATCH(AN28,'SCORING MASTER'!$C$71:$C$72,0)),INDEX('SCORING MASTER'!$D$74:$D$75,MATCH(AO28,'SCORING MASTER'!$C$74:$C$75,0)),INDEX('SCORING MASTER'!$D$77:$D$78,MATCH(AP28,'SCORING MASTER'!$C$77:$C$78,0)))*20,0))</f>
        <v/>
      </c>
      <c r="BJ28" s="31" t="str">
        <f aca="false">IF(COUNTBLANK(AU28:AZ28)&gt;0,"",ROUND(AVERAGE(INDEX('SCORING MASTER'!$D$95:$D$96,MATCH(AU28,'SCORING MASTER'!$C$95:$C$96,0)),INDEX('SCORING MASTER'!$D$98:$D$99,MATCH(AV28,'SCORING MASTER'!$C$98:$C$99,0)),INDEX('SCORING MASTER'!$D$101:$D$102,MATCH(AW28,'SCORING MASTER'!$C$101:$C$102,0)),INDEX('SCORING MASTER'!$D$104:$D$105,MATCH(AX28,'SCORING MASTER'!$C$104:$C$105,0)),INDEX('SCORING MASTER'!$D$107:$D$108,MATCH(AY28,'SCORING MASTER'!$C$107:$C$108,0)),INDEX('SCORING MASTER'!$D$110:$D$111,MATCH(AZ28,'SCORING MASTER'!$C$110:$C$111,0)))*20,0))</f>
        <v/>
      </c>
      <c r="BK28" s="31" t="str">
        <f aca="false">IF(COUNTBLANK(AQ28:AT28)&gt;0,"",ROUND(AVERAGE(INDEX('SCORING MASTER'!$D$80:$D$82,MATCH(AQ28,'SCORING MASTER'!$C$80:$C$82,0)),INDEX('SCORING MASTER'!$D$84:$D$86,MATCH(AR28,'SCORING MASTER'!$C$84:$C$86,0)),INDEX('SCORING MASTER'!$D$88:$D$90,MATCH(AS28,'SCORING MASTER'!$C$88:$C$90,0)),INDEX('SCORING MASTER'!$D$92:$D$93,MATCH(AT28,'SCORING MASTER'!$C$92:$C$93,0)))*20,0))</f>
        <v/>
      </c>
      <c r="BL28" s="31" t="str">
        <f aca="false">IF(COUNTBLANK(BA28:BE28)&gt;0,"",ROUND(AVERAGE(INDEX('SCORING MASTER'!$D$113:$D$115,MATCH(BA28,'SCORING MASTER'!$C$113:$C$115,0)),INDEX('SCORING MASTER'!$D$117:$D$119,MATCH(BB28,'SCORING MASTER'!$C$117:$C$119,0)),INDEX('SCORING MASTER'!$D$121:$D$123,MATCH(BC28,'SCORING MASTER'!$C$121:$C$123,0)),INDEX('SCORING MASTER'!$D$125:$D$126,MATCH(BD28,'SCORING MASTER'!$C$125:$C$126,0)),INDEX('SCORING MASTER'!$D$128:$D$129,MATCH(BE28,'SCORING MASTER'!$C$128:$C$129,0)))*20,0))</f>
        <v/>
      </c>
      <c r="BM28" s="31" t="str">
        <f aca="false">IF(OR(BF28="",BG28="",BH28="",BI28="",BJ28="",BK28="",BL28=""),"",ROUND(BF28*0.25+BG28*0.2+BH28*0.15+BI28*0.15+BJ28*0.1+BK28*0.1+BL28*0.05,0))</f>
        <v/>
      </c>
      <c r="BN28" s="31" t="str">
        <f aca="false">IF(OR(BF28="",BG28=""),"",ROUND(BF28*0.5+BG28*0.5,0))</f>
        <v/>
      </c>
      <c r="BO28" s="31" t="str">
        <f aca="false">IF(BN28="","",ROUND(MIN(100,MAX(0,(100-BN28)+IF(AL28="Yes",15,0)+IF(AM28="Yes",15,0)+IF(AND(U28&lt;&gt;"",U28&lt;18.5),20,0))),0))</f>
        <v/>
      </c>
      <c r="BP28" s="28" t="str">
        <f aca="false">IF(BM28="","",IF(BM28&gt;=90,"Green - Healthy",IF(BM28&gt;=75,"Light Green - Mild Watch",IF(BM28&gt;=60,"Yellow - Mild Risk",IF(BM28&gt;=40,"Orange - Moderate Risk","Red - High Risk")))))</f>
        <v/>
      </c>
      <c r="BQ28" s="28" t="str">
        <f aca="false">IF(BM28="","",IF(OR(BM28&lt;60,BO28&gt;=60,AJ28="Yes"),"Yes","No"))</f>
        <v/>
      </c>
      <c r="BR28" s="28" t="str">
        <f aca="false">IF(BM28="","",IF(OR(BP28="Orange - Moderate Risk",BP28="Red - High Risk",BQ28="Yes"),"Yes","No"))</f>
        <v/>
      </c>
    </row>
    <row r="29" customFormat="false" ht="15" hidden="false" customHeight="false" outlineLevel="0" collapsed="false">
      <c r="A29" s="32" t="str">
        <f aca="false">IF(I29="","","STU"&amp;TEXT(ROW()-3,"000000"))</f>
        <v/>
      </c>
      <c r="B29" s="32"/>
      <c r="C29" s="32"/>
      <c r="D29" s="32"/>
      <c r="E29" s="32"/>
      <c r="F29" s="32"/>
      <c r="G29" s="32"/>
      <c r="H29" s="32"/>
      <c r="I29" s="32"/>
      <c r="J29" s="34"/>
      <c r="K29" s="32"/>
      <c r="L29" s="32"/>
      <c r="M29" s="32"/>
      <c r="N29" s="32"/>
      <c r="O29" s="32"/>
      <c r="P29" s="32"/>
      <c r="Q29" s="34"/>
      <c r="R29" s="34"/>
      <c r="S29" s="35" t="str">
        <f aca="false">IF(OR(Q29="",R29=""),"",ROUND(R29/((Q29/100)^2),1))</f>
        <v/>
      </c>
      <c r="T29" s="32" t="str">
        <f aca="false">IF(S29="","",IF(S29&lt;18.5,"Underweight",IF(S29&lt;25,"Normal",IF(S29&lt;30,"Overweight","Obese"))))</f>
        <v/>
      </c>
      <c r="U29" s="34"/>
      <c r="V29" s="34"/>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5" t="str">
        <f aca="false">IF(T29="","",IF(T29="Normal",100,IF(T29="Overweight",65,IF(T29="Obese",50,IF(AND(U29&lt;&gt;"",U29&lt;18.5),30,45)))))</f>
        <v/>
      </c>
      <c r="BG29" s="35" t="str">
        <f aca="false">IF(COUNTBLANK(W29:AC29)&gt;0,"",ROUND(AVERAGE(INDEX('SCORING MASTER'!$D$5:$D$7,MATCH(W29,'SCORING MASTER'!$C$5:$C$7,0)),INDEX('SCORING MASTER'!$D$9:$D$11,MATCH(X29,'SCORING MASTER'!$C$9:$C$11,0)),INDEX('SCORING MASTER'!$D$13:$D$15,MATCH(Y29,'SCORING MASTER'!$C$13:$C$15,0)),INDEX('SCORING MASTER'!$D$17:$D$19,MATCH(Z29,'SCORING MASTER'!$C$17:$C$19,0)),INDEX('SCORING MASTER'!$D$21:$D$23,MATCH(AA29,'SCORING MASTER'!$C$21:$C$23,0)),INDEX('SCORING MASTER'!$D$25:$D$27,MATCH(AB29,'SCORING MASTER'!$C$25:$C$27,0)),INDEX('SCORING MASTER'!$D$29:$D$31,MATCH(AC29,'SCORING MASTER'!$C$29:$C$31,0)))*20,0))</f>
        <v/>
      </c>
      <c r="BH29" s="35" t="str">
        <f aca="false">IF(COUNTBLANK(AD29:AI29)&gt;0,"",ROUND(AVERAGE(INDEX('SCORING MASTER'!$D$33:$D$35,MATCH(AD29,'SCORING MASTER'!$C$33:$C$35,0)),INDEX('SCORING MASTER'!$D$37:$D$39,MATCH(AE29,'SCORING MASTER'!$C$37:$C$39,0)),INDEX('SCORING MASTER'!$D$41:$D$43,MATCH(AF29,'SCORING MASTER'!$C$41:$C$43,0)),INDEX('SCORING MASTER'!$D$45:$D$47,MATCH(AG29,'SCORING MASTER'!$C$45:$C$47,0)),INDEX('SCORING MASTER'!$D$49:$D$52,MATCH(AH29,'SCORING MASTER'!$C$49:$C$52,0)),INDEX('SCORING MASTER'!$D$54:$D$57,MATCH(AI29,'SCORING MASTER'!$C$54:$C$57,0)))*20,0))</f>
        <v/>
      </c>
      <c r="BI29" s="35" t="str">
        <f aca="false">IF(COUNTBLANK(AJ29:AP29)&gt;0,"",ROUND(AVERAGE(INDEX('SCORING MASTER'!$D$59:$D$60,MATCH(AJ29,'SCORING MASTER'!$C$59:$C$60,0)),INDEX('SCORING MASTER'!$D$62:$D$63,MATCH(AK29,'SCORING MASTER'!$C$62:$C$63,0)),INDEX('SCORING MASTER'!$D$65:$D$66,MATCH(AL29,'SCORING MASTER'!$C$65:$C$66,0)),INDEX('SCORING MASTER'!$D$68:$D$69,MATCH(AM29,'SCORING MASTER'!$C$68:$C$69,0)),INDEX('SCORING MASTER'!$D$71:$D$72,MATCH(AN29,'SCORING MASTER'!$C$71:$C$72,0)),INDEX('SCORING MASTER'!$D$74:$D$75,MATCH(AO29,'SCORING MASTER'!$C$74:$C$75,0)),INDEX('SCORING MASTER'!$D$77:$D$78,MATCH(AP29,'SCORING MASTER'!$C$77:$C$78,0)))*20,0))</f>
        <v/>
      </c>
      <c r="BJ29" s="35" t="str">
        <f aca="false">IF(COUNTBLANK(AU29:AZ29)&gt;0,"",ROUND(AVERAGE(INDEX('SCORING MASTER'!$D$95:$D$96,MATCH(AU29,'SCORING MASTER'!$C$95:$C$96,0)),INDEX('SCORING MASTER'!$D$98:$D$99,MATCH(AV29,'SCORING MASTER'!$C$98:$C$99,0)),INDEX('SCORING MASTER'!$D$101:$D$102,MATCH(AW29,'SCORING MASTER'!$C$101:$C$102,0)),INDEX('SCORING MASTER'!$D$104:$D$105,MATCH(AX29,'SCORING MASTER'!$C$104:$C$105,0)),INDEX('SCORING MASTER'!$D$107:$D$108,MATCH(AY29,'SCORING MASTER'!$C$107:$C$108,0)),INDEX('SCORING MASTER'!$D$110:$D$111,MATCH(AZ29,'SCORING MASTER'!$C$110:$C$111,0)))*20,0))</f>
        <v/>
      </c>
      <c r="BK29" s="35" t="str">
        <f aca="false">IF(COUNTBLANK(AQ29:AT29)&gt;0,"",ROUND(AVERAGE(INDEX('SCORING MASTER'!$D$80:$D$82,MATCH(AQ29,'SCORING MASTER'!$C$80:$C$82,0)),INDEX('SCORING MASTER'!$D$84:$D$86,MATCH(AR29,'SCORING MASTER'!$C$84:$C$86,0)),INDEX('SCORING MASTER'!$D$88:$D$90,MATCH(AS29,'SCORING MASTER'!$C$88:$C$90,0)),INDEX('SCORING MASTER'!$D$92:$D$93,MATCH(AT29,'SCORING MASTER'!$C$92:$C$93,0)))*20,0))</f>
        <v/>
      </c>
      <c r="BL29" s="35" t="str">
        <f aca="false">IF(COUNTBLANK(BA29:BE29)&gt;0,"",ROUND(AVERAGE(INDEX('SCORING MASTER'!$D$113:$D$115,MATCH(BA29,'SCORING MASTER'!$C$113:$C$115,0)),INDEX('SCORING MASTER'!$D$117:$D$119,MATCH(BB29,'SCORING MASTER'!$C$117:$C$119,0)),INDEX('SCORING MASTER'!$D$121:$D$123,MATCH(BC29,'SCORING MASTER'!$C$121:$C$123,0)),INDEX('SCORING MASTER'!$D$125:$D$126,MATCH(BD29,'SCORING MASTER'!$C$125:$C$126,0)),INDEX('SCORING MASTER'!$D$128:$D$129,MATCH(BE29,'SCORING MASTER'!$C$128:$C$129,0)))*20,0))</f>
        <v/>
      </c>
      <c r="BM29" s="35" t="str">
        <f aca="false">IF(OR(BF29="",BG29="",BH29="",BI29="",BJ29="",BK29="",BL29=""),"",ROUND(BF29*0.25+BG29*0.2+BH29*0.15+BI29*0.15+BJ29*0.1+BK29*0.1+BL29*0.05,0))</f>
        <v/>
      </c>
      <c r="BN29" s="35" t="str">
        <f aca="false">IF(OR(BF29="",BG29=""),"",ROUND(BF29*0.5+BG29*0.5,0))</f>
        <v/>
      </c>
      <c r="BO29" s="35" t="str">
        <f aca="false">IF(BN29="","",ROUND(MIN(100,MAX(0,(100-BN29)+IF(AL29="Yes",15,0)+IF(AM29="Yes",15,0)+IF(AND(U29&lt;&gt;"",U29&lt;18.5),20,0))),0))</f>
        <v/>
      </c>
      <c r="BP29" s="32" t="str">
        <f aca="false">IF(BM29="","",IF(BM29&gt;=90,"Green - Healthy",IF(BM29&gt;=75,"Light Green - Mild Watch",IF(BM29&gt;=60,"Yellow - Mild Risk",IF(BM29&gt;=40,"Orange - Moderate Risk","Red - High Risk")))))</f>
        <v/>
      </c>
      <c r="BQ29" s="32" t="str">
        <f aca="false">IF(BM29="","",IF(OR(BM29&lt;60,BO29&gt;=60,AJ29="Yes"),"Yes","No"))</f>
        <v/>
      </c>
      <c r="BR29" s="32" t="str">
        <f aca="false">IF(BM29="","",IF(OR(BP29="Orange - Moderate Risk",BP29="Red - High Risk",BQ29="Yes"),"Yes","No"))</f>
        <v/>
      </c>
    </row>
    <row r="30" customFormat="false" ht="15" hidden="false" customHeight="false" outlineLevel="0" collapsed="false">
      <c r="A30" s="28" t="str">
        <f aca="false">IF(I30="","","STU"&amp;TEXT(ROW()-3,"000000"))</f>
        <v/>
      </c>
      <c r="B30" s="28"/>
      <c r="C30" s="28"/>
      <c r="D30" s="28"/>
      <c r="E30" s="28"/>
      <c r="F30" s="28"/>
      <c r="G30" s="28"/>
      <c r="H30" s="28"/>
      <c r="I30" s="28"/>
      <c r="J30" s="30"/>
      <c r="K30" s="28"/>
      <c r="L30" s="28"/>
      <c r="M30" s="28"/>
      <c r="N30" s="28"/>
      <c r="O30" s="28"/>
      <c r="P30" s="28"/>
      <c r="Q30" s="30"/>
      <c r="R30" s="30"/>
      <c r="S30" s="31" t="str">
        <f aca="false">IF(OR(Q30="",R30=""),"",ROUND(R30/((Q30/100)^2),1))</f>
        <v/>
      </c>
      <c r="T30" s="28" t="str">
        <f aca="false">IF(S30="","",IF(S30&lt;18.5,"Underweight",IF(S30&lt;25,"Normal",IF(S30&lt;30,"Overweight","Obese"))))</f>
        <v/>
      </c>
      <c r="U30" s="30"/>
      <c r="V30" s="30"/>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31" t="str">
        <f aca="false">IF(T30="","",IF(T30="Normal",100,IF(T30="Overweight",65,IF(T30="Obese",50,IF(AND(U30&lt;&gt;"",U30&lt;18.5),30,45)))))</f>
        <v/>
      </c>
      <c r="BG30" s="31" t="str">
        <f aca="false">IF(COUNTBLANK(W30:AC30)&gt;0,"",ROUND(AVERAGE(INDEX('SCORING MASTER'!$D$5:$D$7,MATCH(W30,'SCORING MASTER'!$C$5:$C$7,0)),INDEX('SCORING MASTER'!$D$9:$D$11,MATCH(X30,'SCORING MASTER'!$C$9:$C$11,0)),INDEX('SCORING MASTER'!$D$13:$D$15,MATCH(Y30,'SCORING MASTER'!$C$13:$C$15,0)),INDEX('SCORING MASTER'!$D$17:$D$19,MATCH(Z30,'SCORING MASTER'!$C$17:$C$19,0)),INDEX('SCORING MASTER'!$D$21:$D$23,MATCH(AA30,'SCORING MASTER'!$C$21:$C$23,0)),INDEX('SCORING MASTER'!$D$25:$D$27,MATCH(AB30,'SCORING MASTER'!$C$25:$C$27,0)),INDEX('SCORING MASTER'!$D$29:$D$31,MATCH(AC30,'SCORING MASTER'!$C$29:$C$31,0)))*20,0))</f>
        <v/>
      </c>
      <c r="BH30" s="31" t="str">
        <f aca="false">IF(COUNTBLANK(AD30:AI30)&gt;0,"",ROUND(AVERAGE(INDEX('SCORING MASTER'!$D$33:$D$35,MATCH(AD30,'SCORING MASTER'!$C$33:$C$35,0)),INDEX('SCORING MASTER'!$D$37:$D$39,MATCH(AE30,'SCORING MASTER'!$C$37:$C$39,0)),INDEX('SCORING MASTER'!$D$41:$D$43,MATCH(AF30,'SCORING MASTER'!$C$41:$C$43,0)),INDEX('SCORING MASTER'!$D$45:$D$47,MATCH(AG30,'SCORING MASTER'!$C$45:$C$47,0)),INDEX('SCORING MASTER'!$D$49:$D$52,MATCH(AH30,'SCORING MASTER'!$C$49:$C$52,0)),INDEX('SCORING MASTER'!$D$54:$D$57,MATCH(AI30,'SCORING MASTER'!$C$54:$C$57,0)))*20,0))</f>
        <v/>
      </c>
      <c r="BI30" s="31" t="str">
        <f aca="false">IF(COUNTBLANK(AJ30:AP30)&gt;0,"",ROUND(AVERAGE(INDEX('SCORING MASTER'!$D$59:$D$60,MATCH(AJ30,'SCORING MASTER'!$C$59:$C$60,0)),INDEX('SCORING MASTER'!$D$62:$D$63,MATCH(AK30,'SCORING MASTER'!$C$62:$C$63,0)),INDEX('SCORING MASTER'!$D$65:$D$66,MATCH(AL30,'SCORING MASTER'!$C$65:$C$66,0)),INDEX('SCORING MASTER'!$D$68:$D$69,MATCH(AM30,'SCORING MASTER'!$C$68:$C$69,0)),INDEX('SCORING MASTER'!$D$71:$D$72,MATCH(AN30,'SCORING MASTER'!$C$71:$C$72,0)),INDEX('SCORING MASTER'!$D$74:$D$75,MATCH(AO30,'SCORING MASTER'!$C$74:$C$75,0)),INDEX('SCORING MASTER'!$D$77:$D$78,MATCH(AP30,'SCORING MASTER'!$C$77:$C$78,0)))*20,0))</f>
        <v/>
      </c>
      <c r="BJ30" s="31" t="str">
        <f aca="false">IF(COUNTBLANK(AU30:AZ30)&gt;0,"",ROUND(AVERAGE(INDEX('SCORING MASTER'!$D$95:$D$96,MATCH(AU30,'SCORING MASTER'!$C$95:$C$96,0)),INDEX('SCORING MASTER'!$D$98:$D$99,MATCH(AV30,'SCORING MASTER'!$C$98:$C$99,0)),INDEX('SCORING MASTER'!$D$101:$D$102,MATCH(AW30,'SCORING MASTER'!$C$101:$C$102,0)),INDEX('SCORING MASTER'!$D$104:$D$105,MATCH(AX30,'SCORING MASTER'!$C$104:$C$105,0)),INDEX('SCORING MASTER'!$D$107:$D$108,MATCH(AY30,'SCORING MASTER'!$C$107:$C$108,0)),INDEX('SCORING MASTER'!$D$110:$D$111,MATCH(AZ30,'SCORING MASTER'!$C$110:$C$111,0)))*20,0))</f>
        <v/>
      </c>
      <c r="BK30" s="31" t="str">
        <f aca="false">IF(COUNTBLANK(AQ30:AT30)&gt;0,"",ROUND(AVERAGE(INDEX('SCORING MASTER'!$D$80:$D$82,MATCH(AQ30,'SCORING MASTER'!$C$80:$C$82,0)),INDEX('SCORING MASTER'!$D$84:$D$86,MATCH(AR30,'SCORING MASTER'!$C$84:$C$86,0)),INDEX('SCORING MASTER'!$D$88:$D$90,MATCH(AS30,'SCORING MASTER'!$C$88:$C$90,0)),INDEX('SCORING MASTER'!$D$92:$D$93,MATCH(AT30,'SCORING MASTER'!$C$92:$C$93,0)))*20,0))</f>
        <v/>
      </c>
      <c r="BL30" s="31" t="str">
        <f aca="false">IF(COUNTBLANK(BA30:BE30)&gt;0,"",ROUND(AVERAGE(INDEX('SCORING MASTER'!$D$113:$D$115,MATCH(BA30,'SCORING MASTER'!$C$113:$C$115,0)),INDEX('SCORING MASTER'!$D$117:$D$119,MATCH(BB30,'SCORING MASTER'!$C$117:$C$119,0)),INDEX('SCORING MASTER'!$D$121:$D$123,MATCH(BC30,'SCORING MASTER'!$C$121:$C$123,0)),INDEX('SCORING MASTER'!$D$125:$D$126,MATCH(BD30,'SCORING MASTER'!$C$125:$C$126,0)),INDEX('SCORING MASTER'!$D$128:$D$129,MATCH(BE30,'SCORING MASTER'!$C$128:$C$129,0)))*20,0))</f>
        <v/>
      </c>
      <c r="BM30" s="31" t="str">
        <f aca="false">IF(OR(BF30="",BG30="",BH30="",BI30="",BJ30="",BK30="",BL30=""),"",ROUND(BF30*0.25+BG30*0.2+BH30*0.15+BI30*0.15+BJ30*0.1+BK30*0.1+BL30*0.05,0))</f>
        <v/>
      </c>
      <c r="BN30" s="31" t="str">
        <f aca="false">IF(OR(BF30="",BG30=""),"",ROUND(BF30*0.5+BG30*0.5,0))</f>
        <v/>
      </c>
      <c r="BO30" s="31" t="str">
        <f aca="false">IF(BN30="","",ROUND(MIN(100,MAX(0,(100-BN30)+IF(AL30="Yes",15,0)+IF(AM30="Yes",15,0)+IF(AND(U30&lt;&gt;"",U30&lt;18.5),20,0))),0))</f>
        <v/>
      </c>
      <c r="BP30" s="28" t="str">
        <f aca="false">IF(BM30="","",IF(BM30&gt;=90,"Green - Healthy",IF(BM30&gt;=75,"Light Green - Mild Watch",IF(BM30&gt;=60,"Yellow - Mild Risk",IF(BM30&gt;=40,"Orange - Moderate Risk","Red - High Risk")))))</f>
        <v/>
      </c>
      <c r="BQ30" s="28" t="str">
        <f aca="false">IF(BM30="","",IF(OR(BM30&lt;60,BO30&gt;=60,AJ30="Yes"),"Yes","No"))</f>
        <v/>
      </c>
      <c r="BR30" s="28" t="str">
        <f aca="false">IF(BM30="","",IF(OR(BP30="Orange - Moderate Risk",BP30="Red - High Risk",BQ30="Yes"),"Yes","No"))</f>
        <v/>
      </c>
    </row>
    <row r="31" customFormat="false" ht="15" hidden="false" customHeight="false" outlineLevel="0" collapsed="false">
      <c r="A31" s="32" t="str">
        <f aca="false">IF(I31="","","STU"&amp;TEXT(ROW()-3,"000000"))</f>
        <v/>
      </c>
      <c r="B31" s="32"/>
      <c r="C31" s="32"/>
      <c r="D31" s="32"/>
      <c r="E31" s="32"/>
      <c r="F31" s="32"/>
      <c r="G31" s="32"/>
      <c r="H31" s="32"/>
      <c r="I31" s="32"/>
      <c r="J31" s="34"/>
      <c r="K31" s="32"/>
      <c r="L31" s="32"/>
      <c r="M31" s="32"/>
      <c r="N31" s="32"/>
      <c r="O31" s="32"/>
      <c r="P31" s="32"/>
      <c r="Q31" s="34"/>
      <c r="R31" s="34"/>
      <c r="S31" s="35" t="str">
        <f aca="false">IF(OR(Q31="",R31=""),"",ROUND(R31/((Q31/100)^2),1))</f>
        <v/>
      </c>
      <c r="T31" s="32" t="str">
        <f aca="false">IF(S31="","",IF(S31&lt;18.5,"Underweight",IF(S31&lt;25,"Normal",IF(S31&lt;30,"Overweight","Obese"))))</f>
        <v/>
      </c>
      <c r="U31" s="34"/>
      <c r="V31" s="34"/>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5" t="str">
        <f aca="false">IF(T31="","",IF(T31="Normal",100,IF(T31="Overweight",65,IF(T31="Obese",50,IF(AND(U31&lt;&gt;"",U31&lt;18.5),30,45)))))</f>
        <v/>
      </c>
      <c r="BG31" s="35" t="str">
        <f aca="false">IF(COUNTBLANK(W31:AC31)&gt;0,"",ROUND(AVERAGE(INDEX('SCORING MASTER'!$D$5:$D$7,MATCH(W31,'SCORING MASTER'!$C$5:$C$7,0)),INDEX('SCORING MASTER'!$D$9:$D$11,MATCH(X31,'SCORING MASTER'!$C$9:$C$11,0)),INDEX('SCORING MASTER'!$D$13:$D$15,MATCH(Y31,'SCORING MASTER'!$C$13:$C$15,0)),INDEX('SCORING MASTER'!$D$17:$D$19,MATCH(Z31,'SCORING MASTER'!$C$17:$C$19,0)),INDEX('SCORING MASTER'!$D$21:$D$23,MATCH(AA31,'SCORING MASTER'!$C$21:$C$23,0)),INDEX('SCORING MASTER'!$D$25:$D$27,MATCH(AB31,'SCORING MASTER'!$C$25:$C$27,0)),INDEX('SCORING MASTER'!$D$29:$D$31,MATCH(AC31,'SCORING MASTER'!$C$29:$C$31,0)))*20,0))</f>
        <v/>
      </c>
      <c r="BH31" s="35" t="str">
        <f aca="false">IF(COUNTBLANK(AD31:AI31)&gt;0,"",ROUND(AVERAGE(INDEX('SCORING MASTER'!$D$33:$D$35,MATCH(AD31,'SCORING MASTER'!$C$33:$C$35,0)),INDEX('SCORING MASTER'!$D$37:$D$39,MATCH(AE31,'SCORING MASTER'!$C$37:$C$39,0)),INDEX('SCORING MASTER'!$D$41:$D$43,MATCH(AF31,'SCORING MASTER'!$C$41:$C$43,0)),INDEX('SCORING MASTER'!$D$45:$D$47,MATCH(AG31,'SCORING MASTER'!$C$45:$C$47,0)),INDEX('SCORING MASTER'!$D$49:$D$52,MATCH(AH31,'SCORING MASTER'!$C$49:$C$52,0)),INDEX('SCORING MASTER'!$D$54:$D$57,MATCH(AI31,'SCORING MASTER'!$C$54:$C$57,0)))*20,0))</f>
        <v/>
      </c>
      <c r="BI31" s="35" t="str">
        <f aca="false">IF(COUNTBLANK(AJ31:AP31)&gt;0,"",ROUND(AVERAGE(INDEX('SCORING MASTER'!$D$59:$D$60,MATCH(AJ31,'SCORING MASTER'!$C$59:$C$60,0)),INDEX('SCORING MASTER'!$D$62:$D$63,MATCH(AK31,'SCORING MASTER'!$C$62:$C$63,0)),INDEX('SCORING MASTER'!$D$65:$D$66,MATCH(AL31,'SCORING MASTER'!$C$65:$C$66,0)),INDEX('SCORING MASTER'!$D$68:$D$69,MATCH(AM31,'SCORING MASTER'!$C$68:$C$69,0)),INDEX('SCORING MASTER'!$D$71:$D$72,MATCH(AN31,'SCORING MASTER'!$C$71:$C$72,0)),INDEX('SCORING MASTER'!$D$74:$D$75,MATCH(AO31,'SCORING MASTER'!$C$74:$C$75,0)),INDEX('SCORING MASTER'!$D$77:$D$78,MATCH(AP31,'SCORING MASTER'!$C$77:$C$78,0)))*20,0))</f>
        <v/>
      </c>
      <c r="BJ31" s="35" t="str">
        <f aca="false">IF(COUNTBLANK(AU31:AZ31)&gt;0,"",ROUND(AVERAGE(INDEX('SCORING MASTER'!$D$95:$D$96,MATCH(AU31,'SCORING MASTER'!$C$95:$C$96,0)),INDEX('SCORING MASTER'!$D$98:$D$99,MATCH(AV31,'SCORING MASTER'!$C$98:$C$99,0)),INDEX('SCORING MASTER'!$D$101:$D$102,MATCH(AW31,'SCORING MASTER'!$C$101:$C$102,0)),INDEX('SCORING MASTER'!$D$104:$D$105,MATCH(AX31,'SCORING MASTER'!$C$104:$C$105,0)),INDEX('SCORING MASTER'!$D$107:$D$108,MATCH(AY31,'SCORING MASTER'!$C$107:$C$108,0)),INDEX('SCORING MASTER'!$D$110:$D$111,MATCH(AZ31,'SCORING MASTER'!$C$110:$C$111,0)))*20,0))</f>
        <v/>
      </c>
      <c r="BK31" s="35" t="str">
        <f aca="false">IF(COUNTBLANK(AQ31:AT31)&gt;0,"",ROUND(AVERAGE(INDEX('SCORING MASTER'!$D$80:$D$82,MATCH(AQ31,'SCORING MASTER'!$C$80:$C$82,0)),INDEX('SCORING MASTER'!$D$84:$D$86,MATCH(AR31,'SCORING MASTER'!$C$84:$C$86,0)),INDEX('SCORING MASTER'!$D$88:$D$90,MATCH(AS31,'SCORING MASTER'!$C$88:$C$90,0)),INDEX('SCORING MASTER'!$D$92:$D$93,MATCH(AT31,'SCORING MASTER'!$C$92:$C$93,0)))*20,0))</f>
        <v/>
      </c>
      <c r="BL31" s="35" t="str">
        <f aca="false">IF(COUNTBLANK(BA31:BE31)&gt;0,"",ROUND(AVERAGE(INDEX('SCORING MASTER'!$D$113:$D$115,MATCH(BA31,'SCORING MASTER'!$C$113:$C$115,0)),INDEX('SCORING MASTER'!$D$117:$D$119,MATCH(BB31,'SCORING MASTER'!$C$117:$C$119,0)),INDEX('SCORING MASTER'!$D$121:$D$123,MATCH(BC31,'SCORING MASTER'!$C$121:$C$123,0)),INDEX('SCORING MASTER'!$D$125:$D$126,MATCH(BD31,'SCORING MASTER'!$C$125:$C$126,0)),INDEX('SCORING MASTER'!$D$128:$D$129,MATCH(BE31,'SCORING MASTER'!$C$128:$C$129,0)))*20,0))</f>
        <v/>
      </c>
      <c r="BM31" s="35" t="str">
        <f aca="false">IF(OR(BF31="",BG31="",BH31="",BI31="",BJ31="",BK31="",BL31=""),"",ROUND(BF31*0.25+BG31*0.2+BH31*0.15+BI31*0.15+BJ31*0.1+BK31*0.1+BL31*0.05,0))</f>
        <v/>
      </c>
      <c r="BN31" s="35" t="str">
        <f aca="false">IF(OR(BF31="",BG31=""),"",ROUND(BF31*0.5+BG31*0.5,0))</f>
        <v/>
      </c>
      <c r="BO31" s="35" t="str">
        <f aca="false">IF(BN31="","",ROUND(MIN(100,MAX(0,(100-BN31)+IF(AL31="Yes",15,0)+IF(AM31="Yes",15,0)+IF(AND(U31&lt;&gt;"",U31&lt;18.5),20,0))),0))</f>
        <v/>
      </c>
      <c r="BP31" s="32" t="str">
        <f aca="false">IF(BM31="","",IF(BM31&gt;=90,"Green - Healthy",IF(BM31&gt;=75,"Light Green - Mild Watch",IF(BM31&gt;=60,"Yellow - Mild Risk",IF(BM31&gt;=40,"Orange - Moderate Risk","Red - High Risk")))))</f>
        <v/>
      </c>
      <c r="BQ31" s="32" t="str">
        <f aca="false">IF(BM31="","",IF(OR(BM31&lt;60,BO31&gt;=60,AJ31="Yes"),"Yes","No"))</f>
        <v/>
      </c>
      <c r="BR31" s="32" t="str">
        <f aca="false">IF(BM31="","",IF(OR(BP31="Orange - Moderate Risk",BP31="Red - High Risk",BQ31="Yes"),"Yes","No"))</f>
        <v/>
      </c>
    </row>
    <row r="32" customFormat="false" ht="15" hidden="false" customHeight="false" outlineLevel="0" collapsed="false">
      <c r="A32" s="28" t="str">
        <f aca="false">IF(I32="","","STU"&amp;TEXT(ROW()-3,"000000"))</f>
        <v/>
      </c>
      <c r="B32" s="28"/>
      <c r="C32" s="28"/>
      <c r="D32" s="28"/>
      <c r="E32" s="28"/>
      <c r="F32" s="28"/>
      <c r="G32" s="28"/>
      <c r="H32" s="28"/>
      <c r="I32" s="28"/>
      <c r="J32" s="30"/>
      <c r="K32" s="28"/>
      <c r="L32" s="28"/>
      <c r="M32" s="28"/>
      <c r="N32" s="28"/>
      <c r="O32" s="28"/>
      <c r="P32" s="28"/>
      <c r="Q32" s="30"/>
      <c r="R32" s="30"/>
      <c r="S32" s="31" t="str">
        <f aca="false">IF(OR(Q32="",R32=""),"",ROUND(R32/((Q32/100)^2),1))</f>
        <v/>
      </c>
      <c r="T32" s="28" t="str">
        <f aca="false">IF(S32="","",IF(S32&lt;18.5,"Underweight",IF(S32&lt;25,"Normal",IF(S32&lt;30,"Overweight","Obese"))))</f>
        <v/>
      </c>
      <c r="U32" s="30"/>
      <c r="V32" s="30"/>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31" t="str">
        <f aca="false">IF(T32="","",IF(T32="Normal",100,IF(T32="Overweight",65,IF(T32="Obese",50,IF(AND(U32&lt;&gt;"",U32&lt;18.5),30,45)))))</f>
        <v/>
      </c>
      <c r="BG32" s="31" t="str">
        <f aca="false">IF(COUNTBLANK(W32:AC32)&gt;0,"",ROUND(AVERAGE(INDEX('SCORING MASTER'!$D$5:$D$7,MATCH(W32,'SCORING MASTER'!$C$5:$C$7,0)),INDEX('SCORING MASTER'!$D$9:$D$11,MATCH(X32,'SCORING MASTER'!$C$9:$C$11,0)),INDEX('SCORING MASTER'!$D$13:$D$15,MATCH(Y32,'SCORING MASTER'!$C$13:$C$15,0)),INDEX('SCORING MASTER'!$D$17:$D$19,MATCH(Z32,'SCORING MASTER'!$C$17:$C$19,0)),INDEX('SCORING MASTER'!$D$21:$D$23,MATCH(AA32,'SCORING MASTER'!$C$21:$C$23,0)),INDEX('SCORING MASTER'!$D$25:$D$27,MATCH(AB32,'SCORING MASTER'!$C$25:$C$27,0)),INDEX('SCORING MASTER'!$D$29:$D$31,MATCH(AC32,'SCORING MASTER'!$C$29:$C$31,0)))*20,0))</f>
        <v/>
      </c>
      <c r="BH32" s="31" t="str">
        <f aca="false">IF(COUNTBLANK(AD32:AI32)&gt;0,"",ROUND(AVERAGE(INDEX('SCORING MASTER'!$D$33:$D$35,MATCH(AD32,'SCORING MASTER'!$C$33:$C$35,0)),INDEX('SCORING MASTER'!$D$37:$D$39,MATCH(AE32,'SCORING MASTER'!$C$37:$C$39,0)),INDEX('SCORING MASTER'!$D$41:$D$43,MATCH(AF32,'SCORING MASTER'!$C$41:$C$43,0)),INDEX('SCORING MASTER'!$D$45:$D$47,MATCH(AG32,'SCORING MASTER'!$C$45:$C$47,0)),INDEX('SCORING MASTER'!$D$49:$D$52,MATCH(AH32,'SCORING MASTER'!$C$49:$C$52,0)),INDEX('SCORING MASTER'!$D$54:$D$57,MATCH(AI32,'SCORING MASTER'!$C$54:$C$57,0)))*20,0))</f>
        <v/>
      </c>
      <c r="BI32" s="31" t="str">
        <f aca="false">IF(COUNTBLANK(AJ32:AP32)&gt;0,"",ROUND(AVERAGE(INDEX('SCORING MASTER'!$D$59:$D$60,MATCH(AJ32,'SCORING MASTER'!$C$59:$C$60,0)),INDEX('SCORING MASTER'!$D$62:$D$63,MATCH(AK32,'SCORING MASTER'!$C$62:$C$63,0)),INDEX('SCORING MASTER'!$D$65:$D$66,MATCH(AL32,'SCORING MASTER'!$C$65:$C$66,0)),INDEX('SCORING MASTER'!$D$68:$D$69,MATCH(AM32,'SCORING MASTER'!$C$68:$C$69,0)),INDEX('SCORING MASTER'!$D$71:$D$72,MATCH(AN32,'SCORING MASTER'!$C$71:$C$72,0)),INDEX('SCORING MASTER'!$D$74:$D$75,MATCH(AO32,'SCORING MASTER'!$C$74:$C$75,0)),INDEX('SCORING MASTER'!$D$77:$D$78,MATCH(AP32,'SCORING MASTER'!$C$77:$C$78,0)))*20,0))</f>
        <v/>
      </c>
      <c r="BJ32" s="31" t="str">
        <f aca="false">IF(COUNTBLANK(AU32:AZ32)&gt;0,"",ROUND(AVERAGE(INDEX('SCORING MASTER'!$D$95:$D$96,MATCH(AU32,'SCORING MASTER'!$C$95:$C$96,0)),INDEX('SCORING MASTER'!$D$98:$D$99,MATCH(AV32,'SCORING MASTER'!$C$98:$C$99,0)),INDEX('SCORING MASTER'!$D$101:$D$102,MATCH(AW32,'SCORING MASTER'!$C$101:$C$102,0)),INDEX('SCORING MASTER'!$D$104:$D$105,MATCH(AX32,'SCORING MASTER'!$C$104:$C$105,0)),INDEX('SCORING MASTER'!$D$107:$D$108,MATCH(AY32,'SCORING MASTER'!$C$107:$C$108,0)),INDEX('SCORING MASTER'!$D$110:$D$111,MATCH(AZ32,'SCORING MASTER'!$C$110:$C$111,0)))*20,0))</f>
        <v/>
      </c>
      <c r="BK32" s="31" t="str">
        <f aca="false">IF(COUNTBLANK(AQ32:AT32)&gt;0,"",ROUND(AVERAGE(INDEX('SCORING MASTER'!$D$80:$D$82,MATCH(AQ32,'SCORING MASTER'!$C$80:$C$82,0)),INDEX('SCORING MASTER'!$D$84:$D$86,MATCH(AR32,'SCORING MASTER'!$C$84:$C$86,0)),INDEX('SCORING MASTER'!$D$88:$D$90,MATCH(AS32,'SCORING MASTER'!$C$88:$C$90,0)),INDEX('SCORING MASTER'!$D$92:$D$93,MATCH(AT32,'SCORING MASTER'!$C$92:$C$93,0)))*20,0))</f>
        <v/>
      </c>
      <c r="BL32" s="31" t="str">
        <f aca="false">IF(COUNTBLANK(BA32:BE32)&gt;0,"",ROUND(AVERAGE(INDEX('SCORING MASTER'!$D$113:$D$115,MATCH(BA32,'SCORING MASTER'!$C$113:$C$115,0)),INDEX('SCORING MASTER'!$D$117:$D$119,MATCH(BB32,'SCORING MASTER'!$C$117:$C$119,0)),INDEX('SCORING MASTER'!$D$121:$D$123,MATCH(BC32,'SCORING MASTER'!$C$121:$C$123,0)),INDEX('SCORING MASTER'!$D$125:$D$126,MATCH(BD32,'SCORING MASTER'!$C$125:$C$126,0)),INDEX('SCORING MASTER'!$D$128:$D$129,MATCH(BE32,'SCORING MASTER'!$C$128:$C$129,0)))*20,0))</f>
        <v/>
      </c>
      <c r="BM32" s="31" t="str">
        <f aca="false">IF(OR(BF32="",BG32="",BH32="",BI32="",BJ32="",BK32="",BL32=""),"",ROUND(BF32*0.25+BG32*0.2+BH32*0.15+BI32*0.15+BJ32*0.1+BK32*0.1+BL32*0.05,0))</f>
        <v/>
      </c>
      <c r="BN32" s="31" t="str">
        <f aca="false">IF(OR(BF32="",BG32=""),"",ROUND(BF32*0.5+BG32*0.5,0))</f>
        <v/>
      </c>
      <c r="BO32" s="31" t="str">
        <f aca="false">IF(BN32="","",ROUND(MIN(100,MAX(0,(100-BN32)+IF(AL32="Yes",15,0)+IF(AM32="Yes",15,0)+IF(AND(U32&lt;&gt;"",U32&lt;18.5),20,0))),0))</f>
        <v/>
      </c>
      <c r="BP32" s="28" t="str">
        <f aca="false">IF(BM32="","",IF(BM32&gt;=90,"Green - Healthy",IF(BM32&gt;=75,"Light Green - Mild Watch",IF(BM32&gt;=60,"Yellow - Mild Risk",IF(BM32&gt;=40,"Orange - Moderate Risk","Red - High Risk")))))</f>
        <v/>
      </c>
      <c r="BQ32" s="28" t="str">
        <f aca="false">IF(BM32="","",IF(OR(BM32&lt;60,BO32&gt;=60,AJ32="Yes"),"Yes","No"))</f>
        <v/>
      </c>
      <c r="BR32" s="28" t="str">
        <f aca="false">IF(BM32="","",IF(OR(BP32="Orange - Moderate Risk",BP32="Red - High Risk",BQ32="Yes"),"Yes","No"))</f>
        <v/>
      </c>
    </row>
    <row r="33" customFormat="false" ht="15" hidden="false" customHeight="false" outlineLevel="0" collapsed="false">
      <c r="A33" s="32" t="str">
        <f aca="false">IF(I33="","","STU"&amp;TEXT(ROW()-3,"000000"))</f>
        <v/>
      </c>
      <c r="B33" s="32"/>
      <c r="C33" s="32"/>
      <c r="D33" s="32"/>
      <c r="E33" s="32"/>
      <c r="F33" s="32"/>
      <c r="G33" s="32"/>
      <c r="H33" s="32"/>
      <c r="I33" s="32"/>
      <c r="J33" s="34"/>
      <c r="K33" s="32"/>
      <c r="L33" s="32"/>
      <c r="M33" s="32"/>
      <c r="N33" s="32"/>
      <c r="O33" s="32"/>
      <c r="P33" s="32"/>
      <c r="Q33" s="34"/>
      <c r="R33" s="34"/>
      <c r="S33" s="35" t="str">
        <f aca="false">IF(OR(Q33="",R33=""),"",ROUND(R33/((Q33/100)^2),1))</f>
        <v/>
      </c>
      <c r="T33" s="32" t="str">
        <f aca="false">IF(S33="","",IF(S33&lt;18.5,"Underweight",IF(S33&lt;25,"Normal",IF(S33&lt;30,"Overweight","Obese"))))</f>
        <v/>
      </c>
      <c r="U33" s="34"/>
      <c r="V33" s="34"/>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5" t="str">
        <f aca="false">IF(T33="","",IF(T33="Normal",100,IF(T33="Overweight",65,IF(T33="Obese",50,IF(AND(U33&lt;&gt;"",U33&lt;18.5),30,45)))))</f>
        <v/>
      </c>
      <c r="BG33" s="35" t="str">
        <f aca="false">IF(COUNTBLANK(W33:AC33)&gt;0,"",ROUND(AVERAGE(INDEX('SCORING MASTER'!$D$5:$D$7,MATCH(W33,'SCORING MASTER'!$C$5:$C$7,0)),INDEX('SCORING MASTER'!$D$9:$D$11,MATCH(X33,'SCORING MASTER'!$C$9:$C$11,0)),INDEX('SCORING MASTER'!$D$13:$D$15,MATCH(Y33,'SCORING MASTER'!$C$13:$C$15,0)),INDEX('SCORING MASTER'!$D$17:$D$19,MATCH(Z33,'SCORING MASTER'!$C$17:$C$19,0)),INDEX('SCORING MASTER'!$D$21:$D$23,MATCH(AA33,'SCORING MASTER'!$C$21:$C$23,0)),INDEX('SCORING MASTER'!$D$25:$D$27,MATCH(AB33,'SCORING MASTER'!$C$25:$C$27,0)),INDEX('SCORING MASTER'!$D$29:$D$31,MATCH(AC33,'SCORING MASTER'!$C$29:$C$31,0)))*20,0))</f>
        <v/>
      </c>
      <c r="BH33" s="35" t="str">
        <f aca="false">IF(COUNTBLANK(AD33:AI33)&gt;0,"",ROUND(AVERAGE(INDEX('SCORING MASTER'!$D$33:$D$35,MATCH(AD33,'SCORING MASTER'!$C$33:$C$35,0)),INDEX('SCORING MASTER'!$D$37:$D$39,MATCH(AE33,'SCORING MASTER'!$C$37:$C$39,0)),INDEX('SCORING MASTER'!$D$41:$D$43,MATCH(AF33,'SCORING MASTER'!$C$41:$C$43,0)),INDEX('SCORING MASTER'!$D$45:$D$47,MATCH(AG33,'SCORING MASTER'!$C$45:$C$47,0)),INDEX('SCORING MASTER'!$D$49:$D$52,MATCH(AH33,'SCORING MASTER'!$C$49:$C$52,0)),INDEX('SCORING MASTER'!$D$54:$D$57,MATCH(AI33,'SCORING MASTER'!$C$54:$C$57,0)))*20,0))</f>
        <v/>
      </c>
      <c r="BI33" s="35" t="str">
        <f aca="false">IF(COUNTBLANK(AJ33:AP33)&gt;0,"",ROUND(AVERAGE(INDEX('SCORING MASTER'!$D$59:$D$60,MATCH(AJ33,'SCORING MASTER'!$C$59:$C$60,0)),INDEX('SCORING MASTER'!$D$62:$D$63,MATCH(AK33,'SCORING MASTER'!$C$62:$C$63,0)),INDEX('SCORING MASTER'!$D$65:$D$66,MATCH(AL33,'SCORING MASTER'!$C$65:$C$66,0)),INDEX('SCORING MASTER'!$D$68:$D$69,MATCH(AM33,'SCORING MASTER'!$C$68:$C$69,0)),INDEX('SCORING MASTER'!$D$71:$D$72,MATCH(AN33,'SCORING MASTER'!$C$71:$C$72,0)),INDEX('SCORING MASTER'!$D$74:$D$75,MATCH(AO33,'SCORING MASTER'!$C$74:$C$75,0)),INDEX('SCORING MASTER'!$D$77:$D$78,MATCH(AP33,'SCORING MASTER'!$C$77:$C$78,0)))*20,0))</f>
        <v/>
      </c>
      <c r="BJ33" s="35" t="str">
        <f aca="false">IF(COUNTBLANK(AU33:AZ33)&gt;0,"",ROUND(AVERAGE(INDEX('SCORING MASTER'!$D$95:$D$96,MATCH(AU33,'SCORING MASTER'!$C$95:$C$96,0)),INDEX('SCORING MASTER'!$D$98:$D$99,MATCH(AV33,'SCORING MASTER'!$C$98:$C$99,0)),INDEX('SCORING MASTER'!$D$101:$D$102,MATCH(AW33,'SCORING MASTER'!$C$101:$C$102,0)),INDEX('SCORING MASTER'!$D$104:$D$105,MATCH(AX33,'SCORING MASTER'!$C$104:$C$105,0)),INDEX('SCORING MASTER'!$D$107:$D$108,MATCH(AY33,'SCORING MASTER'!$C$107:$C$108,0)),INDEX('SCORING MASTER'!$D$110:$D$111,MATCH(AZ33,'SCORING MASTER'!$C$110:$C$111,0)))*20,0))</f>
        <v/>
      </c>
      <c r="BK33" s="35" t="str">
        <f aca="false">IF(COUNTBLANK(AQ33:AT33)&gt;0,"",ROUND(AVERAGE(INDEX('SCORING MASTER'!$D$80:$D$82,MATCH(AQ33,'SCORING MASTER'!$C$80:$C$82,0)),INDEX('SCORING MASTER'!$D$84:$D$86,MATCH(AR33,'SCORING MASTER'!$C$84:$C$86,0)),INDEX('SCORING MASTER'!$D$88:$D$90,MATCH(AS33,'SCORING MASTER'!$C$88:$C$90,0)),INDEX('SCORING MASTER'!$D$92:$D$93,MATCH(AT33,'SCORING MASTER'!$C$92:$C$93,0)))*20,0))</f>
        <v/>
      </c>
      <c r="BL33" s="35" t="str">
        <f aca="false">IF(COUNTBLANK(BA33:BE33)&gt;0,"",ROUND(AVERAGE(INDEX('SCORING MASTER'!$D$113:$D$115,MATCH(BA33,'SCORING MASTER'!$C$113:$C$115,0)),INDEX('SCORING MASTER'!$D$117:$D$119,MATCH(BB33,'SCORING MASTER'!$C$117:$C$119,0)),INDEX('SCORING MASTER'!$D$121:$D$123,MATCH(BC33,'SCORING MASTER'!$C$121:$C$123,0)),INDEX('SCORING MASTER'!$D$125:$D$126,MATCH(BD33,'SCORING MASTER'!$C$125:$C$126,0)),INDEX('SCORING MASTER'!$D$128:$D$129,MATCH(BE33,'SCORING MASTER'!$C$128:$C$129,0)))*20,0))</f>
        <v/>
      </c>
      <c r="BM33" s="35" t="str">
        <f aca="false">IF(OR(BF33="",BG33="",BH33="",BI33="",BJ33="",BK33="",BL33=""),"",ROUND(BF33*0.25+BG33*0.2+BH33*0.15+BI33*0.15+BJ33*0.1+BK33*0.1+BL33*0.05,0))</f>
        <v/>
      </c>
      <c r="BN33" s="35" t="str">
        <f aca="false">IF(OR(BF33="",BG33=""),"",ROUND(BF33*0.5+BG33*0.5,0))</f>
        <v/>
      </c>
      <c r="BO33" s="35" t="str">
        <f aca="false">IF(BN33="","",ROUND(MIN(100,MAX(0,(100-BN33)+IF(AL33="Yes",15,0)+IF(AM33="Yes",15,0)+IF(AND(U33&lt;&gt;"",U33&lt;18.5),20,0))),0))</f>
        <v/>
      </c>
      <c r="BP33" s="32" t="str">
        <f aca="false">IF(BM33="","",IF(BM33&gt;=90,"Green - Healthy",IF(BM33&gt;=75,"Light Green - Mild Watch",IF(BM33&gt;=60,"Yellow - Mild Risk",IF(BM33&gt;=40,"Orange - Moderate Risk","Red - High Risk")))))</f>
        <v/>
      </c>
      <c r="BQ33" s="32" t="str">
        <f aca="false">IF(BM33="","",IF(OR(BM33&lt;60,BO33&gt;=60,AJ33="Yes"),"Yes","No"))</f>
        <v/>
      </c>
      <c r="BR33" s="32" t="str">
        <f aca="false">IF(BM33="","",IF(OR(BP33="Orange - Moderate Risk",BP33="Red - High Risk",BQ33="Yes"),"Yes","No"))</f>
        <v/>
      </c>
    </row>
    <row r="34" customFormat="false" ht="15" hidden="false" customHeight="false" outlineLevel="0" collapsed="false">
      <c r="A34" s="28" t="str">
        <f aca="false">IF(I34="","","STU"&amp;TEXT(ROW()-3,"000000"))</f>
        <v/>
      </c>
      <c r="B34" s="28"/>
      <c r="C34" s="28"/>
      <c r="D34" s="28"/>
      <c r="E34" s="28"/>
      <c r="F34" s="28"/>
      <c r="G34" s="28"/>
      <c r="H34" s="28"/>
      <c r="I34" s="28"/>
      <c r="J34" s="30"/>
      <c r="K34" s="28"/>
      <c r="L34" s="28"/>
      <c r="M34" s="28"/>
      <c r="N34" s="28"/>
      <c r="O34" s="28"/>
      <c r="P34" s="28"/>
      <c r="Q34" s="30"/>
      <c r="R34" s="30"/>
      <c r="S34" s="31" t="str">
        <f aca="false">IF(OR(Q34="",R34=""),"",ROUND(R34/((Q34/100)^2),1))</f>
        <v/>
      </c>
      <c r="T34" s="28" t="str">
        <f aca="false">IF(S34="","",IF(S34&lt;18.5,"Underweight",IF(S34&lt;25,"Normal",IF(S34&lt;30,"Overweight","Obese"))))</f>
        <v/>
      </c>
      <c r="U34" s="30"/>
      <c r="V34" s="30"/>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31" t="str">
        <f aca="false">IF(T34="","",IF(T34="Normal",100,IF(T34="Overweight",65,IF(T34="Obese",50,IF(AND(U34&lt;&gt;"",U34&lt;18.5),30,45)))))</f>
        <v/>
      </c>
      <c r="BG34" s="31" t="str">
        <f aca="false">IF(COUNTBLANK(W34:AC34)&gt;0,"",ROUND(AVERAGE(INDEX('SCORING MASTER'!$D$5:$D$7,MATCH(W34,'SCORING MASTER'!$C$5:$C$7,0)),INDEX('SCORING MASTER'!$D$9:$D$11,MATCH(X34,'SCORING MASTER'!$C$9:$C$11,0)),INDEX('SCORING MASTER'!$D$13:$D$15,MATCH(Y34,'SCORING MASTER'!$C$13:$C$15,0)),INDEX('SCORING MASTER'!$D$17:$D$19,MATCH(Z34,'SCORING MASTER'!$C$17:$C$19,0)),INDEX('SCORING MASTER'!$D$21:$D$23,MATCH(AA34,'SCORING MASTER'!$C$21:$C$23,0)),INDEX('SCORING MASTER'!$D$25:$D$27,MATCH(AB34,'SCORING MASTER'!$C$25:$C$27,0)),INDEX('SCORING MASTER'!$D$29:$D$31,MATCH(AC34,'SCORING MASTER'!$C$29:$C$31,0)))*20,0))</f>
        <v/>
      </c>
      <c r="BH34" s="31" t="str">
        <f aca="false">IF(COUNTBLANK(AD34:AI34)&gt;0,"",ROUND(AVERAGE(INDEX('SCORING MASTER'!$D$33:$D$35,MATCH(AD34,'SCORING MASTER'!$C$33:$C$35,0)),INDEX('SCORING MASTER'!$D$37:$D$39,MATCH(AE34,'SCORING MASTER'!$C$37:$C$39,0)),INDEX('SCORING MASTER'!$D$41:$D$43,MATCH(AF34,'SCORING MASTER'!$C$41:$C$43,0)),INDEX('SCORING MASTER'!$D$45:$D$47,MATCH(AG34,'SCORING MASTER'!$C$45:$C$47,0)),INDEX('SCORING MASTER'!$D$49:$D$52,MATCH(AH34,'SCORING MASTER'!$C$49:$C$52,0)),INDEX('SCORING MASTER'!$D$54:$D$57,MATCH(AI34,'SCORING MASTER'!$C$54:$C$57,0)))*20,0))</f>
        <v/>
      </c>
      <c r="BI34" s="31" t="str">
        <f aca="false">IF(COUNTBLANK(AJ34:AP34)&gt;0,"",ROUND(AVERAGE(INDEX('SCORING MASTER'!$D$59:$D$60,MATCH(AJ34,'SCORING MASTER'!$C$59:$C$60,0)),INDEX('SCORING MASTER'!$D$62:$D$63,MATCH(AK34,'SCORING MASTER'!$C$62:$C$63,0)),INDEX('SCORING MASTER'!$D$65:$D$66,MATCH(AL34,'SCORING MASTER'!$C$65:$C$66,0)),INDEX('SCORING MASTER'!$D$68:$D$69,MATCH(AM34,'SCORING MASTER'!$C$68:$C$69,0)),INDEX('SCORING MASTER'!$D$71:$D$72,MATCH(AN34,'SCORING MASTER'!$C$71:$C$72,0)),INDEX('SCORING MASTER'!$D$74:$D$75,MATCH(AO34,'SCORING MASTER'!$C$74:$C$75,0)),INDEX('SCORING MASTER'!$D$77:$D$78,MATCH(AP34,'SCORING MASTER'!$C$77:$C$78,0)))*20,0))</f>
        <v/>
      </c>
      <c r="BJ34" s="31" t="str">
        <f aca="false">IF(COUNTBLANK(AU34:AZ34)&gt;0,"",ROUND(AVERAGE(INDEX('SCORING MASTER'!$D$95:$D$96,MATCH(AU34,'SCORING MASTER'!$C$95:$C$96,0)),INDEX('SCORING MASTER'!$D$98:$D$99,MATCH(AV34,'SCORING MASTER'!$C$98:$C$99,0)),INDEX('SCORING MASTER'!$D$101:$D$102,MATCH(AW34,'SCORING MASTER'!$C$101:$C$102,0)),INDEX('SCORING MASTER'!$D$104:$D$105,MATCH(AX34,'SCORING MASTER'!$C$104:$C$105,0)),INDEX('SCORING MASTER'!$D$107:$D$108,MATCH(AY34,'SCORING MASTER'!$C$107:$C$108,0)),INDEX('SCORING MASTER'!$D$110:$D$111,MATCH(AZ34,'SCORING MASTER'!$C$110:$C$111,0)))*20,0))</f>
        <v/>
      </c>
      <c r="BK34" s="31" t="str">
        <f aca="false">IF(COUNTBLANK(AQ34:AT34)&gt;0,"",ROUND(AVERAGE(INDEX('SCORING MASTER'!$D$80:$D$82,MATCH(AQ34,'SCORING MASTER'!$C$80:$C$82,0)),INDEX('SCORING MASTER'!$D$84:$D$86,MATCH(AR34,'SCORING MASTER'!$C$84:$C$86,0)),INDEX('SCORING MASTER'!$D$88:$D$90,MATCH(AS34,'SCORING MASTER'!$C$88:$C$90,0)),INDEX('SCORING MASTER'!$D$92:$D$93,MATCH(AT34,'SCORING MASTER'!$C$92:$C$93,0)))*20,0))</f>
        <v/>
      </c>
      <c r="BL34" s="31" t="str">
        <f aca="false">IF(COUNTBLANK(BA34:BE34)&gt;0,"",ROUND(AVERAGE(INDEX('SCORING MASTER'!$D$113:$D$115,MATCH(BA34,'SCORING MASTER'!$C$113:$C$115,0)),INDEX('SCORING MASTER'!$D$117:$D$119,MATCH(BB34,'SCORING MASTER'!$C$117:$C$119,0)),INDEX('SCORING MASTER'!$D$121:$D$123,MATCH(BC34,'SCORING MASTER'!$C$121:$C$123,0)),INDEX('SCORING MASTER'!$D$125:$D$126,MATCH(BD34,'SCORING MASTER'!$C$125:$C$126,0)),INDEX('SCORING MASTER'!$D$128:$D$129,MATCH(BE34,'SCORING MASTER'!$C$128:$C$129,0)))*20,0))</f>
        <v/>
      </c>
      <c r="BM34" s="31" t="str">
        <f aca="false">IF(OR(BF34="",BG34="",BH34="",BI34="",BJ34="",BK34="",BL34=""),"",ROUND(BF34*0.25+BG34*0.2+BH34*0.15+BI34*0.15+BJ34*0.1+BK34*0.1+BL34*0.05,0))</f>
        <v/>
      </c>
      <c r="BN34" s="31" t="str">
        <f aca="false">IF(OR(BF34="",BG34=""),"",ROUND(BF34*0.5+BG34*0.5,0))</f>
        <v/>
      </c>
      <c r="BO34" s="31" t="str">
        <f aca="false">IF(BN34="","",ROUND(MIN(100,MAX(0,(100-BN34)+IF(AL34="Yes",15,0)+IF(AM34="Yes",15,0)+IF(AND(U34&lt;&gt;"",U34&lt;18.5),20,0))),0))</f>
        <v/>
      </c>
      <c r="BP34" s="28" t="str">
        <f aca="false">IF(BM34="","",IF(BM34&gt;=90,"Green - Healthy",IF(BM34&gt;=75,"Light Green - Mild Watch",IF(BM34&gt;=60,"Yellow - Mild Risk",IF(BM34&gt;=40,"Orange - Moderate Risk","Red - High Risk")))))</f>
        <v/>
      </c>
      <c r="BQ34" s="28" t="str">
        <f aca="false">IF(BM34="","",IF(OR(BM34&lt;60,BO34&gt;=60,AJ34="Yes"),"Yes","No"))</f>
        <v/>
      </c>
      <c r="BR34" s="28" t="str">
        <f aca="false">IF(BM34="","",IF(OR(BP34="Orange - Moderate Risk",BP34="Red - High Risk",BQ34="Yes"),"Yes","No"))</f>
        <v/>
      </c>
    </row>
    <row r="35" customFormat="false" ht="15" hidden="false" customHeight="false" outlineLevel="0" collapsed="false">
      <c r="A35" s="32" t="str">
        <f aca="false">IF(I35="","","STU"&amp;TEXT(ROW()-3,"000000"))</f>
        <v/>
      </c>
      <c r="B35" s="32"/>
      <c r="C35" s="32"/>
      <c r="D35" s="32"/>
      <c r="E35" s="32"/>
      <c r="F35" s="32"/>
      <c r="G35" s="32"/>
      <c r="H35" s="32"/>
      <c r="I35" s="32"/>
      <c r="J35" s="34"/>
      <c r="K35" s="32"/>
      <c r="L35" s="32"/>
      <c r="M35" s="32"/>
      <c r="N35" s="32"/>
      <c r="O35" s="32"/>
      <c r="P35" s="32"/>
      <c r="Q35" s="34"/>
      <c r="R35" s="34"/>
      <c r="S35" s="35" t="str">
        <f aca="false">IF(OR(Q35="",R35=""),"",ROUND(R35/((Q35/100)^2),1))</f>
        <v/>
      </c>
      <c r="T35" s="32" t="str">
        <f aca="false">IF(S35="","",IF(S35&lt;18.5,"Underweight",IF(S35&lt;25,"Normal",IF(S35&lt;30,"Overweight","Obese"))))</f>
        <v/>
      </c>
      <c r="U35" s="34"/>
      <c r="V35" s="34"/>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5" t="str">
        <f aca="false">IF(T35="","",IF(T35="Normal",100,IF(T35="Overweight",65,IF(T35="Obese",50,IF(AND(U35&lt;&gt;"",U35&lt;18.5),30,45)))))</f>
        <v/>
      </c>
      <c r="BG35" s="35" t="str">
        <f aca="false">IF(COUNTBLANK(W35:AC35)&gt;0,"",ROUND(AVERAGE(INDEX('SCORING MASTER'!$D$5:$D$7,MATCH(W35,'SCORING MASTER'!$C$5:$C$7,0)),INDEX('SCORING MASTER'!$D$9:$D$11,MATCH(X35,'SCORING MASTER'!$C$9:$C$11,0)),INDEX('SCORING MASTER'!$D$13:$D$15,MATCH(Y35,'SCORING MASTER'!$C$13:$C$15,0)),INDEX('SCORING MASTER'!$D$17:$D$19,MATCH(Z35,'SCORING MASTER'!$C$17:$C$19,0)),INDEX('SCORING MASTER'!$D$21:$D$23,MATCH(AA35,'SCORING MASTER'!$C$21:$C$23,0)),INDEX('SCORING MASTER'!$D$25:$D$27,MATCH(AB35,'SCORING MASTER'!$C$25:$C$27,0)),INDEX('SCORING MASTER'!$D$29:$D$31,MATCH(AC35,'SCORING MASTER'!$C$29:$C$31,0)))*20,0))</f>
        <v/>
      </c>
      <c r="BH35" s="35" t="str">
        <f aca="false">IF(COUNTBLANK(AD35:AI35)&gt;0,"",ROUND(AVERAGE(INDEX('SCORING MASTER'!$D$33:$D$35,MATCH(AD35,'SCORING MASTER'!$C$33:$C$35,0)),INDEX('SCORING MASTER'!$D$37:$D$39,MATCH(AE35,'SCORING MASTER'!$C$37:$C$39,0)),INDEX('SCORING MASTER'!$D$41:$D$43,MATCH(AF35,'SCORING MASTER'!$C$41:$C$43,0)),INDEX('SCORING MASTER'!$D$45:$D$47,MATCH(AG35,'SCORING MASTER'!$C$45:$C$47,0)),INDEX('SCORING MASTER'!$D$49:$D$52,MATCH(AH35,'SCORING MASTER'!$C$49:$C$52,0)),INDEX('SCORING MASTER'!$D$54:$D$57,MATCH(AI35,'SCORING MASTER'!$C$54:$C$57,0)))*20,0))</f>
        <v/>
      </c>
      <c r="BI35" s="35" t="str">
        <f aca="false">IF(COUNTBLANK(AJ35:AP35)&gt;0,"",ROUND(AVERAGE(INDEX('SCORING MASTER'!$D$59:$D$60,MATCH(AJ35,'SCORING MASTER'!$C$59:$C$60,0)),INDEX('SCORING MASTER'!$D$62:$D$63,MATCH(AK35,'SCORING MASTER'!$C$62:$C$63,0)),INDEX('SCORING MASTER'!$D$65:$D$66,MATCH(AL35,'SCORING MASTER'!$C$65:$C$66,0)),INDEX('SCORING MASTER'!$D$68:$D$69,MATCH(AM35,'SCORING MASTER'!$C$68:$C$69,0)),INDEX('SCORING MASTER'!$D$71:$D$72,MATCH(AN35,'SCORING MASTER'!$C$71:$C$72,0)),INDEX('SCORING MASTER'!$D$74:$D$75,MATCH(AO35,'SCORING MASTER'!$C$74:$C$75,0)),INDEX('SCORING MASTER'!$D$77:$D$78,MATCH(AP35,'SCORING MASTER'!$C$77:$C$78,0)))*20,0))</f>
        <v/>
      </c>
      <c r="BJ35" s="35" t="str">
        <f aca="false">IF(COUNTBLANK(AU35:AZ35)&gt;0,"",ROUND(AVERAGE(INDEX('SCORING MASTER'!$D$95:$D$96,MATCH(AU35,'SCORING MASTER'!$C$95:$C$96,0)),INDEX('SCORING MASTER'!$D$98:$D$99,MATCH(AV35,'SCORING MASTER'!$C$98:$C$99,0)),INDEX('SCORING MASTER'!$D$101:$D$102,MATCH(AW35,'SCORING MASTER'!$C$101:$C$102,0)),INDEX('SCORING MASTER'!$D$104:$D$105,MATCH(AX35,'SCORING MASTER'!$C$104:$C$105,0)),INDEX('SCORING MASTER'!$D$107:$D$108,MATCH(AY35,'SCORING MASTER'!$C$107:$C$108,0)),INDEX('SCORING MASTER'!$D$110:$D$111,MATCH(AZ35,'SCORING MASTER'!$C$110:$C$111,0)))*20,0))</f>
        <v/>
      </c>
      <c r="BK35" s="35" t="str">
        <f aca="false">IF(COUNTBLANK(AQ35:AT35)&gt;0,"",ROUND(AVERAGE(INDEX('SCORING MASTER'!$D$80:$D$82,MATCH(AQ35,'SCORING MASTER'!$C$80:$C$82,0)),INDEX('SCORING MASTER'!$D$84:$D$86,MATCH(AR35,'SCORING MASTER'!$C$84:$C$86,0)),INDEX('SCORING MASTER'!$D$88:$D$90,MATCH(AS35,'SCORING MASTER'!$C$88:$C$90,0)),INDEX('SCORING MASTER'!$D$92:$D$93,MATCH(AT35,'SCORING MASTER'!$C$92:$C$93,0)))*20,0))</f>
        <v/>
      </c>
      <c r="BL35" s="35" t="str">
        <f aca="false">IF(COUNTBLANK(BA35:BE35)&gt;0,"",ROUND(AVERAGE(INDEX('SCORING MASTER'!$D$113:$D$115,MATCH(BA35,'SCORING MASTER'!$C$113:$C$115,0)),INDEX('SCORING MASTER'!$D$117:$D$119,MATCH(BB35,'SCORING MASTER'!$C$117:$C$119,0)),INDEX('SCORING MASTER'!$D$121:$D$123,MATCH(BC35,'SCORING MASTER'!$C$121:$C$123,0)),INDEX('SCORING MASTER'!$D$125:$D$126,MATCH(BD35,'SCORING MASTER'!$C$125:$C$126,0)),INDEX('SCORING MASTER'!$D$128:$D$129,MATCH(BE35,'SCORING MASTER'!$C$128:$C$129,0)))*20,0))</f>
        <v/>
      </c>
      <c r="BM35" s="35" t="str">
        <f aca="false">IF(OR(BF35="",BG35="",BH35="",BI35="",BJ35="",BK35="",BL35=""),"",ROUND(BF35*0.25+BG35*0.2+BH35*0.15+BI35*0.15+BJ35*0.1+BK35*0.1+BL35*0.05,0))</f>
        <v/>
      </c>
      <c r="BN35" s="35" t="str">
        <f aca="false">IF(OR(BF35="",BG35=""),"",ROUND(BF35*0.5+BG35*0.5,0))</f>
        <v/>
      </c>
      <c r="BO35" s="35" t="str">
        <f aca="false">IF(BN35="","",ROUND(MIN(100,MAX(0,(100-BN35)+IF(AL35="Yes",15,0)+IF(AM35="Yes",15,0)+IF(AND(U35&lt;&gt;"",U35&lt;18.5),20,0))),0))</f>
        <v/>
      </c>
      <c r="BP35" s="32" t="str">
        <f aca="false">IF(BM35="","",IF(BM35&gt;=90,"Green - Healthy",IF(BM35&gt;=75,"Light Green - Mild Watch",IF(BM35&gt;=60,"Yellow - Mild Risk",IF(BM35&gt;=40,"Orange - Moderate Risk","Red - High Risk")))))</f>
        <v/>
      </c>
      <c r="BQ35" s="32" t="str">
        <f aca="false">IF(BM35="","",IF(OR(BM35&lt;60,BO35&gt;=60,AJ35="Yes"),"Yes","No"))</f>
        <v/>
      </c>
      <c r="BR35" s="32" t="str">
        <f aca="false">IF(BM35="","",IF(OR(BP35="Orange - Moderate Risk",BP35="Red - High Risk",BQ35="Yes"),"Yes","No"))</f>
        <v/>
      </c>
    </row>
    <row r="36" customFormat="false" ht="15" hidden="false" customHeight="false" outlineLevel="0" collapsed="false">
      <c r="A36" s="28" t="str">
        <f aca="false">IF(I36="","","STU"&amp;TEXT(ROW()-3,"000000"))</f>
        <v/>
      </c>
      <c r="B36" s="28"/>
      <c r="C36" s="28"/>
      <c r="D36" s="28"/>
      <c r="E36" s="28"/>
      <c r="F36" s="28"/>
      <c r="G36" s="28"/>
      <c r="H36" s="28"/>
      <c r="I36" s="28"/>
      <c r="J36" s="30"/>
      <c r="K36" s="28"/>
      <c r="L36" s="28"/>
      <c r="M36" s="28"/>
      <c r="N36" s="28"/>
      <c r="O36" s="28"/>
      <c r="P36" s="28"/>
      <c r="Q36" s="30"/>
      <c r="R36" s="30"/>
      <c r="S36" s="31" t="str">
        <f aca="false">IF(OR(Q36="",R36=""),"",ROUND(R36/((Q36/100)^2),1))</f>
        <v/>
      </c>
      <c r="T36" s="28" t="str">
        <f aca="false">IF(S36="","",IF(S36&lt;18.5,"Underweight",IF(S36&lt;25,"Normal",IF(S36&lt;30,"Overweight","Obese"))))</f>
        <v/>
      </c>
      <c r="U36" s="30"/>
      <c r="V36" s="30"/>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31" t="str">
        <f aca="false">IF(T36="","",IF(T36="Normal",100,IF(T36="Overweight",65,IF(T36="Obese",50,IF(AND(U36&lt;&gt;"",U36&lt;18.5),30,45)))))</f>
        <v/>
      </c>
      <c r="BG36" s="31" t="str">
        <f aca="false">IF(COUNTBLANK(W36:AC36)&gt;0,"",ROUND(AVERAGE(INDEX('SCORING MASTER'!$D$5:$D$7,MATCH(W36,'SCORING MASTER'!$C$5:$C$7,0)),INDEX('SCORING MASTER'!$D$9:$D$11,MATCH(X36,'SCORING MASTER'!$C$9:$C$11,0)),INDEX('SCORING MASTER'!$D$13:$D$15,MATCH(Y36,'SCORING MASTER'!$C$13:$C$15,0)),INDEX('SCORING MASTER'!$D$17:$D$19,MATCH(Z36,'SCORING MASTER'!$C$17:$C$19,0)),INDEX('SCORING MASTER'!$D$21:$D$23,MATCH(AA36,'SCORING MASTER'!$C$21:$C$23,0)),INDEX('SCORING MASTER'!$D$25:$D$27,MATCH(AB36,'SCORING MASTER'!$C$25:$C$27,0)),INDEX('SCORING MASTER'!$D$29:$D$31,MATCH(AC36,'SCORING MASTER'!$C$29:$C$31,0)))*20,0))</f>
        <v/>
      </c>
      <c r="BH36" s="31" t="str">
        <f aca="false">IF(COUNTBLANK(AD36:AI36)&gt;0,"",ROUND(AVERAGE(INDEX('SCORING MASTER'!$D$33:$D$35,MATCH(AD36,'SCORING MASTER'!$C$33:$C$35,0)),INDEX('SCORING MASTER'!$D$37:$D$39,MATCH(AE36,'SCORING MASTER'!$C$37:$C$39,0)),INDEX('SCORING MASTER'!$D$41:$D$43,MATCH(AF36,'SCORING MASTER'!$C$41:$C$43,0)),INDEX('SCORING MASTER'!$D$45:$D$47,MATCH(AG36,'SCORING MASTER'!$C$45:$C$47,0)),INDEX('SCORING MASTER'!$D$49:$D$52,MATCH(AH36,'SCORING MASTER'!$C$49:$C$52,0)),INDEX('SCORING MASTER'!$D$54:$D$57,MATCH(AI36,'SCORING MASTER'!$C$54:$C$57,0)))*20,0))</f>
        <v/>
      </c>
      <c r="BI36" s="31" t="str">
        <f aca="false">IF(COUNTBLANK(AJ36:AP36)&gt;0,"",ROUND(AVERAGE(INDEX('SCORING MASTER'!$D$59:$D$60,MATCH(AJ36,'SCORING MASTER'!$C$59:$C$60,0)),INDEX('SCORING MASTER'!$D$62:$D$63,MATCH(AK36,'SCORING MASTER'!$C$62:$C$63,0)),INDEX('SCORING MASTER'!$D$65:$D$66,MATCH(AL36,'SCORING MASTER'!$C$65:$C$66,0)),INDEX('SCORING MASTER'!$D$68:$D$69,MATCH(AM36,'SCORING MASTER'!$C$68:$C$69,0)),INDEX('SCORING MASTER'!$D$71:$D$72,MATCH(AN36,'SCORING MASTER'!$C$71:$C$72,0)),INDEX('SCORING MASTER'!$D$74:$D$75,MATCH(AO36,'SCORING MASTER'!$C$74:$C$75,0)),INDEX('SCORING MASTER'!$D$77:$D$78,MATCH(AP36,'SCORING MASTER'!$C$77:$C$78,0)))*20,0))</f>
        <v/>
      </c>
      <c r="BJ36" s="31" t="str">
        <f aca="false">IF(COUNTBLANK(AU36:AZ36)&gt;0,"",ROUND(AVERAGE(INDEX('SCORING MASTER'!$D$95:$D$96,MATCH(AU36,'SCORING MASTER'!$C$95:$C$96,0)),INDEX('SCORING MASTER'!$D$98:$D$99,MATCH(AV36,'SCORING MASTER'!$C$98:$C$99,0)),INDEX('SCORING MASTER'!$D$101:$D$102,MATCH(AW36,'SCORING MASTER'!$C$101:$C$102,0)),INDEX('SCORING MASTER'!$D$104:$D$105,MATCH(AX36,'SCORING MASTER'!$C$104:$C$105,0)),INDEX('SCORING MASTER'!$D$107:$D$108,MATCH(AY36,'SCORING MASTER'!$C$107:$C$108,0)),INDEX('SCORING MASTER'!$D$110:$D$111,MATCH(AZ36,'SCORING MASTER'!$C$110:$C$111,0)))*20,0))</f>
        <v/>
      </c>
      <c r="BK36" s="31" t="str">
        <f aca="false">IF(COUNTBLANK(AQ36:AT36)&gt;0,"",ROUND(AVERAGE(INDEX('SCORING MASTER'!$D$80:$D$82,MATCH(AQ36,'SCORING MASTER'!$C$80:$C$82,0)),INDEX('SCORING MASTER'!$D$84:$D$86,MATCH(AR36,'SCORING MASTER'!$C$84:$C$86,0)),INDEX('SCORING MASTER'!$D$88:$D$90,MATCH(AS36,'SCORING MASTER'!$C$88:$C$90,0)),INDEX('SCORING MASTER'!$D$92:$D$93,MATCH(AT36,'SCORING MASTER'!$C$92:$C$93,0)))*20,0))</f>
        <v/>
      </c>
      <c r="BL36" s="31" t="str">
        <f aca="false">IF(COUNTBLANK(BA36:BE36)&gt;0,"",ROUND(AVERAGE(INDEX('SCORING MASTER'!$D$113:$D$115,MATCH(BA36,'SCORING MASTER'!$C$113:$C$115,0)),INDEX('SCORING MASTER'!$D$117:$D$119,MATCH(BB36,'SCORING MASTER'!$C$117:$C$119,0)),INDEX('SCORING MASTER'!$D$121:$D$123,MATCH(BC36,'SCORING MASTER'!$C$121:$C$123,0)),INDEX('SCORING MASTER'!$D$125:$D$126,MATCH(BD36,'SCORING MASTER'!$C$125:$C$126,0)),INDEX('SCORING MASTER'!$D$128:$D$129,MATCH(BE36,'SCORING MASTER'!$C$128:$C$129,0)))*20,0))</f>
        <v/>
      </c>
      <c r="BM36" s="31" t="str">
        <f aca="false">IF(OR(BF36="",BG36="",BH36="",BI36="",BJ36="",BK36="",BL36=""),"",ROUND(BF36*0.25+BG36*0.2+BH36*0.15+BI36*0.15+BJ36*0.1+BK36*0.1+BL36*0.05,0))</f>
        <v/>
      </c>
      <c r="BN36" s="31" t="str">
        <f aca="false">IF(OR(BF36="",BG36=""),"",ROUND(BF36*0.5+BG36*0.5,0))</f>
        <v/>
      </c>
      <c r="BO36" s="31" t="str">
        <f aca="false">IF(BN36="","",ROUND(MIN(100,MAX(0,(100-BN36)+IF(AL36="Yes",15,0)+IF(AM36="Yes",15,0)+IF(AND(U36&lt;&gt;"",U36&lt;18.5),20,0))),0))</f>
        <v/>
      </c>
      <c r="BP36" s="28" t="str">
        <f aca="false">IF(BM36="","",IF(BM36&gt;=90,"Green - Healthy",IF(BM36&gt;=75,"Light Green - Mild Watch",IF(BM36&gt;=60,"Yellow - Mild Risk",IF(BM36&gt;=40,"Orange - Moderate Risk","Red - High Risk")))))</f>
        <v/>
      </c>
      <c r="BQ36" s="28" t="str">
        <f aca="false">IF(BM36="","",IF(OR(BM36&lt;60,BO36&gt;=60,AJ36="Yes"),"Yes","No"))</f>
        <v/>
      </c>
      <c r="BR36" s="28" t="str">
        <f aca="false">IF(BM36="","",IF(OR(BP36="Orange - Moderate Risk",BP36="Red - High Risk",BQ36="Yes"),"Yes","No"))</f>
        <v/>
      </c>
    </row>
    <row r="37" customFormat="false" ht="15" hidden="false" customHeight="false" outlineLevel="0" collapsed="false">
      <c r="A37" s="32" t="str">
        <f aca="false">IF(I37="","","STU"&amp;TEXT(ROW()-3,"000000"))</f>
        <v/>
      </c>
      <c r="B37" s="32"/>
      <c r="C37" s="32"/>
      <c r="D37" s="32"/>
      <c r="E37" s="32"/>
      <c r="F37" s="32"/>
      <c r="G37" s="32"/>
      <c r="H37" s="32"/>
      <c r="I37" s="32"/>
      <c r="J37" s="34"/>
      <c r="K37" s="32"/>
      <c r="L37" s="32"/>
      <c r="M37" s="32"/>
      <c r="N37" s="32"/>
      <c r="O37" s="32"/>
      <c r="P37" s="32"/>
      <c r="Q37" s="34"/>
      <c r="R37" s="34"/>
      <c r="S37" s="35" t="str">
        <f aca="false">IF(OR(Q37="",R37=""),"",ROUND(R37/((Q37/100)^2),1))</f>
        <v/>
      </c>
      <c r="T37" s="32" t="str">
        <f aca="false">IF(S37="","",IF(S37&lt;18.5,"Underweight",IF(S37&lt;25,"Normal",IF(S37&lt;30,"Overweight","Obese"))))</f>
        <v/>
      </c>
      <c r="U37" s="34"/>
      <c r="V37" s="34"/>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5" t="str">
        <f aca="false">IF(T37="","",IF(T37="Normal",100,IF(T37="Overweight",65,IF(T37="Obese",50,IF(AND(U37&lt;&gt;"",U37&lt;18.5),30,45)))))</f>
        <v/>
      </c>
      <c r="BG37" s="35" t="str">
        <f aca="false">IF(COUNTBLANK(W37:AC37)&gt;0,"",ROUND(AVERAGE(INDEX('SCORING MASTER'!$D$5:$D$7,MATCH(W37,'SCORING MASTER'!$C$5:$C$7,0)),INDEX('SCORING MASTER'!$D$9:$D$11,MATCH(X37,'SCORING MASTER'!$C$9:$C$11,0)),INDEX('SCORING MASTER'!$D$13:$D$15,MATCH(Y37,'SCORING MASTER'!$C$13:$C$15,0)),INDEX('SCORING MASTER'!$D$17:$D$19,MATCH(Z37,'SCORING MASTER'!$C$17:$C$19,0)),INDEX('SCORING MASTER'!$D$21:$D$23,MATCH(AA37,'SCORING MASTER'!$C$21:$C$23,0)),INDEX('SCORING MASTER'!$D$25:$D$27,MATCH(AB37,'SCORING MASTER'!$C$25:$C$27,0)),INDEX('SCORING MASTER'!$D$29:$D$31,MATCH(AC37,'SCORING MASTER'!$C$29:$C$31,0)))*20,0))</f>
        <v/>
      </c>
      <c r="BH37" s="35" t="str">
        <f aca="false">IF(COUNTBLANK(AD37:AI37)&gt;0,"",ROUND(AVERAGE(INDEX('SCORING MASTER'!$D$33:$D$35,MATCH(AD37,'SCORING MASTER'!$C$33:$C$35,0)),INDEX('SCORING MASTER'!$D$37:$D$39,MATCH(AE37,'SCORING MASTER'!$C$37:$C$39,0)),INDEX('SCORING MASTER'!$D$41:$D$43,MATCH(AF37,'SCORING MASTER'!$C$41:$C$43,0)),INDEX('SCORING MASTER'!$D$45:$D$47,MATCH(AG37,'SCORING MASTER'!$C$45:$C$47,0)),INDEX('SCORING MASTER'!$D$49:$D$52,MATCH(AH37,'SCORING MASTER'!$C$49:$C$52,0)),INDEX('SCORING MASTER'!$D$54:$D$57,MATCH(AI37,'SCORING MASTER'!$C$54:$C$57,0)))*20,0))</f>
        <v/>
      </c>
      <c r="BI37" s="35" t="str">
        <f aca="false">IF(COUNTBLANK(AJ37:AP37)&gt;0,"",ROUND(AVERAGE(INDEX('SCORING MASTER'!$D$59:$D$60,MATCH(AJ37,'SCORING MASTER'!$C$59:$C$60,0)),INDEX('SCORING MASTER'!$D$62:$D$63,MATCH(AK37,'SCORING MASTER'!$C$62:$C$63,0)),INDEX('SCORING MASTER'!$D$65:$D$66,MATCH(AL37,'SCORING MASTER'!$C$65:$C$66,0)),INDEX('SCORING MASTER'!$D$68:$D$69,MATCH(AM37,'SCORING MASTER'!$C$68:$C$69,0)),INDEX('SCORING MASTER'!$D$71:$D$72,MATCH(AN37,'SCORING MASTER'!$C$71:$C$72,0)),INDEX('SCORING MASTER'!$D$74:$D$75,MATCH(AO37,'SCORING MASTER'!$C$74:$C$75,0)),INDEX('SCORING MASTER'!$D$77:$D$78,MATCH(AP37,'SCORING MASTER'!$C$77:$C$78,0)))*20,0))</f>
        <v/>
      </c>
      <c r="BJ37" s="35" t="str">
        <f aca="false">IF(COUNTBLANK(AU37:AZ37)&gt;0,"",ROUND(AVERAGE(INDEX('SCORING MASTER'!$D$95:$D$96,MATCH(AU37,'SCORING MASTER'!$C$95:$C$96,0)),INDEX('SCORING MASTER'!$D$98:$D$99,MATCH(AV37,'SCORING MASTER'!$C$98:$C$99,0)),INDEX('SCORING MASTER'!$D$101:$D$102,MATCH(AW37,'SCORING MASTER'!$C$101:$C$102,0)),INDEX('SCORING MASTER'!$D$104:$D$105,MATCH(AX37,'SCORING MASTER'!$C$104:$C$105,0)),INDEX('SCORING MASTER'!$D$107:$D$108,MATCH(AY37,'SCORING MASTER'!$C$107:$C$108,0)),INDEX('SCORING MASTER'!$D$110:$D$111,MATCH(AZ37,'SCORING MASTER'!$C$110:$C$111,0)))*20,0))</f>
        <v/>
      </c>
      <c r="BK37" s="35" t="str">
        <f aca="false">IF(COUNTBLANK(AQ37:AT37)&gt;0,"",ROUND(AVERAGE(INDEX('SCORING MASTER'!$D$80:$D$82,MATCH(AQ37,'SCORING MASTER'!$C$80:$C$82,0)),INDEX('SCORING MASTER'!$D$84:$D$86,MATCH(AR37,'SCORING MASTER'!$C$84:$C$86,0)),INDEX('SCORING MASTER'!$D$88:$D$90,MATCH(AS37,'SCORING MASTER'!$C$88:$C$90,0)),INDEX('SCORING MASTER'!$D$92:$D$93,MATCH(AT37,'SCORING MASTER'!$C$92:$C$93,0)))*20,0))</f>
        <v/>
      </c>
      <c r="BL37" s="35" t="str">
        <f aca="false">IF(COUNTBLANK(BA37:BE37)&gt;0,"",ROUND(AVERAGE(INDEX('SCORING MASTER'!$D$113:$D$115,MATCH(BA37,'SCORING MASTER'!$C$113:$C$115,0)),INDEX('SCORING MASTER'!$D$117:$D$119,MATCH(BB37,'SCORING MASTER'!$C$117:$C$119,0)),INDEX('SCORING MASTER'!$D$121:$D$123,MATCH(BC37,'SCORING MASTER'!$C$121:$C$123,0)),INDEX('SCORING MASTER'!$D$125:$D$126,MATCH(BD37,'SCORING MASTER'!$C$125:$C$126,0)),INDEX('SCORING MASTER'!$D$128:$D$129,MATCH(BE37,'SCORING MASTER'!$C$128:$C$129,0)))*20,0))</f>
        <v/>
      </c>
      <c r="BM37" s="35" t="str">
        <f aca="false">IF(OR(BF37="",BG37="",BH37="",BI37="",BJ37="",BK37="",BL37=""),"",ROUND(BF37*0.25+BG37*0.2+BH37*0.15+BI37*0.15+BJ37*0.1+BK37*0.1+BL37*0.05,0))</f>
        <v/>
      </c>
      <c r="BN37" s="35" t="str">
        <f aca="false">IF(OR(BF37="",BG37=""),"",ROUND(BF37*0.5+BG37*0.5,0))</f>
        <v/>
      </c>
      <c r="BO37" s="35" t="str">
        <f aca="false">IF(BN37="","",ROUND(MIN(100,MAX(0,(100-BN37)+IF(AL37="Yes",15,0)+IF(AM37="Yes",15,0)+IF(AND(U37&lt;&gt;"",U37&lt;18.5),20,0))),0))</f>
        <v/>
      </c>
      <c r="BP37" s="32" t="str">
        <f aca="false">IF(BM37="","",IF(BM37&gt;=90,"Green - Healthy",IF(BM37&gt;=75,"Light Green - Mild Watch",IF(BM37&gt;=60,"Yellow - Mild Risk",IF(BM37&gt;=40,"Orange - Moderate Risk","Red - High Risk")))))</f>
        <v/>
      </c>
      <c r="BQ37" s="32" t="str">
        <f aca="false">IF(BM37="","",IF(OR(BM37&lt;60,BO37&gt;=60,AJ37="Yes"),"Yes","No"))</f>
        <v/>
      </c>
      <c r="BR37" s="32" t="str">
        <f aca="false">IF(BM37="","",IF(OR(BP37="Orange - Moderate Risk",BP37="Red - High Risk",BQ37="Yes"),"Yes","No"))</f>
        <v/>
      </c>
    </row>
    <row r="38" customFormat="false" ht="15" hidden="false" customHeight="false" outlineLevel="0" collapsed="false">
      <c r="A38" s="28" t="str">
        <f aca="false">IF(I38="","","STU"&amp;TEXT(ROW()-3,"000000"))</f>
        <v/>
      </c>
      <c r="B38" s="28"/>
      <c r="C38" s="28"/>
      <c r="D38" s="28"/>
      <c r="E38" s="28"/>
      <c r="F38" s="28"/>
      <c r="G38" s="28"/>
      <c r="H38" s="28"/>
      <c r="I38" s="28"/>
      <c r="J38" s="30"/>
      <c r="K38" s="28"/>
      <c r="L38" s="28"/>
      <c r="M38" s="28"/>
      <c r="N38" s="28"/>
      <c r="O38" s="28"/>
      <c r="P38" s="28"/>
      <c r="Q38" s="30"/>
      <c r="R38" s="30"/>
      <c r="S38" s="31" t="str">
        <f aca="false">IF(OR(Q38="",R38=""),"",ROUND(R38/((Q38/100)^2),1))</f>
        <v/>
      </c>
      <c r="T38" s="28" t="str">
        <f aca="false">IF(S38="","",IF(S38&lt;18.5,"Underweight",IF(S38&lt;25,"Normal",IF(S38&lt;30,"Overweight","Obese"))))</f>
        <v/>
      </c>
      <c r="U38" s="30"/>
      <c r="V38" s="30"/>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31" t="str">
        <f aca="false">IF(T38="","",IF(T38="Normal",100,IF(T38="Overweight",65,IF(T38="Obese",50,IF(AND(U38&lt;&gt;"",U38&lt;18.5),30,45)))))</f>
        <v/>
      </c>
      <c r="BG38" s="31" t="str">
        <f aca="false">IF(COUNTBLANK(W38:AC38)&gt;0,"",ROUND(AVERAGE(INDEX('SCORING MASTER'!$D$5:$D$7,MATCH(W38,'SCORING MASTER'!$C$5:$C$7,0)),INDEX('SCORING MASTER'!$D$9:$D$11,MATCH(X38,'SCORING MASTER'!$C$9:$C$11,0)),INDEX('SCORING MASTER'!$D$13:$D$15,MATCH(Y38,'SCORING MASTER'!$C$13:$C$15,0)),INDEX('SCORING MASTER'!$D$17:$D$19,MATCH(Z38,'SCORING MASTER'!$C$17:$C$19,0)),INDEX('SCORING MASTER'!$D$21:$D$23,MATCH(AA38,'SCORING MASTER'!$C$21:$C$23,0)),INDEX('SCORING MASTER'!$D$25:$D$27,MATCH(AB38,'SCORING MASTER'!$C$25:$C$27,0)),INDEX('SCORING MASTER'!$D$29:$D$31,MATCH(AC38,'SCORING MASTER'!$C$29:$C$31,0)))*20,0))</f>
        <v/>
      </c>
      <c r="BH38" s="31" t="str">
        <f aca="false">IF(COUNTBLANK(AD38:AI38)&gt;0,"",ROUND(AVERAGE(INDEX('SCORING MASTER'!$D$33:$D$35,MATCH(AD38,'SCORING MASTER'!$C$33:$C$35,0)),INDEX('SCORING MASTER'!$D$37:$D$39,MATCH(AE38,'SCORING MASTER'!$C$37:$C$39,0)),INDEX('SCORING MASTER'!$D$41:$D$43,MATCH(AF38,'SCORING MASTER'!$C$41:$C$43,0)),INDEX('SCORING MASTER'!$D$45:$D$47,MATCH(AG38,'SCORING MASTER'!$C$45:$C$47,0)),INDEX('SCORING MASTER'!$D$49:$D$52,MATCH(AH38,'SCORING MASTER'!$C$49:$C$52,0)),INDEX('SCORING MASTER'!$D$54:$D$57,MATCH(AI38,'SCORING MASTER'!$C$54:$C$57,0)))*20,0))</f>
        <v/>
      </c>
      <c r="BI38" s="31" t="str">
        <f aca="false">IF(COUNTBLANK(AJ38:AP38)&gt;0,"",ROUND(AVERAGE(INDEX('SCORING MASTER'!$D$59:$D$60,MATCH(AJ38,'SCORING MASTER'!$C$59:$C$60,0)),INDEX('SCORING MASTER'!$D$62:$D$63,MATCH(AK38,'SCORING MASTER'!$C$62:$C$63,0)),INDEX('SCORING MASTER'!$D$65:$D$66,MATCH(AL38,'SCORING MASTER'!$C$65:$C$66,0)),INDEX('SCORING MASTER'!$D$68:$D$69,MATCH(AM38,'SCORING MASTER'!$C$68:$C$69,0)),INDEX('SCORING MASTER'!$D$71:$D$72,MATCH(AN38,'SCORING MASTER'!$C$71:$C$72,0)),INDEX('SCORING MASTER'!$D$74:$D$75,MATCH(AO38,'SCORING MASTER'!$C$74:$C$75,0)),INDEX('SCORING MASTER'!$D$77:$D$78,MATCH(AP38,'SCORING MASTER'!$C$77:$C$78,0)))*20,0))</f>
        <v/>
      </c>
      <c r="BJ38" s="31" t="str">
        <f aca="false">IF(COUNTBLANK(AU38:AZ38)&gt;0,"",ROUND(AVERAGE(INDEX('SCORING MASTER'!$D$95:$D$96,MATCH(AU38,'SCORING MASTER'!$C$95:$C$96,0)),INDEX('SCORING MASTER'!$D$98:$D$99,MATCH(AV38,'SCORING MASTER'!$C$98:$C$99,0)),INDEX('SCORING MASTER'!$D$101:$D$102,MATCH(AW38,'SCORING MASTER'!$C$101:$C$102,0)),INDEX('SCORING MASTER'!$D$104:$D$105,MATCH(AX38,'SCORING MASTER'!$C$104:$C$105,0)),INDEX('SCORING MASTER'!$D$107:$D$108,MATCH(AY38,'SCORING MASTER'!$C$107:$C$108,0)),INDEX('SCORING MASTER'!$D$110:$D$111,MATCH(AZ38,'SCORING MASTER'!$C$110:$C$111,0)))*20,0))</f>
        <v/>
      </c>
      <c r="BK38" s="31" t="str">
        <f aca="false">IF(COUNTBLANK(AQ38:AT38)&gt;0,"",ROUND(AVERAGE(INDEX('SCORING MASTER'!$D$80:$D$82,MATCH(AQ38,'SCORING MASTER'!$C$80:$C$82,0)),INDEX('SCORING MASTER'!$D$84:$D$86,MATCH(AR38,'SCORING MASTER'!$C$84:$C$86,0)),INDEX('SCORING MASTER'!$D$88:$D$90,MATCH(AS38,'SCORING MASTER'!$C$88:$C$90,0)),INDEX('SCORING MASTER'!$D$92:$D$93,MATCH(AT38,'SCORING MASTER'!$C$92:$C$93,0)))*20,0))</f>
        <v/>
      </c>
      <c r="BL38" s="31" t="str">
        <f aca="false">IF(COUNTBLANK(BA38:BE38)&gt;0,"",ROUND(AVERAGE(INDEX('SCORING MASTER'!$D$113:$D$115,MATCH(BA38,'SCORING MASTER'!$C$113:$C$115,0)),INDEX('SCORING MASTER'!$D$117:$D$119,MATCH(BB38,'SCORING MASTER'!$C$117:$C$119,0)),INDEX('SCORING MASTER'!$D$121:$D$123,MATCH(BC38,'SCORING MASTER'!$C$121:$C$123,0)),INDEX('SCORING MASTER'!$D$125:$D$126,MATCH(BD38,'SCORING MASTER'!$C$125:$C$126,0)),INDEX('SCORING MASTER'!$D$128:$D$129,MATCH(BE38,'SCORING MASTER'!$C$128:$C$129,0)))*20,0))</f>
        <v/>
      </c>
      <c r="BM38" s="31" t="str">
        <f aca="false">IF(OR(BF38="",BG38="",BH38="",BI38="",BJ38="",BK38="",BL38=""),"",ROUND(BF38*0.25+BG38*0.2+BH38*0.15+BI38*0.15+BJ38*0.1+BK38*0.1+BL38*0.05,0))</f>
        <v/>
      </c>
      <c r="BN38" s="31" t="str">
        <f aca="false">IF(OR(BF38="",BG38=""),"",ROUND(BF38*0.5+BG38*0.5,0))</f>
        <v/>
      </c>
      <c r="BO38" s="31" t="str">
        <f aca="false">IF(BN38="","",ROUND(MIN(100,MAX(0,(100-BN38)+IF(AL38="Yes",15,0)+IF(AM38="Yes",15,0)+IF(AND(U38&lt;&gt;"",U38&lt;18.5),20,0))),0))</f>
        <v/>
      </c>
      <c r="BP38" s="28" t="str">
        <f aca="false">IF(BM38="","",IF(BM38&gt;=90,"Green - Healthy",IF(BM38&gt;=75,"Light Green - Mild Watch",IF(BM38&gt;=60,"Yellow - Mild Risk",IF(BM38&gt;=40,"Orange - Moderate Risk","Red - High Risk")))))</f>
        <v/>
      </c>
      <c r="BQ38" s="28" t="str">
        <f aca="false">IF(BM38="","",IF(OR(BM38&lt;60,BO38&gt;=60,AJ38="Yes"),"Yes","No"))</f>
        <v/>
      </c>
      <c r="BR38" s="28" t="str">
        <f aca="false">IF(BM38="","",IF(OR(BP38="Orange - Moderate Risk",BP38="Red - High Risk",BQ38="Yes"),"Yes","No"))</f>
        <v/>
      </c>
    </row>
    <row r="39" customFormat="false" ht="15" hidden="false" customHeight="false" outlineLevel="0" collapsed="false">
      <c r="A39" s="32" t="str">
        <f aca="false">IF(I39="","","STU"&amp;TEXT(ROW()-3,"000000"))</f>
        <v/>
      </c>
      <c r="B39" s="32"/>
      <c r="C39" s="32"/>
      <c r="D39" s="32"/>
      <c r="E39" s="32"/>
      <c r="F39" s="32"/>
      <c r="G39" s="32"/>
      <c r="H39" s="32"/>
      <c r="I39" s="32"/>
      <c r="J39" s="34"/>
      <c r="K39" s="32"/>
      <c r="L39" s="32"/>
      <c r="M39" s="32"/>
      <c r="N39" s="32"/>
      <c r="O39" s="32"/>
      <c r="P39" s="32"/>
      <c r="Q39" s="34"/>
      <c r="R39" s="34"/>
      <c r="S39" s="35" t="str">
        <f aca="false">IF(OR(Q39="",R39=""),"",ROUND(R39/((Q39/100)^2),1))</f>
        <v/>
      </c>
      <c r="T39" s="32" t="str">
        <f aca="false">IF(S39="","",IF(S39&lt;18.5,"Underweight",IF(S39&lt;25,"Normal",IF(S39&lt;30,"Overweight","Obese"))))</f>
        <v/>
      </c>
      <c r="U39" s="34"/>
      <c r="V39" s="34"/>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5" t="str">
        <f aca="false">IF(T39="","",IF(T39="Normal",100,IF(T39="Overweight",65,IF(T39="Obese",50,IF(AND(U39&lt;&gt;"",U39&lt;18.5),30,45)))))</f>
        <v/>
      </c>
      <c r="BG39" s="35" t="str">
        <f aca="false">IF(COUNTBLANK(W39:AC39)&gt;0,"",ROUND(AVERAGE(INDEX('SCORING MASTER'!$D$5:$D$7,MATCH(W39,'SCORING MASTER'!$C$5:$C$7,0)),INDEX('SCORING MASTER'!$D$9:$D$11,MATCH(X39,'SCORING MASTER'!$C$9:$C$11,0)),INDEX('SCORING MASTER'!$D$13:$D$15,MATCH(Y39,'SCORING MASTER'!$C$13:$C$15,0)),INDEX('SCORING MASTER'!$D$17:$D$19,MATCH(Z39,'SCORING MASTER'!$C$17:$C$19,0)),INDEX('SCORING MASTER'!$D$21:$D$23,MATCH(AA39,'SCORING MASTER'!$C$21:$C$23,0)),INDEX('SCORING MASTER'!$D$25:$D$27,MATCH(AB39,'SCORING MASTER'!$C$25:$C$27,0)),INDEX('SCORING MASTER'!$D$29:$D$31,MATCH(AC39,'SCORING MASTER'!$C$29:$C$31,0)))*20,0))</f>
        <v/>
      </c>
      <c r="BH39" s="35" t="str">
        <f aca="false">IF(COUNTBLANK(AD39:AI39)&gt;0,"",ROUND(AVERAGE(INDEX('SCORING MASTER'!$D$33:$D$35,MATCH(AD39,'SCORING MASTER'!$C$33:$C$35,0)),INDEX('SCORING MASTER'!$D$37:$D$39,MATCH(AE39,'SCORING MASTER'!$C$37:$C$39,0)),INDEX('SCORING MASTER'!$D$41:$D$43,MATCH(AF39,'SCORING MASTER'!$C$41:$C$43,0)),INDEX('SCORING MASTER'!$D$45:$D$47,MATCH(AG39,'SCORING MASTER'!$C$45:$C$47,0)),INDEX('SCORING MASTER'!$D$49:$D$52,MATCH(AH39,'SCORING MASTER'!$C$49:$C$52,0)),INDEX('SCORING MASTER'!$D$54:$D$57,MATCH(AI39,'SCORING MASTER'!$C$54:$C$57,0)))*20,0))</f>
        <v/>
      </c>
      <c r="BI39" s="35" t="str">
        <f aca="false">IF(COUNTBLANK(AJ39:AP39)&gt;0,"",ROUND(AVERAGE(INDEX('SCORING MASTER'!$D$59:$D$60,MATCH(AJ39,'SCORING MASTER'!$C$59:$C$60,0)),INDEX('SCORING MASTER'!$D$62:$D$63,MATCH(AK39,'SCORING MASTER'!$C$62:$C$63,0)),INDEX('SCORING MASTER'!$D$65:$D$66,MATCH(AL39,'SCORING MASTER'!$C$65:$C$66,0)),INDEX('SCORING MASTER'!$D$68:$D$69,MATCH(AM39,'SCORING MASTER'!$C$68:$C$69,0)),INDEX('SCORING MASTER'!$D$71:$D$72,MATCH(AN39,'SCORING MASTER'!$C$71:$C$72,0)),INDEX('SCORING MASTER'!$D$74:$D$75,MATCH(AO39,'SCORING MASTER'!$C$74:$C$75,0)),INDEX('SCORING MASTER'!$D$77:$D$78,MATCH(AP39,'SCORING MASTER'!$C$77:$C$78,0)))*20,0))</f>
        <v/>
      </c>
      <c r="BJ39" s="35" t="str">
        <f aca="false">IF(COUNTBLANK(AU39:AZ39)&gt;0,"",ROUND(AVERAGE(INDEX('SCORING MASTER'!$D$95:$D$96,MATCH(AU39,'SCORING MASTER'!$C$95:$C$96,0)),INDEX('SCORING MASTER'!$D$98:$D$99,MATCH(AV39,'SCORING MASTER'!$C$98:$C$99,0)),INDEX('SCORING MASTER'!$D$101:$D$102,MATCH(AW39,'SCORING MASTER'!$C$101:$C$102,0)),INDEX('SCORING MASTER'!$D$104:$D$105,MATCH(AX39,'SCORING MASTER'!$C$104:$C$105,0)),INDEX('SCORING MASTER'!$D$107:$D$108,MATCH(AY39,'SCORING MASTER'!$C$107:$C$108,0)),INDEX('SCORING MASTER'!$D$110:$D$111,MATCH(AZ39,'SCORING MASTER'!$C$110:$C$111,0)))*20,0))</f>
        <v/>
      </c>
      <c r="BK39" s="35" t="str">
        <f aca="false">IF(COUNTBLANK(AQ39:AT39)&gt;0,"",ROUND(AVERAGE(INDEX('SCORING MASTER'!$D$80:$D$82,MATCH(AQ39,'SCORING MASTER'!$C$80:$C$82,0)),INDEX('SCORING MASTER'!$D$84:$D$86,MATCH(AR39,'SCORING MASTER'!$C$84:$C$86,0)),INDEX('SCORING MASTER'!$D$88:$D$90,MATCH(AS39,'SCORING MASTER'!$C$88:$C$90,0)),INDEX('SCORING MASTER'!$D$92:$D$93,MATCH(AT39,'SCORING MASTER'!$C$92:$C$93,0)))*20,0))</f>
        <v/>
      </c>
      <c r="BL39" s="35" t="str">
        <f aca="false">IF(COUNTBLANK(BA39:BE39)&gt;0,"",ROUND(AVERAGE(INDEX('SCORING MASTER'!$D$113:$D$115,MATCH(BA39,'SCORING MASTER'!$C$113:$C$115,0)),INDEX('SCORING MASTER'!$D$117:$D$119,MATCH(BB39,'SCORING MASTER'!$C$117:$C$119,0)),INDEX('SCORING MASTER'!$D$121:$D$123,MATCH(BC39,'SCORING MASTER'!$C$121:$C$123,0)),INDEX('SCORING MASTER'!$D$125:$D$126,MATCH(BD39,'SCORING MASTER'!$C$125:$C$126,0)),INDEX('SCORING MASTER'!$D$128:$D$129,MATCH(BE39,'SCORING MASTER'!$C$128:$C$129,0)))*20,0))</f>
        <v/>
      </c>
      <c r="BM39" s="35" t="str">
        <f aca="false">IF(OR(BF39="",BG39="",BH39="",BI39="",BJ39="",BK39="",BL39=""),"",ROUND(BF39*0.25+BG39*0.2+BH39*0.15+BI39*0.15+BJ39*0.1+BK39*0.1+BL39*0.05,0))</f>
        <v/>
      </c>
      <c r="BN39" s="35" t="str">
        <f aca="false">IF(OR(BF39="",BG39=""),"",ROUND(BF39*0.5+BG39*0.5,0))</f>
        <v/>
      </c>
      <c r="BO39" s="35" t="str">
        <f aca="false">IF(BN39="","",ROUND(MIN(100,MAX(0,(100-BN39)+IF(AL39="Yes",15,0)+IF(AM39="Yes",15,0)+IF(AND(U39&lt;&gt;"",U39&lt;18.5),20,0))),0))</f>
        <v/>
      </c>
      <c r="BP39" s="32" t="str">
        <f aca="false">IF(BM39="","",IF(BM39&gt;=90,"Green - Healthy",IF(BM39&gt;=75,"Light Green - Mild Watch",IF(BM39&gt;=60,"Yellow - Mild Risk",IF(BM39&gt;=40,"Orange - Moderate Risk","Red - High Risk")))))</f>
        <v/>
      </c>
      <c r="BQ39" s="32" t="str">
        <f aca="false">IF(BM39="","",IF(OR(BM39&lt;60,BO39&gt;=60,AJ39="Yes"),"Yes","No"))</f>
        <v/>
      </c>
      <c r="BR39" s="32" t="str">
        <f aca="false">IF(BM39="","",IF(OR(BP39="Orange - Moderate Risk",BP39="Red - High Risk",BQ39="Yes"),"Yes","No"))</f>
        <v/>
      </c>
    </row>
    <row r="40" customFormat="false" ht="15" hidden="false" customHeight="false" outlineLevel="0" collapsed="false">
      <c r="A40" s="28" t="str">
        <f aca="false">IF(I40="","","STU"&amp;TEXT(ROW()-3,"000000"))</f>
        <v/>
      </c>
      <c r="B40" s="28"/>
      <c r="C40" s="28"/>
      <c r="D40" s="28"/>
      <c r="E40" s="28"/>
      <c r="F40" s="28"/>
      <c r="G40" s="28"/>
      <c r="H40" s="28"/>
      <c r="I40" s="28"/>
      <c r="J40" s="30"/>
      <c r="K40" s="28"/>
      <c r="L40" s="28"/>
      <c r="M40" s="28"/>
      <c r="N40" s="28"/>
      <c r="O40" s="28"/>
      <c r="P40" s="28"/>
      <c r="Q40" s="30"/>
      <c r="R40" s="30"/>
      <c r="S40" s="31" t="str">
        <f aca="false">IF(OR(Q40="",R40=""),"",ROUND(R40/((Q40/100)^2),1))</f>
        <v/>
      </c>
      <c r="T40" s="28" t="str">
        <f aca="false">IF(S40="","",IF(S40&lt;18.5,"Underweight",IF(S40&lt;25,"Normal",IF(S40&lt;30,"Overweight","Obese"))))</f>
        <v/>
      </c>
      <c r="U40" s="30"/>
      <c r="V40" s="30"/>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31" t="str">
        <f aca="false">IF(T40="","",IF(T40="Normal",100,IF(T40="Overweight",65,IF(T40="Obese",50,IF(AND(U40&lt;&gt;"",U40&lt;18.5),30,45)))))</f>
        <v/>
      </c>
      <c r="BG40" s="31" t="str">
        <f aca="false">IF(COUNTBLANK(W40:AC40)&gt;0,"",ROUND(AVERAGE(INDEX('SCORING MASTER'!$D$5:$D$7,MATCH(W40,'SCORING MASTER'!$C$5:$C$7,0)),INDEX('SCORING MASTER'!$D$9:$D$11,MATCH(X40,'SCORING MASTER'!$C$9:$C$11,0)),INDEX('SCORING MASTER'!$D$13:$D$15,MATCH(Y40,'SCORING MASTER'!$C$13:$C$15,0)),INDEX('SCORING MASTER'!$D$17:$D$19,MATCH(Z40,'SCORING MASTER'!$C$17:$C$19,0)),INDEX('SCORING MASTER'!$D$21:$D$23,MATCH(AA40,'SCORING MASTER'!$C$21:$C$23,0)),INDEX('SCORING MASTER'!$D$25:$D$27,MATCH(AB40,'SCORING MASTER'!$C$25:$C$27,0)),INDEX('SCORING MASTER'!$D$29:$D$31,MATCH(AC40,'SCORING MASTER'!$C$29:$C$31,0)))*20,0))</f>
        <v/>
      </c>
      <c r="BH40" s="31" t="str">
        <f aca="false">IF(COUNTBLANK(AD40:AI40)&gt;0,"",ROUND(AVERAGE(INDEX('SCORING MASTER'!$D$33:$D$35,MATCH(AD40,'SCORING MASTER'!$C$33:$C$35,0)),INDEX('SCORING MASTER'!$D$37:$D$39,MATCH(AE40,'SCORING MASTER'!$C$37:$C$39,0)),INDEX('SCORING MASTER'!$D$41:$D$43,MATCH(AF40,'SCORING MASTER'!$C$41:$C$43,0)),INDEX('SCORING MASTER'!$D$45:$D$47,MATCH(AG40,'SCORING MASTER'!$C$45:$C$47,0)),INDEX('SCORING MASTER'!$D$49:$D$52,MATCH(AH40,'SCORING MASTER'!$C$49:$C$52,0)),INDEX('SCORING MASTER'!$D$54:$D$57,MATCH(AI40,'SCORING MASTER'!$C$54:$C$57,0)))*20,0))</f>
        <v/>
      </c>
      <c r="BI40" s="31" t="str">
        <f aca="false">IF(COUNTBLANK(AJ40:AP40)&gt;0,"",ROUND(AVERAGE(INDEX('SCORING MASTER'!$D$59:$D$60,MATCH(AJ40,'SCORING MASTER'!$C$59:$C$60,0)),INDEX('SCORING MASTER'!$D$62:$D$63,MATCH(AK40,'SCORING MASTER'!$C$62:$C$63,0)),INDEX('SCORING MASTER'!$D$65:$D$66,MATCH(AL40,'SCORING MASTER'!$C$65:$C$66,0)),INDEX('SCORING MASTER'!$D$68:$D$69,MATCH(AM40,'SCORING MASTER'!$C$68:$C$69,0)),INDEX('SCORING MASTER'!$D$71:$D$72,MATCH(AN40,'SCORING MASTER'!$C$71:$C$72,0)),INDEX('SCORING MASTER'!$D$74:$D$75,MATCH(AO40,'SCORING MASTER'!$C$74:$C$75,0)),INDEX('SCORING MASTER'!$D$77:$D$78,MATCH(AP40,'SCORING MASTER'!$C$77:$C$78,0)))*20,0))</f>
        <v/>
      </c>
      <c r="BJ40" s="31" t="str">
        <f aca="false">IF(COUNTBLANK(AU40:AZ40)&gt;0,"",ROUND(AVERAGE(INDEX('SCORING MASTER'!$D$95:$D$96,MATCH(AU40,'SCORING MASTER'!$C$95:$C$96,0)),INDEX('SCORING MASTER'!$D$98:$D$99,MATCH(AV40,'SCORING MASTER'!$C$98:$C$99,0)),INDEX('SCORING MASTER'!$D$101:$D$102,MATCH(AW40,'SCORING MASTER'!$C$101:$C$102,0)),INDEX('SCORING MASTER'!$D$104:$D$105,MATCH(AX40,'SCORING MASTER'!$C$104:$C$105,0)),INDEX('SCORING MASTER'!$D$107:$D$108,MATCH(AY40,'SCORING MASTER'!$C$107:$C$108,0)),INDEX('SCORING MASTER'!$D$110:$D$111,MATCH(AZ40,'SCORING MASTER'!$C$110:$C$111,0)))*20,0))</f>
        <v/>
      </c>
      <c r="BK40" s="31" t="str">
        <f aca="false">IF(COUNTBLANK(AQ40:AT40)&gt;0,"",ROUND(AVERAGE(INDEX('SCORING MASTER'!$D$80:$D$82,MATCH(AQ40,'SCORING MASTER'!$C$80:$C$82,0)),INDEX('SCORING MASTER'!$D$84:$D$86,MATCH(AR40,'SCORING MASTER'!$C$84:$C$86,0)),INDEX('SCORING MASTER'!$D$88:$D$90,MATCH(AS40,'SCORING MASTER'!$C$88:$C$90,0)),INDEX('SCORING MASTER'!$D$92:$D$93,MATCH(AT40,'SCORING MASTER'!$C$92:$C$93,0)))*20,0))</f>
        <v/>
      </c>
      <c r="BL40" s="31" t="str">
        <f aca="false">IF(COUNTBLANK(BA40:BE40)&gt;0,"",ROUND(AVERAGE(INDEX('SCORING MASTER'!$D$113:$D$115,MATCH(BA40,'SCORING MASTER'!$C$113:$C$115,0)),INDEX('SCORING MASTER'!$D$117:$D$119,MATCH(BB40,'SCORING MASTER'!$C$117:$C$119,0)),INDEX('SCORING MASTER'!$D$121:$D$123,MATCH(BC40,'SCORING MASTER'!$C$121:$C$123,0)),INDEX('SCORING MASTER'!$D$125:$D$126,MATCH(BD40,'SCORING MASTER'!$C$125:$C$126,0)),INDEX('SCORING MASTER'!$D$128:$D$129,MATCH(BE40,'SCORING MASTER'!$C$128:$C$129,0)))*20,0))</f>
        <v/>
      </c>
      <c r="BM40" s="31" t="str">
        <f aca="false">IF(OR(BF40="",BG40="",BH40="",BI40="",BJ40="",BK40="",BL40=""),"",ROUND(BF40*0.25+BG40*0.2+BH40*0.15+BI40*0.15+BJ40*0.1+BK40*0.1+BL40*0.05,0))</f>
        <v/>
      </c>
      <c r="BN40" s="31" t="str">
        <f aca="false">IF(OR(BF40="",BG40=""),"",ROUND(BF40*0.5+BG40*0.5,0))</f>
        <v/>
      </c>
      <c r="BO40" s="31" t="str">
        <f aca="false">IF(BN40="","",ROUND(MIN(100,MAX(0,(100-BN40)+IF(AL40="Yes",15,0)+IF(AM40="Yes",15,0)+IF(AND(U40&lt;&gt;"",U40&lt;18.5),20,0))),0))</f>
        <v/>
      </c>
      <c r="BP40" s="28" t="str">
        <f aca="false">IF(BM40="","",IF(BM40&gt;=90,"Green - Healthy",IF(BM40&gt;=75,"Light Green - Mild Watch",IF(BM40&gt;=60,"Yellow - Mild Risk",IF(BM40&gt;=40,"Orange - Moderate Risk","Red - High Risk")))))</f>
        <v/>
      </c>
      <c r="BQ40" s="28" t="str">
        <f aca="false">IF(BM40="","",IF(OR(BM40&lt;60,BO40&gt;=60,AJ40="Yes"),"Yes","No"))</f>
        <v/>
      </c>
      <c r="BR40" s="28" t="str">
        <f aca="false">IF(BM40="","",IF(OR(BP40="Orange - Moderate Risk",BP40="Red - High Risk",BQ40="Yes"),"Yes","No"))</f>
        <v/>
      </c>
    </row>
    <row r="41" customFormat="false" ht="15" hidden="false" customHeight="false" outlineLevel="0" collapsed="false">
      <c r="A41" s="32" t="str">
        <f aca="false">IF(I41="","","STU"&amp;TEXT(ROW()-3,"000000"))</f>
        <v/>
      </c>
      <c r="B41" s="32"/>
      <c r="C41" s="32"/>
      <c r="D41" s="32"/>
      <c r="E41" s="32"/>
      <c r="F41" s="32"/>
      <c r="G41" s="32"/>
      <c r="H41" s="32"/>
      <c r="I41" s="32"/>
      <c r="J41" s="34"/>
      <c r="K41" s="32"/>
      <c r="L41" s="32"/>
      <c r="M41" s="32"/>
      <c r="N41" s="32"/>
      <c r="O41" s="32"/>
      <c r="P41" s="32"/>
      <c r="Q41" s="34"/>
      <c r="R41" s="34"/>
      <c r="S41" s="35" t="str">
        <f aca="false">IF(OR(Q41="",R41=""),"",ROUND(R41/((Q41/100)^2),1))</f>
        <v/>
      </c>
      <c r="T41" s="32" t="str">
        <f aca="false">IF(S41="","",IF(S41&lt;18.5,"Underweight",IF(S41&lt;25,"Normal",IF(S41&lt;30,"Overweight","Obese"))))</f>
        <v/>
      </c>
      <c r="U41" s="34"/>
      <c r="V41" s="34"/>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5" t="str">
        <f aca="false">IF(T41="","",IF(T41="Normal",100,IF(T41="Overweight",65,IF(T41="Obese",50,IF(AND(U41&lt;&gt;"",U41&lt;18.5),30,45)))))</f>
        <v/>
      </c>
      <c r="BG41" s="35" t="str">
        <f aca="false">IF(COUNTBLANK(W41:AC41)&gt;0,"",ROUND(AVERAGE(INDEX('SCORING MASTER'!$D$5:$D$7,MATCH(W41,'SCORING MASTER'!$C$5:$C$7,0)),INDEX('SCORING MASTER'!$D$9:$D$11,MATCH(X41,'SCORING MASTER'!$C$9:$C$11,0)),INDEX('SCORING MASTER'!$D$13:$D$15,MATCH(Y41,'SCORING MASTER'!$C$13:$C$15,0)),INDEX('SCORING MASTER'!$D$17:$D$19,MATCH(Z41,'SCORING MASTER'!$C$17:$C$19,0)),INDEX('SCORING MASTER'!$D$21:$D$23,MATCH(AA41,'SCORING MASTER'!$C$21:$C$23,0)),INDEX('SCORING MASTER'!$D$25:$D$27,MATCH(AB41,'SCORING MASTER'!$C$25:$C$27,0)),INDEX('SCORING MASTER'!$D$29:$D$31,MATCH(AC41,'SCORING MASTER'!$C$29:$C$31,0)))*20,0))</f>
        <v/>
      </c>
      <c r="BH41" s="35" t="str">
        <f aca="false">IF(COUNTBLANK(AD41:AI41)&gt;0,"",ROUND(AVERAGE(INDEX('SCORING MASTER'!$D$33:$D$35,MATCH(AD41,'SCORING MASTER'!$C$33:$C$35,0)),INDEX('SCORING MASTER'!$D$37:$D$39,MATCH(AE41,'SCORING MASTER'!$C$37:$C$39,0)),INDEX('SCORING MASTER'!$D$41:$D$43,MATCH(AF41,'SCORING MASTER'!$C$41:$C$43,0)),INDEX('SCORING MASTER'!$D$45:$D$47,MATCH(AG41,'SCORING MASTER'!$C$45:$C$47,0)),INDEX('SCORING MASTER'!$D$49:$D$52,MATCH(AH41,'SCORING MASTER'!$C$49:$C$52,0)),INDEX('SCORING MASTER'!$D$54:$D$57,MATCH(AI41,'SCORING MASTER'!$C$54:$C$57,0)))*20,0))</f>
        <v/>
      </c>
      <c r="BI41" s="35" t="str">
        <f aca="false">IF(COUNTBLANK(AJ41:AP41)&gt;0,"",ROUND(AVERAGE(INDEX('SCORING MASTER'!$D$59:$D$60,MATCH(AJ41,'SCORING MASTER'!$C$59:$C$60,0)),INDEX('SCORING MASTER'!$D$62:$D$63,MATCH(AK41,'SCORING MASTER'!$C$62:$C$63,0)),INDEX('SCORING MASTER'!$D$65:$D$66,MATCH(AL41,'SCORING MASTER'!$C$65:$C$66,0)),INDEX('SCORING MASTER'!$D$68:$D$69,MATCH(AM41,'SCORING MASTER'!$C$68:$C$69,0)),INDEX('SCORING MASTER'!$D$71:$D$72,MATCH(AN41,'SCORING MASTER'!$C$71:$C$72,0)),INDEX('SCORING MASTER'!$D$74:$D$75,MATCH(AO41,'SCORING MASTER'!$C$74:$C$75,0)),INDEX('SCORING MASTER'!$D$77:$D$78,MATCH(AP41,'SCORING MASTER'!$C$77:$C$78,0)))*20,0))</f>
        <v/>
      </c>
      <c r="BJ41" s="35" t="str">
        <f aca="false">IF(COUNTBLANK(AU41:AZ41)&gt;0,"",ROUND(AVERAGE(INDEX('SCORING MASTER'!$D$95:$D$96,MATCH(AU41,'SCORING MASTER'!$C$95:$C$96,0)),INDEX('SCORING MASTER'!$D$98:$D$99,MATCH(AV41,'SCORING MASTER'!$C$98:$C$99,0)),INDEX('SCORING MASTER'!$D$101:$D$102,MATCH(AW41,'SCORING MASTER'!$C$101:$C$102,0)),INDEX('SCORING MASTER'!$D$104:$D$105,MATCH(AX41,'SCORING MASTER'!$C$104:$C$105,0)),INDEX('SCORING MASTER'!$D$107:$D$108,MATCH(AY41,'SCORING MASTER'!$C$107:$C$108,0)),INDEX('SCORING MASTER'!$D$110:$D$111,MATCH(AZ41,'SCORING MASTER'!$C$110:$C$111,0)))*20,0))</f>
        <v/>
      </c>
      <c r="BK41" s="35" t="str">
        <f aca="false">IF(COUNTBLANK(AQ41:AT41)&gt;0,"",ROUND(AVERAGE(INDEX('SCORING MASTER'!$D$80:$D$82,MATCH(AQ41,'SCORING MASTER'!$C$80:$C$82,0)),INDEX('SCORING MASTER'!$D$84:$D$86,MATCH(AR41,'SCORING MASTER'!$C$84:$C$86,0)),INDEX('SCORING MASTER'!$D$88:$D$90,MATCH(AS41,'SCORING MASTER'!$C$88:$C$90,0)),INDEX('SCORING MASTER'!$D$92:$D$93,MATCH(AT41,'SCORING MASTER'!$C$92:$C$93,0)))*20,0))</f>
        <v/>
      </c>
      <c r="BL41" s="35" t="str">
        <f aca="false">IF(COUNTBLANK(BA41:BE41)&gt;0,"",ROUND(AVERAGE(INDEX('SCORING MASTER'!$D$113:$D$115,MATCH(BA41,'SCORING MASTER'!$C$113:$C$115,0)),INDEX('SCORING MASTER'!$D$117:$D$119,MATCH(BB41,'SCORING MASTER'!$C$117:$C$119,0)),INDEX('SCORING MASTER'!$D$121:$D$123,MATCH(BC41,'SCORING MASTER'!$C$121:$C$123,0)),INDEX('SCORING MASTER'!$D$125:$D$126,MATCH(BD41,'SCORING MASTER'!$C$125:$C$126,0)),INDEX('SCORING MASTER'!$D$128:$D$129,MATCH(BE41,'SCORING MASTER'!$C$128:$C$129,0)))*20,0))</f>
        <v/>
      </c>
      <c r="BM41" s="35" t="str">
        <f aca="false">IF(OR(BF41="",BG41="",BH41="",BI41="",BJ41="",BK41="",BL41=""),"",ROUND(BF41*0.25+BG41*0.2+BH41*0.15+BI41*0.15+BJ41*0.1+BK41*0.1+BL41*0.05,0))</f>
        <v/>
      </c>
      <c r="BN41" s="35" t="str">
        <f aca="false">IF(OR(BF41="",BG41=""),"",ROUND(BF41*0.5+BG41*0.5,0))</f>
        <v/>
      </c>
      <c r="BO41" s="35" t="str">
        <f aca="false">IF(BN41="","",ROUND(MIN(100,MAX(0,(100-BN41)+IF(AL41="Yes",15,0)+IF(AM41="Yes",15,0)+IF(AND(U41&lt;&gt;"",U41&lt;18.5),20,0))),0))</f>
        <v/>
      </c>
      <c r="BP41" s="32" t="str">
        <f aca="false">IF(BM41="","",IF(BM41&gt;=90,"Green - Healthy",IF(BM41&gt;=75,"Light Green - Mild Watch",IF(BM41&gt;=60,"Yellow - Mild Risk",IF(BM41&gt;=40,"Orange - Moderate Risk","Red - High Risk")))))</f>
        <v/>
      </c>
      <c r="BQ41" s="32" t="str">
        <f aca="false">IF(BM41="","",IF(OR(BM41&lt;60,BO41&gt;=60,AJ41="Yes"),"Yes","No"))</f>
        <v/>
      </c>
      <c r="BR41" s="32" t="str">
        <f aca="false">IF(BM41="","",IF(OR(BP41="Orange - Moderate Risk",BP41="Red - High Risk",BQ41="Yes"),"Yes","No"))</f>
        <v/>
      </c>
    </row>
    <row r="42" customFormat="false" ht="15" hidden="false" customHeight="false" outlineLevel="0" collapsed="false">
      <c r="A42" s="28" t="str">
        <f aca="false">IF(I42="","","STU"&amp;TEXT(ROW()-3,"000000"))</f>
        <v/>
      </c>
      <c r="B42" s="28"/>
      <c r="C42" s="28"/>
      <c r="D42" s="28"/>
      <c r="E42" s="28"/>
      <c r="F42" s="28"/>
      <c r="G42" s="28"/>
      <c r="H42" s="28"/>
      <c r="I42" s="28"/>
      <c r="J42" s="30"/>
      <c r="K42" s="28"/>
      <c r="L42" s="28"/>
      <c r="M42" s="28"/>
      <c r="N42" s="28"/>
      <c r="O42" s="28"/>
      <c r="P42" s="28"/>
      <c r="Q42" s="30"/>
      <c r="R42" s="30"/>
      <c r="S42" s="31" t="str">
        <f aca="false">IF(OR(Q42="",R42=""),"",ROUND(R42/((Q42/100)^2),1))</f>
        <v/>
      </c>
      <c r="T42" s="28" t="str">
        <f aca="false">IF(S42="","",IF(S42&lt;18.5,"Underweight",IF(S42&lt;25,"Normal",IF(S42&lt;30,"Overweight","Obese"))))</f>
        <v/>
      </c>
      <c r="U42" s="30"/>
      <c r="V42" s="30"/>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31" t="str">
        <f aca="false">IF(T42="","",IF(T42="Normal",100,IF(T42="Overweight",65,IF(T42="Obese",50,IF(AND(U42&lt;&gt;"",U42&lt;18.5),30,45)))))</f>
        <v/>
      </c>
      <c r="BG42" s="31" t="str">
        <f aca="false">IF(COUNTBLANK(W42:AC42)&gt;0,"",ROUND(AVERAGE(INDEX('SCORING MASTER'!$D$5:$D$7,MATCH(W42,'SCORING MASTER'!$C$5:$C$7,0)),INDEX('SCORING MASTER'!$D$9:$D$11,MATCH(X42,'SCORING MASTER'!$C$9:$C$11,0)),INDEX('SCORING MASTER'!$D$13:$D$15,MATCH(Y42,'SCORING MASTER'!$C$13:$C$15,0)),INDEX('SCORING MASTER'!$D$17:$D$19,MATCH(Z42,'SCORING MASTER'!$C$17:$C$19,0)),INDEX('SCORING MASTER'!$D$21:$D$23,MATCH(AA42,'SCORING MASTER'!$C$21:$C$23,0)),INDEX('SCORING MASTER'!$D$25:$D$27,MATCH(AB42,'SCORING MASTER'!$C$25:$C$27,0)),INDEX('SCORING MASTER'!$D$29:$D$31,MATCH(AC42,'SCORING MASTER'!$C$29:$C$31,0)))*20,0))</f>
        <v/>
      </c>
      <c r="BH42" s="31" t="str">
        <f aca="false">IF(COUNTBLANK(AD42:AI42)&gt;0,"",ROUND(AVERAGE(INDEX('SCORING MASTER'!$D$33:$D$35,MATCH(AD42,'SCORING MASTER'!$C$33:$C$35,0)),INDEX('SCORING MASTER'!$D$37:$D$39,MATCH(AE42,'SCORING MASTER'!$C$37:$C$39,0)),INDEX('SCORING MASTER'!$D$41:$D$43,MATCH(AF42,'SCORING MASTER'!$C$41:$C$43,0)),INDEX('SCORING MASTER'!$D$45:$D$47,MATCH(AG42,'SCORING MASTER'!$C$45:$C$47,0)),INDEX('SCORING MASTER'!$D$49:$D$52,MATCH(AH42,'SCORING MASTER'!$C$49:$C$52,0)),INDEX('SCORING MASTER'!$D$54:$D$57,MATCH(AI42,'SCORING MASTER'!$C$54:$C$57,0)))*20,0))</f>
        <v/>
      </c>
      <c r="BI42" s="31" t="str">
        <f aca="false">IF(COUNTBLANK(AJ42:AP42)&gt;0,"",ROUND(AVERAGE(INDEX('SCORING MASTER'!$D$59:$D$60,MATCH(AJ42,'SCORING MASTER'!$C$59:$C$60,0)),INDEX('SCORING MASTER'!$D$62:$D$63,MATCH(AK42,'SCORING MASTER'!$C$62:$C$63,0)),INDEX('SCORING MASTER'!$D$65:$D$66,MATCH(AL42,'SCORING MASTER'!$C$65:$C$66,0)),INDEX('SCORING MASTER'!$D$68:$D$69,MATCH(AM42,'SCORING MASTER'!$C$68:$C$69,0)),INDEX('SCORING MASTER'!$D$71:$D$72,MATCH(AN42,'SCORING MASTER'!$C$71:$C$72,0)),INDEX('SCORING MASTER'!$D$74:$D$75,MATCH(AO42,'SCORING MASTER'!$C$74:$C$75,0)),INDEX('SCORING MASTER'!$D$77:$D$78,MATCH(AP42,'SCORING MASTER'!$C$77:$C$78,0)))*20,0))</f>
        <v/>
      </c>
      <c r="BJ42" s="31" t="str">
        <f aca="false">IF(COUNTBLANK(AU42:AZ42)&gt;0,"",ROUND(AVERAGE(INDEX('SCORING MASTER'!$D$95:$D$96,MATCH(AU42,'SCORING MASTER'!$C$95:$C$96,0)),INDEX('SCORING MASTER'!$D$98:$D$99,MATCH(AV42,'SCORING MASTER'!$C$98:$C$99,0)),INDEX('SCORING MASTER'!$D$101:$D$102,MATCH(AW42,'SCORING MASTER'!$C$101:$C$102,0)),INDEX('SCORING MASTER'!$D$104:$D$105,MATCH(AX42,'SCORING MASTER'!$C$104:$C$105,0)),INDEX('SCORING MASTER'!$D$107:$D$108,MATCH(AY42,'SCORING MASTER'!$C$107:$C$108,0)),INDEX('SCORING MASTER'!$D$110:$D$111,MATCH(AZ42,'SCORING MASTER'!$C$110:$C$111,0)))*20,0))</f>
        <v/>
      </c>
      <c r="BK42" s="31" t="str">
        <f aca="false">IF(COUNTBLANK(AQ42:AT42)&gt;0,"",ROUND(AVERAGE(INDEX('SCORING MASTER'!$D$80:$D$82,MATCH(AQ42,'SCORING MASTER'!$C$80:$C$82,0)),INDEX('SCORING MASTER'!$D$84:$D$86,MATCH(AR42,'SCORING MASTER'!$C$84:$C$86,0)),INDEX('SCORING MASTER'!$D$88:$D$90,MATCH(AS42,'SCORING MASTER'!$C$88:$C$90,0)),INDEX('SCORING MASTER'!$D$92:$D$93,MATCH(AT42,'SCORING MASTER'!$C$92:$C$93,0)))*20,0))</f>
        <v/>
      </c>
      <c r="BL42" s="31" t="str">
        <f aca="false">IF(COUNTBLANK(BA42:BE42)&gt;0,"",ROUND(AVERAGE(INDEX('SCORING MASTER'!$D$113:$D$115,MATCH(BA42,'SCORING MASTER'!$C$113:$C$115,0)),INDEX('SCORING MASTER'!$D$117:$D$119,MATCH(BB42,'SCORING MASTER'!$C$117:$C$119,0)),INDEX('SCORING MASTER'!$D$121:$D$123,MATCH(BC42,'SCORING MASTER'!$C$121:$C$123,0)),INDEX('SCORING MASTER'!$D$125:$D$126,MATCH(BD42,'SCORING MASTER'!$C$125:$C$126,0)),INDEX('SCORING MASTER'!$D$128:$D$129,MATCH(BE42,'SCORING MASTER'!$C$128:$C$129,0)))*20,0))</f>
        <v/>
      </c>
      <c r="BM42" s="31" t="str">
        <f aca="false">IF(OR(BF42="",BG42="",BH42="",BI42="",BJ42="",BK42="",BL42=""),"",ROUND(BF42*0.25+BG42*0.2+BH42*0.15+BI42*0.15+BJ42*0.1+BK42*0.1+BL42*0.05,0))</f>
        <v/>
      </c>
      <c r="BN42" s="31" t="str">
        <f aca="false">IF(OR(BF42="",BG42=""),"",ROUND(BF42*0.5+BG42*0.5,0))</f>
        <v/>
      </c>
      <c r="BO42" s="31" t="str">
        <f aca="false">IF(BN42="","",ROUND(MIN(100,MAX(0,(100-BN42)+IF(AL42="Yes",15,0)+IF(AM42="Yes",15,0)+IF(AND(U42&lt;&gt;"",U42&lt;18.5),20,0))),0))</f>
        <v/>
      </c>
      <c r="BP42" s="28" t="str">
        <f aca="false">IF(BM42="","",IF(BM42&gt;=90,"Green - Healthy",IF(BM42&gt;=75,"Light Green - Mild Watch",IF(BM42&gt;=60,"Yellow - Mild Risk",IF(BM42&gt;=40,"Orange - Moderate Risk","Red - High Risk")))))</f>
        <v/>
      </c>
      <c r="BQ42" s="28" t="str">
        <f aca="false">IF(BM42="","",IF(OR(BM42&lt;60,BO42&gt;=60,AJ42="Yes"),"Yes","No"))</f>
        <v/>
      </c>
      <c r="BR42" s="28" t="str">
        <f aca="false">IF(BM42="","",IF(OR(BP42="Orange - Moderate Risk",BP42="Red - High Risk",BQ42="Yes"),"Yes","No"))</f>
        <v/>
      </c>
    </row>
    <row r="43" customFormat="false" ht="15" hidden="false" customHeight="false" outlineLevel="0" collapsed="false">
      <c r="A43" s="32" t="str">
        <f aca="false">IF(I43="","","STU"&amp;TEXT(ROW()-3,"000000"))</f>
        <v/>
      </c>
      <c r="B43" s="32"/>
      <c r="C43" s="32"/>
      <c r="D43" s="32"/>
      <c r="E43" s="32"/>
      <c r="F43" s="32"/>
      <c r="G43" s="32"/>
      <c r="H43" s="32"/>
      <c r="I43" s="32"/>
      <c r="J43" s="34"/>
      <c r="K43" s="32"/>
      <c r="L43" s="32"/>
      <c r="M43" s="32"/>
      <c r="N43" s="32"/>
      <c r="O43" s="32"/>
      <c r="P43" s="32"/>
      <c r="Q43" s="34"/>
      <c r="R43" s="34"/>
      <c r="S43" s="35" t="str">
        <f aca="false">IF(OR(Q43="",R43=""),"",ROUND(R43/((Q43/100)^2),1))</f>
        <v/>
      </c>
      <c r="T43" s="32" t="str">
        <f aca="false">IF(S43="","",IF(S43&lt;18.5,"Underweight",IF(S43&lt;25,"Normal",IF(S43&lt;30,"Overweight","Obese"))))</f>
        <v/>
      </c>
      <c r="U43" s="34"/>
      <c r="V43" s="34"/>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5" t="str">
        <f aca="false">IF(T43="","",IF(T43="Normal",100,IF(T43="Overweight",65,IF(T43="Obese",50,IF(AND(U43&lt;&gt;"",U43&lt;18.5),30,45)))))</f>
        <v/>
      </c>
      <c r="BG43" s="35" t="str">
        <f aca="false">IF(COUNTBLANK(W43:AC43)&gt;0,"",ROUND(AVERAGE(INDEX('SCORING MASTER'!$D$5:$D$7,MATCH(W43,'SCORING MASTER'!$C$5:$C$7,0)),INDEX('SCORING MASTER'!$D$9:$D$11,MATCH(X43,'SCORING MASTER'!$C$9:$C$11,0)),INDEX('SCORING MASTER'!$D$13:$D$15,MATCH(Y43,'SCORING MASTER'!$C$13:$C$15,0)),INDEX('SCORING MASTER'!$D$17:$D$19,MATCH(Z43,'SCORING MASTER'!$C$17:$C$19,0)),INDEX('SCORING MASTER'!$D$21:$D$23,MATCH(AA43,'SCORING MASTER'!$C$21:$C$23,0)),INDEX('SCORING MASTER'!$D$25:$D$27,MATCH(AB43,'SCORING MASTER'!$C$25:$C$27,0)),INDEX('SCORING MASTER'!$D$29:$D$31,MATCH(AC43,'SCORING MASTER'!$C$29:$C$31,0)))*20,0))</f>
        <v/>
      </c>
      <c r="BH43" s="35" t="str">
        <f aca="false">IF(COUNTBLANK(AD43:AI43)&gt;0,"",ROUND(AVERAGE(INDEX('SCORING MASTER'!$D$33:$D$35,MATCH(AD43,'SCORING MASTER'!$C$33:$C$35,0)),INDEX('SCORING MASTER'!$D$37:$D$39,MATCH(AE43,'SCORING MASTER'!$C$37:$C$39,0)),INDEX('SCORING MASTER'!$D$41:$D$43,MATCH(AF43,'SCORING MASTER'!$C$41:$C$43,0)),INDEX('SCORING MASTER'!$D$45:$D$47,MATCH(AG43,'SCORING MASTER'!$C$45:$C$47,0)),INDEX('SCORING MASTER'!$D$49:$D$52,MATCH(AH43,'SCORING MASTER'!$C$49:$C$52,0)),INDEX('SCORING MASTER'!$D$54:$D$57,MATCH(AI43,'SCORING MASTER'!$C$54:$C$57,0)))*20,0))</f>
        <v/>
      </c>
      <c r="BI43" s="35" t="str">
        <f aca="false">IF(COUNTBLANK(AJ43:AP43)&gt;0,"",ROUND(AVERAGE(INDEX('SCORING MASTER'!$D$59:$D$60,MATCH(AJ43,'SCORING MASTER'!$C$59:$C$60,0)),INDEX('SCORING MASTER'!$D$62:$D$63,MATCH(AK43,'SCORING MASTER'!$C$62:$C$63,0)),INDEX('SCORING MASTER'!$D$65:$D$66,MATCH(AL43,'SCORING MASTER'!$C$65:$C$66,0)),INDEX('SCORING MASTER'!$D$68:$D$69,MATCH(AM43,'SCORING MASTER'!$C$68:$C$69,0)),INDEX('SCORING MASTER'!$D$71:$D$72,MATCH(AN43,'SCORING MASTER'!$C$71:$C$72,0)),INDEX('SCORING MASTER'!$D$74:$D$75,MATCH(AO43,'SCORING MASTER'!$C$74:$C$75,0)),INDEX('SCORING MASTER'!$D$77:$D$78,MATCH(AP43,'SCORING MASTER'!$C$77:$C$78,0)))*20,0))</f>
        <v/>
      </c>
      <c r="BJ43" s="35" t="str">
        <f aca="false">IF(COUNTBLANK(AU43:AZ43)&gt;0,"",ROUND(AVERAGE(INDEX('SCORING MASTER'!$D$95:$D$96,MATCH(AU43,'SCORING MASTER'!$C$95:$C$96,0)),INDEX('SCORING MASTER'!$D$98:$D$99,MATCH(AV43,'SCORING MASTER'!$C$98:$C$99,0)),INDEX('SCORING MASTER'!$D$101:$D$102,MATCH(AW43,'SCORING MASTER'!$C$101:$C$102,0)),INDEX('SCORING MASTER'!$D$104:$D$105,MATCH(AX43,'SCORING MASTER'!$C$104:$C$105,0)),INDEX('SCORING MASTER'!$D$107:$D$108,MATCH(AY43,'SCORING MASTER'!$C$107:$C$108,0)),INDEX('SCORING MASTER'!$D$110:$D$111,MATCH(AZ43,'SCORING MASTER'!$C$110:$C$111,0)))*20,0))</f>
        <v/>
      </c>
      <c r="BK43" s="35" t="str">
        <f aca="false">IF(COUNTBLANK(AQ43:AT43)&gt;0,"",ROUND(AVERAGE(INDEX('SCORING MASTER'!$D$80:$D$82,MATCH(AQ43,'SCORING MASTER'!$C$80:$C$82,0)),INDEX('SCORING MASTER'!$D$84:$D$86,MATCH(AR43,'SCORING MASTER'!$C$84:$C$86,0)),INDEX('SCORING MASTER'!$D$88:$D$90,MATCH(AS43,'SCORING MASTER'!$C$88:$C$90,0)),INDEX('SCORING MASTER'!$D$92:$D$93,MATCH(AT43,'SCORING MASTER'!$C$92:$C$93,0)))*20,0))</f>
        <v/>
      </c>
      <c r="BL43" s="35" t="str">
        <f aca="false">IF(COUNTBLANK(BA43:BE43)&gt;0,"",ROUND(AVERAGE(INDEX('SCORING MASTER'!$D$113:$D$115,MATCH(BA43,'SCORING MASTER'!$C$113:$C$115,0)),INDEX('SCORING MASTER'!$D$117:$D$119,MATCH(BB43,'SCORING MASTER'!$C$117:$C$119,0)),INDEX('SCORING MASTER'!$D$121:$D$123,MATCH(BC43,'SCORING MASTER'!$C$121:$C$123,0)),INDEX('SCORING MASTER'!$D$125:$D$126,MATCH(BD43,'SCORING MASTER'!$C$125:$C$126,0)),INDEX('SCORING MASTER'!$D$128:$D$129,MATCH(BE43,'SCORING MASTER'!$C$128:$C$129,0)))*20,0))</f>
        <v/>
      </c>
      <c r="BM43" s="35" t="str">
        <f aca="false">IF(OR(BF43="",BG43="",BH43="",BI43="",BJ43="",BK43="",BL43=""),"",ROUND(BF43*0.25+BG43*0.2+BH43*0.15+BI43*0.15+BJ43*0.1+BK43*0.1+BL43*0.05,0))</f>
        <v/>
      </c>
      <c r="BN43" s="35" t="str">
        <f aca="false">IF(OR(BF43="",BG43=""),"",ROUND(BF43*0.5+BG43*0.5,0))</f>
        <v/>
      </c>
      <c r="BO43" s="35" t="str">
        <f aca="false">IF(BN43="","",ROUND(MIN(100,MAX(0,(100-BN43)+IF(AL43="Yes",15,0)+IF(AM43="Yes",15,0)+IF(AND(U43&lt;&gt;"",U43&lt;18.5),20,0))),0))</f>
        <v/>
      </c>
      <c r="BP43" s="32" t="str">
        <f aca="false">IF(BM43="","",IF(BM43&gt;=90,"Green - Healthy",IF(BM43&gt;=75,"Light Green - Mild Watch",IF(BM43&gt;=60,"Yellow - Mild Risk",IF(BM43&gt;=40,"Orange - Moderate Risk","Red - High Risk")))))</f>
        <v/>
      </c>
      <c r="BQ43" s="32" t="str">
        <f aca="false">IF(BM43="","",IF(OR(BM43&lt;60,BO43&gt;=60,AJ43="Yes"),"Yes","No"))</f>
        <v/>
      </c>
      <c r="BR43" s="32" t="str">
        <f aca="false">IF(BM43="","",IF(OR(BP43="Orange - Moderate Risk",BP43="Red - High Risk",BQ43="Yes"),"Yes","No"))</f>
        <v/>
      </c>
    </row>
    <row r="44" customFormat="false" ht="15" hidden="false" customHeight="false" outlineLevel="0" collapsed="false">
      <c r="A44" s="28" t="str">
        <f aca="false">IF(I44="","","STU"&amp;TEXT(ROW()-3,"000000"))</f>
        <v/>
      </c>
      <c r="B44" s="28"/>
      <c r="C44" s="28"/>
      <c r="D44" s="28"/>
      <c r="E44" s="28"/>
      <c r="F44" s="28"/>
      <c r="G44" s="28"/>
      <c r="H44" s="28"/>
      <c r="I44" s="28"/>
      <c r="J44" s="30"/>
      <c r="K44" s="28"/>
      <c r="L44" s="28"/>
      <c r="M44" s="28"/>
      <c r="N44" s="28"/>
      <c r="O44" s="28"/>
      <c r="P44" s="28"/>
      <c r="Q44" s="30"/>
      <c r="R44" s="30"/>
      <c r="S44" s="31" t="str">
        <f aca="false">IF(OR(Q44="",R44=""),"",ROUND(R44/((Q44/100)^2),1))</f>
        <v/>
      </c>
      <c r="T44" s="28" t="str">
        <f aca="false">IF(S44="","",IF(S44&lt;18.5,"Underweight",IF(S44&lt;25,"Normal",IF(S44&lt;30,"Overweight","Obese"))))</f>
        <v/>
      </c>
      <c r="U44" s="30"/>
      <c r="V44" s="30"/>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31" t="str">
        <f aca="false">IF(T44="","",IF(T44="Normal",100,IF(T44="Overweight",65,IF(T44="Obese",50,IF(AND(U44&lt;&gt;"",U44&lt;18.5),30,45)))))</f>
        <v/>
      </c>
      <c r="BG44" s="31" t="str">
        <f aca="false">IF(COUNTBLANK(W44:AC44)&gt;0,"",ROUND(AVERAGE(INDEX('SCORING MASTER'!$D$5:$D$7,MATCH(W44,'SCORING MASTER'!$C$5:$C$7,0)),INDEX('SCORING MASTER'!$D$9:$D$11,MATCH(X44,'SCORING MASTER'!$C$9:$C$11,0)),INDEX('SCORING MASTER'!$D$13:$D$15,MATCH(Y44,'SCORING MASTER'!$C$13:$C$15,0)),INDEX('SCORING MASTER'!$D$17:$D$19,MATCH(Z44,'SCORING MASTER'!$C$17:$C$19,0)),INDEX('SCORING MASTER'!$D$21:$D$23,MATCH(AA44,'SCORING MASTER'!$C$21:$C$23,0)),INDEX('SCORING MASTER'!$D$25:$D$27,MATCH(AB44,'SCORING MASTER'!$C$25:$C$27,0)),INDEX('SCORING MASTER'!$D$29:$D$31,MATCH(AC44,'SCORING MASTER'!$C$29:$C$31,0)))*20,0))</f>
        <v/>
      </c>
      <c r="BH44" s="31" t="str">
        <f aca="false">IF(COUNTBLANK(AD44:AI44)&gt;0,"",ROUND(AVERAGE(INDEX('SCORING MASTER'!$D$33:$D$35,MATCH(AD44,'SCORING MASTER'!$C$33:$C$35,0)),INDEX('SCORING MASTER'!$D$37:$D$39,MATCH(AE44,'SCORING MASTER'!$C$37:$C$39,0)),INDEX('SCORING MASTER'!$D$41:$D$43,MATCH(AF44,'SCORING MASTER'!$C$41:$C$43,0)),INDEX('SCORING MASTER'!$D$45:$D$47,MATCH(AG44,'SCORING MASTER'!$C$45:$C$47,0)),INDEX('SCORING MASTER'!$D$49:$D$52,MATCH(AH44,'SCORING MASTER'!$C$49:$C$52,0)),INDEX('SCORING MASTER'!$D$54:$D$57,MATCH(AI44,'SCORING MASTER'!$C$54:$C$57,0)))*20,0))</f>
        <v/>
      </c>
      <c r="BI44" s="31" t="str">
        <f aca="false">IF(COUNTBLANK(AJ44:AP44)&gt;0,"",ROUND(AVERAGE(INDEX('SCORING MASTER'!$D$59:$D$60,MATCH(AJ44,'SCORING MASTER'!$C$59:$C$60,0)),INDEX('SCORING MASTER'!$D$62:$D$63,MATCH(AK44,'SCORING MASTER'!$C$62:$C$63,0)),INDEX('SCORING MASTER'!$D$65:$D$66,MATCH(AL44,'SCORING MASTER'!$C$65:$C$66,0)),INDEX('SCORING MASTER'!$D$68:$D$69,MATCH(AM44,'SCORING MASTER'!$C$68:$C$69,0)),INDEX('SCORING MASTER'!$D$71:$D$72,MATCH(AN44,'SCORING MASTER'!$C$71:$C$72,0)),INDEX('SCORING MASTER'!$D$74:$D$75,MATCH(AO44,'SCORING MASTER'!$C$74:$C$75,0)),INDEX('SCORING MASTER'!$D$77:$D$78,MATCH(AP44,'SCORING MASTER'!$C$77:$C$78,0)))*20,0))</f>
        <v/>
      </c>
      <c r="BJ44" s="31" t="str">
        <f aca="false">IF(COUNTBLANK(AU44:AZ44)&gt;0,"",ROUND(AVERAGE(INDEX('SCORING MASTER'!$D$95:$D$96,MATCH(AU44,'SCORING MASTER'!$C$95:$C$96,0)),INDEX('SCORING MASTER'!$D$98:$D$99,MATCH(AV44,'SCORING MASTER'!$C$98:$C$99,0)),INDEX('SCORING MASTER'!$D$101:$D$102,MATCH(AW44,'SCORING MASTER'!$C$101:$C$102,0)),INDEX('SCORING MASTER'!$D$104:$D$105,MATCH(AX44,'SCORING MASTER'!$C$104:$C$105,0)),INDEX('SCORING MASTER'!$D$107:$D$108,MATCH(AY44,'SCORING MASTER'!$C$107:$C$108,0)),INDEX('SCORING MASTER'!$D$110:$D$111,MATCH(AZ44,'SCORING MASTER'!$C$110:$C$111,0)))*20,0))</f>
        <v/>
      </c>
      <c r="BK44" s="31" t="str">
        <f aca="false">IF(COUNTBLANK(AQ44:AT44)&gt;0,"",ROUND(AVERAGE(INDEX('SCORING MASTER'!$D$80:$D$82,MATCH(AQ44,'SCORING MASTER'!$C$80:$C$82,0)),INDEX('SCORING MASTER'!$D$84:$D$86,MATCH(AR44,'SCORING MASTER'!$C$84:$C$86,0)),INDEX('SCORING MASTER'!$D$88:$D$90,MATCH(AS44,'SCORING MASTER'!$C$88:$C$90,0)),INDEX('SCORING MASTER'!$D$92:$D$93,MATCH(AT44,'SCORING MASTER'!$C$92:$C$93,0)))*20,0))</f>
        <v/>
      </c>
      <c r="BL44" s="31" t="str">
        <f aca="false">IF(COUNTBLANK(BA44:BE44)&gt;0,"",ROUND(AVERAGE(INDEX('SCORING MASTER'!$D$113:$D$115,MATCH(BA44,'SCORING MASTER'!$C$113:$C$115,0)),INDEX('SCORING MASTER'!$D$117:$D$119,MATCH(BB44,'SCORING MASTER'!$C$117:$C$119,0)),INDEX('SCORING MASTER'!$D$121:$D$123,MATCH(BC44,'SCORING MASTER'!$C$121:$C$123,0)),INDEX('SCORING MASTER'!$D$125:$D$126,MATCH(BD44,'SCORING MASTER'!$C$125:$C$126,0)),INDEX('SCORING MASTER'!$D$128:$D$129,MATCH(BE44,'SCORING MASTER'!$C$128:$C$129,0)))*20,0))</f>
        <v/>
      </c>
      <c r="BM44" s="31" t="str">
        <f aca="false">IF(OR(BF44="",BG44="",BH44="",BI44="",BJ44="",BK44="",BL44=""),"",ROUND(BF44*0.25+BG44*0.2+BH44*0.15+BI44*0.15+BJ44*0.1+BK44*0.1+BL44*0.05,0))</f>
        <v/>
      </c>
      <c r="BN44" s="31" t="str">
        <f aca="false">IF(OR(BF44="",BG44=""),"",ROUND(BF44*0.5+BG44*0.5,0))</f>
        <v/>
      </c>
      <c r="BO44" s="31" t="str">
        <f aca="false">IF(BN44="","",ROUND(MIN(100,MAX(0,(100-BN44)+IF(AL44="Yes",15,0)+IF(AM44="Yes",15,0)+IF(AND(U44&lt;&gt;"",U44&lt;18.5),20,0))),0))</f>
        <v/>
      </c>
      <c r="BP44" s="28" t="str">
        <f aca="false">IF(BM44="","",IF(BM44&gt;=90,"Green - Healthy",IF(BM44&gt;=75,"Light Green - Mild Watch",IF(BM44&gt;=60,"Yellow - Mild Risk",IF(BM44&gt;=40,"Orange - Moderate Risk","Red - High Risk")))))</f>
        <v/>
      </c>
      <c r="BQ44" s="28" t="str">
        <f aca="false">IF(BM44="","",IF(OR(BM44&lt;60,BO44&gt;=60,AJ44="Yes"),"Yes","No"))</f>
        <v/>
      </c>
      <c r="BR44" s="28" t="str">
        <f aca="false">IF(BM44="","",IF(OR(BP44="Orange - Moderate Risk",BP44="Red - High Risk",BQ44="Yes"),"Yes","No"))</f>
        <v/>
      </c>
    </row>
    <row r="45" customFormat="false" ht="15" hidden="false" customHeight="false" outlineLevel="0" collapsed="false">
      <c r="A45" s="32" t="str">
        <f aca="false">IF(I45="","","STU"&amp;TEXT(ROW()-3,"000000"))</f>
        <v/>
      </c>
      <c r="B45" s="32"/>
      <c r="C45" s="32"/>
      <c r="D45" s="32"/>
      <c r="E45" s="32"/>
      <c r="F45" s="32"/>
      <c r="G45" s="32"/>
      <c r="H45" s="32"/>
      <c r="I45" s="32"/>
      <c r="J45" s="34"/>
      <c r="K45" s="32"/>
      <c r="L45" s="32"/>
      <c r="M45" s="32"/>
      <c r="N45" s="32"/>
      <c r="O45" s="32"/>
      <c r="P45" s="32"/>
      <c r="Q45" s="34"/>
      <c r="R45" s="34"/>
      <c r="S45" s="35" t="str">
        <f aca="false">IF(OR(Q45="",R45=""),"",ROUND(R45/((Q45/100)^2),1))</f>
        <v/>
      </c>
      <c r="T45" s="32" t="str">
        <f aca="false">IF(S45="","",IF(S45&lt;18.5,"Underweight",IF(S45&lt;25,"Normal",IF(S45&lt;30,"Overweight","Obese"))))</f>
        <v/>
      </c>
      <c r="U45" s="34"/>
      <c r="V45" s="34"/>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5" t="str">
        <f aca="false">IF(T45="","",IF(T45="Normal",100,IF(T45="Overweight",65,IF(T45="Obese",50,IF(AND(U45&lt;&gt;"",U45&lt;18.5),30,45)))))</f>
        <v/>
      </c>
      <c r="BG45" s="35" t="str">
        <f aca="false">IF(COUNTBLANK(W45:AC45)&gt;0,"",ROUND(AVERAGE(INDEX('SCORING MASTER'!$D$5:$D$7,MATCH(W45,'SCORING MASTER'!$C$5:$C$7,0)),INDEX('SCORING MASTER'!$D$9:$D$11,MATCH(X45,'SCORING MASTER'!$C$9:$C$11,0)),INDEX('SCORING MASTER'!$D$13:$D$15,MATCH(Y45,'SCORING MASTER'!$C$13:$C$15,0)),INDEX('SCORING MASTER'!$D$17:$D$19,MATCH(Z45,'SCORING MASTER'!$C$17:$C$19,0)),INDEX('SCORING MASTER'!$D$21:$D$23,MATCH(AA45,'SCORING MASTER'!$C$21:$C$23,0)),INDEX('SCORING MASTER'!$D$25:$D$27,MATCH(AB45,'SCORING MASTER'!$C$25:$C$27,0)),INDEX('SCORING MASTER'!$D$29:$D$31,MATCH(AC45,'SCORING MASTER'!$C$29:$C$31,0)))*20,0))</f>
        <v/>
      </c>
      <c r="BH45" s="35" t="str">
        <f aca="false">IF(COUNTBLANK(AD45:AI45)&gt;0,"",ROUND(AVERAGE(INDEX('SCORING MASTER'!$D$33:$D$35,MATCH(AD45,'SCORING MASTER'!$C$33:$C$35,0)),INDEX('SCORING MASTER'!$D$37:$D$39,MATCH(AE45,'SCORING MASTER'!$C$37:$C$39,0)),INDEX('SCORING MASTER'!$D$41:$D$43,MATCH(AF45,'SCORING MASTER'!$C$41:$C$43,0)),INDEX('SCORING MASTER'!$D$45:$D$47,MATCH(AG45,'SCORING MASTER'!$C$45:$C$47,0)),INDEX('SCORING MASTER'!$D$49:$D$52,MATCH(AH45,'SCORING MASTER'!$C$49:$C$52,0)),INDEX('SCORING MASTER'!$D$54:$D$57,MATCH(AI45,'SCORING MASTER'!$C$54:$C$57,0)))*20,0))</f>
        <v/>
      </c>
      <c r="BI45" s="35" t="str">
        <f aca="false">IF(COUNTBLANK(AJ45:AP45)&gt;0,"",ROUND(AVERAGE(INDEX('SCORING MASTER'!$D$59:$D$60,MATCH(AJ45,'SCORING MASTER'!$C$59:$C$60,0)),INDEX('SCORING MASTER'!$D$62:$D$63,MATCH(AK45,'SCORING MASTER'!$C$62:$C$63,0)),INDEX('SCORING MASTER'!$D$65:$D$66,MATCH(AL45,'SCORING MASTER'!$C$65:$C$66,0)),INDEX('SCORING MASTER'!$D$68:$D$69,MATCH(AM45,'SCORING MASTER'!$C$68:$C$69,0)),INDEX('SCORING MASTER'!$D$71:$D$72,MATCH(AN45,'SCORING MASTER'!$C$71:$C$72,0)),INDEX('SCORING MASTER'!$D$74:$D$75,MATCH(AO45,'SCORING MASTER'!$C$74:$C$75,0)),INDEX('SCORING MASTER'!$D$77:$D$78,MATCH(AP45,'SCORING MASTER'!$C$77:$C$78,0)))*20,0))</f>
        <v/>
      </c>
      <c r="BJ45" s="35" t="str">
        <f aca="false">IF(COUNTBLANK(AU45:AZ45)&gt;0,"",ROUND(AVERAGE(INDEX('SCORING MASTER'!$D$95:$D$96,MATCH(AU45,'SCORING MASTER'!$C$95:$C$96,0)),INDEX('SCORING MASTER'!$D$98:$D$99,MATCH(AV45,'SCORING MASTER'!$C$98:$C$99,0)),INDEX('SCORING MASTER'!$D$101:$D$102,MATCH(AW45,'SCORING MASTER'!$C$101:$C$102,0)),INDEX('SCORING MASTER'!$D$104:$D$105,MATCH(AX45,'SCORING MASTER'!$C$104:$C$105,0)),INDEX('SCORING MASTER'!$D$107:$D$108,MATCH(AY45,'SCORING MASTER'!$C$107:$C$108,0)),INDEX('SCORING MASTER'!$D$110:$D$111,MATCH(AZ45,'SCORING MASTER'!$C$110:$C$111,0)))*20,0))</f>
        <v/>
      </c>
      <c r="BK45" s="35" t="str">
        <f aca="false">IF(COUNTBLANK(AQ45:AT45)&gt;0,"",ROUND(AVERAGE(INDEX('SCORING MASTER'!$D$80:$D$82,MATCH(AQ45,'SCORING MASTER'!$C$80:$C$82,0)),INDEX('SCORING MASTER'!$D$84:$D$86,MATCH(AR45,'SCORING MASTER'!$C$84:$C$86,0)),INDEX('SCORING MASTER'!$D$88:$D$90,MATCH(AS45,'SCORING MASTER'!$C$88:$C$90,0)),INDEX('SCORING MASTER'!$D$92:$D$93,MATCH(AT45,'SCORING MASTER'!$C$92:$C$93,0)))*20,0))</f>
        <v/>
      </c>
      <c r="BL45" s="35" t="str">
        <f aca="false">IF(COUNTBLANK(BA45:BE45)&gt;0,"",ROUND(AVERAGE(INDEX('SCORING MASTER'!$D$113:$D$115,MATCH(BA45,'SCORING MASTER'!$C$113:$C$115,0)),INDEX('SCORING MASTER'!$D$117:$D$119,MATCH(BB45,'SCORING MASTER'!$C$117:$C$119,0)),INDEX('SCORING MASTER'!$D$121:$D$123,MATCH(BC45,'SCORING MASTER'!$C$121:$C$123,0)),INDEX('SCORING MASTER'!$D$125:$D$126,MATCH(BD45,'SCORING MASTER'!$C$125:$C$126,0)),INDEX('SCORING MASTER'!$D$128:$D$129,MATCH(BE45,'SCORING MASTER'!$C$128:$C$129,0)))*20,0))</f>
        <v/>
      </c>
      <c r="BM45" s="35" t="str">
        <f aca="false">IF(OR(BF45="",BG45="",BH45="",BI45="",BJ45="",BK45="",BL45=""),"",ROUND(BF45*0.25+BG45*0.2+BH45*0.15+BI45*0.15+BJ45*0.1+BK45*0.1+BL45*0.05,0))</f>
        <v/>
      </c>
      <c r="BN45" s="35" t="str">
        <f aca="false">IF(OR(BF45="",BG45=""),"",ROUND(BF45*0.5+BG45*0.5,0))</f>
        <v/>
      </c>
      <c r="BO45" s="35" t="str">
        <f aca="false">IF(BN45="","",ROUND(MIN(100,MAX(0,(100-BN45)+IF(AL45="Yes",15,0)+IF(AM45="Yes",15,0)+IF(AND(U45&lt;&gt;"",U45&lt;18.5),20,0))),0))</f>
        <v/>
      </c>
      <c r="BP45" s="32" t="str">
        <f aca="false">IF(BM45="","",IF(BM45&gt;=90,"Green - Healthy",IF(BM45&gt;=75,"Light Green - Mild Watch",IF(BM45&gt;=60,"Yellow - Mild Risk",IF(BM45&gt;=40,"Orange - Moderate Risk","Red - High Risk")))))</f>
        <v/>
      </c>
      <c r="BQ45" s="32" t="str">
        <f aca="false">IF(BM45="","",IF(OR(BM45&lt;60,BO45&gt;=60,AJ45="Yes"),"Yes","No"))</f>
        <v/>
      </c>
      <c r="BR45" s="32" t="str">
        <f aca="false">IF(BM45="","",IF(OR(BP45="Orange - Moderate Risk",BP45="Red - High Risk",BQ45="Yes"),"Yes","No"))</f>
        <v/>
      </c>
    </row>
    <row r="46" customFormat="false" ht="15" hidden="false" customHeight="false" outlineLevel="0" collapsed="false">
      <c r="A46" s="28" t="str">
        <f aca="false">IF(I46="","","STU"&amp;TEXT(ROW()-3,"000000"))</f>
        <v/>
      </c>
      <c r="B46" s="28"/>
      <c r="C46" s="28"/>
      <c r="D46" s="28"/>
      <c r="E46" s="28"/>
      <c r="F46" s="28"/>
      <c r="G46" s="28"/>
      <c r="H46" s="28"/>
      <c r="I46" s="28"/>
      <c r="J46" s="30"/>
      <c r="K46" s="28"/>
      <c r="L46" s="28"/>
      <c r="M46" s="28"/>
      <c r="N46" s="28"/>
      <c r="O46" s="28"/>
      <c r="P46" s="28"/>
      <c r="Q46" s="30"/>
      <c r="R46" s="30"/>
      <c r="S46" s="31" t="str">
        <f aca="false">IF(OR(Q46="",R46=""),"",ROUND(R46/((Q46/100)^2),1))</f>
        <v/>
      </c>
      <c r="T46" s="28" t="str">
        <f aca="false">IF(S46="","",IF(S46&lt;18.5,"Underweight",IF(S46&lt;25,"Normal",IF(S46&lt;30,"Overweight","Obese"))))</f>
        <v/>
      </c>
      <c r="U46" s="30"/>
      <c r="V46" s="30"/>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31" t="str">
        <f aca="false">IF(T46="","",IF(T46="Normal",100,IF(T46="Overweight",65,IF(T46="Obese",50,IF(AND(U46&lt;&gt;"",U46&lt;18.5),30,45)))))</f>
        <v/>
      </c>
      <c r="BG46" s="31" t="str">
        <f aca="false">IF(COUNTBLANK(W46:AC46)&gt;0,"",ROUND(AVERAGE(INDEX('SCORING MASTER'!$D$5:$D$7,MATCH(W46,'SCORING MASTER'!$C$5:$C$7,0)),INDEX('SCORING MASTER'!$D$9:$D$11,MATCH(X46,'SCORING MASTER'!$C$9:$C$11,0)),INDEX('SCORING MASTER'!$D$13:$D$15,MATCH(Y46,'SCORING MASTER'!$C$13:$C$15,0)),INDEX('SCORING MASTER'!$D$17:$D$19,MATCH(Z46,'SCORING MASTER'!$C$17:$C$19,0)),INDEX('SCORING MASTER'!$D$21:$D$23,MATCH(AA46,'SCORING MASTER'!$C$21:$C$23,0)),INDEX('SCORING MASTER'!$D$25:$D$27,MATCH(AB46,'SCORING MASTER'!$C$25:$C$27,0)),INDEX('SCORING MASTER'!$D$29:$D$31,MATCH(AC46,'SCORING MASTER'!$C$29:$C$31,0)))*20,0))</f>
        <v/>
      </c>
      <c r="BH46" s="31" t="str">
        <f aca="false">IF(COUNTBLANK(AD46:AI46)&gt;0,"",ROUND(AVERAGE(INDEX('SCORING MASTER'!$D$33:$D$35,MATCH(AD46,'SCORING MASTER'!$C$33:$C$35,0)),INDEX('SCORING MASTER'!$D$37:$D$39,MATCH(AE46,'SCORING MASTER'!$C$37:$C$39,0)),INDEX('SCORING MASTER'!$D$41:$D$43,MATCH(AF46,'SCORING MASTER'!$C$41:$C$43,0)),INDEX('SCORING MASTER'!$D$45:$D$47,MATCH(AG46,'SCORING MASTER'!$C$45:$C$47,0)),INDEX('SCORING MASTER'!$D$49:$D$52,MATCH(AH46,'SCORING MASTER'!$C$49:$C$52,0)),INDEX('SCORING MASTER'!$D$54:$D$57,MATCH(AI46,'SCORING MASTER'!$C$54:$C$57,0)))*20,0))</f>
        <v/>
      </c>
      <c r="BI46" s="31" t="str">
        <f aca="false">IF(COUNTBLANK(AJ46:AP46)&gt;0,"",ROUND(AVERAGE(INDEX('SCORING MASTER'!$D$59:$D$60,MATCH(AJ46,'SCORING MASTER'!$C$59:$C$60,0)),INDEX('SCORING MASTER'!$D$62:$D$63,MATCH(AK46,'SCORING MASTER'!$C$62:$C$63,0)),INDEX('SCORING MASTER'!$D$65:$D$66,MATCH(AL46,'SCORING MASTER'!$C$65:$C$66,0)),INDEX('SCORING MASTER'!$D$68:$D$69,MATCH(AM46,'SCORING MASTER'!$C$68:$C$69,0)),INDEX('SCORING MASTER'!$D$71:$D$72,MATCH(AN46,'SCORING MASTER'!$C$71:$C$72,0)),INDEX('SCORING MASTER'!$D$74:$D$75,MATCH(AO46,'SCORING MASTER'!$C$74:$C$75,0)),INDEX('SCORING MASTER'!$D$77:$D$78,MATCH(AP46,'SCORING MASTER'!$C$77:$C$78,0)))*20,0))</f>
        <v/>
      </c>
      <c r="BJ46" s="31" t="str">
        <f aca="false">IF(COUNTBLANK(AU46:AZ46)&gt;0,"",ROUND(AVERAGE(INDEX('SCORING MASTER'!$D$95:$D$96,MATCH(AU46,'SCORING MASTER'!$C$95:$C$96,0)),INDEX('SCORING MASTER'!$D$98:$D$99,MATCH(AV46,'SCORING MASTER'!$C$98:$C$99,0)),INDEX('SCORING MASTER'!$D$101:$D$102,MATCH(AW46,'SCORING MASTER'!$C$101:$C$102,0)),INDEX('SCORING MASTER'!$D$104:$D$105,MATCH(AX46,'SCORING MASTER'!$C$104:$C$105,0)),INDEX('SCORING MASTER'!$D$107:$D$108,MATCH(AY46,'SCORING MASTER'!$C$107:$C$108,0)),INDEX('SCORING MASTER'!$D$110:$D$111,MATCH(AZ46,'SCORING MASTER'!$C$110:$C$111,0)))*20,0))</f>
        <v/>
      </c>
      <c r="BK46" s="31" t="str">
        <f aca="false">IF(COUNTBLANK(AQ46:AT46)&gt;0,"",ROUND(AVERAGE(INDEX('SCORING MASTER'!$D$80:$D$82,MATCH(AQ46,'SCORING MASTER'!$C$80:$C$82,0)),INDEX('SCORING MASTER'!$D$84:$D$86,MATCH(AR46,'SCORING MASTER'!$C$84:$C$86,0)),INDEX('SCORING MASTER'!$D$88:$D$90,MATCH(AS46,'SCORING MASTER'!$C$88:$C$90,0)),INDEX('SCORING MASTER'!$D$92:$D$93,MATCH(AT46,'SCORING MASTER'!$C$92:$C$93,0)))*20,0))</f>
        <v/>
      </c>
      <c r="BL46" s="31" t="str">
        <f aca="false">IF(COUNTBLANK(BA46:BE46)&gt;0,"",ROUND(AVERAGE(INDEX('SCORING MASTER'!$D$113:$D$115,MATCH(BA46,'SCORING MASTER'!$C$113:$C$115,0)),INDEX('SCORING MASTER'!$D$117:$D$119,MATCH(BB46,'SCORING MASTER'!$C$117:$C$119,0)),INDEX('SCORING MASTER'!$D$121:$D$123,MATCH(BC46,'SCORING MASTER'!$C$121:$C$123,0)),INDEX('SCORING MASTER'!$D$125:$D$126,MATCH(BD46,'SCORING MASTER'!$C$125:$C$126,0)),INDEX('SCORING MASTER'!$D$128:$D$129,MATCH(BE46,'SCORING MASTER'!$C$128:$C$129,0)))*20,0))</f>
        <v/>
      </c>
      <c r="BM46" s="31" t="str">
        <f aca="false">IF(OR(BF46="",BG46="",BH46="",BI46="",BJ46="",BK46="",BL46=""),"",ROUND(BF46*0.25+BG46*0.2+BH46*0.15+BI46*0.15+BJ46*0.1+BK46*0.1+BL46*0.05,0))</f>
        <v/>
      </c>
      <c r="BN46" s="31" t="str">
        <f aca="false">IF(OR(BF46="",BG46=""),"",ROUND(BF46*0.5+BG46*0.5,0))</f>
        <v/>
      </c>
      <c r="BO46" s="31" t="str">
        <f aca="false">IF(BN46="","",ROUND(MIN(100,MAX(0,(100-BN46)+IF(AL46="Yes",15,0)+IF(AM46="Yes",15,0)+IF(AND(U46&lt;&gt;"",U46&lt;18.5),20,0))),0))</f>
        <v/>
      </c>
      <c r="BP46" s="28" t="str">
        <f aca="false">IF(BM46="","",IF(BM46&gt;=90,"Green - Healthy",IF(BM46&gt;=75,"Light Green - Mild Watch",IF(BM46&gt;=60,"Yellow - Mild Risk",IF(BM46&gt;=40,"Orange - Moderate Risk","Red - High Risk")))))</f>
        <v/>
      </c>
      <c r="BQ46" s="28" t="str">
        <f aca="false">IF(BM46="","",IF(OR(BM46&lt;60,BO46&gt;=60,AJ46="Yes"),"Yes","No"))</f>
        <v/>
      </c>
      <c r="BR46" s="28" t="str">
        <f aca="false">IF(BM46="","",IF(OR(BP46="Orange - Moderate Risk",BP46="Red - High Risk",BQ46="Yes"),"Yes","No"))</f>
        <v/>
      </c>
    </row>
    <row r="47" customFormat="false" ht="15" hidden="false" customHeight="false" outlineLevel="0" collapsed="false">
      <c r="A47" s="32" t="str">
        <f aca="false">IF(I47="","","STU"&amp;TEXT(ROW()-3,"000000"))</f>
        <v/>
      </c>
      <c r="B47" s="32"/>
      <c r="C47" s="32"/>
      <c r="D47" s="32"/>
      <c r="E47" s="32"/>
      <c r="F47" s="32"/>
      <c r="G47" s="32"/>
      <c r="H47" s="32"/>
      <c r="I47" s="32"/>
      <c r="J47" s="34"/>
      <c r="K47" s="32"/>
      <c r="L47" s="32"/>
      <c r="M47" s="32"/>
      <c r="N47" s="32"/>
      <c r="O47" s="32"/>
      <c r="P47" s="32"/>
      <c r="Q47" s="34"/>
      <c r="R47" s="34"/>
      <c r="S47" s="35" t="str">
        <f aca="false">IF(OR(Q47="",R47=""),"",ROUND(R47/((Q47/100)^2),1))</f>
        <v/>
      </c>
      <c r="T47" s="32" t="str">
        <f aca="false">IF(S47="","",IF(S47&lt;18.5,"Underweight",IF(S47&lt;25,"Normal",IF(S47&lt;30,"Overweight","Obese"))))</f>
        <v/>
      </c>
      <c r="U47" s="34"/>
      <c r="V47" s="34"/>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5" t="str">
        <f aca="false">IF(T47="","",IF(T47="Normal",100,IF(T47="Overweight",65,IF(T47="Obese",50,IF(AND(U47&lt;&gt;"",U47&lt;18.5),30,45)))))</f>
        <v/>
      </c>
      <c r="BG47" s="35" t="str">
        <f aca="false">IF(COUNTBLANK(W47:AC47)&gt;0,"",ROUND(AVERAGE(INDEX('SCORING MASTER'!$D$5:$D$7,MATCH(W47,'SCORING MASTER'!$C$5:$C$7,0)),INDEX('SCORING MASTER'!$D$9:$D$11,MATCH(X47,'SCORING MASTER'!$C$9:$C$11,0)),INDEX('SCORING MASTER'!$D$13:$D$15,MATCH(Y47,'SCORING MASTER'!$C$13:$C$15,0)),INDEX('SCORING MASTER'!$D$17:$D$19,MATCH(Z47,'SCORING MASTER'!$C$17:$C$19,0)),INDEX('SCORING MASTER'!$D$21:$D$23,MATCH(AA47,'SCORING MASTER'!$C$21:$C$23,0)),INDEX('SCORING MASTER'!$D$25:$D$27,MATCH(AB47,'SCORING MASTER'!$C$25:$C$27,0)),INDEX('SCORING MASTER'!$D$29:$D$31,MATCH(AC47,'SCORING MASTER'!$C$29:$C$31,0)))*20,0))</f>
        <v/>
      </c>
      <c r="BH47" s="35" t="str">
        <f aca="false">IF(COUNTBLANK(AD47:AI47)&gt;0,"",ROUND(AVERAGE(INDEX('SCORING MASTER'!$D$33:$D$35,MATCH(AD47,'SCORING MASTER'!$C$33:$C$35,0)),INDEX('SCORING MASTER'!$D$37:$D$39,MATCH(AE47,'SCORING MASTER'!$C$37:$C$39,0)),INDEX('SCORING MASTER'!$D$41:$D$43,MATCH(AF47,'SCORING MASTER'!$C$41:$C$43,0)),INDEX('SCORING MASTER'!$D$45:$D$47,MATCH(AG47,'SCORING MASTER'!$C$45:$C$47,0)),INDEX('SCORING MASTER'!$D$49:$D$52,MATCH(AH47,'SCORING MASTER'!$C$49:$C$52,0)),INDEX('SCORING MASTER'!$D$54:$D$57,MATCH(AI47,'SCORING MASTER'!$C$54:$C$57,0)))*20,0))</f>
        <v/>
      </c>
      <c r="BI47" s="35" t="str">
        <f aca="false">IF(COUNTBLANK(AJ47:AP47)&gt;0,"",ROUND(AVERAGE(INDEX('SCORING MASTER'!$D$59:$D$60,MATCH(AJ47,'SCORING MASTER'!$C$59:$C$60,0)),INDEX('SCORING MASTER'!$D$62:$D$63,MATCH(AK47,'SCORING MASTER'!$C$62:$C$63,0)),INDEX('SCORING MASTER'!$D$65:$D$66,MATCH(AL47,'SCORING MASTER'!$C$65:$C$66,0)),INDEX('SCORING MASTER'!$D$68:$D$69,MATCH(AM47,'SCORING MASTER'!$C$68:$C$69,0)),INDEX('SCORING MASTER'!$D$71:$D$72,MATCH(AN47,'SCORING MASTER'!$C$71:$C$72,0)),INDEX('SCORING MASTER'!$D$74:$D$75,MATCH(AO47,'SCORING MASTER'!$C$74:$C$75,0)),INDEX('SCORING MASTER'!$D$77:$D$78,MATCH(AP47,'SCORING MASTER'!$C$77:$C$78,0)))*20,0))</f>
        <v/>
      </c>
      <c r="BJ47" s="35" t="str">
        <f aca="false">IF(COUNTBLANK(AU47:AZ47)&gt;0,"",ROUND(AVERAGE(INDEX('SCORING MASTER'!$D$95:$D$96,MATCH(AU47,'SCORING MASTER'!$C$95:$C$96,0)),INDEX('SCORING MASTER'!$D$98:$D$99,MATCH(AV47,'SCORING MASTER'!$C$98:$C$99,0)),INDEX('SCORING MASTER'!$D$101:$D$102,MATCH(AW47,'SCORING MASTER'!$C$101:$C$102,0)),INDEX('SCORING MASTER'!$D$104:$D$105,MATCH(AX47,'SCORING MASTER'!$C$104:$C$105,0)),INDEX('SCORING MASTER'!$D$107:$D$108,MATCH(AY47,'SCORING MASTER'!$C$107:$C$108,0)),INDEX('SCORING MASTER'!$D$110:$D$111,MATCH(AZ47,'SCORING MASTER'!$C$110:$C$111,0)))*20,0))</f>
        <v/>
      </c>
      <c r="BK47" s="35" t="str">
        <f aca="false">IF(COUNTBLANK(AQ47:AT47)&gt;0,"",ROUND(AVERAGE(INDEX('SCORING MASTER'!$D$80:$D$82,MATCH(AQ47,'SCORING MASTER'!$C$80:$C$82,0)),INDEX('SCORING MASTER'!$D$84:$D$86,MATCH(AR47,'SCORING MASTER'!$C$84:$C$86,0)),INDEX('SCORING MASTER'!$D$88:$D$90,MATCH(AS47,'SCORING MASTER'!$C$88:$C$90,0)),INDEX('SCORING MASTER'!$D$92:$D$93,MATCH(AT47,'SCORING MASTER'!$C$92:$C$93,0)))*20,0))</f>
        <v/>
      </c>
      <c r="BL47" s="35" t="str">
        <f aca="false">IF(COUNTBLANK(BA47:BE47)&gt;0,"",ROUND(AVERAGE(INDEX('SCORING MASTER'!$D$113:$D$115,MATCH(BA47,'SCORING MASTER'!$C$113:$C$115,0)),INDEX('SCORING MASTER'!$D$117:$D$119,MATCH(BB47,'SCORING MASTER'!$C$117:$C$119,0)),INDEX('SCORING MASTER'!$D$121:$D$123,MATCH(BC47,'SCORING MASTER'!$C$121:$C$123,0)),INDEX('SCORING MASTER'!$D$125:$D$126,MATCH(BD47,'SCORING MASTER'!$C$125:$C$126,0)),INDEX('SCORING MASTER'!$D$128:$D$129,MATCH(BE47,'SCORING MASTER'!$C$128:$C$129,0)))*20,0))</f>
        <v/>
      </c>
      <c r="BM47" s="35" t="str">
        <f aca="false">IF(OR(BF47="",BG47="",BH47="",BI47="",BJ47="",BK47="",BL47=""),"",ROUND(BF47*0.25+BG47*0.2+BH47*0.15+BI47*0.15+BJ47*0.1+BK47*0.1+BL47*0.05,0))</f>
        <v/>
      </c>
      <c r="BN47" s="35" t="str">
        <f aca="false">IF(OR(BF47="",BG47=""),"",ROUND(BF47*0.5+BG47*0.5,0))</f>
        <v/>
      </c>
      <c r="BO47" s="35" t="str">
        <f aca="false">IF(BN47="","",ROUND(MIN(100,MAX(0,(100-BN47)+IF(AL47="Yes",15,0)+IF(AM47="Yes",15,0)+IF(AND(U47&lt;&gt;"",U47&lt;18.5),20,0))),0))</f>
        <v/>
      </c>
      <c r="BP47" s="32" t="str">
        <f aca="false">IF(BM47="","",IF(BM47&gt;=90,"Green - Healthy",IF(BM47&gt;=75,"Light Green - Mild Watch",IF(BM47&gt;=60,"Yellow - Mild Risk",IF(BM47&gt;=40,"Orange - Moderate Risk","Red - High Risk")))))</f>
        <v/>
      </c>
      <c r="BQ47" s="32" t="str">
        <f aca="false">IF(BM47="","",IF(OR(BM47&lt;60,BO47&gt;=60,AJ47="Yes"),"Yes","No"))</f>
        <v/>
      </c>
      <c r="BR47" s="32" t="str">
        <f aca="false">IF(BM47="","",IF(OR(BP47="Orange - Moderate Risk",BP47="Red - High Risk",BQ47="Yes"),"Yes","No"))</f>
        <v/>
      </c>
    </row>
    <row r="48" customFormat="false" ht="15" hidden="false" customHeight="false" outlineLevel="0" collapsed="false">
      <c r="A48" s="28" t="str">
        <f aca="false">IF(I48="","","STU"&amp;TEXT(ROW()-3,"000000"))</f>
        <v/>
      </c>
      <c r="B48" s="28"/>
      <c r="C48" s="28"/>
      <c r="D48" s="28"/>
      <c r="E48" s="28"/>
      <c r="F48" s="28"/>
      <c r="G48" s="28"/>
      <c r="H48" s="28"/>
      <c r="I48" s="28"/>
      <c r="J48" s="30"/>
      <c r="K48" s="28"/>
      <c r="L48" s="28"/>
      <c r="M48" s="28"/>
      <c r="N48" s="28"/>
      <c r="O48" s="28"/>
      <c r="P48" s="28"/>
      <c r="Q48" s="30"/>
      <c r="R48" s="30"/>
      <c r="S48" s="31" t="str">
        <f aca="false">IF(OR(Q48="",R48=""),"",ROUND(R48/((Q48/100)^2),1))</f>
        <v/>
      </c>
      <c r="T48" s="28" t="str">
        <f aca="false">IF(S48="","",IF(S48&lt;18.5,"Underweight",IF(S48&lt;25,"Normal",IF(S48&lt;30,"Overweight","Obese"))))</f>
        <v/>
      </c>
      <c r="U48" s="30"/>
      <c r="V48" s="30"/>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31" t="str">
        <f aca="false">IF(T48="","",IF(T48="Normal",100,IF(T48="Overweight",65,IF(T48="Obese",50,IF(AND(U48&lt;&gt;"",U48&lt;18.5),30,45)))))</f>
        <v/>
      </c>
      <c r="BG48" s="31" t="str">
        <f aca="false">IF(COUNTBLANK(W48:AC48)&gt;0,"",ROUND(AVERAGE(INDEX('SCORING MASTER'!$D$5:$D$7,MATCH(W48,'SCORING MASTER'!$C$5:$C$7,0)),INDEX('SCORING MASTER'!$D$9:$D$11,MATCH(X48,'SCORING MASTER'!$C$9:$C$11,0)),INDEX('SCORING MASTER'!$D$13:$D$15,MATCH(Y48,'SCORING MASTER'!$C$13:$C$15,0)),INDEX('SCORING MASTER'!$D$17:$D$19,MATCH(Z48,'SCORING MASTER'!$C$17:$C$19,0)),INDEX('SCORING MASTER'!$D$21:$D$23,MATCH(AA48,'SCORING MASTER'!$C$21:$C$23,0)),INDEX('SCORING MASTER'!$D$25:$D$27,MATCH(AB48,'SCORING MASTER'!$C$25:$C$27,0)),INDEX('SCORING MASTER'!$D$29:$D$31,MATCH(AC48,'SCORING MASTER'!$C$29:$C$31,0)))*20,0))</f>
        <v/>
      </c>
      <c r="BH48" s="31" t="str">
        <f aca="false">IF(COUNTBLANK(AD48:AI48)&gt;0,"",ROUND(AVERAGE(INDEX('SCORING MASTER'!$D$33:$D$35,MATCH(AD48,'SCORING MASTER'!$C$33:$C$35,0)),INDEX('SCORING MASTER'!$D$37:$D$39,MATCH(AE48,'SCORING MASTER'!$C$37:$C$39,0)),INDEX('SCORING MASTER'!$D$41:$D$43,MATCH(AF48,'SCORING MASTER'!$C$41:$C$43,0)),INDEX('SCORING MASTER'!$D$45:$D$47,MATCH(AG48,'SCORING MASTER'!$C$45:$C$47,0)),INDEX('SCORING MASTER'!$D$49:$D$52,MATCH(AH48,'SCORING MASTER'!$C$49:$C$52,0)),INDEX('SCORING MASTER'!$D$54:$D$57,MATCH(AI48,'SCORING MASTER'!$C$54:$C$57,0)))*20,0))</f>
        <v/>
      </c>
      <c r="BI48" s="31" t="str">
        <f aca="false">IF(COUNTBLANK(AJ48:AP48)&gt;0,"",ROUND(AVERAGE(INDEX('SCORING MASTER'!$D$59:$D$60,MATCH(AJ48,'SCORING MASTER'!$C$59:$C$60,0)),INDEX('SCORING MASTER'!$D$62:$D$63,MATCH(AK48,'SCORING MASTER'!$C$62:$C$63,0)),INDEX('SCORING MASTER'!$D$65:$D$66,MATCH(AL48,'SCORING MASTER'!$C$65:$C$66,0)),INDEX('SCORING MASTER'!$D$68:$D$69,MATCH(AM48,'SCORING MASTER'!$C$68:$C$69,0)),INDEX('SCORING MASTER'!$D$71:$D$72,MATCH(AN48,'SCORING MASTER'!$C$71:$C$72,0)),INDEX('SCORING MASTER'!$D$74:$D$75,MATCH(AO48,'SCORING MASTER'!$C$74:$C$75,0)),INDEX('SCORING MASTER'!$D$77:$D$78,MATCH(AP48,'SCORING MASTER'!$C$77:$C$78,0)))*20,0))</f>
        <v/>
      </c>
      <c r="BJ48" s="31" t="str">
        <f aca="false">IF(COUNTBLANK(AU48:AZ48)&gt;0,"",ROUND(AVERAGE(INDEX('SCORING MASTER'!$D$95:$D$96,MATCH(AU48,'SCORING MASTER'!$C$95:$C$96,0)),INDEX('SCORING MASTER'!$D$98:$D$99,MATCH(AV48,'SCORING MASTER'!$C$98:$C$99,0)),INDEX('SCORING MASTER'!$D$101:$D$102,MATCH(AW48,'SCORING MASTER'!$C$101:$C$102,0)),INDEX('SCORING MASTER'!$D$104:$D$105,MATCH(AX48,'SCORING MASTER'!$C$104:$C$105,0)),INDEX('SCORING MASTER'!$D$107:$D$108,MATCH(AY48,'SCORING MASTER'!$C$107:$C$108,0)),INDEX('SCORING MASTER'!$D$110:$D$111,MATCH(AZ48,'SCORING MASTER'!$C$110:$C$111,0)))*20,0))</f>
        <v/>
      </c>
      <c r="BK48" s="31" t="str">
        <f aca="false">IF(COUNTBLANK(AQ48:AT48)&gt;0,"",ROUND(AVERAGE(INDEX('SCORING MASTER'!$D$80:$D$82,MATCH(AQ48,'SCORING MASTER'!$C$80:$C$82,0)),INDEX('SCORING MASTER'!$D$84:$D$86,MATCH(AR48,'SCORING MASTER'!$C$84:$C$86,0)),INDEX('SCORING MASTER'!$D$88:$D$90,MATCH(AS48,'SCORING MASTER'!$C$88:$C$90,0)),INDEX('SCORING MASTER'!$D$92:$D$93,MATCH(AT48,'SCORING MASTER'!$C$92:$C$93,0)))*20,0))</f>
        <v/>
      </c>
      <c r="BL48" s="31" t="str">
        <f aca="false">IF(COUNTBLANK(BA48:BE48)&gt;0,"",ROUND(AVERAGE(INDEX('SCORING MASTER'!$D$113:$D$115,MATCH(BA48,'SCORING MASTER'!$C$113:$C$115,0)),INDEX('SCORING MASTER'!$D$117:$D$119,MATCH(BB48,'SCORING MASTER'!$C$117:$C$119,0)),INDEX('SCORING MASTER'!$D$121:$D$123,MATCH(BC48,'SCORING MASTER'!$C$121:$C$123,0)),INDEX('SCORING MASTER'!$D$125:$D$126,MATCH(BD48,'SCORING MASTER'!$C$125:$C$126,0)),INDEX('SCORING MASTER'!$D$128:$D$129,MATCH(BE48,'SCORING MASTER'!$C$128:$C$129,0)))*20,0))</f>
        <v/>
      </c>
      <c r="BM48" s="31" t="str">
        <f aca="false">IF(OR(BF48="",BG48="",BH48="",BI48="",BJ48="",BK48="",BL48=""),"",ROUND(BF48*0.25+BG48*0.2+BH48*0.15+BI48*0.15+BJ48*0.1+BK48*0.1+BL48*0.05,0))</f>
        <v/>
      </c>
      <c r="BN48" s="31" t="str">
        <f aca="false">IF(OR(BF48="",BG48=""),"",ROUND(BF48*0.5+BG48*0.5,0))</f>
        <v/>
      </c>
      <c r="BO48" s="31" t="str">
        <f aca="false">IF(BN48="","",ROUND(MIN(100,MAX(0,(100-BN48)+IF(AL48="Yes",15,0)+IF(AM48="Yes",15,0)+IF(AND(U48&lt;&gt;"",U48&lt;18.5),20,0))),0))</f>
        <v/>
      </c>
      <c r="BP48" s="28" t="str">
        <f aca="false">IF(BM48="","",IF(BM48&gt;=90,"Green - Healthy",IF(BM48&gt;=75,"Light Green - Mild Watch",IF(BM48&gt;=60,"Yellow - Mild Risk",IF(BM48&gt;=40,"Orange - Moderate Risk","Red - High Risk")))))</f>
        <v/>
      </c>
      <c r="BQ48" s="28" t="str">
        <f aca="false">IF(BM48="","",IF(OR(BM48&lt;60,BO48&gt;=60,AJ48="Yes"),"Yes","No"))</f>
        <v/>
      </c>
      <c r="BR48" s="28" t="str">
        <f aca="false">IF(BM48="","",IF(OR(BP48="Orange - Moderate Risk",BP48="Red - High Risk",BQ48="Yes"),"Yes","No"))</f>
        <v/>
      </c>
    </row>
    <row r="49" customFormat="false" ht="15" hidden="false" customHeight="false" outlineLevel="0" collapsed="false">
      <c r="A49" s="32" t="str">
        <f aca="false">IF(I49="","","STU"&amp;TEXT(ROW()-3,"000000"))</f>
        <v/>
      </c>
      <c r="B49" s="32"/>
      <c r="C49" s="32"/>
      <c r="D49" s="32"/>
      <c r="E49" s="32"/>
      <c r="F49" s="32"/>
      <c r="G49" s="32"/>
      <c r="H49" s="32"/>
      <c r="I49" s="32"/>
      <c r="J49" s="34"/>
      <c r="K49" s="32"/>
      <c r="L49" s="32"/>
      <c r="M49" s="32"/>
      <c r="N49" s="32"/>
      <c r="O49" s="32"/>
      <c r="P49" s="32"/>
      <c r="Q49" s="34"/>
      <c r="R49" s="34"/>
      <c r="S49" s="35" t="str">
        <f aca="false">IF(OR(Q49="",R49=""),"",ROUND(R49/((Q49/100)^2),1))</f>
        <v/>
      </c>
      <c r="T49" s="32" t="str">
        <f aca="false">IF(S49="","",IF(S49&lt;18.5,"Underweight",IF(S49&lt;25,"Normal",IF(S49&lt;30,"Overweight","Obese"))))</f>
        <v/>
      </c>
      <c r="U49" s="34"/>
      <c r="V49" s="34"/>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5" t="str">
        <f aca="false">IF(T49="","",IF(T49="Normal",100,IF(T49="Overweight",65,IF(T49="Obese",50,IF(AND(U49&lt;&gt;"",U49&lt;18.5),30,45)))))</f>
        <v/>
      </c>
      <c r="BG49" s="35" t="str">
        <f aca="false">IF(COUNTBLANK(W49:AC49)&gt;0,"",ROUND(AVERAGE(INDEX('SCORING MASTER'!$D$5:$D$7,MATCH(W49,'SCORING MASTER'!$C$5:$C$7,0)),INDEX('SCORING MASTER'!$D$9:$D$11,MATCH(X49,'SCORING MASTER'!$C$9:$C$11,0)),INDEX('SCORING MASTER'!$D$13:$D$15,MATCH(Y49,'SCORING MASTER'!$C$13:$C$15,0)),INDEX('SCORING MASTER'!$D$17:$D$19,MATCH(Z49,'SCORING MASTER'!$C$17:$C$19,0)),INDEX('SCORING MASTER'!$D$21:$D$23,MATCH(AA49,'SCORING MASTER'!$C$21:$C$23,0)),INDEX('SCORING MASTER'!$D$25:$D$27,MATCH(AB49,'SCORING MASTER'!$C$25:$C$27,0)),INDEX('SCORING MASTER'!$D$29:$D$31,MATCH(AC49,'SCORING MASTER'!$C$29:$C$31,0)))*20,0))</f>
        <v/>
      </c>
      <c r="BH49" s="35" t="str">
        <f aca="false">IF(COUNTBLANK(AD49:AI49)&gt;0,"",ROUND(AVERAGE(INDEX('SCORING MASTER'!$D$33:$D$35,MATCH(AD49,'SCORING MASTER'!$C$33:$C$35,0)),INDEX('SCORING MASTER'!$D$37:$D$39,MATCH(AE49,'SCORING MASTER'!$C$37:$C$39,0)),INDEX('SCORING MASTER'!$D$41:$D$43,MATCH(AF49,'SCORING MASTER'!$C$41:$C$43,0)),INDEX('SCORING MASTER'!$D$45:$D$47,MATCH(AG49,'SCORING MASTER'!$C$45:$C$47,0)),INDEX('SCORING MASTER'!$D$49:$D$52,MATCH(AH49,'SCORING MASTER'!$C$49:$C$52,0)),INDEX('SCORING MASTER'!$D$54:$D$57,MATCH(AI49,'SCORING MASTER'!$C$54:$C$57,0)))*20,0))</f>
        <v/>
      </c>
      <c r="BI49" s="35" t="str">
        <f aca="false">IF(COUNTBLANK(AJ49:AP49)&gt;0,"",ROUND(AVERAGE(INDEX('SCORING MASTER'!$D$59:$D$60,MATCH(AJ49,'SCORING MASTER'!$C$59:$C$60,0)),INDEX('SCORING MASTER'!$D$62:$D$63,MATCH(AK49,'SCORING MASTER'!$C$62:$C$63,0)),INDEX('SCORING MASTER'!$D$65:$D$66,MATCH(AL49,'SCORING MASTER'!$C$65:$C$66,0)),INDEX('SCORING MASTER'!$D$68:$D$69,MATCH(AM49,'SCORING MASTER'!$C$68:$C$69,0)),INDEX('SCORING MASTER'!$D$71:$D$72,MATCH(AN49,'SCORING MASTER'!$C$71:$C$72,0)),INDEX('SCORING MASTER'!$D$74:$D$75,MATCH(AO49,'SCORING MASTER'!$C$74:$C$75,0)),INDEX('SCORING MASTER'!$D$77:$D$78,MATCH(AP49,'SCORING MASTER'!$C$77:$C$78,0)))*20,0))</f>
        <v/>
      </c>
      <c r="BJ49" s="35" t="str">
        <f aca="false">IF(COUNTBLANK(AU49:AZ49)&gt;0,"",ROUND(AVERAGE(INDEX('SCORING MASTER'!$D$95:$D$96,MATCH(AU49,'SCORING MASTER'!$C$95:$C$96,0)),INDEX('SCORING MASTER'!$D$98:$D$99,MATCH(AV49,'SCORING MASTER'!$C$98:$C$99,0)),INDEX('SCORING MASTER'!$D$101:$D$102,MATCH(AW49,'SCORING MASTER'!$C$101:$C$102,0)),INDEX('SCORING MASTER'!$D$104:$D$105,MATCH(AX49,'SCORING MASTER'!$C$104:$C$105,0)),INDEX('SCORING MASTER'!$D$107:$D$108,MATCH(AY49,'SCORING MASTER'!$C$107:$C$108,0)),INDEX('SCORING MASTER'!$D$110:$D$111,MATCH(AZ49,'SCORING MASTER'!$C$110:$C$111,0)))*20,0))</f>
        <v/>
      </c>
      <c r="BK49" s="35" t="str">
        <f aca="false">IF(COUNTBLANK(AQ49:AT49)&gt;0,"",ROUND(AVERAGE(INDEX('SCORING MASTER'!$D$80:$D$82,MATCH(AQ49,'SCORING MASTER'!$C$80:$C$82,0)),INDEX('SCORING MASTER'!$D$84:$D$86,MATCH(AR49,'SCORING MASTER'!$C$84:$C$86,0)),INDEX('SCORING MASTER'!$D$88:$D$90,MATCH(AS49,'SCORING MASTER'!$C$88:$C$90,0)),INDEX('SCORING MASTER'!$D$92:$D$93,MATCH(AT49,'SCORING MASTER'!$C$92:$C$93,0)))*20,0))</f>
        <v/>
      </c>
      <c r="BL49" s="35" t="str">
        <f aca="false">IF(COUNTBLANK(BA49:BE49)&gt;0,"",ROUND(AVERAGE(INDEX('SCORING MASTER'!$D$113:$D$115,MATCH(BA49,'SCORING MASTER'!$C$113:$C$115,0)),INDEX('SCORING MASTER'!$D$117:$D$119,MATCH(BB49,'SCORING MASTER'!$C$117:$C$119,0)),INDEX('SCORING MASTER'!$D$121:$D$123,MATCH(BC49,'SCORING MASTER'!$C$121:$C$123,0)),INDEX('SCORING MASTER'!$D$125:$D$126,MATCH(BD49,'SCORING MASTER'!$C$125:$C$126,0)),INDEX('SCORING MASTER'!$D$128:$D$129,MATCH(BE49,'SCORING MASTER'!$C$128:$C$129,0)))*20,0))</f>
        <v/>
      </c>
      <c r="BM49" s="35" t="str">
        <f aca="false">IF(OR(BF49="",BG49="",BH49="",BI49="",BJ49="",BK49="",BL49=""),"",ROUND(BF49*0.25+BG49*0.2+BH49*0.15+BI49*0.15+BJ49*0.1+BK49*0.1+BL49*0.05,0))</f>
        <v/>
      </c>
      <c r="BN49" s="35" t="str">
        <f aca="false">IF(OR(BF49="",BG49=""),"",ROUND(BF49*0.5+BG49*0.5,0))</f>
        <v/>
      </c>
      <c r="BO49" s="35" t="str">
        <f aca="false">IF(BN49="","",ROUND(MIN(100,MAX(0,(100-BN49)+IF(AL49="Yes",15,0)+IF(AM49="Yes",15,0)+IF(AND(U49&lt;&gt;"",U49&lt;18.5),20,0))),0))</f>
        <v/>
      </c>
      <c r="BP49" s="32" t="str">
        <f aca="false">IF(BM49="","",IF(BM49&gt;=90,"Green - Healthy",IF(BM49&gt;=75,"Light Green - Mild Watch",IF(BM49&gt;=60,"Yellow - Mild Risk",IF(BM49&gt;=40,"Orange - Moderate Risk","Red - High Risk")))))</f>
        <v/>
      </c>
      <c r="BQ49" s="32" t="str">
        <f aca="false">IF(BM49="","",IF(OR(BM49&lt;60,BO49&gt;=60,AJ49="Yes"),"Yes","No"))</f>
        <v/>
      </c>
      <c r="BR49" s="32" t="str">
        <f aca="false">IF(BM49="","",IF(OR(BP49="Orange - Moderate Risk",BP49="Red - High Risk",BQ49="Yes"),"Yes","No"))</f>
        <v/>
      </c>
    </row>
    <row r="50" customFormat="false" ht="15" hidden="false" customHeight="false" outlineLevel="0" collapsed="false">
      <c r="A50" s="28" t="str">
        <f aca="false">IF(I50="","","STU"&amp;TEXT(ROW()-3,"000000"))</f>
        <v/>
      </c>
      <c r="B50" s="28"/>
      <c r="C50" s="28"/>
      <c r="D50" s="28"/>
      <c r="E50" s="28"/>
      <c r="F50" s="28"/>
      <c r="G50" s="28"/>
      <c r="H50" s="28"/>
      <c r="I50" s="28"/>
      <c r="J50" s="30"/>
      <c r="K50" s="28"/>
      <c r="L50" s="28"/>
      <c r="M50" s="28"/>
      <c r="N50" s="28"/>
      <c r="O50" s="28"/>
      <c r="P50" s="28"/>
      <c r="Q50" s="30"/>
      <c r="R50" s="30"/>
      <c r="S50" s="31" t="str">
        <f aca="false">IF(OR(Q50="",R50=""),"",ROUND(R50/((Q50/100)^2),1))</f>
        <v/>
      </c>
      <c r="T50" s="28" t="str">
        <f aca="false">IF(S50="","",IF(S50&lt;18.5,"Underweight",IF(S50&lt;25,"Normal",IF(S50&lt;30,"Overweight","Obese"))))</f>
        <v/>
      </c>
      <c r="U50" s="30"/>
      <c r="V50" s="30"/>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31" t="str">
        <f aca="false">IF(T50="","",IF(T50="Normal",100,IF(T50="Overweight",65,IF(T50="Obese",50,IF(AND(U50&lt;&gt;"",U50&lt;18.5),30,45)))))</f>
        <v/>
      </c>
      <c r="BG50" s="31" t="str">
        <f aca="false">IF(COUNTBLANK(W50:AC50)&gt;0,"",ROUND(AVERAGE(INDEX('SCORING MASTER'!$D$5:$D$7,MATCH(W50,'SCORING MASTER'!$C$5:$C$7,0)),INDEX('SCORING MASTER'!$D$9:$D$11,MATCH(X50,'SCORING MASTER'!$C$9:$C$11,0)),INDEX('SCORING MASTER'!$D$13:$D$15,MATCH(Y50,'SCORING MASTER'!$C$13:$C$15,0)),INDEX('SCORING MASTER'!$D$17:$D$19,MATCH(Z50,'SCORING MASTER'!$C$17:$C$19,0)),INDEX('SCORING MASTER'!$D$21:$D$23,MATCH(AA50,'SCORING MASTER'!$C$21:$C$23,0)),INDEX('SCORING MASTER'!$D$25:$D$27,MATCH(AB50,'SCORING MASTER'!$C$25:$C$27,0)),INDEX('SCORING MASTER'!$D$29:$D$31,MATCH(AC50,'SCORING MASTER'!$C$29:$C$31,0)))*20,0))</f>
        <v/>
      </c>
      <c r="BH50" s="31" t="str">
        <f aca="false">IF(COUNTBLANK(AD50:AI50)&gt;0,"",ROUND(AVERAGE(INDEX('SCORING MASTER'!$D$33:$D$35,MATCH(AD50,'SCORING MASTER'!$C$33:$C$35,0)),INDEX('SCORING MASTER'!$D$37:$D$39,MATCH(AE50,'SCORING MASTER'!$C$37:$C$39,0)),INDEX('SCORING MASTER'!$D$41:$D$43,MATCH(AF50,'SCORING MASTER'!$C$41:$C$43,0)),INDEX('SCORING MASTER'!$D$45:$D$47,MATCH(AG50,'SCORING MASTER'!$C$45:$C$47,0)),INDEX('SCORING MASTER'!$D$49:$D$52,MATCH(AH50,'SCORING MASTER'!$C$49:$C$52,0)),INDEX('SCORING MASTER'!$D$54:$D$57,MATCH(AI50,'SCORING MASTER'!$C$54:$C$57,0)))*20,0))</f>
        <v/>
      </c>
      <c r="BI50" s="31" t="str">
        <f aca="false">IF(COUNTBLANK(AJ50:AP50)&gt;0,"",ROUND(AVERAGE(INDEX('SCORING MASTER'!$D$59:$D$60,MATCH(AJ50,'SCORING MASTER'!$C$59:$C$60,0)),INDEX('SCORING MASTER'!$D$62:$D$63,MATCH(AK50,'SCORING MASTER'!$C$62:$C$63,0)),INDEX('SCORING MASTER'!$D$65:$D$66,MATCH(AL50,'SCORING MASTER'!$C$65:$C$66,0)),INDEX('SCORING MASTER'!$D$68:$D$69,MATCH(AM50,'SCORING MASTER'!$C$68:$C$69,0)),INDEX('SCORING MASTER'!$D$71:$D$72,MATCH(AN50,'SCORING MASTER'!$C$71:$C$72,0)),INDEX('SCORING MASTER'!$D$74:$D$75,MATCH(AO50,'SCORING MASTER'!$C$74:$C$75,0)),INDEX('SCORING MASTER'!$D$77:$D$78,MATCH(AP50,'SCORING MASTER'!$C$77:$C$78,0)))*20,0))</f>
        <v/>
      </c>
      <c r="BJ50" s="31" t="str">
        <f aca="false">IF(COUNTBLANK(AU50:AZ50)&gt;0,"",ROUND(AVERAGE(INDEX('SCORING MASTER'!$D$95:$D$96,MATCH(AU50,'SCORING MASTER'!$C$95:$C$96,0)),INDEX('SCORING MASTER'!$D$98:$D$99,MATCH(AV50,'SCORING MASTER'!$C$98:$C$99,0)),INDEX('SCORING MASTER'!$D$101:$D$102,MATCH(AW50,'SCORING MASTER'!$C$101:$C$102,0)),INDEX('SCORING MASTER'!$D$104:$D$105,MATCH(AX50,'SCORING MASTER'!$C$104:$C$105,0)),INDEX('SCORING MASTER'!$D$107:$D$108,MATCH(AY50,'SCORING MASTER'!$C$107:$C$108,0)),INDEX('SCORING MASTER'!$D$110:$D$111,MATCH(AZ50,'SCORING MASTER'!$C$110:$C$111,0)))*20,0))</f>
        <v/>
      </c>
      <c r="BK50" s="31" t="str">
        <f aca="false">IF(COUNTBLANK(AQ50:AT50)&gt;0,"",ROUND(AVERAGE(INDEX('SCORING MASTER'!$D$80:$D$82,MATCH(AQ50,'SCORING MASTER'!$C$80:$C$82,0)),INDEX('SCORING MASTER'!$D$84:$D$86,MATCH(AR50,'SCORING MASTER'!$C$84:$C$86,0)),INDEX('SCORING MASTER'!$D$88:$D$90,MATCH(AS50,'SCORING MASTER'!$C$88:$C$90,0)),INDEX('SCORING MASTER'!$D$92:$D$93,MATCH(AT50,'SCORING MASTER'!$C$92:$C$93,0)))*20,0))</f>
        <v/>
      </c>
      <c r="BL50" s="31" t="str">
        <f aca="false">IF(COUNTBLANK(BA50:BE50)&gt;0,"",ROUND(AVERAGE(INDEX('SCORING MASTER'!$D$113:$D$115,MATCH(BA50,'SCORING MASTER'!$C$113:$C$115,0)),INDEX('SCORING MASTER'!$D$117:$D$119,MATCH(BB50,'SCORING MASTER'!$C$117:$C$119,0)),INDEX('SCORING MASTER'!$D$121:$D$123,MATCH(BC50,'SCORING MASTER'!$C$121:$C$123,0)),INDEX('SCORING MASTER'!$D$125:$D$126,MATCH(BD50,'SCORING MASTER'!$C$125:$C$126,0)),INDEX('SCORING MASTER'!$D$128:$D$129,MATCH(BE50,'SCORING MASTER'!$C$128:$C$129,0)))*20,0))</f>
        <v/>
      </c>
      <c r="BM50" s="31" t="str">
        <f aca="false">IF(OR(BF50="",BG50="",BH50="",BI50="",BJ50="",BK50="",BL50=""),"",ROUND(BF50*0.25+BG50*0.2+BH50*0.15+BI50*0.15+BJ50*0.1+BK50*0.1+BL50*0.05,0))</f>
        <v/>
      </c>
      <c r="BN50" s="31" t="str">
        <f aca="false">IF(OR(BF50="",BG50=""),"",ROUND(BF50*0.5+BG50*0.5,0))</f>
        <v/>
      </c>
      <c r="BO50" s="31" t="str">
        <f aca="false">IF(BN50="","",ROUND(MIN(100,MAX(0,(100-BN50)+IF(AL50="Yes",15,0)+IF(AM50="Yes",15,0)+IF(AND(U50&lt;&gt;"",U50&lt;18.5),20,0))),0))</f>
        <v/>
      </c>
      <c r="BP50" s="28" t="str">
        <f aca="false">IF(BM50="","",IF(BM50&gt;=90,"Green - Healthy",IF(BM50&gt;=75,"Light Green - Mild Watch",IF(BM50&gt;=60,"Yellow - Mild Risk",IF(BM50&gt;=40,"Orange - Moderate Risk","Red - High Risk")))))</f>
        <v/>
      </c>
      <c r="BQ50" s="28" t="str">
        <f aca="false">IF(BM50="","",IF(OR(BM50&lt;60,BO50&gt;=60,AJ50="Yes"),"Yes","No"))</f>
        <v/>
      </c>
      <c r="BR50" s="28" t="str">
        <f aca="false">IF(BM50="","",IF(OR(BP50="Orange - Moderate Risk",BP50="Red - High Risk",BQ50="Yes"),"Yes","No"))</f>
        <v/>
      </c>
    </row>
    <row r="51" customFormat="false" ht="15" hidden="false" customHeight="false" outlineLevel="0" collapsed="false">
      <c r="A51" s="32" t="str">
        <f aca="false">IF(I51="","","STU"&amp;TEXT(ROW()-3,"000000"))</f>
        <v/>
      </c>
      <c r="B51" s="32"/>
      <c r="C51" s="32"/>
      <c r="D51" s="32"/>
      <c r="E51" s="32"/>
      <c r="F51" s="32"/>
      <c r="G51" s="32"/>
      <c r="H51" s="32"/>
      <c r="I51" s="32"/>
      <c r="J51" s="34"/>
      <c r="K51" s="32"/>
      <c r="L51" s="32"/>
      <c r="M51" s="32"/>
      <c r="N51" s="32"/>
      <c r="O51" s="32"/>
      <c r="P51" s="32"/>
      <c r="Q51" s="34"/>
      <c r="R51" s="34"/>
      <c r="S51" s="35" t="str">
        <f aca="false">IF(OR(Q51="",R51=""),"",ROUND(R51/((Q51/100)^2),1))</f>
        <v/>
      </c>
      <c r="T51" s="32" t="str">
        <f aca="false">IF(S51="","",IF(S51&lt;18.5,"Underweight",IF(S51&lt;25,"Normal",IF(S51&lt;30,"Overweight","Obese"))))</f>
        <v/>
      </c>
      <c r="U51" s="34"/>
      <c r="V51" s="34"/>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5" t="str">
        <f aca="false">IF(T51="","",IF(T51="Normal",100,IF(T51="Overweight",65,IF(T51="Obese",50,IF(AND(U51&lt;&gt;"",U51&lt;18.5),30,45)))))</f>
        <v/>
      </c>
      <c r="BG51" s="35" t="str">
        <f aca="false">IF(COUNTBLANK(W51:AC51)&gt;0,"",ROUND(AVERAGE(INDEX('SCORING MASTER'!$D$5:$D$7,MATCH(W51,'SCORING MASTER'!$C$5:$C$7,0)),INDEX('SCORING MASTER'!$D$9:$D$11,MATCH(X51,'SCORING MASTER'!$C$9:$C$11,0)),INDEX('SCORING MASTER'!$D$13:$D$15,MATCH(Y51,'SCORING MASTER'!$C$13:$C$15,0)),INDEX('SCORING MASTER'!$D$17:$D$19,MATCH(Z51,'SCORING MASTER'!$C$17:$C$19,0)),INDEX('SCORING MASTER'!$D$21:$D$23,MATCH(AA51,'SCORING MASTER'!$C$21:$C$23,0)),INDEX('SCORING MASTER'!$D$25:$D$27,MATCH(AB51,'SCORING MASTER'!$C$25:$C$27,0)),INDEX('SCORING MASTER'!$D$29:$D$31,MATCH(AC51,'SCORING MASTER'!$C$29:$C$31,0)))*20,0))</f>
        <v/>
      </c>
      <c r="BH51" s="35" t="str">
        <f aca="false">IF(COUNTBLANK(AD51:AI51)&gt;0,"",ROUND(AVERAGE(INDEX('SCORING MASTER'!$D$33:$D$35,MATCH(AD51,'SCORING MASTER'!$C$33:$C$35,0)),INDEX('SCORING MASTER'!$D$37:$D$39,MATCH(AE51,'SCORING MASTER'!$C$37:$C$39,0)),INDEX('SCORING MASTER'!$D$41:$D$43,MATCH(AF51,'SCORING MASTER'!$C$41:$C$43,0)),INDEX('SCORING MASTER'!$D$45:$D$47,MATCH(AG51,'SCORING MASTER'!$C$45:$C$47,0)),INDEX('SCORING MASTER'!$D$49:$D$52,MATCH(AH51,'SCORING MASTER'!$C$49:$C$52,0)),INDEX('SCORING MASTER'!$D$54:$D$57,MATCH(AI51,'SCORING MASTER'!$C$54:$C$57,0)))*20,0))</f>
        <v/>
      </c>
      <c r="BI51" s="35" t="str">
        <f aca="false">IF(COUNTBLANK(AJ51:AP51)&gt;0,"",ROUND(AVERAGE(INDEX('SCORING MASTER'!$D$59:$D$60,MATCH(AJ51,'SCORING MASTER'!$C$59:$C$60,0)),INDEX('SCORING MASTER'!$D$62:$D$63,MATCH(AK51,'SCORING MASTER'!$C$62:$C$63,0)),INDEX('SCORING MASTER'!$D$65:$D$66,MATCH(AL51,'SCORING MASTER'!$C$65:$C$66,0)),INDEX('SCORING MASTER'!$D$68:$D$69,MATCH(AM51,'SCORING MASTER'!$C$68:$C$69,0)),INDEX('SCORING MASTER'!$D$71:$D$72,MATCH(AN51,'SCORING MASTER'!$C$71:$C$72,0)),INDEX('SCORING MASTER'!$D$74:$D$75,MATCH(AO51,'SCORING MASTER'!$C$74:$C$75,0)),INDEX('SCORING MASTER'!$D$77:$D$78,MATCH(AP51,'SCORING MASTER'!$C$77:$C$78,0)))*20,0))</f>
        <v/>
      </c>
      <c r="BJ51" s="35" t="str">
        <f aca="false">IF(COUNTBLANK(AU51:AZ51)&gt;0,"",ROUND(AVERAGE(INDEX('SCORING MASTER'!$D$95:$D$96,MATCH(AU51,'SCORING MASTER'!$C$95:$C$96,0)),INDEX('SCORING MASTER'!$D$98:$D$99,MATCH(AV51,'SCORING MASTER'!$C$98:$C$99,0)),INDEX('SCORING MASTER'!$D$101:$D$102,MATCH(AW51,'SCORING MASTER'!$C$101:$C$102,0)),INDEX('SCORING MASTER'!$D$104:$D$105,MATCH(AX51,'SCORING MASTER'!$C$104:$C$105,0)),INDEX('SCORING MASTER'!$D$107:$D$108,MATCH(AY51,'SCORING MASTER'!$C$107:$C$108,0)),INDEX('SCORING MASTER'!$D$110:$D$111,MATCH(AZ51,'SCORING MASTER'!$C$110:$C$111,0)))*20,0))</f>
        <v/>
      </c>
      <c r="BK51" s="35" t="str">
        <f aca="false">IF(COUNTBLANK(AQ51:AT51)&gt;0,"",ROUND(AVERAGE(INDEX('SCORING MASTER'!$D$80:$D$82,MATCH(AQ51,'SCORING MASTER'!$C$80:$C$82,0)),INDEX('SCORING MASTER'!$D$84:$D$86,MATCH(AR51,'SCORING MASTER'!$C$84:$C$86,0)),INDEX('SCORING MASTER'!$D$88:$D$90,MATCH(AS51,'SCORING MASTER'!$C$88:$C$90,0)),INDEX('SCORING MASTER'!$D$92:$D$93,MATCH(AT51,'SCORING MASTER'!$C$92:$C$93,0)))*20,0))</f>
        <v/>
      </c>
      <c r="BL51" s="35" t="str">
        <f aca="false">IF(COUNTBLANK(BA51:BE51)&gt;0,"",ROUND(AVERAGE(INDEX('SCORING MASTER'!$D$113:$D$115,MATCH(BA51,'SCORING MASTER'!$C$113:$C$115,0)),INDEX('SCORING MASTER'!$D$117:$D$119,MATCH(BB51,'SCORING MASTER'!$C$117:$C$119,0)),INDEX('SCORING MASTER'!$D$121:$D$123,MATCH(BC51,'SCORING MASTER'!$C$121:$C$123,0)),INDEX('SCORING MASTER'!$D$125:$D$126,MATCH(BD51,'SCORING MASTER'!$C$125:$C$126,0)),INDEX('SCORING MASTER'!$D$128:$D$129,MATCH(BE51,'SCORING MASTER'!$C$128:$C$129,0)))*20,0))</f>
        <v/>
      </c>
      <c r="BM51" s="35" t="str">
        <f aca="false">IF(OR(BF51="",BG51="",BH51="",BI51="",BJ51="",BK51="",BL51=""),"",ROUND(BF51*0.25+BG51*0.2+BH51*0.15+BI51*0.15+BJ51*0.1+BK51*0.1+BL51*0.05,0))</f>
        <v/>
      </c>
      <c r="BN51" s="35" t="str">
        <f aca="false">IF(OR(BF51="",BG51=""),"",ROUND(BF51*0.5+BG51*0.5,0))</f>
        <v/>
      </c>
      <c r="BO51" s="35" t="str">
        <f aca="false">IF(BN51="","",ROUND(MIN(100,MAX(0,(100-BN51)+IF(AL51="Yes",15,0)+IF(AM51="Yes",15,0)+IF(AND(U51&lt;&gt;"",U51&lt;18.5),20,0))),0))</f>
        <v/>
      </c>
      <c r="BP51" s="32" t="str">
        <f aca="false">IF(BM51="","",IF(BM51&gt;=90,"Green - Healthy",IF(BM51&gt;=75,"Light Green - Mild Watch",IF(BM51&gt;=60,"Yellow - Mild Risk",IF(BM51&gt;=40,"Orange - Moderate Risk","Red - High Risk")))))</f>
        <v/>
      </c>
      <c r="BQ51" s="32" t="str">
        <f aca="false">IF(BM51="","",IF(OR(BM51&lt;60,BO51&gt;=60,AJ51="Yes"),"Yes","No"))</f>
        <v/>
      </c>
      <c r="BR51" s="32" t="str">
        <f aca="false">IF(BM51="","",IF(OR(BP51="Orange - Moderate Risk",BP51="Red - High Risk",BQ51="Yes"),"Yes","No"))</f>
        <v/>
      </c>
    </row>
    <row r="52" customFormat="false" ht="15" hidden="false" customHeight="false" outlineLevel="0" collapsed="false">
      <c r="A52" s="28" t="str">
        <f aca="false">IF(I52="","","STU"&amp;TEXT(ROW()-3,"000000"))</f>
        <v/>
      </c>
      <c r="B52" s="28"/>
      <c r="C52" s="28"/>
      <c r="D52" s="28"/>
      <c r="E52" s="28"/>
      <c r="F52" s="28"/>
      <c r="G52" s="28"/>
      <c r="H52" s="28"/>
      <c r="I52" s="28"/>
      <c r="J52" s="30"/>
      <c r="K52" s="28"/>
      <c r="L52" s="28"/>
      <c r="M52" s="28"/>
      <c r="N52" s="28"/>
      <c r="O52" s="28"/>
      <c r="P52" s="28"/>
      <c r="Q52" s="30"/>
      <c r="R52" s="30"/>
      <c r="S52" s="31" t="str">
        <f aca="false">IF(OR(Q52="",R52=""),"",ROUND(R52/((Q52/100)^2),1))</f>
        <v/>
      </c>
      <c r="T52" s="28" t="str">
        <f aca="false">IF(S52="","",IF(S52&lt;18.5,"Underweight",IF(S52&lt;25,"Normal",IF(S52&lt;30,"Overweight","Obese"))))</f>
        <v/>
      </c>
      <c r="U52" s="30"/>
      <c r="V52" s="30"/>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31" t="str">
        <f aca="false">IF(T52="","",IF(T52="Normal",100,IF(T52="Overweight",65,IF(T52="Obese",50,IF(AND(U52&lt;&gt;"",U52&lt;18.5),30,45)))))</f>
        <v/>
      </c>
      <c r="BG52" s="31" t="str">
        <f aca="false">IF(COUNTBLANK(W52:AC52)&gt;0,"",ROUND(AVERAGE(INDEX('SCORING MASTER'!$D$5:$D$7,MATCH(W52,'SCORING MASTER'!$C$5:$C$7,0)),INDEX('SCORING MASTER'!$D$9:$D$11,MATCH(X52,'SCORING MASTER'!$C$9:$C$11,0)),INDEX('SCORING MASTER'!$D$13:$D$15,MATCH(Y52,'SCORING MASTER'!$C$13:$C$15,0)),INDEX('SCORING MASTER'!$D$17:$D$19,MATCH(Z52,'SCORING MASTER'!$C$17:$C$19,0)),INDEX('SCORING MASTER'!$D$21:$D$23,MATCH(AA52,'SCORING MASTER'!$C$21:$C$23,0)),INDEX('SCORING MASTER'!$D$25:$D$27,MATCH(AB52,'SCORING MASTER'!$C$25:$C$27,0)),INDEX('SCORING MASTER'!$D$29:$D$31,MATCH(AC52,'SCORING MASTER'!$C$29:$C$31,0)))*20,0))</f>
        <v/>
      </c>
      <c r="BH52" s="31" t="str">
        <f aca="false">IF(COUNTBLANK(AD52:AI52)&gt;0,"",ROUND(AVERAGE(INDEX('SCORING MASTER'!$D$33:$D$35,MATCH(AD52,'SCORING MASTER'!$C$33:$C$35,0)),INDEX('SCORING MASTER'!$D$37:$D$39,MATCH(AE52,'SCORING MASTER'!$C$37:$C$39,0)),INDEX('SCORING MASTER'!$D$41:$D$43,MATCH(AF52,'SCORING MASTER'!$C$41:$C$43,0)),INDEX('SCORING MASTER'!$D$45:$D$47,MATCH(AG52,'SCORING MASTER'!$C$45:$C$47,0)),INDEX('SCORING MASTER'!$D$49:$D$52,MATCH(AH52,'SCORING MASTER'!$C$49:$C$52,0)),INDEX('SCORING MASTER'!$D$54:$D$57,MATCH(AI52,'SCORING MASTER'!$C$54:$C$57,0)))*20,0))</f>
        <v/>
      </c>
      <c r="BI52" s="31" t="str">
        <f aca="false">IF(COUNTBLANK(AJ52:AP52)&gt;0,"",ROUND(AVERAGE(INDEX('SCORING MASTER'!$D$59:$D$60,MATCH(AJ52,'SCORING MASTER'!$C$59:$C$60,0)),INDEX('SCORING MASTER'!$D$62:$D$63,MATCH(AK52,'SCORING MASTER'!$C$62:$C$63,0)),INDEX('SCORING MASTER'!$D$65:$D$66,MATCH(AL52,'SCORING MASTER'!$C$65:$C$66,0)),INDEX('SCORING MASTER'!$D$68:$D$69,MATCH(AM52,'SCORING MASTER'!$C$68:$C$69,0)),INDEX('SCORING MASTER'!$D$71:$D$72,MATCH(AN52,'SCORING MASTER'!$C$71:$C$72,0)),INDEX('SCORING MASTER'!$D$74:$D$75,MATCH(AO52,'SCORING MASTER'!$C$74:$C$75,0)),INDEX('SCORING MASTER'!$D$77:$D$78,MATCH(AP52,'SCORING MASTER'!$C$77:$C$78,0)))*20,0))</f>
        <v/>
      </c>
      <c r="BJ52" s="31" t="str">
        <f aca="false">IF(COUNTBLANK(AU52:AZ52)&gt;0,"",ROUND(AVERAGE(INDEX('SCORING MASTER'!$D$95:$D$96,MATCH(AU52,'SCORING MASTER'!$C$95:$C$96,0)),INDEX('SCORING MASTER'!$D$98:$D$99,MATCH(AV52,'SCORING MASTER'!$C$98:$C$99,0)),INDEX('SCORING MASTER'!$D$101:$D$102,MATCH(AW52,'SCORING MASTER'!$C$101:$C$102,0)),INDEX('SCORING MASTER'!$D$104:$D$105,MATCH(AX52,'SCORING MASTER'!$C$104:$C$105,0)),INDEX('SCORING MASTER'!$D$107:$D$108,MATCH(AY52,'SCORING MASTER'!$C$107:$C$108,0)),INDEX('SCORING MASTER'!$D$110:$D$111,MATCH(AZ52,'SCORING MASTER'!$C$110:$C$111,0)))*20,0))</f>
        <v/>
      </c>
      <c r="BK52" s="31" t="str">
        <f aca="false">IF(COUNTBLANK(AQ52:AT52)&gt;0,"",ROUND(AVERAGE(INDEX('SCORING MASTER'!$D$80:$D$82,MATCH(AQ52,'SCORING MASTER'!$C$80:$C$82,0)),INDEX('SCORING MASTER'!$D$84:$D$86,MATCH(AR52,'SCORING MASTER'!$C$84:$C$86,0)),INDEX('SCORING MASTER'!$D$88:$D$90,MATCH(AS52,'SCORING MASTER'!$C$88:$C$90,0)),INDEX('SCORING MASTER'!$D$92:$D$93,MATCH(AT52,'SCORING MASTER'!$C$92:$C$93,0)))*20,0))</f>
        <v/>
      </c>
      <c r="BL52" s="31" t="str">
        <f aca="false">IF(COUNTBLANK(BA52:BE52)&gt;0,"",ROUND(AVERAGE(INDEX('SCORING MASTER'!$D$113:$D$115,MATCH(BA52,'SCORING MASTER'!$C$113:$C$115,0)),INDEX('SCORING MASTER'!$D$117:$D$119,MATCH(BB52,'SCORING MASTER'!$C$117:$C$119,0)),INDEX('SCORING MASTER'!$D$121:$D$123,MATCH(BC52,'SCORING MASTER'!$C$121:$C$123,0)),INDEX('SCORING MASTER'!$D$125:$D$126,MATCH(BD52,'SCORING MASTER'!$C$125:$C$126,0)),INDEX('SCORING MASTER'!$D$128:$D$129,MATCH(BE52,'SCORING MASTER'!$C$128:$C$129,0)))*20,0))</f>
        <v/>
      </c>
      <c r="BM52" s="31" t="str">
        <f aca="false">IF(OR(BF52="",BG52="",BH52="",BI52="",BJ52="",BK52="",BL52=""),"",ROUND(BF52*0.25+BG52*0.2+BH52*0.15+BI52*0.15+BJ52*0.1+BK52*0.1+BL52*0.05,0))</f>
        <v/>
      </c>
      <c r="BN52" s="31" t="str">
        <f aca="false">IF(OR(BF52="",BG52=""),"",ROUND(BF52*0.5+BG52*0.5,0))</f>
        <v/>
      </c>
      <c r="BO52" s="31" t="str">
        <f aca="false">IF(BN52="","",ROUND(MIN(100,MAX(0,(100-BN52)+IF(AL52="Yes",15,0)+IF(AM52="Yes",15,0)+IF(AND(U52&lt;&gt;"",U52&lt;18.5),20,0))),0))</f>
        <v/>
      </c>
      <c r="BP52" s="28" t="str">
        <f aca="false">IF(BM52="","",IF(BM52&gt;=90,"Green - Healthy",IF(BM52&gt;=75,"Light Green - Mild Watch",IF(BM52&gt;=60,"Yellow - Mild Risk",IF(BM52&gt;=40,"Orange - Moderate Risk","Red - High Risk")))))</f>
        <v/>
      </c>
      <c r="BQ52" s="28" t="str">
        <f aca="false">IF(BM52="","",IF(OR(BM52&lt;60,BO52&gt;=60,AJ52="Yes"),"Yes","No"))</f>
        <v/>
      </c>
      <c r="BR52" s="28" t="str">
        <f aca="false">IF(BM52="","",IF(OR(BP52="Orange - Moderate Risk",BP52="Red - High Risk",BQ52="Yes"),"Yes","No"))</f>
        <v/>
      </c>
    </row>
    <row r="53" customFormat="false" ht="15" hidden="false" customHeight="false" outlineLevel="0" collapsed="false">
      <c r="A53" s="32" t="str">
        <f aca="false">IF(I53="","","STU"&amp;TEXT(ROW()-3,"000000"))</f>
        <v/>
      </c>
      <c r="B53" s="32"/>
      <c r="C53" s="32"/>
      <c r="D53" s="32"/>
      <c r="E53" s="32"/>
      <c r="F53" s="32"/>
      <c r="G53" s="32"/>
      <c r="H53" s="32"/>
      <c r="I53" s="32"/>
      <c r="J53" s="34"/>
      <c r="K53" s="32"/>
      <c r="L53" s="32"/>
      <c r="M53" s="32"/>
      <c r="N53" s="32"/>
      <c r="O53" s="32"/>
      <c r="P53" s="32"/>
      <c r="Q53" s="34"/>
      <c r="R53" s="34"/>
      <c r="S53" s="35" t="str">
        <f aca="false">IF(OR(Q53="",R53=""),"",ROUND(R53/((Q53/100)^2),1))</f>
        <v/>
      </c>
      <c r="T53" s="32" t="str">
        <f aca="false">IF(S53="","",IF(S53&lt;18.5,"Underweight",IF(S53&lt;25,"Normal",IF(S53&lt;30,"Overweight","Obese"))))</f>
        <v/>
      </c>
      <c r="U53" s="34"/>
      <c r="V53" s="34"/>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5" t="str">
        <f aca="false">IF(T53="","",IF(T53="Normal",100,IF(T53="Overweight",65,IF(T53="Obese",50,IF(AND(U53&lt;&gt;"",U53&lt;18.5),30,45)))))</f>
        <v/>
      </c>
      <c r="BG53" s="35" t="str">
        <f aca="false">IF(COUNTBLANK(W53:AC53)&gt;0,"",ROUND(AVERAGE(INDEX('SCORING MASTER'!$D$5:$D$7,MATCH(W53,'SCORING MASTER'!$C$5:$C$7,0)),INDEX('SCORING MASTER'!$D$9:$D$11,MATCH(X53,'SCORING MASTER'!$C$9:$C$11,0)),INDEX('SCORING MASTER'!$D$13:$D$15,MATCH(Y53,'SCORING MASTER'!$C$13:$C$15,0)),INDEX('SCORING MASTER'!$D$17:$D$19,MATCH(Z53,'SCORING MASTER'!$C$17:$C$19,0)),INDEX('SCORING MASTER'!$D$21:$D$23,MATCH(AA53,'SCORING MASTER'!$C$21:$C$23,0)),INDEX('SCORING MASTER'!$D$25:$D$27,MATCH(AB53,'SCORING MASTER'!$C$25:$C$27,0)),INDEX('SCORING MASTER'!$D$29:$D$31,MATCH(AC53,'SCORING MASTER'!$C$29:$C$31,0)))*20,0))</f>
        <v/>
      </c>
      <c r="BH53" s="35" t="str">
        <f aca="false">IF(COUNTBLANK(AD53:AI53)&gt;0,"",ROUND(AVERAGE(INDEX('SCORING MASTER'!$D$33:$D$35,MATCH(AD53,'SCORING MASTER'!$C$33:$C$35,0)),INDEX('SCORING MASTER'!$D$37:$D$39,MATCH(AE53,'SCORING MASTER'!$C$37:$C$39,0)),INDEX('SCORING MASTER'!$D$41:$D$43,MATCH(AF53,'SCORING MASTER'!$C$41:$C$43,0)),INDEX('SCORING MASTER'!$D$45:$D$47,MATCH(AG53,'SCORING MASTER'!$C$45:$C$47,0)),INDEX('SCORING MASTER'!$D$49:$D$52,MATCH(AH53,'SCORING MASTER'!$C$49:$C$52,0)),INDEX('SCORING MASTER'!$D$54:$D$57,MATCH(AI53,'SCORING MASTER'!$C$54:$C$57,0)))*20,0))</f>
        <v/>
      </c>
      <c r="BI53" s="35" t="str">
        <f aca="false">IF(COUNTBLANK(AJ53:AP53)&gt;0,"",ROUND(AVERAGE(INDEX('SCORING MASTER'!$D$59:$D$60,MATCH(AJ53,'SCORING MASTER'!$C$59:$C$60,0)),INDEX('SCORING MASTER'!$D$62:$D$63,MATCH(AK53,'SCORING MASTER'!$C$62:$C$63,0)),INDEX('SCORING MASTER'!$D$65:$D$66,MATCH(AL53,'SCORING MASTER'!$C$65:$C$66,0)),INDEX('SCORING MASTER'!$D$68:$D$69,MATCH(AM53,'SCORING MASTER'!$C$68:$C$69,0)),INDEX('SCORING MASTER'!$D$71:$D$72,MATCH(AN53,'SCORING MASTER'!$C$71:$C$72,0)),INDEX('SCORING MASTER'!$D$74:$D$75,MATCH(AO53,'SCORING MASTER'!$C$74:$C$75,0)),INDEX('SCORING MASTER'!$D$77:$D$78,MATCH(AP53,'SCORING MASTER'!$C$77:$C$78,0)))*20,0))</f>
        <v/>
      </c>
      <c r="BJ53" s="35" t="str">
        <f aca="false">IF(COUNTBLANK(AU53:AZ53)&gt;0,"",ROUND(AVERAGE(INDEX('SCORING MASTER'!$D$95:$D$96,MATCH(AU53,'SCORING MASTER'!$C$95:$C$96,0)),INDEX('SCORING MASTER'!$D$98:$D$99,MATCH(AV53,'SCORING MASTER'!$C$98:$C$99,0)),INDEX('SCORING MASTER'!$D$101:$D$102,MATCH(AW53,'SCORING MASTER'!$C$101:$C$102,0)),INDEX('SCORING MASTER'!$D$104:$D$105,MATCH(AX53,'SCORING MASTER'!$C$104:$C$105,0)),INDEX('SCORING MASTER'!$D$107:$D$108,MATCH(AY53,'SCORING MASTER'!$C$107:$C$108,0)),INDEX('SCORING MASTER'!$D$110:$D$111,MATCH(AZ53,'SCORING MASTER'!$C$110:$C$111,0)))*20,0))</f>
        <v/>
      </c>
      <c r="BK53" s="35" t="str">
        <f aca="false">IF(COUNTBLANK(AQ53:AT53)&gt;0,"",ROUND(AVERAGE(INDEX('SCORING MASTER'!$D$80:$D$82,MATCH(AQ53,'SCORING MASTER'!$C$80:$C$82,0)),INDEX('SCORING MASTER'!$D$84:$D$86,MATCH(AR53,'SCORING MASTER'!$C$84:$C$86,0)),INDEX('SCORING MASTER'!$D$88:$D$90,MATCH(AS53,'SCORING MASTER'!$C$88:$C$90,0)),INDEX('SCORING MASTER'!$D$92:$D$93,MATCH(AT53,'SCORING MASTER'!$C$92:$C$93,0)))*20,0))</f>
        <v/>
      </c>
      <c r="BL53" s="35" t="str">
        <f aca="false">IF(COUNTBLANK(BA53:BE53)&gt;0,"",ROUND(AVERAGE(INDEX('SCORING MASTER'!$D$113:$D$115,MATCH(BA53,'SCORING MASTER'!$C$113:$C$115,0)),INDEX('SCORING MASTER'!$D$117:$D$119,MATCH(BB53,'SCORING MASTER'!$C$117:$C$119,0)),INDEX('SCORING MASTER'!$D$121:$D$123,MATCH(BC53,'SCORING MASTER'!$C$121:$C$123,0)),INDEX('SCORING MASTER'!$D$125:$D$126,MATCH(BD53,'SCORING MASTER'!$C$125:$C$126,0)),INDEX('SCORING MASTER'!$D$128:$D$129,MATCH(BE53,'SCORING MASTER'!$C$128:$C$129,0)))*20,0))</f>
        <v/>
      </c>
      <c r="BM53" s="35" t="str">
        <f aca="false">IF(OR(BF53="",BG53="",BH53="",BI53="",BJ53="",BK53="",BL53=""),"",ROUND(BF53*0.25+BG53*0.2+BH53*0.15+BI53*0.15+BJ53*0.1+BK53*0.1+BL53*0.05,0))</f>
        <v/>
      </c>
      <c r="BN53" s="35" t="str">
        <f aca="false">IF(OR(BF53="",BG53=""),"",ROUND(BF53*0.5+BG53*0.5,0))</f>
        <v/>
      </c>
      <c r="BO53" s="35" t="str">
        <f aca="false">IF(BN53="","",ROUND(MIN(100,MAX(0,(100-BN53)+IF(AL53="Yes",15,0)+IF(AM53="Yes",15,0)+IF(AND(U53&lt;&gt;"",U53&lt;18.5),20,0))),0))</f>
        <v/>
      </c>
      <c r="BP53" s="32" t="str">
        <f aca="false">IF(BM53="","",IF(BM53&gt;=90,"Green - Healthy",IF(BM53&gt;=75,"Light Green - Mild Watch",IF(BM53&gt;=60,"Yellow - Mild Risk",IF(BM53&gt;=40,"Orange - Moderate Risk","Red - High Risk")))))</f>
        <v/>
      </c>
      <c r="BQ53" s="32" t="str">
        <f aca="false">IF(BM53="","",IF(OR(BM53&lt;60,BO53&gt;=60,AJ53="Yes"),"Yes","No"))</f>
        <v/>
      </c>
      <c r="BR53" s="32" t="str">
        <f aca="false">IF(BM53="","",IF(OR(BP53="Orange - Moderate Risk",BP53="Red - High Risk",BQ53="Yes"),"Yes","No"))</f>
        <v/>
      </c>
    </row>
    <row r="54" customFormat="false" ht="15" hidden="false" customHeight="false" outlineLevel="0" collapsed="false">
      <c r="A54" s="28" t="str">
        <f aca="false">IF(I54="","","STU"&amp;TEXT(ROW()-3,"000000"))</f>
        <v/>
      </c>
      <c r="B54" s="28"/>
      <c r="C54" s="28"/>
      <c r="D54" s="28"/>
      <c r="E54" s="28"/>
      <c r="F54" s="28"/>
      <c r="G54" s="28"/>
      <c r="H54" s="28"/>
      <c r="I54" s="28"/>
      <c r="J54" s="30"/>
      <c r="K54" s="28"/>
      <c r="L54" s="28"/>
      <c r="M54" s="28"/>
      <c r="N54" s="28"/>
      <c r="O54" s="28"/>
      <c r="P54" s="28"/>
      <c r="Q54" s="30"/>
      <c r="R54" s="30"/>
      <c r="S54" s="31" t="str">
        <f aca="false">IF(OR(Q54="",R54=""),"",ROUND(R54/((Q54/100)^2),1))</f>
        <v/>
      </c>
      <c r="T54" s="28" t="str">
        <f aca="false">IF(S54="","",IF(S54&lt;18.5,"Underweight",IF(S54&lt;25,"Normal",IF(S54&lt;30,"Overweight","Obese"))))</f>
        <v/>
      </c>
      <c r="U54" s="30"/>
      <c r="V54" s="30"/>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31" t="str">
        <f aca="false">IF(T54="","",IF(T54="Normal",100,IF(T54="Overweight",65,IF(T54="Obese",50,IF(AND(U54&lt;&gt;"",U54&lt;18.5),30,45)))))</f>
        <v/>
      </c>
      <c r="BG54" s="31" t="str">
        <f aca="false">IF(COUNTBLANK(W54:AC54)&gt;0,"",ROUND(AVERAGE(INDEX('SCORING MASTER'!$D$5:$D$7,MATCH(W54,'SCORING MASTER'!$C$5:$C$7,0)),INDEX('SCORING MASTER'!$D$9:$D$11,MATCH(X54,'SCORING MASTER'!$C$9:$C$11,0)),INDEX('SCORING MASTER'!$D$13:$D$15,MATCH(Y54,'SCORING MASTER'!$C$13:$C$15,0)),INDEX('SCORING MASTER'!$D$17:$D$19,MATCH(Z54,'SCORING MASTER'!$C$17:$C$19,0)),INDEX('SCORING MASTER'!$D$21:$D$23,MATCH(AA54,'SCORING MASTER'!$C$21:$C$23,0)),INDEX('SCORING MASTER'!$D$25:$D$27,MATCH(AB54,'SCORING MASTER'!$C$25:$C$27,0)),INDEX('SCORING MASTER'!$D$29:$D$31,MATCH(AC54,'SCORING MASTER'!$C$29:$C$31,0)))*20,0))</f>
        <v/>
      </c>
      <c r="BH54" s="31" t="str">
        <f aca="false">IF(COUNTBLANK(AD54:AI54)&gt;0,"",ROUND(AVERAGE(INDEX('SCORING MASTER'!$D$33:$D$35,MATCH(AD54,'SCORING MASTER'!$C$33:$C$35,0)),INDEX('SCORING MASTER'!$D$37:$D$39,MATCH(AE54,'SCORING MASTER'!$C$37:$C$39,0)),INDEX('SCORING MASTER'!$D$41:$D$43,MATCH(AF54,'SCORING MASTER'!$C$41:$C$43,0)),INDEX('SCORING MASTER'!$D$45:$D$47,MATCH(AG54,'SCORING MASTER'!$C$45:$C$47,0)),INDEX('SCORING MASTER'!$D$49:$D$52,MATCH(AH54,'SCORING MASTER'!$C$49:$C$52,0)),INDEX('SCORING MASTER'!$D$54:$D$57,MATCH(AI54,'SCORING MASTER'!$C$54:$C$57,0)))*20,0))</f>
        <v/>
      </c>
      <c r="BI54" s="31" t="str">
        <f aca="false">IF(COUNTBLANK(AJ54:AP54)&gt;0,"",ROUND(AVERAGE(INDEX('SCORING MASTER'!$D$59:$D$60,MATCH(AJ54,'SCORING MASTER'!$C$59:$C$60,0)),INDEX('SCORING MASTER'!$D$62:$D$63,MATCH(AK54,'SCORING MASTER'!$C$62:$C$63,0)),INDEX('SCORING MASTER'!$D$65:$D$66,MATCH(AL54,'SCORING MASTER'!$C$65:$C$66,0)),INDEX('SCORING MASTER'!$D$68:$D$69,MATCH(AM54,'SCORING MASTER'!$C$68:$C$69,0)),INDEX('SCORING MASTER'!$D$71:$D$72,MATCH(AN54,'SCORING MASTER'!$C$71:$C$72,0)),INDEX('SCORING MASTER'!$D$74:$D$75,MATCH(AO54,'SCORING MASTER'!$C$74:$C$75,0)),INDEX('SCORING MASTER'!$D$77:$D$78,MATCH(AP54,'SCORING MASTER'!$C$77:$C$78,0)))*20,0))</f>
        <v/>
      </c>
      <c r="BJ54" s="31" t="str">
        <f aca="false">IF(COUNTBLANK(AU54:AZ54)&gt;0,"",ROUND(AVERAGE(INDEX('SCORING MASTER'!$D$95:$D$96,MATCH(AU54,'SCORING MASTER'!$C$95:$C$96,0)),INDEX('SCORING MASTER'!$D$98:$D$99,MATCH(AV54,'SCORING MASTER'!$C$98:$C$99,0)),INDEX('SCORING MASTER'!$D$101:$D$102,MATCH(AW54,'SCORING MASTER'!$C$101:$C$102,0)),INDEX('SCORING MASTER'!$D$104:$D$105,MATCH(AX54,'SCORING MASTER'!$C$104:$C$105,0)),INDEX('SCORING MASTER'!$D$107:$D$108,MATCH(AY54,'SCORING MASTER'!$C$107:$C$108,0)),INDEX('SCORING MASTER'!$D$110:$D$111,MATCH(AZ54,'SCORING MASTER'!$C$110:$C$111,0)))*20,0))</f>
        <v/>
      </c>
      <c r="BK54" s="31" t="str">
        <f aca="false">IF(COUNTBLANK(AQ54:AT54)&gt;0,"",ROUND(AVERAGE(INDEX('SCORING MASTER'!$D$80:$D$82,MATCH(AQ54,'SCORING MASTER'!$C$80:$C$82,0)),INDEX('SCORING MASTER'!$D$84:$D$86,MATCH(AR54,'SCORING MASTER'!$C$84:$C$86,0)),INDEX('SCORING MASTER'!$D$88:$D$90,MATCH(AS54,'SCORING MASTER'!$C$88:$C$90,0)),INDEX('SCORING MASTER'!$D$92:$D$93,MATCH(AT54,'SCORING MASTER'!$C$92:$C$93,0)))*20,0))</f>
        <v/>
      </c>
      <c r="BL54" s="31" t="str">
        <f aca="false">IF(COUNTBLANK(BA54:BE54)&gt;0,"",ROUND(AVERAGE(INDEX('SCORING MASTER'!$D$113:$D$115,MATCH(BA54,'SCORING MASTER'!$C$113:$C$115,0)),INDEX('SCORING MASTER'!$D$117:$D$119,MATCH(BB54,'SCORING MASTER'!$C$117:$C$119,0)),INDEX('SCORING MASTER'!$D$121:$D$123,MATCH(BC54,'SCORING MASTER'!$C$121:$C$123,0)),INDEX('SCORING MASTER'!$D$125:$D$126,MATCH(BD54,'SCORING MASTER'!$C$125:$C$126,0)),INDEX('SCORING MASTER'!$D$128:$D$129,MATCH(BE54,'SCORING MASTER'!$C$128:$C$129,0)))*20,0))</f>
        <v/>
      </c>
      <c r="BM54" s="31" t="str">
        <f aca="false">IF(OR(BF54="",BG54="",BH54="",BI54="",BJ54="",BK54="",BL54=""),"",ROUND(BF54*0.25+BG54*0.2+BH54*0.15+BI54*0.15+BJ54*0.1+BK54*0.1+BL54*0.05,0))</f>
        <v/>
      </c>
      <c r="BN54" s="31" t="str">
        <f aca="false">IF(OR(BF54="",BG54=""),"",ROUND(BF54*0.5+BG54*0.5,0))</f>
        <v/>
      </c>
      <c r="BO54" s="31" t="str">
        <f aca="false">IF(BN54="","",ROUND(MIN(100,MAX(0,(100-BN54)+IF(AL54="Yes",15,0)+IF(AM54="Yes",15,0)+IF(AND(U54&lt;&gt;"",U54&lt;18.5),20,0))),0))</f>
        <v/>
      </c>
      <c r="BP54" s="28" t="str">
        <f aca="false">IF(BM54="","",IF(BM54&gt;=90,"Green - Healthy",IF(BM54&gt;=75,"Light Green - Mild Watch",IF(BM54&gt;=60,"Yellow - Mild Risk",IF(BM54&gt;=40,"Orange - Moderate Risk","Red - High Risk")))))</f>
        <v/>
      </c>
      <c r="BQ54" s="28" t="str">
        <f aca="false">IF(BM54="","",IF(OR(BM54&lt;60,BO54&gt;=60,AJ54="Yes"),"Yes","No"))</f>
        <v/>
      </c>
      <c r="BR54" s="28" t="str">
        <f aca="false">IF(BM54="","",IF(OR(BP54="Orange - Moderate Risk",BP54="Red - High Risk",BQ54="Yes"),"Yes","No"))</f>
        <v/>
      </c>
    </row>
    <row r="55" customFormat="false" ht="15" hidden="false" customHeight="false" outlineLevel="0" collapsed="false">
      <c r="A55" s="32" t="str">
        <f aca="false">IF(I55="","","STU"&amp;TEXT(ROW()-3,"000000"))</f>
        <v/>
      </c>
      <c r="B55" s="32"/>
      <c r="C55" s="32"/>
      <c r="D55" s="32"/>
      <c r="E55" s="32"/>
      <c r="F55" s="32"/>
      <c r="G55" s="32"/>
      <c r="H55" s="32"/>
      <c r="I55" s="32"/>
      <c r="J55" s="34"/>
      <c r="K55" s="32"/>
      <c r="L55" s="32"/>
      <c r="M55" s="32"/>
      <c r="N55" s="32"/>
      <c r="O55" s="32"/>
      <c r="P55" s="32"/>
      <c r="Q55" s="34"/>
      <c r="R55" s="34"/>
      <c r="S55" s="35" t="str">
        <f aca="false">IF(OR(Q55="",R55=""),"",ROUND(R55/((Q55/100)^2),1))</f>
        <v/>
      </c>
      <c r="T55" s="32" t="str">
        <f aca="false">IF(S55="","",IF(S55&lt;18.5,"Underweight",IF(S55&lt;25,"Normal",IF(S55&lt;30,"Overweight","Obese"))))</f>
        <v/>
      </c>
      <c r="U55" s="34"/>
      <c r="V55" s="34"/>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5" t="str">
        <f aca="false">IF(T55="","",IF(T55="Normal",100,IF(T55="Overweight",65,IF(T55="Obese",50,IF(AND(U55&lt;&gt;"",U55&lt;18.5),30,45)))))</f>
        <v/>
      </c>
      <c r="BG55" s="35" t="str">
        <f aca="false">IF(COUNTBLANK(W55:AC55)&gt;0,"",ROUND(AVERAGE(INDEX('SCORING MASTER'!$D$5:$D$7,MATCH(W55,'SCORING MASTER'!$C$5:$C$7,0)),INDEX('SCORING MASTER'!$D$9:$D$11,MATCH(X55,'SCORING MASTER'!$C$9:$C$11,0)),INDEX('SCORING MASTER'!$D$13:$D$15,MATCH(Y55,'SCORING MASTER'!$C$13:$C$15,0)),INDEX('SCORING MASTER'!$D$17:$D$19,MATCH(Z55,'SCORING MASTER'!$C$17:$C$19,0)),INDEX('SCORING MASTER'!$D$21:$D$23,MATCH(AA55,'SCORING MASTER'!$C$21:$C$23,0)),INDEX('SCORING MASTER'!$D$25:$D$27,MATCH(AB55,'SCORING MASTER'!$C$25:$C$27,0)),INDEX('SCORING MASTER'!$D$29:$D$31,MATCH(AC55,'SCORING MASTER'!$C$29:$C$31,0)))*20,0))</f>
        <v/>
      </c>
      <c r="BH55" s="35" t="str">
        <f aca="false">IF(COUNTBLANK(AD55:AI55)&gt;0,"",ROUND(AVERAGE(INDEX('SCORING MASTER'!$D$33:$D$35,MATCH(AD55,'SCORING MASTER'!$C$33:$C$35,0)),INDEX('SCORING MASTER'!$D$37:$D$39,MATCH(AE55,'SCORING MASTER'!$C$37:$C$39,0)),INDEX('SCORING MASTER'!$D$41:$D$43,MATCH(AF55,'SCORING MASTER'!$C$41:$C$43,0)),INDEX('SCORING MASTER'!$D$45:$D$47,MATCH(AG55,'SCORING MASTER'!$C$45:$C$47,0)),INDEX('SCORING MASTER'!$D$49:$D$52,MATCH(AH55,'SCORING MASTER'!$C$49:$C$52,0)),INDEX('SCORING MASTER'!$D$54:$D$57,MATCH(AI55,'SCORING MASTER'!$C$54:$C$57,0)))*20,0))</f>
        <v/>
      </c>
      <c r="BI55" s="35" t="str">
        <f aca="false">IF(COUNTBLANK(AJ55:AP55)&gt;0,"",ROUND(AVERAGE(INDEX('SCORING MASTER'!$D$59:$D$60,MATCH(AJ55,'SCORING MASTER'!$C$59:$C$60,0)),INDEX('SCORING MASTER'!$D$62:$D$63,MATCH(AK55,'SCORING MASTER'!$C$62:$C$63,0)),INDEX('SCORING MASTER'!$D$65:$D$66,MATCH(AL55,'SCORING MASTER'!$C$65:$C$66,0)),INDEX('SCORING MASTER'!$D$68:$D$69,MATCH(AM55,'SCORING MASTER'!$C$68:$C$69,0)),INDEX('SCORING MASTER'!$D$71:$D$72,MATCH(AN55,'SCORING MASTER'!$C$71:$C$72,0)),INDEX('SCORING MASTER'!$D$74:$D$75,MATCH(AO55,'SCORING MASTER'!$C$74:$C$75,0)),INDEX('SCORING MASTER'!$D$77:$D$78,MATCH(AP55,'SCORING MASTER'!$C$77:$C$78,0)))*20,0))</f>
        <v/>
      </c>
      <c r="BJ55" s="35" t="str">
        <f aca="false">IF(COUNTBLANK(AU55:AZ55)&gt;0,"",ROUND(AVERAGE(INDEX('SCORING MASTER'!$D$95:$D$96,MATCH(AU55,'SCORING MASTER'!$C$95:$C$96,0)),INDEX('SCORING MASTER'!$D$98:$D$99,MATCH(AV55,'SCORING MASTER'!$C$98:$C$99,0)),INDEX('SCORING MASTER'!$D$101:$D$102,MATCH(AW55,'SCORING MASTER'!$C$101:$C$102,0)),INDEX('SCORING MASTER'!$D$104:$D$105,MATCH(AX55,'SCORING MASTER'!$C$104:$C$105,0)),INDEX('SCORING MASTER'!$D$107:$D$108,MATCH(AY55,'SCORING MASTER'!$C$107:$C$108,0)),INDEX('SCORING MASTER'!$D$110:$D$111,MATCH(AZ55,'SCORING MASTER'!$C$110:$C$111,0)))*20,0))</f>
        <v/>
      </c>
      <c r="BK55" s="35" t="str">
        <f aca="false">IF(COUNTBLANK(AQ55:AT55)&gt;0,"",ROUND(AVERAGE(INDEX('SCORING MASTER'!$D$80:$D$82,MATCH(AQ55,'SCORING MASTER'!$C$80:$C$82,0)),INDEX('SCORING MASTER'!$D$84:$D$86,MATCH(AR55,'SCORING MASTER'!$C$84:$C$86,0)),INDEX('SCORING MASTER'!$D$88:$D$90,MATCH(AS55,'SCORING MASTER'!$C$88:$C$90,0)),INDEX('SCORING MASTER'!$D$92:$D$93,MATCH(AT55,'SCORING MASTER'!$C$92:$C$93,0)))*20,0))</f>
        <v/>
      </c>
      <c r="BL55" s="35" t="str">
        <f aca="false">IF(COUNTBLANK(BA55:BE55)&gt;0,"",ROUND(AVERAGE(INDEX('SCORING MASTER'!$D$113:$D$115,MATCH(BA55,'SCORING MASTER'!$C$113:$C$115,0)),INDEX('SCORING MASTER'!$D$117:$D$119,MATCH(BB55,'SCORING MASTER'!$C$117:$C$119,0)),INDEX('SCORING MASTER'!$D$121:$D$123,MATCH(BC55,'SCORING MASTER'!$C$121:$C$123,0)),INDEX('SCORING MASTER'!$D$125:$D$126,MATCH(BD55,'SCORING MASTER'!$C$125:$C$126,0)),INDEX('SCORING MASTER'!$D$128:$D$129,MATCH(BE55,'SCORING MASTER'!$C$128:$C$129,0)))*20,0))</f>
        <v/>
      </c>
      <c r="BM55" s="35" t="str">
        <f aca="false">IF(OR(BF55="",BG55="",BH55="",BI55="",BJ55="",BK55="",BL55=""),"",ROUND(BF55*0.25+BG55*0.2+BH55*0.15+BI55*0.15+BJ55*0.1+BK55*0.1+BL55*0.05,0))</f>
        <v/>
      </c>
      <c r="BN55" s="35" t="str">
        <f aca="false">IF(OR(BF55="",BG55=""),"",ROUND(BF55*0.5+BG55*0.5,0))</f>
        <v/>
      </c>
      <c r="BO55" s="35" t="str">
        <f aca="false">IF(BN55="","",ROUND(MIN(100,MAX(0,(100-BN55)+IF(AL55="Yes",15,0)+IF(AM55="Yes",15,0)+IF(AND(U55&lt;&gt;"",U55&lt;18.5),20,0))),0))</f>
        <v/>
      </c>
      <c r="BP55" s="32" t="str">
        <f aca="false">IF(BM55="","",IF(BM55&gt;=90,"Green - Healthy",IF(BM55&gt;=75,"Light Green - Mild Watch",IF(BM55&gt;=60,"Yellow - Mild Risk",IF(BM55&gt;=40,"Orange - Moderate Risk","Red - High Risk")))))</f>
        <v/>
      </c>
      <c r="BQ55" s="32" t="str">
        <f aca="false">IF(BM55="","",IF(OR(BM55&lt;60,BO55&gt;=60,AJ55="Yes"),"Yes","No"))</f>
        <v/>
      </c>
      <c r="BR55" s="32" t="str">
        <f aca="false">IF(BM55="","",IF(OR(BP55="Orange - Moderate Risk",BP55="Red - High Risk",BQ55="Yes"),"Yes","No"))</f>
        <v/>
      </c>
    </row>
    <row r="56" customFormat="false" ht="15" hidden="false" customHeight="false" outlineLevel="0" collapsed="false">
      <c r="A56" s="28" t="str">
        <f aca="false">IF(I56="","","STU"&amp;TEXT(ROW()-3,"000000"))</f>
        <v/>
      </c>
      <c r="B56" s="28"/>
      <c r="C56" s="28"/>
      <c r="D56" s="28"/>
      <c r="E56" s="28"/>
      <c r="F56" s="28"/>
      <c r="G56" s="28"/>
      <c r="H56" s="28"/>
      <c r="I56" s="28"/>
      <c r="J56" s="30"/>
      <c r="K56" s="28"/>
      <c r="L56" s="28"/>
      <c r="M56" s="28"/>
      <c r="N56" s="28"/>
      <c r="O56" s="28"/>
      <c r="P56" s="28"/>
      <c r="Q56" s="30"/>
      <c r="R56" s="30"/>
      <c r="S56" s="31" t="str">
        <f aca="false">IF(OR(Q56="",R56=""),"",ROUND(R56/((Q56/100)^2),1))</f>
        <v/>
      </c>
      <c r="T56" s="28" t="str">
        <f aca="false">IF(S56="","",IF(S56&lt;18.5,"Underweight",IF(S56&lt;25,"Normal",IF(S56&lt;30,"Overweight","Obese"))))</f>
        <v/>
      </c>
      <c r="U56" s="30"/>
      <c r="V56" s="30"/>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31" t="str">
        <f aca="false">IF(T56="","",IF(T56="Normal",100,IF(T56="Overweight",65,IF(T56="Obese",50,IF(AND(U56&lt;&gt;"",U56&lt;18.5),30,45)))))</f>
        <v/>
      </c>
      <c r="BG56" s="31" t="str">
        <f aca="false">IF(COUNTBLANK(W56:AC56)&gt;0,"",ROUND(AVERAGE(INDEX('SCORING MASTER'!$D$5:$D$7,MATCH(W56,'SCORING MASTER'!$C$5:$C$7,0)),INDEX('SCORING MASTER'!$D$9:$D$11,MATCH(X56,'SCORING MASTER'!$C$9:$C$11,0)),INDEX('SCORING MASTER'!$D$13:$D$15,MATCH(Y56,'SCORING MASTER'!$C$13:$C$15,0)),INDEX('SCORING MASTER'!$D$17:$D$19,MATCH(Z56,'SCORING MASTER'!$C$17:$C$19,0)),INDEX('SCORING MASTER'!$D$21:$D$23,MATCH(AA56,'SCORING MASTER'!$C$21:$C$23,0)),INDEX('SCORING MASTER'!$D$25:$D$27,MATCH(AB56,'SCORING MASTER'!$C$25:$C$27,0)),INDEX('SCORING MASTER'!$D$29:$D$31,MATCH(AC56,'SCORING MASTER'!$C$29:$C$31,0)))*20,0))</f>
        <v/>
      </c>
      <c r="BH56" s="31" t="str">
        <f aca="false">IF(COUNTBLANK(AD56:AI56)&gt;0,"",ROUND(AVERAGE(INDEX('SCORING MASTER'!$D$33:$D$35,MATCH(AD56,'SCORING MASTER'!$C$33:$C$35,0)),INDEX('SCORING MASTER'!$D$37:$D$39,MATCH(AE56,'SCORING MASTER'!$C$37:$C$39,0)),INDEX('SCORING MASTER'!$D$41:$D$43,MATCH(AF56,'SCORING MASTER'!$C$41:$C$43,0)),INDEX('SCORING MASTER'!$D$45:$D$47,MATCH(AG56,'SCORING MASTER'!$C$45:$C$47,0)),INDEX('SCORING MASTER'!$D$49:$D$52,MATCH(AH56,'SCORING MASTER'!$C$49:$C$52,0)),INDEX('SCORING MASTER'!$D$54:$D$57,MATCH(AI56,'SCORING MASTER'!$C$54:$C$57,0)))*20,0))</f>
        <v/>
      </c>
      <c r="BI56" s="31" t="str">
        <f aca="false">IF(COUNTBLANK(AJ56:AP56)&gt;0,"",ROUND(AVERAGE(INDEX('SCORING MASTER'!$D$59:$D$60,MATCH(AJ56,'SCORING MASTER'!$C$59:$C$60,0)),INDEX('SCORING MASTER'!$D$62:$D$63,MATCH(AK56,'SCORING MASTER'!$C$62:$C$63,0)),INDEX('SCORING MASTER'!$D$65:$D$66,MATCH(AL56,'SCORING MASTER'!$C$65:$C$66,0)),INDEX('SCORING MASTER'!$D$68:$D$69,MATCH(AM56,'SCORING MASTER'!$C$68:$C$69,0)),INDEX('SCORING MASTER'!$D$71:$D$72,MATCH(AN56,'SCORING MASTER'!$C$71:$C$72,0)),INDEX('SCORING MASTER'!$D$74:$D$75,MATCH(AO56,'SCORING MASTER'!$C$74:$C$75,0)),INDEX('SCORING MASTER'!$D$77:$D$78,MATCH(AP56,'SCORING MASTER'!$C$77:$C$78,0)))*20,0))</f>
        <v/>
      </c>
      <c r="BJ56" s="31" t="str">
        <f aca="false">IF(COUNTBLANK(AU56:AZ56)&gt;0,"",ROUND(AVERAGE(INDEX('SCORING MASTER'!$D$95:$D$96,MATCH(AU56,'SCORING MASTER'!$C$95:$C$96,0)),INDEX('SCORING MASTER'!$D$98:$D$99,MATCH(AV56,'SCORING MASTER'!$C$98:$C$99,0)),INDEX('SCORING MASTER'!$D$101:$D$102,MATCH(AW56,'SCORING MASTER'!$C$101:$C$102,0)),INDEX('SCORING MASTER'!$D$104:$D$105,MATCH(AX56,'SCORING MASTER'!$C$104:$C$105,0)),INDEX('SCORING MASTER'!$D$107:$D$108,MATCH(AY56,'SCORING MASTER'!$C$107:$C$108,0)),INDEX('SCORING MASTER'!$D$110:$D$111,MATCH(AZ56,'SCORING MASTER'!$C$110:$C$111,0)))*20,0))</f>
        <v/>
      </c>
      <c r="BK56" s="31" t="str">
        <f aca="false">IF(COUNTBLANK(AQ56:AT56)&gt;0,"",ROUND(AVERAGE(INDEX('SCORING MASTER'!$D$80:$D$82,MATCH(AQ56,'SCORING MASTER'!$C$80:$C$82,0)),INDEX('SCORING MASTER'!$D$84:$D$86,MATCH(AR56,'SCORING MASTER'!$C$84:$C$86,0)),INDEX('SCORING MASTER'!$D$88:$D$90,MATCH(AS56,'SCORING MASTER'!$C$88:$C$90,0)),INDEX('SCORING MASTER'!$D$92:$D$93,MATCH(AT56,'SCORING MASTER'!$C$92:$C$93,0)))*20,0))</f>
        <v/>
      </c>
      <c r="BL56" s="31" t="str">
        <f aca="false">IF(COUNTBLANK(BA56:BE56)&gt;0,"",ROUND(AVERAGE(INDEX('SCORING MASTER'!$D$113:$D$115,MATCH(BA56,'SCORING MASTER'!$C$113:$C$115,0)),INDEX('SCORING MASTER'!$D$117:$D$119,MATCH(BB56,'SCORING MASTER'!$C$117:$C$119,0)),INDEX('SCORING MASTER'!$D$121:$D$123,MATCH(BC56,'SCORING MASTER'!$C$121:$C$123,0)),INDEX('SCORING MASTER'!$D$125:$D$126,MATCH(BD56,'SCORING MASTER'!$C$125:$C$126,0)),INDEX('SCORING MASTER'!$D$128:$D$129,MATCH(BE56,'SCORING MASTER'!$C$128:$C$129,0)))*20,0))</f>
        <v/>
      </c>
      <c r="BM56" s="31" t="str">
        <f aca="false">IF(OR(BF56="",BG56="",BH56="",BI56="",BJ56="",BK56="",BL56=""),"",ROUND(BF56*0.25+BG56*0.2+BH56*0.15+BI56*0.15+BJ56*0.1+BK56*0.1+BL56*0.05,0))</f>
        <v/>
      </c>
      <c r="BN56" s="31" t="str">
        <f aca="false">IF(OR(BF56="",BG56=""),"",ROUND(BF56*0.5+BG56*0.5,0))</f>
        <v/>
      </c>
      <c r="BO56" s="31" t="str">
        <f aca="false">IF(BN56="","",ROUND(MIN(100,MAX(0,(100-BN56)+IF(AL56="Yes",15,0)+IF(AM56="Yes",15,0)+IF(AND(U56&lt;&gt;"",U56&lt;18.5),20,0))),0))</f>
        <v/>
      </c>
      <c r="BP56" s="28" t="str">
        <f aca="false">IF(BM56="","",IF(BM56&gt;=90,"Green - Healthy",IF(BM56&gt;=75,"Light Green - Mild Watch",IF(BM56&gt;=60,"Yellow - Mild Risk",IF(BM56&gt;=40,"Orange - Moderate Risk","Red - High Risk")))))</f>
        <v/>
      </c>
      <c r="BQ56" s="28" t="str">
        <f aca="false">IF(BM56="","",IF(OR(BM56&lt;60,BO56&gt;=60,AJ56="Yes"),"Yes","No"))</f>
        <v/>
      </c>
      <c r="BR56" s="28" t="str">
        <f aca="false">IF(BM56="","",IF(OR(BP56="Orange - Moderate Risk",BP56="Red - High Risk",BQ56="Yes"),"Yes","No"))</f>
        <v/>
      </c>
    </row>
    <row r="57" customFormat="false" ht="15" hidden="false" customHeight="false" outlineLevel="0" collapsed="false">
      <c r="A57" s="32" t="str">
        <f aca="false">IF(I57="","","STU"&amp;TEXT(ROW()-3,"000000"))</f>
        <v/>
      </c>
      <c r="B57" s="32"/>
      <c r="C57" s="32"/>
      <c r="D57" s="32"/>
      <c r="E57" s="32"/>
      <c r="F57" s="32"/>
      <c r="G57" s="32"/>
      <c r="H57" s="32"/>
      <c r="I57" s="32"/>
      <c r="J57" s="34"/>
      <c r="K57" s="32"/>
      <c r="L57" s="32"/>
      <c r="M57" s="32"/>
      <c r="N57" s="32"/>
      <c r="O57" s="32"/>
      <c r="P57" s="32"/>
      <c r="Q57" s="34"/>
      <c r="R57" s="34"/>
      <c r="S57" s="35" t="str">
        <f aca="false">IF(OR(Q57="",R57=""),"",ROUND(R57/((Q57/100)^2),1))</f>
        <v/>
      </c>
      <c r="T57" s="32" t="str">
        <f aca="false">IF(S57="","",IF(S57&lt;18.5,"Underweight",IF(S57&lt;25,"Normal",IF(S57&lt;30,"Overweight","Obese"))))</f>
        <v/>
      </c>
      <c r="U57" s="34"/>
      <c r="V57" s="34"/>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5" t="str">
        <f aca="false">IF(T57="","",IF(T57="Normal",100,IF(T57="Overweight",65,IF(T57="Obese",50,IF(AND(U57&lt;&gt;"",U57&lt;18.5),30,45)))))</f>
        <v/>
      </c>
      <c r="BG57" s="35" t="str">
        <f aca="false">IF(COUNTBLANK(W57:AC57)&gt;0,"",ROUND(AVERAGE(INDEX('SCORING MASTER'!$D$5:$D$7,MATCH(W57,'SCORING MASTER'!$C$5:$C$7,0)),INDEX('SCORING MASTER'!$D$9:$D$11,MATCH(X57,'SCORING MASTER'!$C$9:$C$11,0)),INDEX('SCORING MASTER'!$D$13:$D$15,MATCH(Y57,'SCORING MASTER'!$C$13:$C$15,0)),INDEX('SCORING MASTER'!$D$17:$D$19,MATCH(Z57,'SCORING MASTER'!$C$17:$C$19,0)),INDEX('SCORING MASTER'!$D$21:$D$23,MATCH(AA57,'SCORING MASTER'!$C$21:$C$23,0)),INDEX('SCORING MASTER'!$D$25:$D$27,MATCH(AB57,'SCORING MASTER'!$C$25:$C$27,0)),INDEX('SCORING MASTER'!$D$29:$D$31,MATCH(AC57,'SCORING MASTER'!$C$29:$C$31,0)))*20,0))</f>
        <v/>
      </c>
      <c r="BH57" s="35" t="str">
        <f aca="false">IF(COUNTBLANK(AD57:AI57)&gt;0,"",ROUND(AVERAGE(INDEX('SCORING MASTER'!$D$33:$D$35,MATCH(AD57,'SCORING MASTER'!$C$33:$C$35,0)),INDEX('SCORING MASTER'!$D$37:$D$39,MATCH(AE57,'SCORING MASTER'!$C$37:$C$39,0)),INDEX('SCORING MASTER'!$D$41:$D$43,MATCH(AF57,'SCORING MASTER'!$C$41:$C$43,0)),INDEX('SCORING MASTER'!$D$45:$D$47,MATCH(AG57,'SCORING MASTER'!$C$45:$C$47,0)),INDEX('SCORING MASTER'!$D$49:$D$52,MATCH(AH57,'SCORING MASTER'!$C$49:$C$52,0)),INDEX('SCORING MASTER'!$D$54:$D$57,MATCH(AI57,'SCORING MASTER'!$C$54:$C$57,0)))*20,0))</f>
        <v/>
      </c>
      <c r="BI57" s="35" t="str">
        <f aca="false">IF(COUNTBLANK(AJ57:AP57)&gt;0,"",ROUND(AVERAGE(INDEX('SCORING MASTER'!$D$59:$D$60,MATCH(AJ57,'SCORING MASTER'!$C$59:$C$60,0)),INDEX('SCORING MASTER'!$D$62:$D$63,MATCH(AK57,'SCORING MASTER'!$C$62:$C$63,0)),INDEX('SCORING MASTER'!$D$65:$D$66,MATCH(AL57,'SCORING MASTER'!$C$65:$C$66,0)),INDEX('SCORING MASTER'!$D$68:$D$69,MATCH(AM57,'SCORING MASTER'!$C$68:$C$69,0)),INDEX('SCORING MASTER'!$D$71:$D$72,MATCH(AN57,'SCORING MASTER'!$C$71:$C$72,0)),INDEX('SCORING MASTER'!$D$74:$D$75,MATCH(AO57,'SCORING MASTER'!$C$74:$C$75,0)),INDEX('SCORING MASTER'!$D$77:$D$78,MATCH(AP57,'SCORING MASTER'!$C$77:$C$78,0)))*20,0))</f>
        <v/>
      </c>
      <c r="BJ57" s="35" t="str">
        <f aca="false">IF(COUNTBLANK(AU57:AZ57)&gt;0,"",ROUND(AVERAGE(INDEX('SCORING MASTER'!$D$95:$D$96,MATCH(AU57,'SCORING MASTER'!$C$95:$C$96,0)),INDEX('SCORING MASTER'!$D$98:$D$99,MATCH(AV57,'SCORING MASTER'!$C$98:$C$99,0)),INDEX('SCORING MASTER'!$D$101:$D$102,MATCH(AW57,'SCORING MASTER'!$C$101:$C$102,0)),INDEX('SCORING MASTER'!$D$104:$D$105,MATCH(AX57,'SCORING MASTER'!$C$104:$C$105,0)),INDEX('SCORING MASTER'!$D$107:$D$108,MATCH(AY57,'SCORING MASTER'!$C$107:$C$108,0)),INDEX('SCORING MASTER'!$D$110:$D$111,MATCH(AZ57,'SCORING MASTER'!$C$110:$C$111,0)))*20,0))</f>
        <v/>
      </c>
      <c r="BK57" s="35" t="str">
        <f aca="false">IF(COUNTBLANK(AQ57:AT57)&gt;0,"",ROUND(AVERAGE(INDEX('SCORING MASTER'!$D$80:$D$82,MATCH(AQ57,'SCORING MASTER'!$C$80:$C$82,0)),INDEX('SCORING MASTER'!$D$84:$D$86,MATCH(AR57,'SCORING MASTER'!$C$84:$C$86,0)),INDEX('SCORING MASTER'!$D$88:$D$90,MATCH(AS57,'SCORING MASTER'!$C$88:$C$90,0)),INDEX('SCORING MASTER'!$D$92:$D$93,MATCH(AT57,'SCORING MASTER'!$C$92:$C$93,0)))*20,0))</f>
        <v/>
      </c>
      <c r="BL57" s="35" t="str">
        <f aca="false">IF(COUNTBLANK(BA57:BE57)&gt;0,"",ROUND(AVERAGE(INDEX('SCORING MASTER'!$D$113:$D$115,MATCH(BA57,'SCORING MASTER'!$C$113:$C$115,0)),INDEX('SCORING MASTER'!$D$117:$D$119,MATCH(BB57,'SCORING MASTER'!$C$117:$C$119,0)),INDEX('SCORING MASTER'!$D$121:$D$123,MATCH(BC57,'SCORING MASTER'!$C$121:$C$123,0)),INDEX('SCORING MASTER'!$D$125:$D$126,MATCH(BD57,'SCORING MASTER'!$C$125:$C$126,0)),INDEX('SCORING MASTER'!$D$128:$D$129,MATCH(BE57,'SCORING MASTER'!$C$128:$C$129,0)))*20,0))</f>
        <v/>
      </c>
      <c r="BM57" s="35" t="str">
        <f aca="false">IF(OR(BF57="",BG57="",BH57="",BI57="",BJ57="",BK57="",BL57=""),"",ROUND(BF57*0.25+BG57*0.2+BH57*0.15+BI57*0.15+BJ57*0.1+BK57*0.1+BL57*0.05,0))</f>
        <v/>
      </c>
      <c r="BN57" s="35" t="str">
        <f aca="false">IF(OR(BF57="",BG57=""),"",ROUND(BF57*0.5+BG57*0.5,0))</f>
        <v/>
      </c>
      <c r="BO57" s="35" t="str">
        <f aca="false">IF(BN57="","",ROUND(MIN(100,MAX(0,(100-BN57)+IF(AL57="Yes",15,0)+IF(AM57="Yes",15,0)+IF(AND(U57&lt;&gt;"",U57&lt;18.5),20,0))),0))</f>
        <v/>
      </c>
      <c r="BP57" s="32" t="str">
        <f aca="false">IF(BM57="","",IF(BM57&gt;=90,"Green - Healthy",IF(BM57&gt;=75,"Light Green - Mild Watch",IF(BM57&gt;=60,"Yellow - Mild Risk",IF(BM57&gt;=40,"Orange - Moderate Risk","Red - High Risk")))))</f>
        <v/>
      </c>
      <c r="BQ57" s="32" t="str">
        <f aca="false">IF(BM57="","",IF(OR(BM57&lt;60,BO57&gt;=60,AJ57="Yes"),"Yes","No"))</f>
        <v/>
      </c>
      <c r="BR57" s="32" t="str">
        <f aca="false">IF(BM57="","",IF(OR(BP57="Orange - Moderate Risk",BP57="Red - High Risk",BQ57="Yes"),"Yes","No"))</f>
        <v/>
      </c>
    </row>
    <row r="58" customFormat="false" ht="15" hidden="false" customHeight="false" outlineLevel="0" collapsed="false">
      <c r="A58" s="28" t="str">
        <f aca="false">IF(I58="","","STU"&amp;TEXT(ROW()-3,"000000"))</f>
        <v/>
      </c>
      <c r="B58" s="28"/>
      <c r="C58" s="28"/>
      <c r="D58" s="28"/>
      <c r="E58" s="28"/>
      <c r="F58" s="28"/>
      <c r="G58" s="28"/>
      <c r="H58" s="28"/>
      <c r="I58" s="28"/>
      <c r="J58" s="30"/>
      <c r="K58" s="28"/>
      <c r="L58" s="28"/>
      <c r="M58" s="28"/>
      <c r="N58" s="28"/>
      <c r="O58" s="28"/>
      <c r="P58" s="28"/>
      <c r="Q58" s="30"/>
      <c r="R58" s="30"/>
      <c r="S58" s="31" t="str">
        <f aca="false">IF(OR(Q58="",R58=""),"",ROUND(R58/((Q58/100)^2),1))</f>
        <v/>
      </c>
      <c r="T58" s="28" t="str">
        <f aca="false">IF(S58="","",IF(S58&lt;18.5,"Underweight",IF(S58&lt;25,"Normal",IF(S58&lt;30,"Overweight","Obese"))))</f>
        <v/>
      </c>
      <c r="U58" s="30"/>
      <c r="V58" s="30"/>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31" t="str">
        <f aca="false">IF(T58="","",IF(T58="Normal",100,IF(T58="Overweight",65,IF(T58="Obese",50,IF(AND(U58&lt;&gt;"",U58&lt;18.5),30,45)))))</f>
        <v/>
      </c>
      <c r="BG58" s="31" t="str">
        <f aca="false">IF(COUNTBLANK(W58:AC58)&gt;0,"",ROUND(AVERAGE(INDEX('SCORING MASTER'!$D$5:$D$7,MATCH(W58,'SCORING MASTER'!$C$5:$C$7,0)),INDEX('SCORING MASTER'!$D$9:$D$11,MATCH(X58,'SCORING MASTER'!$C$9:$C$11,0)),INDEX('SCORING MASTER'!$D$13:$D$15,MATCH(Y58,'SCORING MASTER'!$C$13:$C$15,0)),INDEX('SCORING MASTER'!$D$17:$D$19,MATCH(Z58,'SCORING MASTER'!$C$17:$C$19,0)),INDEX('SCORING MASTER'!$D$21:$D$23,MATCH(AA58,'SCORING MASTER'!$C$21:$C$23,0)),INDEX('SCORING MASTER'!$D$25:$D$27,MATCH(AB58,'SCORING MASTER'!$C$25:$C$27,0)),INDEX('SCORING MASTER'!$D$29:$D$31,MATCH(AC58,'SCORING MASTER'!$C$29:$C$31,0)))*20,0))</f>
        <v/>
      </c>
      <c r="BH58" s="31" t="str">
        <f aca="false">IF(COUNTBLANK(AD58:AI58)&gt;0,"",ROUND(AVERAGE(INDEX('SCORING MASTER'!$D$33:$D$35,MATCH(AD58,'SCORING MASTER'!$C$33:$C$35,0)),INDEX('SCORING MASTER'!$D$37:$D$39,MATCH(AE58,'SCORING MASTER'!$C$37:$C$39,0)),INDEX('SCORING MASTER'!$D$41:$D$43,MATCH(AF58,'SCORING MASTER'!$C$41:$C$43,0)),INDEX('SCORING MASTER'!$D$45:$D$47,MATCH(AG58,'SCORING MASTER'!$C$45:$C$47,0)),INDEX('SCORING MASTER'!$D$49:$D$52,MATCH(AH58,'SCORING MASTER'!$C$49:$C$52,0)),INDEX('SCORING MASTER'!$D$54:$D$57,MATCH(AI58,'SCORING MASTER'!$C$54:$C$57,0)))*20,0))</f>
        <v/>
      </c>
      <c r="BI58" s="31" t="str">
        <f aca="false">IF(COUNTBLANK(AJ58:AP58)&gt;0,"",ROUND(AVERAGE(INDEX('SCORING MASTER'!$D$59:$D$60,MATCH(AJ58,'SCORING MASTER'!$C$59:$C$60,0)),INDEX('SCORING MASTER'!$D$62:$D$63,MATCH(AK58,'SCORING MASTER'!$C$62:$C$63,0)),INDEX('SCORING MASTER'!$D$65:$D$66,MATCH(AL58,'SCORING MASTER'!$C$65:$C$66,0)),INDEX('SCORING MASTER'!$D$68:$D$69,MATCH(AM58,'SCORING MASTER'!$C$68:$C$69,0)),INDEX('SCORING MASTER'!$D$71:$D$72,MATCH(AN58,'SCORING MASTER'!$C$71:$C$72,0)),INDEX('SCORING MASTER'!$D$74:$D$75,MATCH(AO58,'SCORING MASTER'!$C$74:$C$75,0)),INDEX('SCORING MASTER'!$D$77:$D$78,MATCH(AP58,'SCORING MASTER'!$C$77:$C$78,0)))*20,0))</f>
        <v/>
      </c>
      <c r="BJ58" s="31" t="str">
        <f aca="false">IF(COUNTBLANK(AU58:AZ58)&gt;0,"",ROUND(AVERAGE(INDEX('SCORING MASTER'!$D$95:$D$96,MATCH(AU58,'SCORING MASTER'!$C$95:$C$96,0)),INDEX('SCORING MASTER'!$D$98:$D$99,MATCH(AV58,'SCORING MASTER'!$C$98:$C$99,0)),INDEX('SCORING MASTER'!$D$101:$D$102,MATCH(AW58,'SCORING MASTER'!$C$101:$C$102,0)),INDEX('SCORING MASTER'!$D$104:$D$105,MATCH(AX58,'SCORING MASTER'!$C$104:$C$105,0)),INDEX('SCORING MASTER'!$D$107:$D$108,MATCH(AY58,'SCORING MASTER'!$C$107:$C$108,0)),INDEX('SCORING MASTER'!$D$110:$D$111,MATCH(AZ58,'SCORING MASTER'!$C$110:$C$111,0)))*20,0))</f>
        <v/>
      </c>
      <c r="BK58" s="31" t="str">
        <f aca="false">IF(COUNTBLANK(AQ58:AT58)&gt;0,"",ROUND(AVERAGE(INDEX('SCORING MASTER'!$D$80:$D$82,MATCH(AQ58,'SCORING MASTER'!$C$80:$C$82,0)),INDEX('SCORING MASTER'!$D$84:$D$86,MATCH(AR58,'SCORING MASTER'!$C$84:$C$86,0)),INDEX('SCORING MASTER'!$D$88:$D$90,MATCH(AS58,'SCORING MASTER'!$C$88:$C$90,0)),INDEX('SCORING MASTER'!$D$92:$D$93,MATCH(AT58,'SCORING MASTER'!$C$92:$C$93,0)))*20,0))</f>
        <v/>
      </c>
      <c r="BL58" s="31" t="str">
        <f aca="false">IF(COUNTBLANK(BA58:BE58)&gt;0,"",ROUND(AVERAGE(INDEX('SCORING MASTER'!$D$113:$D$115,MATCH(BA58,'SCORING MASTER'!$C$113:$C$115,0)),INDEX('SCORING MASTER'!$D$117:$D$119,MATCH(BB58,'SCORING MASTER'!$C$117:$C$119,0)),INDEX('SCORING MASTER'!$D$121:$D$123,MATCH(BC58,'SCORING MASTER'!$C$121:$C$123,0)),INDEX('SCORING MASTER'!$D$125:$D$126,MATCH(BD58,'SCORING MASTER'!$C$125:$C$126,0)),INDEX('SCORING MASTER'!$D$128:$D$129,MATCH(BE58,'SCORING MASTER'!$C$128:$C$129,0)))*20,0))</f>
        <v/>
      </c>
      <c r="BM58" s="31" t="str">
        <f aca="false">IF(OR(BF58="",BG58="",BH58="",BI58="",BJ58="",BK58="",BL58=""),"",ROUND(BF58*0.25+BG58*0.2+BH58*0.15+BI58*0.15+BJ58*0.1+BK58*0.1+BL58*0.05,0))</f>
        <v/>
      </c>
      <c r="BN58" s="31" t="str">
        <f aca="false">IF(OR(BF58="",BG58=""),"",ROUND(BF58*0.5+BG58*0.5,0))</f>
        <v/>
      </c>
      <c r="BO58" s="31" t="str">
        <f aca="false">IF(BN58="","",ROUND(MIN(100,MAX(0,(100-BN58)+IF(AL58="Yes",15,0)+IF(AM58="Yes",15,0)+IF(AND(U58&lt;&gt;"",U58&lt;18.5),20,0))),0))</f>
        <v/>
      </c>
      <c r="BP58" s="28" t="str">
        <f aca="false">IF(BM58="","",IF(BM58&gt;=90,"Green - Healthy",IF(BM58&gt;=75,"Light Green - Mild Watch",IF(BM58&gt;=60,"Yellow - Mild Risk",IF(BM58&gt;=40,"Orange - Moderate Risk","Red - High Risk")))))</f>
        <v/>
      </c>
      <c r="BQ58" s="28" t="str">
        <f aca="false">IF(BM58="","",IF(OR(BM58&lt;60,BO58&gt;=60,AJ58="Yes"),"Yes","No"))</f>
        <v/>
      </c>
      <c r="BR58" s="28" t="str">
        <f aca="false">IF(BM58="","",IF(OR(BP58="Orange - Moderate Risk",BP58="Red - High Risk",BQ58="Yes"),"Yes","No"))</f>
        <v/>
      </c>
    </row>
    <row r="59" customFormat="false" ht="15" hidden="false" customHeight="false" outlineLevel="0" collapsed="false">
      <c r="A59" s="32" t="str">
        <f aca="false">IF(I59="","","STU"&amp;TEXT(ROW()-3,"000000"))</f>
        <v/>
      </c>
      <c r="B59" s="32"/>
      <c r="C59" s="32"/>
      <c r="D59" s="32"/>
      <c r="E59" s="32"/>
      <c r="F59" s="32"/>
      <c r="G59" s="32"/>
      <c r="H59" s="32"/>
      <c r="I59" s="32"/>
      <c r="J59" s="34"/>
      <c r="K59" s="32"/>
      <c r="L59" s="32"/>
      <c r="M59" s="32"/>
      <c r="N59" s="32"/>
      <c r="O59" s="32"/>
      <c r="P59" s="32"/>
      <c r="Q59" s="34"/>
      <c r="R59" s="34"/>
      <c r="S59" s="35" t="str">
        <f aca="false">IF(OR(Q59="",R59=""),"",ROUND(R59/((Q59/100)^2),1))</f>
        <v/>
      </c>
      <c r="T59" s="32" t="str">
        <f aca="false">IF(S59="","",IF(S59&lt;18.5,"Underweight",IF(S59&lt;25,"Normal",IF(S59&lt;30,"Overweight","Obese"))))</f>
        <v/>
      </c>
      <c r="U59" s="34"/>
      <c r="V59" s="34"/>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5" t="str">
        <f aca="false">IF(T59="","",IF(T59="Normal",100,IF(T59="Overweight",65,IF(T59="Obese",50,IF(AND(U59&lt;&gt;"",U59&lt;18.5),30,45)))))</f>
        <v/>
      </c>
      <c r="BG59" s="35" t="str">
        <f aca="false">IF(COUNTBLANK(W59:AC59)&gt;0,"",ROUND(AVERAGE(INDEX('SCORING MASTER'!$D$5:$D$7,MATCH(W59,'SCORING MASTER'!$C$5:$C$7,0)),INDEX('SCORING MASTER'!$D$9:$D$11,MATCH(X59,'SCORING MASTER'!$C$9:$C$11,0)),INDEX('SCORING MASTER'!$D$13:$D$15,MATCH(Y59,'SCORING MASTER'!$C$13:$C$15,0)),INDEX('SCORING MASTER'!$D$17:$D$19,MATCH(Z59,'SCORING MASTER'!$C$17:$C$19,0)),INDEX('SCORING MASTER'!$D$21:$D$23,MATCH(AA59,'SCORING MASTER'!$C$21:$C$23,0)),INDEX('SCORING MASTER'!$D$25:$D$27,MATCH(AB59,'SCORING MASTER'!$C$25:$C$27,0)),INDEX('SCORING MASTER'!$D$29:$D$31,MATCH(AC59,'SCORING MASTER'!$C$29:$C$31,0)))*20,0))</f>
        <v/>
      </c>
      <c r="BH59" s="35" t="str">
        <f aca="false">IF(COUNTBLANK(AD59:AI59)&gt;0,"",ROUND(AVERAGE(INDEX('SCORING MASTER'!$D$33:$D$35,MATCH(AD59,'SCORING MASTER'!$C$33:$C$35,0)),INDEX('SCORING MASTER'!$D$37:$D$39,MATCH(AE59,'SCORING MASTER'!$C$37:$C$39,0)),INDEX('SCORING MASTER'!$D$41:$D$43,MATCH(AF59,'SCORING MASTER'!$C$41:$C$43,0)),INDEX('SCORING MASTER'!$D$45:$D$47,MATCH(AG59,'SCORING MASTER'!$C$45:$C$47,0)),INDEX('SCORING MASTER'!$D$49:$D$52,MATCH(AH59,'SCORING MASTER'!$C$49:$C$52,0)),INDEX('SCORING MASTER'!$D$54:$D$57,MATCH(AI59,'SCORING MASTER'!$C$54:$C$57,0)))*20,0))</f>
        <v/>
      </c>
      <c r="BI59" s="35" t="str">
        <f aca="false">IF(COUNTBLANK(AJ59:AP59)&gt;0,"",ROUND(AVERAGE(INDEX('SCORING MASTER'!$D$59:$D$60,MATCH(AJ59,'SCORING MASTER'!$C$59:$C$60,0)),INDEX('SCORING MASTER'!$D$62:$D$63,MATCH(AK59,'SCORING MASTER'!$C$62:$C$63,0)),INDEX('SCORING MASTER'!$D$65:$D$66,MATCH(AL59,'SCORING MASTER'!$C$65:$C$66,0)),INDEX('SCORING MASTER'!$D$68:$D$69,MATCH(AM59,'SCORING MASTER'!$C$68:$C$69,0)),INDEX('SCORING MASTER'!$D$71:$D$72,MATCH(AN59,'SCORING MASTER'!$C$71:$C$72,0)),INDEX('SCORING MASTER'!$D$74:$D$75,MATCH(AO59,'SCORING MASTER'!$C$74:$C$75,0)),INDEX('SCORING MASTER'!$D$77:$D$78,MATCH(AP59,'SCORING MASTER'!$C$77:$C$78,0)))*20,0))</f>
        <v/>
      </c>
      <c r="BJ59" s="35" t="str">
        <f aca="false">IF(COUNTBLANK(AU59:AZ59)&gt;0,"",ROUND(AVERAGE(INDEX('SCORING MASTER'!$D$95:$D$96,MATCH(AU59,'SCORING MASTER'!$C$95:$C$96,0)),INDEX('SCORING MASTER'!$D$98:$D$99,MATCH(AV59,'SCORING MASTER'!$C$98:$C$99,0)),INDEX('SCORING MASTER'!$D$101:$D$102,MATCH(AW59,'SCORING MASTER'!$C$101:$C$102,0)),INDEX('SCORING MASTER'!$D$104:$D$105,MATCH(AX59,'SCORING MASTER'!$C$104:$C$105,0)),INDEX('SCORING MASTER'!$D$107:$D$108,MATCH(AY59,'SCORING MASTER'!$C$107:$C$108,0)),INDEX('SCORING MASTER'!$D$110:$D$111,MATCH(AZ59,'SCORING MASTER'!$C$110:$C$111,0)))*20,0))</f>
        <v/>
      </c>
      <c r="BK59" s="35" t="str">
        <f aca="false">IF(COUNTBLANK(AQ59:AT59)&gt;0,"",ROUND(AVERAGE(INDEX('SCORING MASTER'!$D$80:$D$82,MATCH(AQ59,'SCORING MASTER'!$C$80:$C$82,0)),INDEX('SCORING MASTER'!$D$84:$D$86,MATCH(AR59,'SCORING MASTER'!$C$84:$C$86,0)),INDEX('SCORING MASTER'!$D$88:$D$90,MATCH(AS59,'SCORING MASTER'!$C$88:$C$90,0)),INDEX('SCORING MASTER'!$D$92:$D$93,MATCH(AT59,'SCORING MASTER'!$C$92:$C$93,0)))*20,0))</f>
        <v/>
      </c>
      <c r="BL59" s="35" t="str">
        <f aca="false">IF(COUNTBLANK(BA59:BE59)&gt;0,"",ROUND(AVERAGE(INDEX('SCORING MASTER'!$D$113:$D$115,MATCH(BA59,'SCORING MASTER'!$C$113:$C$115,0)),INDEX('SCORING MASTER'!$D$117:$D$119,MATCH(BB59,'SCORING MASTER'!$C$117:$C$119,0)),INDEX('SCORING MASTER'!$D$121:$D$123,MATCH(BC59,'SCORING MASTER'!$C$121:$C$123,0)),INDEX('SCORING MASTER'!$D$125:$D$126,MATCH(BD59,'SCORING MASTER'!$C$125:$C$126,0)),INDEX('SCORING MASTER'!$D$128:$D$129,MATCH(BE59,'SCORING MASTER'!$C$128:$C$129,0)))*20,0))</f>
        <v/>
      </c>
      <c r="BM59" s="35" t="str">
        <f aca="false">IF(OR(BF59="",BG59="",BH59="",BI59="",BJ59="",BK59="",BL59=""),"",ROUND(BF59*0.25+BG59*0.2+BH59*0.15+BI59*0.15+BJ59*0.1+BK59*0.1+BL59*0.05,0))</f>
        <v/>
      </c>
      <c r="BN59" s="35" t="str">
        <f aca="false">IF(OR(BF59="",BG59=""),"",ROUND(BF59*0.5+BG59*0.5,0))</f>
        <v/>
      </c>
      <c r="BO59" s="35" t="str">
        <f aca="false">IF(BN59="","",ROUND(MIN(100,MAX(0,(100-BN59)+IF(AL59="Yes",15,0)+IF(AM59="Yes",15,0)+IF(AND(U59&lt;&gt;"",U59&lt;18.5),20,0))),0))</f>
        <v/>
      </c>
      <c r="BP59" s="32" t="str">
        <f aca="false">IF(BM59="","",IF(BM59&gt;=90,"Green - Healthy",IF(BM59&gt;=75,"Light Green - Mild Watch",IF(BM59&gt;=60,"Yellow - Mild Risk",IF(BM59&gt;=40,"Orange - Moderate Risk","Red - High Risk")))))</f>
        <v/>
      </c>
      <c r="BQ59" s="32" t="str">
        <f aca="false">IF(BM59="","",IF(OR(BM59&lt;60,BO59&gt;=60,AJ59="Yes"),"Yes","No"))</f>
        <v/>
      </c>
      <c r="BR59" s="32" t="str">
        <f aca="false">IF(BM59="","",IF(OR(BP59="Orange - Moderate Risk",BP59="Red - High Risk",BQ59="Yes"),"Yes","No"))</f>
        <v/>
      </c>
    </row>
    <row r="60" customFormat="false" ht="15" hidden="false" customHeight="false" outlineLevel="0" collapsed="false">
      <c r="A60" s="28" t="str">
        <f aca="false">IF(I60="","","STU"&amp;TEXT(ROW()-3,"000000"))</f>
        <v/>
      </c>
      <c r="B60" s="28"/>
      <c r="C60" s="28"/>
      <c r="D60" s="28"/>
      <c r="E60" s="28"/>
      <c r="F60" s="28"/>
      <c r="G60" s="28"/>
      <c r="H60" s="28"/>
      <c r="I60" s="28"/>
      <c r="J60" s="30"/>
      <c r="K60" s="28"/>
      <c r="L60" s="28"/>
      <c r="M60" s="28"/>
      <c r="N60" s="28"/>
      <c r="O60" s="28"/>
      <c r="P60" s="28"/>
      <c r="Q60" s="30"/>
      <c r="R60" s="30"/>
      <c r="S60" s="31" t="str">
        <f aca="false">IF(OR(Q60="",R60=""),"",ROUND(R60/((Q60/100)^2),1))</f>
        <v/>
      </c>
      <c r="T60" s="28" t="str">
        <f aca="false">IF(S60="","",IF(S60&lt;18.5,"Underweight",IF(S60&lt;25,"Normal",IF(S60&lt;30,"Overweight","Obese"))))</f>
        <v/>
      </c>
      <c r="U60" s="30"/>
      <c r="V60" s="30"/>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31" t="str">
        <f aca="false">IF(T60="","",IF(T60="Normal",100,IF(T60="Overweight",65,IF(T60="Obese",50,IF(AND(U60&lt;&gt;"",U60&lt;18.5),30,45)))))</f>
        <v/>
      </c>
      <c r="BG60" s="31" t="str">
        <f aca="false">IF(COUNTBLANK(W60:AC60)&gt;0,"",ROUND(AVERAGE(INDEX('SCORING MASTER'!$D$5:$D$7,MATCH(W60,'SCORING MASTER'!$C$5:$C$7,0)),INDEX('SCORING MASTER'!$D$9:$D$11,MATCH(X60,'SCORING MASTER'!$C$9:$C$11,0)),INDEX('SCORING MASTER'!$D$13:$D$15,MATCH(Y60,'SCORING MASTER'!$C$13:$C$15,0)),INDEX('SCORING MASTER'!$D$17:$D$19,MATCH(Z60,'SCORING MASTER'!$C$17:$C$19,0)),INDEX('SCORING MASTER'!$D$21:$D$23,MATCH(AA60,'SCORING MASTER'!$C$21:$C$23,0)),INDEX('SCORING MASTER'!$D$25:$D$27,MATCH(AB60,'SCORING MASTER'!$C$25:$C$27,0)),INDEX('SCORING MASTER'!$D$29:$D$31,MATCH(AC60,'SCORING MASTER'!$C$29:$C$31,0)))*20,0))</f>
        <v/>
      </c>
      <c r="BH60" s="31" t="str">
        <f aca="false">IF(COUNTBLANK(AD60:AI60)&gt;0,"",ROUND(AVERAGE(INDEX('SCORING MASTER'!$D$33:$D$35,MATCH(AD60,'SCORING MASTER'!$C$33:$C$35,0)),INDEX('SCORING MASTER'!$D$37:$D$39,MATCH(AE60,'SCORING MASTER'!$C$37:$C$39,0)),INDEX('SCORING MASTER'!$D$41:$D$43,MATCH(AF60,'SCORING MASTER'!$C$41:$C$43,0)),INDEX('SCORING MASTER'!$D$45:$D$47,MATCH(AG60,'SCORING MASTER'!$C$45:$C$47,0)),INDEX('SCORING MASTER'!$D$49:$D$52,MATCH(AH60,'SCORING MASTER'!$C$49:$C$52,0)),INDEX('SCORING MASTER'!$D$54:$D$57,MATCH(AI60,'SCORING MASTER'!$C$54:$C$57,0)))*20,0))</f>
        <v/>
      </c>
      <c r="BI60" s="31" t="str">
        <f aca="false">IF(COUNTBLANK(AJ60:AP60)&gt;0,"",ROUND(AVERAGE(INDEX('SCORING MASTER'!$D$59:$D$60,MATCH(AJ60,'SCORING MASTER'!$C$59:$C$60,0)),INDEX('SCORING MASTER'!$D$62:$D$63,MATCH(AK60,'SCORING MASTER'!$C$62:$C$63,0)),INDEX('SCORING MASTER'!$D$65:$D$66,MATCH(AL60,'SCORING MASTER'!$C$65:$C$66,0)),INDEX('SCORING MASTER'!$D$68:$D$69,MATCH(AM60,'SCORING MASTER'!$C$68:$C$69,0)),INDEX('SCORING MASTER'!$D$71:$D$72,MATCH(AN60,'SCORING MASTER'!$C$71:$C$72,0)),INDEX('SCORING MASTER'!$D$74:$D$75,MATCH(AO60,'SCORING MASTER'!$C$74:$C$75,0)),INDEX('SCORING MASTER'!$D$77:$D$78,MATCH(AP60,'SCORING MASTER'!$C$77:$C$78,0)))*20,0))</f>
        <v/>
      </c>
      <c r="BJ60" s="31" t="str">
        <f aca="false">IF(COUNTBLANK(AU60:AZ60)&gt;0,"",ROUND(AVERAGE(INDEX('SCORING MASTER'!$D$95:$D$96,MATCH(AU60,'SCORING MASTER'!$C$95:$C$96,0)),INDEX('SCORING MASTER'!$D$98:$D$99,MATCH(AV60,'SCORING MASTER'!$C$98:$C$99,0)),INDEX('SCORING MASTER'!$D$101:$D$102,MATCH(AW60,'SCORING MASTER'!$C$101:$C$102,0)),INDEX('SCORING MASTER'!$D$104:$D$105,MATCH(AX60,'SCORING MASTER'!$C$104:$C$105,0)),INDEX('SCORING MASTER'!$D$107:$D$108,MATCH(AY60,'SCORING MASTER'!$C$107:$C$108,0)),INDEX('SCORING MASTER'!$D$110:$D$111,MATCH(AZ60,'SCORING MASTER'!$C$110:$C$111,0)))*20,0))</f>
        <v/>
      </c>
      <c r="BK60" s="31" t="str">
        <f aca="false">IF(COUNTBLANK(AQ60:AT60)&gt;0,"",ROUND(AVERAGE(INDEX('SCORING MASTER'!$D$80:$D$82,MATCH(AQ60,'SCORING MASTER'!$C$80:$C$82,0)),INDEX('SCORING MASTER'!$D$84:$D$86,MATCH(AR60,'SCORING MASTER'!$C$84:$C$86,0)),INDEX('SCORING MASTER'!$D$88:$D$90,MATCH(AS60,'SCORING MASTER'!$C$88:$C$90,0)),INDEX('SCORING MASTER'!$D$92:$D$93,MATCH(AT60,'SCORING MASTER'!$C$92:$C$93,0)))*20,0))</f>
        <v/>
      </c>
      <c r="BL60" s="31" t="str">
        <f aca="false">IF(COUNTBLANK(BA60:BE60)&gt;0,"",ROUND(AVERAGE(INDEX('SCORING MASTER'!$D$113:$D$115,MATCH(BA60,'SCORING MASTER'!$C$113:$C$115,0)),INDEX('SCORING MASTER'!$D$117:$D$119,MATCH(BB60,'SCORING MASTER'!$C$117:$C$119,0)),INDEX('SCORING MASTER'!$D$121:$D$123,MATCH(BC60,'SCORING MASTER'!$C$121:$C$123,0)),INDEX('SCORING MASTER'!$D$125:$D$126,MATCH(BD60,'SCORING MASTER'!$C$125:$C$126,0)),INDEX('SCORING MASTER'!$D$128:$D$129,MATCH(BE60,'SCORING MASTER'!$C$128:$C$129,0)))*20,0))</f>
        <v/>
      </c>
      <c r="BM60" s="31" t="str">
        <f aca="false">IF(OR(BF60="",BG60="",BH60="",BI60="",BJ60="",BK60="",BL60=""),"",ROUND(BF60*0.25+BG60*0.2+BH60*0.15+BI60*0.15+BJ60*0.1+BK60*0.1+BL60*0.05,0))</f>
        <v/>
      </c>
      <c r="BN60" s="31" t="str">
        <f aca="false">IF(OR(BF60="",BG60=""),"",ROUND(BF60*0.5+BG60*0.5,0))</f>
        <v/>
      </c>
      <c r="BO60" s="31" t="str">
        <f aca="false">IF(BN60="","",ROUND(MIN(100,MAX(0,(100-BN60)+IF(AL60="Yes",15,0)+IF(AM60="Yes",15,0)+IF(AND(U60&lt;&gt;"",U60&lt;18.5),20,0))),0))</f>
        <v/>
      </c>
      <c r="BP60" s="28" t="str">
        <f aca="false">IF(BM60="","",IF(BM60&gt;=90,"Green - Healthy",IF(BM60&gt;=75,"Light Green - Mild Watch",IF(BM60&gt;=60,"Yellow - Mild Risk",IF(BM60&gt;=40,"Orange - Moderate Risk","Red - High Risk")))))</f>
        <v/>
      </c>
      <c r="BQ60" s="28" t="str">
        <f aca="false">IF(BM60="","",IF(OR(BM60&lt;60,BO60&gt;=60,AJ60="Yes"),"Yes","No"))</f>
        <v/>
      </c>
      <c r="BR60" s="28" t="str">
        <f aca="false">IF(BM60="","",IF(OR(BP60="Orange - Moderate Risk",BP60="Red - High Risk",BQ60="Yes"),"Yes","No"))</f>
        <v/>
      </c>
    </row>
    <row r="61" customFormat="false" ht="15" hidden="false" customHeight="false" outlineLevel="0" collapsed="false">
      <c r="A61" s="32" t="str">
        <f aca="false">IF(I61="","","STU"&amp;TEXT(ROW()-3,"000000"))</f>
        <v/>
      </c>
      <c r="B61" s="32"/>
      <c r="C61" s="32"/>
      <c r="D61" s="32"/>
      <c r="E61" s="32"/>
      <c r="F61" s="32"/>
      <c r="G61" s="32"/>
      <c r="H61" s="32"/>
      <c r="I61" s="32"/>
      <c r="J61" s="34"/>
      <c r="K61" s="32"/>
      <c r="L61" s="32"/>
      <c r="M61" s="32"/>
      <c r="N61" s="32"/>
      <c r="O61" s="32"/>
      <c r="P61" s="32"/>
      <c r="Q61" s="34"/>
      <c r="R61" s="34"/>
      <c r="S61" s="35" t="str">
        <f aca="false">IF(OR(Q61="",R61=""),"",ROUND(R61/((Q61/100)^2),1))</f>
        <v/>
      </c>
      <c r="T61" s="32" t="str">
        <f aca="false">IF(S61="","",IF(S61&lt;18.5,"Underweight",IF(S61&lt;25,"Normal",IF(S61&lt;30,"Overweight","Obese"))))</f>
        <v/>
      </c>
      <c r="U61" s="34"/>
      <c r="V61" s="34"/>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5" t="str">
        <f aca="false">IF(T61="","",IF(T61="Normal",100,IF(T61="Overweight",65,IF(T61="Obese",50,IF(AND(U61&lt;&gt;"",U61&lt;18.5),30,45)))))</f>
        <v/>
      </c>
      <c r="BG61" s="35" t="str">
        <f aca="false">IF(COUNTBLANK(W61:AC61)&gt;0,"",ROUND(AVERAGE(INDEX('SCORING MASTER'!$D$5:$D$7,MATCH(W61,'SCORING MASTER'!$C$5:$C$7,0)),INDEX('SCORING MASTER'!$D$9:$D$11,MATCH(X61,'SCORING MASTER'!$C$9:$C$11,0)),INDEX('SCORING MASTER'!$D$13:$D$15,MATCH(Y61,'SCORING MASTER'!$C$13:$C$15,0)),INDEX('SCORING MASTER'!$D$17:$D$19,MATCH(Z61,'SCORING MASTER'!$C$17:$C$19,0)),INDEX('SCORING MASTER'!$D$21:$D$23,MATCH(AA61,'SCORING MASTER'!$C$21:$C$23,0)),INDEX('SCORING MASTER'!$D$25:$D$27,MATCH(AB61,'SCORING MASTER'!$C$25:$C$27,0)),INDEX('SCORING MASTER'!$D$29:$D$31,MATCH(AC61,'SCORING MASTER'!$C$29:$C$31,0)))*20,0))</f>
        <v/>
      </c>
      <c r="BH61" s="35" t="str">
        <f aca="false">IF(COUNTBLANK(AD61:AI61)&gt;0,"",ROUND(AVERAGE(INDEX('SCORING MASTER'!$D$33:$D$35,MATCH(AD61,'SCORING MASTER'!$C$33:$C$35,0)),INDEX('SCORING MASTER'!$D$37:$D$39,MATCH(AE61,'SCORING MASTER'!$C$37:$C$39,0)),INDEX('SCORING MASTER'!$D$41:$D$43,MATCH(AF61,'SCORING MASTER'!$C$41:$C$43,0)),INDEX('SCORING MASTER'!$D$45:$D$47,MATCH(AG61,'SCORING MASTER'!$C$45:$C$47,0)),INDEX('SCORING MASTER'!$D$49:$D$52,MATCH(AH61,'SCORING MASTER'!$C$49:$C$52,0)),INDEX('SCORING MASTER'!$D$54:$D$57,MATCH(AI61,'SCORING MASTER'!$C$54:$C$57,0)))*20,0))</f>
        <v/>
      </c>
      <c r="BI61" s="35" t="str">
        <f aca="false">IF(COUNTBLANK(AJ61:AP61)&gt;0,"",ROUND(AVERAGE(INDEX('SCORING MASTER'!$D$59:$D$60,MATCH(AJ61,'SCORING MASTER'!$C$59:$C$60,0)),INDEX('SCORING MASTER'!$D$62:$D$63,MATCH(AK61,'SCORING MASTER'!$C$62:$C$63,0)),INDEX('SCORING MASTER'!$D$65:$D$66,MATCH(AL61,'SCORING MASTER'!$C$65:$C$66,0)),INDEX('SCORING MASTER'!$D$68:$D$69,MATCH(AM61,'SCORING MASTER'!$C$68:$C$69,0)),INDEX('SCORING MASTER'!$D$71:$D$72,MATCH(AN61,'SCORING MASTER'!$C$71:$C$72,0)),INDEX('SCORING MASTER'!$D$74:$D$75,MATCH(AO61,'SCORING MASTER'!$C$74:$C$75,0)),INDEX('SCORING MASTER'!$D$77:$D$78,MATCH(AP61,'SCORING MASTER'!$C$77:$C$78,0)))*20,0))</f>
        <v/>
      </c>
      <c r="BJ61" s="35" t="str">
        <f aca="false">IF(COUNTBLANK(AU61:AZ61)&gt;0,"",ROUND(AVERAGE(INDEX('SCORING MASTER'!$D$95:$D$96,MATCH(AU61,'SCORING MASTER'!$C$95:$C$96,0)),INDEX('SCORING MASTER'!$D$98:$D$99,MATCH(AV61,'SCORING MASTER'!$C$98:$C$99,0)),INDEX('SCORING MASTER'!$D$101:$D$102,MATCH(AW61,'SCORING MASTER'!$C$101:$C$102,0)),INDEX('SCORING MASTER'!$D$104:$D$105,MATCH(AX61,'SCORING MASTER'!$C$104:$C$105,0)),INDEX('SCORING MASTER'!$D$107:$D$108,MATCH(AY61,'SCORING MASTER'!$C$107:$C$108,0)),INDEX('SCORING MASTER'!$D$110:$D$111,MATCH(AZ61,'SCORING MASTER'!$C$110:$C$111,0)))*20,0))</f>
        <v/>
      </c>
      <c r="BK61" s="35" t="str">
        <f aca="false">IF(COUNTBLANK(AQ61:AT61)&gt;0,"",ROUND(AVERAGE(INDEX('SCORING MASTER'!$D$80:$D$82,MATCH(AQ61,'SCORING MASTER'!$C$80:$C$82,0)),INDEX('SCORING MASTER'!$D$84:$D$86,MATCH(AR61,'SCORING MASTER'!$C$84:$C$86,0)),INDEX('SCORING MASTER'!$D$88:$D$90,MATCH(AS61,'SCORING MASTER'!$C$88:$C$90,0)),INDEX('SCORING MASTER'!$D$92:$D$93,MATCH(AT61,'SCORING MASTER'!$C$92:$C$93,0)))*20,0))</f>
        <v/>
      </c>
      <c r="BL61" s="35" t="str">
        <f aca="false">IF(COUNTBLANK(BA61:BE61)&gt;0,"",ROUND(AVERAGE(INDEX('SCORING MASTER'!$D$113:$D$115,MATCH(BA61,'SCORING MASTER'!$C$113:$C$115,0)),INDEX('SCORING MASTER'!$D$117:$D$119,MATCH(BB61,'SCORING MASTER'!$C$117:$C$119,0)),INDEX('SCORING MASTER'!$D$121:$D$123,MATCH(BC61,'SCORING MASTER'!$C$121:$C$123,0)),INDEX('SCORING MASTER'!$D$125:$D$126,MATCH(BD61,'SCORING MASTER'!$C$125:$C$126,0)),INDEX('SCORING MASTER'!$D$128:$D$129,MATCH(BE61,'SCORING MASTER'!$C$128:$C$129,0)))*20,0))</f>
        <v/>
      </c>
      <c r="BM61" s="35" t="str">
        <f aca="false">IF(OR(BF61="",BG61="",BH61="",BI61="",BJ61="",BK61="",BL61=""),"",ROUND(BF61*0.25+BG61*0.2+BH61*0.15+BI61*0.15+BJ61*0.1+BK61*0.1+BL61*0.05,0))</f>
        <v/>
      </c>
      <c r="BN61" s="35" t="str">
        <f aca="false">IF(OR(BF61="",BG61=""),"",ROUND(BF61*0.5+BG61*0.5,0))</f>
        <v/>
      </c>
      <c r="BO61" s="35" t="str">
        <f aca="false">IF(BN61="","",ROUND(MIN(100,MAX(0,(100-BN61)+IF(AL61="Yes",15,0)+IF(AM61="Yes",15,0)+IF(AND(U61&lt;&gt;"",U61&lt;18.5),20,0))),0))</f>
        <v/>
      </c>
      <c r="BP61" s="32" t="str">
        <f aca="false">IF(BM61="","",IF(BM61&gt;=90,"Green - Healthy",IF(BM61&gt;=75,"Light Green - Mild Watch",IF(BM61&gt;=60,"Yellow - Mild Risk",IF(BM61&gt;=40,"Orange - Moderate Risk","Red - High Risk")))))</f>
        <v/>
      </c>
      <c r="BQ61" s="32" t="str">
        <f aca="false">IF(BM61="","",IF(OR(BM61&lt;60,BO61&gt;=60,AJ61="Yes"),"Yes","No"))</f>
        <v/>
      </c>
      <c r="BR61" s="32" t="str">
        <f aca="false">IF(BM61="","",IF(OR(BP61="Orange - Moderate Risk",BP61="Red - High Risk",BQ61="Yes"),"Yes","No"))</f>
        <v/>
      </c>
    </row>
    <row r="62" customFormat="false" ht="15" hidden="false" customHeight="false" outlineLevel="0" collapsed="false">
      <c r="A62" s="28" t="str">
        <f aca="false">IF(I62="","","STU"&amp;TEXT(ROW()-3,"000000"))</f>
        <v/>
      </c>
      <c r="B62" s="28"/>
      <c r="C62" s="28"/>
      <c r="D62" s="28"/>
      <c r="E62" s="28"/>
      <c r="F62" s="28"/>
      <c r="G62" s="28"/>
      <c r="H62" s="28"/>
      <c r="I62" s="28"/>
      <c r="J62" s="30"/>
      <c r="K62" s="28"/>
      <c r="L62" s="28"/>
      <c r="M62" s="28"/>
      <c r="N62" s="28"/>
      <c r="O62" s="28"/>
      <c r="P62" s="28"/>
      <c r="Q62" s="30"/>
      <c r="R62" s="30"/>
      <c r="S62" s="31" t="str">
        <f aca="false">IF(OR(Q62="",R62=""),"",ROUND(R62/((Q62/100)^2),1))</f>
        <v/>
      </c>
      <c r="T62" s="28" t="str">
        <f aca="false">IF(S62="","",IF(S62&lt;18.5,"Underweight",IF(S62&lt;25,"Normal",IF(S62&lt;30,"Overweight","Obese"))))</f>
        <v/>
      </c>
      <c r="U62" s="30"/>
      <c r="V62" s="30"/>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31" t="str">
        <f aca="false">IF(T62="","",IF(T62="Normal",100,IF(T62="Overweight",65,IF(T62="Obese",50,IF(AND(U62&lt;&gt;"",U62&lt;18.5),30,45)))))</f>
        <v/>
      </c>
      <c r="BG62" s="31" t="str">
        <f aca="false">IF(COUNTBLANK(W62:AC62)&gt;0,"",ROUND(AVERAGE(INDEX('SCORING MASTER'!$D$5:$D$7,MATCH(W62,'SCORING MASTER'!$C$5:$C$7,0)),INDEX('SCORING MASTER'!$D$9:$D$11,MATCH(X62,'SCORING MASTER'!$C$9:$C$11,0)),INDEX('SCORING MASTER'!$D$13:$D$15,MATCH(Y62,'SCORING MASTER'!$C$13:$C$15,0)),INDEX('SCORING MASTER'!$D$17:$D$19,MATCH(Z62,'SCORING MASTER'!$C$17:$C$19,0)),INDEX('SCORING MASTER'!$D$21:$D$23,MATCH(AA62,'SCORING MASTER'!$C$21:$C$23,0)),INDEX('SCORING MASTER'!$D$25:$D$27,MATCH(AB62,'SCORING MASTER'!$C$25:$C$27,0)),INDEX('SCORING MASTER'!$D$29:$D$31,MATCH(AC62,'SCORING MASTER'!$C$29:$C$31,0)))*20,0))</f>
        <v/>
      </c>
      <c r="BH62" s="31" t="str">
        <f aca="false">IF(COUNTBLANK(AD62:AI62)&gt;0,"",ROUND(AVERAGE(INDEX('SCORING MASTER'!$D$33:$D$35,MATCH(AD62,'SCORING MASTER'!$C$33:$C$35,0)),INDEX('SCORING MASTER'!$D$37:$D$39,MATCH(AE62,'SCORING MASTER'!$C$37:$C$39,0)),INDEX('SCORING MASTER'!$D$41:$D$43,MATCH(AF62,'SCORING MASTER'!$C$41:$C$43,0)),INDEX('SCORING MASTER'!$D$45:$D$47,MATCH(AG62,'SCORING MASTER'!$C$45:$C$47,0)),INDEX('SCORING MASTER'!$D$49:$D$52,MATCH(AH62,'SCORING MASTER'!$C$49:$C$52,0)),INDEX('SCORING MASTER'!$D$54:$D$57,MATCH(AI62,'SCORING MASTER'!$C$54:$C$57,0)))*20,0))</f>
        <v/>
      </c>
      <c r="BI62" s="31" t="str">
        <f aca="false">IF(COUNTBLANK(AJ62:AP62)&gt;0,"",ROUND(AVERAGE(INDEX('SCORING MASTER'!$D$59:$D$60,MATCH(AJ62,'SCORING MASTER'!$C$59:$C$60,0)),INDEX('SCORING MASTER'!$D$62:$D$63,MATCH(AK62,'SCORING MASTER'!$C$62:$C$63,0)),INDEX('SCORING MASTER'!$D$65:$D$66,MATCH(AL62,'SCORING MASTER'!$C$65:$C$66,0)),INDEX('SCORING MASTER'!$D$68:$D$69,MATCH(AM62,'SCORING MASTER'!$C$68:$C$69,0)),INDEX('SCORING MASTER'!$D$71:$D$72,MATCH(AN62,'SCORING MASTER'!$C$71:$C$72,0)),INDEX('SCORING MASTER'!$D$74:$D$75,MATCH(AO62,'SCORING MASTER'!$C$74:$C$75,0)),INDEX('SCORING MASTER'!$D$77:$D$78,MATCH(AP62,'SCORING MASTER'!$C$77:$C$78,0)))*20,0))</f>
        <v/>
      </c>
      <c r="BJ62" s="31" t="str">
        <f aca="false">IF(COUNTBLANK(AU62:AZ62)&gt;0,"",ROUND(AVERAGE(INDEX('SCORING MASTER'!$D$95:$D$96,MATCH(AU62,'SCORING MASTER'!$C$95:$C$96,0)),INDEX('SCORING MASTER'!$D$98:$D$99,MATCH(AV62,'SCORING MASTER'!$C$98:$C$99,0)),INDEX('SCORING MASTER'!$D$101:$D$102,MATCH(AW62,'SCORING MASTER'!$C$101:$C$102,0)),INDEX('SCORING MASTER'!$D$104:$D$105,MATCH(AX62,'SCORING MASTER'!$C$104:$C$105,0)),INDEX('SCORING MASTER'!$D$107:$D$108,MATCH(AY62,'SCORING MASTER'!$C$107:$C$108,0)),INDEX('SCORING MASTER'!$D$110:$D$111,MATCH(AZ62,'SCORING MASTER'!$C$110:$C$111,0)))*20,0))</f>
        <v/>
      </c>
      <c r="BK62" s="31" t="str">
        <f aca="false">IF(COUNTBLANK(AQ62:AT62)&gt;0,"",ROUND(AVERAGE(INDEX('SCORING MASTER'!$D$80:$D$82,MATCH(AQ62,'SCORING MASTER'!$C$80:$C$82,0)),INDEX('SCORING MASTER'!$D$84:$D$86,MATCH(AR62,'SCORING MASTER'!$C$84:$C$86,0)),INDEX('SCORING MASTER'!$D$88:$D$90,MATCH(AS62,'SCORING MASTER'!$C$88:$C$90,0)),INDEX('SCORING MASTER'!$D$92:$D$93,MATCH(AT62,'SCORING MASTER'!$C$92:$C$93,0)))*20,0))</f>
        <v/>
      </c>
      <c r="BL62" s="31" t="str">
        <f aca="false">IF(COUNTBLANK(BA62:BE62)&gt;0,"",ROUND(AVERAGE(INDEX('SCORING MASTER'!$D$113:$D$115,MATCH(BA62,'SCORING MASTER'!$C$113:$C$115,0)),INDEX('SCORING MASTER'!$D$117:$D$119,MATCH(BB62,'SCORING MASTER'!$C$117:$C$119,0)),INDEX('SCORING MASTER'!$D$121:$D$123,MATCH(BC62,'SCORING MASTER'!$C$121:$C$123,0)),INDEX('SCORING MASTER'!$D$125:$D$126,MATCH(BD62,'SCORING MASTER'!$C$125:$C$126,0)),INDEX('SCORING MASTER'!$D$128:$D$129,MATCH(BE62,'SCORING MASTER'!$C$128:$C$129,0)))*20,0))</f>
        <v/>
      </c>
      <c r="BM62" s="31" t="str">
        <f aca="false">IF(OR(BF62="",BG62="",BH62="",BI62="",BJ62="",BK62="",BL62=""),"",ROUND(BF62*0.25+BG62*0.2+BH62*0.15+BI62*0.15+BJ62*0.1+BK62*0.1+BL62*0.05,0))</f>
        <v/>
      </c>
      <c r="BN62" s="31" t="str">
        <f aca="false">IF(OR(BF62="",BG62=""),"",ROUND(BF62*0.5+BG62*0.5,0))</f>
        <v/>
      </c>
      <c r="BO62" s="31" t="str">
        <f aca="false">IF(BN62="","",ROUND(MIN(100,MAX(0,(100-BN62)+IF(AL62="Yes",15,0)+IF(AM62="Yes",15,0)+IF(AND(U62&lt;&gt;"",U62&lt;18.5),20,0))),0))</f>
        <v/>
      </c>
      <c r="BP62" s="28" t="str">
        <f aca="false">IF(BM62="","",IF(BM62&gt;=90,"Green - Healthy",IF(BM62&gt;=75,"Light Green - Mild Watch",IF(BM62&gt;=60,"Yellow - Mild Risk",IF(BM62&gt;=40,"Orange - Moderate Risk","Red - High Risk")))))</f>
        <v/>
      </c>
      <c r="BQ62" s="28" t="str">
        <f aca="false">IF(BM62="","",IF(OR(BM62&lt;60,BO62&gt;=60,AJ62="Yes"),"Yes","No"))</f>
        <v/>
      </c>
      <c r="BR62" s="28" t="str">
        <f aca="false">IF(BM62="","",IF(OR(BP62="Orange - Moderate Risk",BP62="Red - High Risk",BQ62="Yes"),"Yes","No"))</f>
        <v/>
      </c>
    </row>
    <row r="63" customFormat="false" ht="15" hidden="false" customHeight="false" outlineLevel="0" collapsed="false">
      <c r="A63" s="32" t="str">
        <f aca="false">IF(I63="","","STU"&amp;TEXT(ROW()-3,"000000"))</f>
        <v/>
      </c>
      <c r="B63" s="32"/>
      <c r="C63" s="32"/>
      <c r="D63" s="32"/>
      <c r="E63" s="32"/>
      <c r="F63" s="32"/>
      <c r="G63" s="32"/>
      <c r="H63" s="32"/>
      <c r="I63" s="32"/>
      <c r="J63" s="34"/>
      <c r="K63" s="32"/>
      <c r="L63" s="32"/>
      <c r="M63" s="32"/>
      <c r="N63" s="32"/>
      <c r="O63" s="32"/>
      <c r="P63" s="32"/>
      <c r="Q63" s="34"/>
      <c r="R63" s="34"/>
      <c r="S63" s="35" t="str">
        <f aca="false">IF(OR(Q63="",R63=""),"",ROUND(R63/((Q63/100)^2),1))</f>
        <v/>
      </c>
      <c r="T63" s="32" t="str">
        <f aca="false">IF(S63="","",IF(S63&lt;18.5,"Underweight",IF(S63&lt;25,"Normal",IF(S63&lt;30,"Overweight","Obese"))))</f>
        <v/>
      </c>
      <c r="U63" s="34"/>
      <c r="V63" s="34"/>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5" t="str">
        <f aca="false">IF(T63="","",IF(T63="Normal",100,IF(T63="Overweight",65,IF(T63="Obese",50,IF(AND(U63&lt;&gt;"",U63&lt;18.5),30,45)))))</f>
        <v/>
      </c>
      <c r="BG63" s="35" t="str">
        <f aca="false">IF(COUNTBLANK(W63:AC63)&gt;0,"",ROUND(AVERAGE(INDEX('SCORING MASTER'!$D$5:$D$7,MATCH(W63,'SCORING MASTER'!$C$5:$C$7,0)),INDEX('SCORING MASTER'!$D$9:$D$11,MATCH(X63,'SCORING MASTER'!$C$9:$C$11,0)),INDEX('SCORING MASTER'!$D$13:$D$15,MATCH(Y63,'SCORING MASTER'!$C$13:$C$15,0)),INDEX('SCORING MASTER'!$D$17:$D$19,MATCH(Z63,'SCORING MASTER'!$C$17:$C$19,0)),INDEX('SCORING MASTER'!$D$21:$D$23,MATCH(AA63,'SCORING MASTER'!$C$21:$C$23,0)),INDEX('SCORING MASTER'!$D$25:$D$27,MATCH(AB63,'SCORING MASTER'!$C$25:$C$27,0)),INDEX('SCORING MASTER'!$D$29:$D$31,MATCH(AC63,'SCORING MASTER'!$C$29:$C$31,0)))*20,0))</f>
        <v/>
      </c>
      <c r="BH63" s="35" t="str">
        <f aca="false">IF(COUNTBLANK(AD63:AI63)&gt;0,"",ROUND(AVERAGE(INDEX('SCORING MASTER'!$D$33:$D$35,MATCH(AD63,'SCORING MASTER'!$C$33:$C$35,0)),INDEX('SCORING MASTER'!$D$37:$D$39,MATCH(AE63,'SCORING MASTER'!$C$37:$C$39,0)),INDEX('SCORING MASTER'!$D$41:$D$43,MATCH(AF63,'SCORING MASTER'!$C$41:$C$43,0)),INDEX('SCORING MASTER'!$D$45:$D$47,MATCH(AG63,'SCORING MASTER'!$C$45:$C$47,0)),INDEX('SCORING MASTER'!$D$49:$D$52,MATCH(AH63,'SCORING MASTER'!$C$49:$C$52,0)),INDEX('SCORING MASTER'!$D$54:$D$57,MATCH(AI63,'SCORING MASTER'!$C$54:$C$57,0)))*20,0))</f>
        <v/>
      </c>
      <c r="BI63" s="35" t="str">
        <f aca="false">IF(COUNTBLANK(AJ63:AP63)&gt;0,"",ROUND(AVERAGE(INDEX('SCORING MASTER'!$D$59:$D$60,MATCH(AJ63,'SCORING MASTER'!$C$59:$C$60,0)),INDEX('SCORING MASTER'!$D$62:$D$63,MATCH(AK63,'SCORING MASTER'!$C$62:$C$63,0)),INDEX('SCORING MASTER'!$D$65:$D$66,MATCH(AL63,'SCORING MASTER'!$C$65:$C$66,0)),INDEX('SCORING MASTER'!$D$68:$D$69,MATCH(AM63,'SCORING MASTER'!$C$68:$C$69,0)),INDEX('SCORING MASTER'!$D$71:$D$72,MATCH(AN63,'SCORING MASTER'!$C$71:$C$72,0)),INDEX('SCORING MASTER'!$D$74:$D$75,MATCH(AO63,'SCORING MASTER'!$C$74:$C$75,0)),INDEX('SCORING MASTER'!$D$77:$D$78,MATCH(AP63,'SCORING MASTER'!$C$77:$C$78,0)))*20,0))</f>
        <v/>
      </c>
      <c r="BJ63" s="35" t="str">
        <f aca="false">IF(COUNTBLANK(AU63:AZ63)&gt;0,"",ROUND(AVERAGE(INDEX('SCORING MASTER'!$D$95:$D$96,MATCH(AU63,'SCORING MASTER'!$C$95:$C$96,0)),INDEX('SCORING MASTER'!$D$98:$D$99,MATCH(AV63,'SCORING MASTER'!$C$98:$C$99,0)),INDEX('SCORING MASTER'!$D$101:$D$102,MATCH(AW63,'SCORING MASTER'!$C$101:$C$102,0)),INDEX('SCORING MASTER'!$D$104:$D$105,MATCH(AX63,'SCORING MASTER'!$C$104:$C$105,0)),INDEX('SCORING MASTER'!$D$107:$D$108,MATCH(AY63,'SCORING MASTER'!$C$107:$C$108,0)),INDEX('SCORING MASTER'!$D$110:$D$111,MATCH(AZ63,'SCORING MASTER'!$C$110:$C$111,0)))*20,0))</f>
        <v/>
      </c>
      <c r="BK63" s="35" t="str">
        <f aca="false">IF(COUNTBLANK(AQ63:AT63)&gt;0,"",ROUND(AVERAGE(INDEX('SCORING MASTER'!$D$80:$D$82,MATCH(AQ63,'SCORING MASTER'!$C$80:$C$82,0)),INDEX('SCORING MASTER'!$D$84:$D$86,MATCH(AR63,'SCORING MASTER'!$C$84:$C$86,0)),INDEX('SCORING MASTER'!$D$88:$D$90,MATCH(AS63,'SCORING MASTER'!$C$88:$C$90,0)),INDEX('SCORING MASTER'!$D$92:$D$93,MATCH(AT63,'SCORING MASTER'!$C$92:$C$93,0)))*20,0))</f>
        <v/>
      </c>
      <c r="BL63" s="35" t="str">
        <f aca="false">IF(COUNTBLANK(BA63:BE63)&gt;0,"",ROUND(AVERAGE(INDEX('SCORING MASTER'!$D$113:$D$115,MATCH(BA63,'SCORING MASTER'!$C$113:$C$115,0)),INDEX('SCORING MASTER'!$D$117:$D$119,MATCH(BB63,'SCORING MASTER'!$C$117:$C$119,0)),INDEX('SCORING MASTER'!$D$121:$D$123,MATCH(BC63,'SCORING MASTER'!$C$121:$C$123,0)),INDEX('SCORING MASTER'!$D$125:$D$126,MATCH(BD63,'SCORING MASTER'!$C$125:$C$126,0)),INDEX('SCORING MASTER'!$D$128:$D$129,MATCH(BE63,'SCORING MASTER'!$C$128:$C$129,0)))*20,0))</f>
        <v/>
      </c>
      <c r="BM63" s="35" t="str">
        <f aca="false">IF(OR(BF63="",BG63="",BH63="",BI63="",BJ63="",BK63="",BL63=""),"",ROUND(BF63*0.25+BG63*0.2+BH63*0.15+BI63*0.15+BJ63*0.1+BK63*0.1+BL63*0.05,0))</f>
        <v/>
      </c>
      <c r="BN63" s="35" t="str">
        <f aca="false">IF(OR(BF63="",BG63=""),"",ROUND(BF63*0.5+BG63*0.5,0))</f>
        <v/>
      </c>
      <c r="BO63" s="35" t="str">
        <f aca="false">IF(BN63="","",ROUND(MIN(100,MAX(0,(100-BN63)+IF(AL63="Yes",15,0)+IF(AM63="Yes",15,0)+IF(AND(U63&lt;&gt;"",U63&lt;18.5),20,0))),0))</f>
        <v/>
      </c>
      <c r="BP63" s="32" t="str">
        <f aca="false">IF(BM63="","",IF(BM63&gt;=90,"Green - Healthy",IF(BM63&gt;=75,"Light Green - Mild Watch",IF(BM63&gt;=60,"Yellow - Mild Risk",IF(BM63&gt;=40,"Orange - Moderate Risk","Red - High Risk")))))</f>
        <v/>
      </c>
      <c r="BQ63" s="32" t="str">
        <f aca="false">IF(BM63="","",IF(OR(BM63&lt;60,BO63&gt;=60,AJ63="Yes"),"Yes","No"))</f>
        <v/>
      </c>
      <c r="BR63" s="32" t="str">
        <f aca="false">IF(BM63="","",IF(OR(BP63="Orange - Moderate Risk",BP63="Red - High Risk",BQ63="Yes"),"Yes","No"))</f>
        <v/>
      </c>
    </row>
    <row r="64" customFormat="false" ht="15" hidden="false" customHeight="false" outlineLevel="0" collapsed="false">
      <c r="A64" s="28" t="str">
        <f aca="false">IF(I64="","","STU"&amp;TEXT(ROW()-3,"000000"))</f>
        <v/>
      </c>
      <c r="B64" s="28"/>
      <c r="C64" s="28"/>
      <c r="D64" s="28"/>
      <c r="E64" s="28"/>
      <c r="F64" s="28"/>
      <c r="G64" s="28"/>
      <c r="H64" s="28"/>
      <c r="I64" s="28"/>
      <c r="J64" s="30"/>
      <c r="K64" s="28"/>
      <c r="L64" s="28"/>
      <c r="M64" s="28"/>
      <c r="N64" s="28"/>
      <c r="O64" s="28"/>
      <c r="P64" s="28"/>
      <c r="Q64" s="30"/>
      <c r="R64" s="30"/>
      <c r="S64" s="31" t="str">
        <f aca="false">IF(OR(Q64="",R64=""),"",ROUND(R64/((Q64/100)^2),1))</f>
        <v/>
      </c>
      <c r="T64" s="28" t="str">
        <f aca="false">IF(S64="","",IF(S64&lt;18.5,"Underweight",IF(S64&lt;25,"Normal",IF(S64&lt;30,"Overweight","Obese"))))</f>
        <v/>
      </c>
      <c r="U64" s="30"/>
      <c r="V64" s="30"/>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31" t="str">
        <f aca="false">IF(T64="","",IF(T64="Normal",100,IF(T64="Overweight",65,IF(T64="Obese",50,IF(AND(U64&lt;&gt;"",U64&lt;18.5),30,45)))))</f>
        <v/>
      </c>
      <c r="BG64" s="31" t="str">
        <f aca="false">IF(COUNTBLANK(W64:AC64)&gt;0,"",ROUND(AVERAGE(INDEX('SCORING MASTER'!$D$5:$D$7,MATCH(W64,'SCORING MASTER'!$C$5:$C$7,0)),INDEX('SCORING MASTER'!$D$9:$D$11,MATCH(X64,'SCORING MASTER'!$C$9:$C$11,0)),INDEX('SCORING MASTER'!$D$13:$D$15,MATCH(Y64,'SCORING MASTER'!$C$13:$C$15,0)),INDEX('SCORING MASTER'!$D$17:$D$19,MATCH(Z64,'SCORING MASTER'!$C$17:$C$19,0)),INDEX('SCORING MASTER'!$D$21:$D$23,MATCH(AA64,'SCORING MASTER'!$C$21:$C$23,0)),INDEX('SCORING MASTER'!$D$25:$D$27,MATCH(AB64,'SCORING MASTER'!$C$25:$C$27,0)),INDEX('SCORING MASTER'!$D$29:$D$31,MATCH(AC64,'SCORING MASTER'!$C$29:$C$31,0)))*20,0))</f>
        <v/>
      </c>
      <c r="BH64" s="31" t="str">
        <f aca="false">IF(COUNTBLANK(AD64:AI64)&gt;0,"",ROUND(AVERAGE(INDEX('SCORING MASTER'!$D$33:$D$35,MATCH(AD64,'SCORING MASTER'!$C$33:$C$35,0)),INDEX('SCORING MASTER'!$D$37:$D$39,MATCH(AE64,'SCORING MASTER'!$C$37:$C$39,0)),INDEX('SCORING MASTER'!$D$41:$D$43,MATCH(AF64,'SCORING MASTER'!$C$41:$C$43,0)),INDEX('SCORING MASTER'!$D$45:$D$47,MATCH(AG64,'SCORING MASTER'!$C$45:$C$47,0)),INDEX('SCORING MASTER'!$D$49:$D$52,MATCH(AH64,'SCORING MASTER'!$C$49:$C$52,0)),INDEX('SCORING MASTER'!$D$54:$D$57,MATCH(AI64,'SCORING MASTER'!$C$54:$C$57,0)))*20,0))</f>
        <v/>
      </c>
      <c r="BI64" s="31" t="str">
        <f aca="false">IF(COUNTBLANK(AJ64:AP64)&gt;0,"",ROUND(AVERAGE(INDEX('SCORING MASTER'!$D$59:$D$60,MATCH(AJ64,'SCORING MASTER'!$C$59:$C$60,0)),INDEX('SCORING MASTER'!$D$62:$D$63,MATCH(AK64,'SCORING MASTER'!$C$62:$C$63,0)),INDEX('SCORING MASTER'!$D$65:$D$66,MATCH(AL64,'SCORING MASTER'!$C$65:$C$66,0)),INDEX('SCORING MASTER'!$D$68:$D$69,MATCH(AM64,'SCORING MASTER'!$C$68:$C$69,0)),INDEX('SCORING MASTER'!$D$71:$D$72,MATCH(AN64,'SCORING MASTER'!$C$71:$C$72,0)),INDEX('SCORING MASTER'!$D$74:$D$75,MATCH(AO64,'SCORING MASTER'!$C$74:$C$75,0)),INDEX('SCORING MASTER'!$D$77:$D$78,MATCH(AP64,'SCORING MASTER'!$C$77:$C$78,0)))*20,0))</f>
        <v/>
      </c>
      <c r="BJ64" s="31" t="str">
        <f aca="false">IF(COUNTBLANK(AU64:AZ64)&gt;0,"",ROUND(AVERAGE(INDEX('SCORING MASTER'!$D$95:$D$96,MATCH(AU64,'SCORING MASTER'!$C$95:$C$96,0)),INDEX('SCORING MASTER'!$D$98:$D$99,MATCH(AV64,'SCORING MASTER'!$C$98:$C$99,0)),INDEX('SCORING MASTER'!$D$101:$D$102,MATCH(AW64,'SCORING MASTER'!$C$101:$C$102,0)),INDEX('SCORING MASTER'!$D$104:$D$105,MATCH(AX64,'SCORING MASTER'!$C$104:$C$105,0)),INDEX('SCORING MASTER'!$D$107:$D$108,MATCH(AY64,'SCORING MASTER'!$C$107:$C$108,0)),INDEX('SCORING MASTER'!$D$110:$D$111,MATCH(AZ64,'SCORING MASTER'!$C$110:$C$111,0)))*20,0))</f>
        <v/>
      </c>
      <c r="BK64" s="31" t="str">
        <f aca="false">IF(COUNTBLANK(AQ64:AT64)&gt;0,"",ROUND(AVERAGE(INDEX('SCORING MASTER'!$D$80:$D$82,MATCH(AQ64,'SCORING MASTER'!$C$80:$C$82,0)),INDEX('SCORING MASTER'!$D$84:$D$86,MATCH(AR64,'SCORING MASTER'!$C$84:$C$86,0)),INDEX('SCORING MASTER'!$D$88:$D$90,MATCH(AS64,'SCORING MASTER'!$C$88:$C$90,0)),INDEX('SCORING MASTER'!$D$92:$D$93,MATCH(AT64,'SCORING MASTER'!$C$92:$C$93,0)))*20,0))</f>
        <v/>
      </c>
      <c r="BL64" s="31" t="str">
        <f aca="false">IF(COUNTBLANK(BA64:BE64)&gt;0,"",ROUND(AVERAGE(INDEX('SCORING MASTER'!$D$113:$D$115,MATCH(BA64,'SCORING MASTER'!$C$113:$C$115,0)),INDEX('SCORING MASTER'!$D$117:$D$119,MATCH(BB64,'SCORING MASTER'!$C$117:$C$119,0)),INDEX('SCORING MASTER'!$D$121:$D$123,MATCH(BC64,'SCORING MASTER'!$C$121:$C$123,0)),INDEX('SCORING MASTER'!$D$125:$D$126,MATCH(BD64,'SCORING MASTER'!$C$125:$C$126,0)),INDEX('SCORING MASTER'!$D$128:$D$129,MATCH(BE64,'SCORING MASTER'!$C$128:$C$129,0)))*20,0))</f>
        <v/>
      </c>
      <c r="BM64" s="31" t="str">
        <f aca="false">IF(OR(BF64="",BG64="",BH64="",BI64="",BJ64="",BK64="",BL64=""),"",ROUND(BF64*0.25+BG64*0.2+BH64*0.15+BI64*0.15+BJ64*0.1+BK64*0.1+BL64*0.05,0))</f>
        <v/>
      </c>
      <c r="BN64" s="31" t="str">
        <f aca="false">IF(OR(BF64="",BG64=""),"",ROUND(BF64*0.5+BG64*0.5,0))</f>
        <v/>
      </c>
      <c r="BO64" s="31" t="str">
        <f aca="false">IF(BN64="","",ROUND(MIN(100,MAX(0,(100-BN64)+IF(AL64="Yes",15,0)+IF(AM64="Yes",15,0)+IF(AND(U64&lt;&gt;"",U64&lt;18.5),20,0))),0))</f>
        <v/>
      </c>
      <c r="BP64" s="28" t="str">
        <f aca="false">IF(BM64="","",IF(BM64&gt;=90,"Green - Healthy",IF(BM64&gt;=75,"Light Green - Mild Watch",IF(BM64&gt;=60,"Yellow - Mild Risk",IF(BM64&gt;=40,"Orange - Moderate Risk","Red - High Risk")))))</f>
        <v/>
      </c>
      <c r="BQ64" s="28" t="str">
        <f aca="false">IF(BM64="","",IF(OR(BM64&lt;60,BO64&gt;=60,AJ64="Yes"),"Yes","No"))</f>
        <v/>
      </c>
      <c r="BR64" s="28" t="str">
        <f aca="false">IF(BM64="","",IF(OR(BP64="Orange - Moderate Risk",BP64="Red - High Risk",BQ64="Yes"),"Yes","No"))</f>
        <v/>
      </c>
    </row>
    <row r="65" customFormat="false" ht="15" hidden="false" customHeight="false" outlineLevel="0" collapsed="false">
      <c r="A65" s="32" t="str">
        <f aca="false">IF(I65="","","STU"&amp;TEXT(ROW()-3,"000000"))</f>
        <v/>
      </c>
      <c r="B65" s="32"/>
      <c r="C65" s="32"/>
      <c r="D65" s="32"/>
      <c r="E65" s="32"/>
      <c r="F65" s="32"/>
      <c r="G65" s="32"/>
      <c r="H65" s="32"/>
      <c r="I65" s="32"/>
      <c r="J65" s="34"/>
      <c r="K65" s="32"/>
      <c r="L65" s="32"/>
      <c r="M65" s="32"/>
      <c r="N65" s="32"/>
      <c r="O65" s="32"/>
      <c r="P65" s="32"/>
      <c r="Q65" s="34"/>
      <c r="R65" s="34"/>
      <c r="S65" s="35" t="str">
        <f aca="false">IF(OR(Q65="",R65=""),"",ROUND(R65/((Q65/100)^2),1))</f>
        <v/>
      </c>
      <c r="T65" s="32" t="str">
        <f aca="false">IF(S65="","",IF(S65&lt;18.5,"Underweight",IF(S65&lt;25,"Normal",IF(S65&lt;30,"Overweight","Obese"))))</f>
        <v/>
      </c>
      <c r="U65" s="34"/>
      <c r="V65" s="34"/>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5" t="str">
        <f aca="false">IF(T65="","",IF(T65="Normal",100,IF(T65="Overweight",65,IF(T65="Obese",50,IF(AND(U65&lt;&gt;"",U65&lt;18.5),30,45)))))</f>
        <v/>
      </c>
      <c r="BG65" s="35" t="str">
        <f aca="false">IF(COUNTBLANK(W65:AC65)&gt;0,"",ROUND(AVERAGE(INDEX('SCORING MASTER'!$D$5:$D$7,MATCH(W65,'SCORING MASTER'!$C$5:$C$7,0)),INDEX('SCORING MASTER'!$D$9:$D$11,MATCH(X65,'SCORING MASTER'!$C$9:$C$11,0)),INDEX('SCORING MASTER'!$D$13:$D$15,MATCH(Y65,'SCORING MASTER'!$C$13:$C$15,0)),INDEX('SCORING MASTER'!$D$17:$D$19,MATCH(Z65,'SCORING MASTER'!$C$17:$C$19,0)),INDEX('SCORING MASTER'!$D$21:$D$23,MATCH(AA65,'SCORING MASTER'!$C$21:$C$23,0)),INDEX('SCORING MASTER'!$D$25:$D$27,MATCH(AB65,'SCORING MASTER'!$C$25:$C$27,0)),INDEX('SCORING MASTER'!$D$29:$D$31,MATCH(AC65,'SCORING MASTER'!$C$29:$C$31,0)))*20,0))</f>
        <v/>
      </c>
      <c r="BH65" s="35" t="str">
        <f aca="false">IF(COUNTBLANK(AD65:AI65)&gt;0,"",ROUND(AVERAGE(INDEX('SCORING MASTER'!$D$33:$D$35,MATCH(AD65,'SCORING MASTER'!$C$33:$C$35,0)),INDEX('SCORING MASTER'!$D$37:$D$39,MATCH(AE65,'SCORING MASTER'!$C$37:$C$39,0)),INDEX('SCORING MASTER'!$D$41:$D$43,MATCH(AF65,'SCORING MASTER'!$C$41:$C$43,0)),INDEX('SCORING MASTER'!$D$45:$D$47,MATCH(AG65,'SCORING MASTER'!$C$45:$C$47,0)),INDEX('SCORING MASTER'!$D$49:$D$52,MATCH(AH65,'SCORING MASTER'!$C$49:$C$52,0)),INDEX('SCORING MASTER'!$D$54:$D$57,MATCH(AI65,'SCORING MASTER'!$C$54:$C$57,0)))*20,0))</f>
        <v/>
      </c>
      <c r="BI65" s="35" t="str">
        <f aca="false">IF(COUNTBLANK(AJ65:AP65)&gt;0,"",ROUND(AVERAGE(INDEX('SCORING MASTER'!$D$59:$D$60,MATCH(AJ65,'SCORING MASTER'!$C$59:$C$60,0)),INDEX('SCORING MASTER'!$D$62:$D$63,MATCH(AK65,'SCORING MASTER'!$C$62:$C$63,0)),INDEX('SCORING MASTER'!$D$65:$D$66,MATCH(AL65,'SCORING MASTER'!$C$65:$C$66,0)),INDEX('SCORING MASTER'!$D$68:$D$69,MATCH(AM65,'SCORING MASTER'!$C$68:$C$69,0)),INDEX('SCORING MASTER'!$D$71:$D$72,MATCH(AN65,'SCORING MASTER'!$C$71:$C$72,0)),INDEX('SCORING MASTER'!$D$74:$D$75,MATCH(AO65,'SCORING MASTER'!$C$74:$C$75,0)),INDEX('SCORING MASTER'!$D$77:$D$78,MATCH(AP65,'SCORING MASTER'!$C$77:$C$78,0)))*20,0))</f>
        <v/>
      </c>
      <c r="BJ65" s="35" t="str">
        <f aca="false">IF(COUNTBLANK(AU65:AZ65)&gt;0,"",ROUND(AVERAGE(INDEX('SCORING MASTER'!$D$95:$D$96,MATCH(AU65,'SCORING MASTER'!$C$95:$C$96,0)),INDEX('SCORING MASTER'!$D$98:$D$99,MATCH(AV65,'SCORING MASTER'!$C$98:$C$99,0)),INDEX('SCORING MASTER'!$D$101:$D$102,MATCH(AW65,'SCORING MASTER'!$C$101:$C$102,0)),INDEX('SCORING MASTER'!$D$104:$D$105,MATCH(AX65,'SCORING MASTER'!$C$104:$C$105,0)),INDEX('SCORING MASTER'!$D$107:$D$108,MATCH(AY65,'SCORING MASTER'!$C$107:$C$108,0)),INDEX('SCORING MASTER'!$D$110:$D$111,MATCH(AZ65,'SCORING MASTER'!$C$110:$C$111,0)))*20,0))</f>
        <v/>
      </c>
      <c r="BK65" s="35" t="str">
        <f aca="false">IF(COUNTBLANK(AQ65:AT65)&gt;0,"",ROUND(AVERAGE(INDEX('SCORING MASTER'!$D$80:$D$82,MATCH(AQ65,'SCORING MASTER'!$C$80:$C$82,0)),INDEX('SCORING MASTER'!$D$84:$D$86,MATCH(AR65,'SCORING MASTER'!$C$84:$C$86,0)),INDEX('SCORING MASTER'!$D$88:$D$90,MATCH(AS65,'SCORING MASTER'!$C$88:$C$90,0)),INDEX('SCORING MASTER'!$D$92:$D$93,MATCH(AT65,'SCORING MASTER'!$C$92:$C$93,0)))*20,0))</f>
        <v/>
      </c>
      <c r="BL65" s="35" t="str">
        <f aca="false">IF(COUNTBLANK(BA65:BE65)&gt;0,"",ROUND(AVERAGE(INDEX('SCORING MASTER'!$D$113:$D$115,MATCH(BA65,'SCORING MASTER'!$C$113:$C$115,0)),INDEX('SCORING MASTER'!$D$117:$D$119,MATCH(BB65,'SCORING MASTER'!$C$117:$C$119,0)),INDEX('SCORING MASTER'!$D$121:$D$123,MATCH(BC65,'SCORING MASTER'!$C$121:$C$123,0)),INDEX('SCORING MASTER'!$D$125:$D$126,MATCH(BD65,'SCORING MASTER'!$C$125:$C$126,0)),INDEX('SCORING MASTER'!$D$128:$D$129,MATCH(BE65,'SCORING MASTER'!$C$128:$C$129,0)))*20,0))</f>
        <v/>
      </c>
      <c r="BM65" s="35" t="str">
        <f aca="false">IF(OR(BF65="",BG65="",BH65="",BI65="",BJ65="",BK65="",BL65=""),"",ROUND(BF65*0.25+BG65*0.2+BH65*0.15+BI65*0.15+BJ65*0.1+BK65*0.1+BL65*0.05,0))</f>
        <v/>
      </c>
      <c r="BN65" s="35" t="str">
        <f aca="false">IF(OR(BF65="",BG65=""),"",ROUND(BF65*0.5+BG65*0.5,0))</f>
        <v/>
      </c>
      <c r="BO65" s="35" t="str">
        <f aca="false">IF(BN65="","",ROUND(MIN(100,MAX(0,(100-BN65)+IF(AL65="Yes",15,0)+IF(AM65="Yes",15,0)+IF(AND(U65&lt;&gt;"",U65&lt;18.5),20,0))),0))</f>
        <v/>
      </c>
      <c r="BP65" s="32" t="str">
        <f aca="false">IF(BM65="","",IF(BM65&gt;=90,"Green - Healthy",IF(BM65&gt;=75,"Light Green - Mild Watch",IF(BM65&gt;=60,"Yellow - Mild Risk",IF(BM65&gt;=40,"Orange - Moderate Risk","Red - High Risk")))))</f>
        <v/>
      </c>
      <c r="BQ65" s="32" t="str">
        <f aca="false">IF(BM65="","",IF(OR(BM65&lt;60,BO65&gt;=60,AJ65="Yes"),"Yes","No"))</f>
        <v/>
      </c>
      <c r="BR65" s="32" t="str">
        <f aca="false">IF(BM65="","",IF(OR(BP65="Orange - Moderate Risk",BP65="Red - High Risk",BQ65="Yes"),"Yes","No"))</f>
        <v/>
      </c>
    </row>
    <row r="66" customFormat="false" ht="15" hidden="false" customHeight="false" outlineLevel="0" collapsed="false">
      <c r="A66" s="28" t="str">
        <f aca="false">IF(I66="","","STU"&amp;TEXT(ROW()-3,"000000"))</f>
        <v/>
      </c>
      <c r="B66" s="28"/>
      <c r="C66" s="28"/>
      <c r="D66" s="28"/>
      <c r="E66" s="28"/>
      <c r="F66" s="28"/>
      <c r="G66" s="28"/>
      <c r="H66" s="28"/>
      <c r="I66" s="28"/>
      <c r="J66" s="30"/>
      <c r="K66" s="28"/>
      <c r="L66" s="28"/>
      <c r="M66" s="28"/>
      <c r="N66" s="28"/>
      <c r="O66" s="28"/>
      <c r="P66" s="28"/>
      <c r="Q66" s="30"/>
      <c r="R66" s="30"/>
      <c r="S66" s="31" t="str">
        <f aca="false">IF(OR(Q66="",R66=""),"",ROUND(R66/((Q66/100)^2),1))</f>
        <v/>
      </c>
      <c r="T66" s="28" t="str">
        <f aca="false">IF(S66="","",IF(S66&lt;18.5,"Underweight",IF(S66&lt;25,"Normal",IF(S66&lt;30,"Overweight","Obese"))))</f>
        <v/>
      </c>
      <c r="U66" s="30"/>
      <c r="V66" s="30"/>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31" t="str">
        <f aca="false">IF(T66="","",IF(T66="Normal",100,IF(T66="Overweight",65,IF(T66="Obese",50,IF(AND(U66&lt;&gt;"",U66&lt;18.5),30,45)))))</f>
        <v/>
      </c>
      <c r="BG66" s="31" t="str">
        <f aca="false">IF(COUNTBLANK(W66:AC66)&gt;0,"",ROUND(AVERAGE(INDEX('SCORING MASTER'!$D$5:$D$7,MATCH(W66,'SCORING MASTER'!$C$5:$C$7,0)),INDEX('SCORING MASTER'!$D$9:$D$11,MATCH(X66,'SCORING MASTER'!$C$9:$C$11,0)),INDEX('SCORING MASTER'!$D$13:$D$15,MATCH(Y66,'SCORING MASTER'!$C$13:$C$15,0)),INDEX('SCORING MASTER'!$D$17:$D$19,MATCH(Z66,'SCORING MASTER'!$C$17:$C$19,0)),INDEX('SCORING MASTER'!$D$21:$D$23,MATCH(AA66,'SCORING MASTER'!$C$21:$C$23,0)),INDEX('SCORING MASTER'!$D$25:$D$27,MATCH(AB66,'SCORING MASTER'!$C$25:$C$27,0)),INDEX('SCORING MASTER'!$D$29:$D$31,MATCH(AC66,'SCORING MASTER'!$C$29:$C$31,0)))*20,0))</f>
        <v/>
      </c>
      <c r="BH66" s="31" t="str">
        <f aca="false">IF(COUNTBLANK(AD66:AI66)&gt;0,"",ROUND(AVERAGE(INDEX('SCORING MASTER'!$D$33:$D$35,MATCH(AD66,'SCORING MASTER'!$C$33:$C$35,0)),INDEX('SCORING MASTER'!$D$37:$D$39,MATCH(AE66,'SCORING MASTER'!$C$37:$C$39,0)),INDEX('SCORING MASTER'!$D$41:$D$43,MATCH(AF66,'SCORING MASTER'!$C$41:$C$43,0)),INDEX('SCORING MASTER'!$D$45:$D$47,MATCH(AG66,'SCORING MASTER'!$C$45:$C$47,0)),INDEX('SCORING MASTER'!$D$49:$D$52,MATCH(AH66,'SCORING MASTER'!$C$49:$C$52,0)),INDEX('SCORING MASTER'!$D$54:$D$57,MATCH(AI66,'SCORING MASTER'!$C$54:$C$57,0)))*20,0))</f>
        <v/>
      </c>
      <c r="BI66" s="31" t="str">
        <f aca="false">IF(COUNTBLANK(AJ66:AP66)&gt;0,"",ROUND(AVERAGE(INDEX('SCORING MASTER'!$D$59:$D$60,MATCH(AJ66,'SCORING MASTER'!$C$59:$C$60,0)),INDEX('SCORING MASTER'!$D$62:$D$63,MATCH(AK66,'SCORING MASTER'!$C$62:$C$63,0)),INDEX('SCORING MASTER'!$D$65:$D$66,MATCH(AL66,'SCORING MASTER'!$C$65:$C$66,0)),INDEX('SCORING MASTER'!$D$68:$D$69,MATCH(AM66,'SCORING MASTER'!$C$68:$C$69,0)),INDEX('SCORING MASTER'!$D$71:$D$72,MATCH(AN66,'SCORING MASTER'!$C$71:$C$72,0)),INDEX('SCORING MASTER'!$D$74:$D$75,MATCH(AO66,'SCORING MASTER'!$C$74:$C$75,0)),INDEX('SCORING MASTER'!$D$77:$D$78,MATCH(AP66,'SCORING MASTER'!$C$77:$C$78,0)))*20,0))</f>
        <v/>
      </c>
      <c r="BJ66" s="31" t="str">
        <f aca="false">IF(COUNTBLANK(AU66:AZ66)&gt;0,"",ROUND(AVERAGE(INDEX('SCORING MASTER'!$D$95:$D$96,MATCH(AU66,'SCORING MASTER'!$C$95:$C$96,0)),INDEX('SCORING MASTER'!$D$98:$D$99,MATCH(AV66,'SCORING MASTER'!$C$98:$C$99,0)),INDEX('SCORING MASTER'!$D$101:$D$102,MATCH(AW66,'SCORING MASTER'!$C$101:$C$102,0)),INDEX('SCORING MASTER'!$D$104:$D$105,MATCH(AX66,'SCORING MASTER'!$C$104:$C$105,0)),INDEX('SCORING MASTER'!$D$107:$D$108,MATCH(AY66,'SCORING MASTER'!$C$107:$C$108,0)),INDEX('SCORING MASTER'!$D$110:$D$111,MATCH(AZ66,'SCORING MASTER'!$C$110:$C$111,0)))*20,0))</f>
        <v/>
      </c>
      <c r="BK66" s="31" t="str">
        <f aca="false">IF(COUNTBLANK(AQ66:AT66)&gt;0,"",ROUND(AVERAGE(INDEX('SCORING MASTER'!$D$80:$D$82,MATCH(AQ66,'SCORING MASTER'!$C$80:$C$82,0)),INDEX('SCORING MASTER'!$D$84:$D$86,MATCH(AR66,'SCORING MASTER'!$C$84:$C$86,0)),INDEX('SCORING MASTER'!$D$88:$D$90,MATCH(AS66,'SCORING MASTER'!$C$88:$C$90,0)),INDEX('SCORING MASTER'!$D$92:$D$93,MATCH(AT66,'SCORING MASTER'!$C$92:$C$93,0)))*20,0))</f>
        <v/>
      </c>
      <c r="BL66" s="31" t="str">
        <f aca="false">IF(COUNTBLANK(BA66:BE66)&gt;0,"",ROUND(AVERAGE(INDEX('SCORING MASTER'!$D$113:$D$115,MATCH(BA66,'SCORING MASTER'!$C$113:$C$115,0)),INDEX('SCORING MASTER'!$D$117:$D$119,MATCH(BB66,'SCORING MASTER'!$C$117:$C$119,0)),INDEX('SCORING MASTER'!$D$121:$D$123,MATCH(BC66,'SCORING MASTER'!$C$121:$C$123,0)),INDEX('SCORING MASTER'!$D$125:$D$126,MATCH(BD66,'SCORING MASTER'!$C$125:$C$126,0)),INDEX('SCORING MASTER'!$D$128:$D$129,MATCH(BE66,'SCORING MASTER'!$C$128:$C$129,0)))*20,0))</f>
        <v/>
      </c>
      <c r="BM66" s="31" t="str">
        <f aca="false">IF(OR(BF66="",BG66="",BH66="",BI66="",BJ66="",BK66="",BL66=""),"",ROUND(BF66*0.25+BG66*0.2+BH66*0.15+BI66*0.15+BJ66*0.1+BK66*0.1+BL66*0.05,0))</f>
        <v/>
      </c>
      <c r="BN66" s="31" t="str">
        <f aca="false">IF(OR(BF66="",BG66=""),"",ROUND(BF66*0.5+BG66*0.5,0))</f>
        <v/>
      </c>
      <c r="BO66" s="31" t="str">
        <f aca="false">IF(BN66="","",ROUND(MIN(100,MAX(0,(100-BN66)+IF(AL66="Yes",15,0)+IF(AM66="Yes",15,0)+IF(AND(U66&lt;&gt;"",U66&lt;18.5),20,0))),0))</f>
        <v/>
      </c>
      <c r="BP66" s="28" t="str">
        <f aca="false">IF(BM66="","",IF(BM66&gt;=90,"Green - Healthy",IF(BM66&gt;=75,"Light Green - Mild Watch",IF(BM66&gt;=60,"Yellow - Mild Risk",IF(BM66&gt;=40,"Orange - Moderate Risk","Red - High Risk")))))</f>
        <v/>
      </c>
      <c r="BQ66" s="28" t="str">
        <f aca="false">IF(BM66="","",IF(OR(BM66&lt;60,BO66&gt;=60,AJ66="Yes"),"Yes","No"))</f>
        <v/>
      </c>
      <c r="BR66" s="28" t="str">
        <f aca="false">IF(BM66="","",IF(OR(BP66="Orange - Moderate Risk",BP66="Red - High Risk",BQ66="Yes"),"Yes","No"))</f>
        <v/>
      </c>
    </row>
    <row r="67" customFormat="false" ht="15" hidden="false" customHeight="false" outlineLevel="0" collapsed="false">
      <c r="A67" s="32" t="str">
        <f aca="false">IF(I67="","","STU"&amp;TEXT(ROW()-3,"000000"))</f>
        <v/>
      </c>
      <c r="B67" s="32"/>
      <c r="C67" s="32"/>
      <c r="D67" s="32"/>
      <c r="E67" s="32"/>
      <c r="F67" s="32"/>
      <c r="G67" s="32"/>
      <c r="H67" s="32"/>
      <c r="I67" s="32"/>
      <c r="J67" s="34"/>
      <c r="K67" s="32"/>
      <c r="L67" s="32"/>
      <c r="M67" s="32"/>
      <c r="N67" s="32"/>
      <c r="O67" s="32"/>
      <c r="P67" s="32"/>
      <c r="Q67" s="34"/>
      <c r="R67" s="34"/>
      <c r="S67" s="35" t="str">
        <f aca="false">IF(OR(Q67="",R67=""),"",ROUND(R67/((Q67/100)^2),1))</f>
        <v/>
      </c>
      <c r="T67" s="32" t="str">
        <f aca="false">IF(S67="","",IF(S67&lt;18.5,"Underweight",IF(S67&lt;25,"Normal",IF(S67&lt;30,"Overweight","Obese"))))</f>
        <v/>
      </c>
      <c r="U67" s="34"/>
      <c r="V67" s="34"/>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5" t="str">
        <f aca="false">IF(T67="","",IF(T67="Normal",100,IF(T67="Overweight",65,IF(T67="Obese",50,IF(AND(U67&lt;&gt;"",U67&lt;18.5),30,45)))))</f>
        <v/>
      </c>
      <c r="BG67" s="35" t="str">
        <f aca="false">IF(COUNTBLANK(W67:AC67)&gt;0,"",ROUND(AVERAGE(INDEX('SCORING MASTER'!$D$5:$D$7,MATCH(W67,'SCORING MASTER'!$C$5:$C$7,0)),INDEX('SCORING MASTER'!$D$9:$D$11,MATCH(X67,'SCORING MASTER'!$C$9:$C$11,0)),INDEX('SCORING MASTER'!$D$13:$D$15,MATCH(Y67,'SCORING MASTER'!$C$13:$C$15,0)),INDEX('SCORING MASTER'!$D$17:$D$19,MATCH(Z67,'SCORING MASTER'!$C$17:$C$19,0)),INDEX('SCORING MASTER'!$D$21:$D$23,MATCH(AA67,'SCORING MASTER'!$C$21:$C$23,0)),INDEX('SCORING MASTER'!$D$25:$D$27,MATCH(AB67,'SCORING MASTER'!$C$25:$C$27,0)),INDEX('SCORING MASTER'!$D$29:$D$31,MATCH(AC67,'SCORING MASTER'!$C$29:$C$31,0)))*20,0))</f>
        <v/>
      </c>
      <c r="BH67" s="35" t="str">
        <f aca="false">IF(COUNTBLANK(AD67:AI67)&gt;0,"",ROUND(AVERAGE(INDEX('SCORING MASTER'!$D$33:$D$35,MATCH(AD67,'SCORING MASTER'!$C$33:$C$35,0)),INDEX('SCORING MASTER'!$D$37:$D$39,MATCH(AE67,'SCORING MASTER'!$C$37:$C$39,0)),INDEX('SCORING MASTER'!$D$41:$D$43,MATCH(AF67,'SCORING MASTER'!$C$41:$C$43,0)),INDEX('SCORING MASTER'!$D$45:$D$47,MATCH(AG67,'SCORING MASTER'!$C$45:$C$47,0)),INDEX('SCORING MASTER'!$D$49:$D$52,MATCH(AH67,'SCORING MASTER'!$C$49:$C$52,0)),INDEX('SCORING MASTER'!$D$54:$D$57,MATCH(AI67,'SCORING MASTER'!$C$54:$C$57,0)))*20,0))</f>
        <v/>
      </c>
      <c r="BI67" s="35" t="str">
        <f aca="false">IF(COUNTBLANK(AJ67:AP67)&gt;0,"",ROUND(AVERAGE(INDEX('SCORING MASTER'!$D$59:$D$60,MATCH(AJ67,'SCORING MASTER'!$C$59:$C$60,0)),INDEX('SCORING MASTER'!$D$62:$D$63,MATCH(AK67,'SCORING MASTER'!$C$62:$C$63,0)),INDEX('SCORING MASTER'!$D$65:$D$66,MATCH(AL67,'SCORING MASTER'!$C$65:$C$66,0)),INDEX('SCORING MASTER'!$D$68:$D$69,MATCH(AM67,'SCORING MASTER'!$C$68:$C$69,0)),INDEX('SCORING MASTER'!$D$71:$D$72,MATCH(AN67,'SCORING MASTER'!$C$71:$C$72,0)),INDEX('SCORING MASTER'!$D$74:$D$75,MATCH(AO67,'SCORING MASTER'!$C$74:$C$75,0)),INDEX('SCORING MASTER'!$D$77:$D$78,MATCH(AP67,'SCORING MASTER'!$C$77:$C$78,0)))*20,0))</f>
        <v/>
      </c>
      <c r="BJ67" s="35" t="str">
        <f aca="false">IF(COUNTBLANK(AU67:AZ67)&gt;0,"",ROUND(AVERAGE(INDEX('SCORING MASTER'!$D$95:$D$96,MATCH(AU67,'SCORING MASTER'!$C$95:$C$96,0)),INDEX('SCORING MASTER'!$D$98:$D$99,MATCH(AV67,'SCORING MASTER'!$C$98:$C$99,0)),INDEX('SCORING MASTER'!$D$101:$D$102,MATCH(AW67,'SCORING MASTER'!$C$101:$C$102,0)),INDEX('SCORING MASTER'!$D$104:$D$105,MATCH(AX67,'SCORING MASTER'!$C$104:$C$105,0)),INDEX('SCORING MASTER'!$D$107:$D$108,MATCH(AY67,'SCORING MASTER'!$C$107:$C$108,0)),INDEX('SCORING MASTER'!$D$110:$D$111,MATCH(AZ67,'SCORING MASTER'!$C$110:$C$111,0)))*20,0))</f>
        <v/>
      </c>
      <c r="BK67" s="35" t="str">
        <f aca="false">IF(COUNTBLANK(AQ67:AT67)&gt;0,"",ROUND(AVERAGE(INDEX('SCORING MASTER'!$D$80:$D$82,MATCH(AQ67,'SCORING MASTER'!$C$80:$C$82,0)),INDEX('SCORING MASTER'!$D$84:$D$86,MATCH(AR67,'SCORING MASTER'!$C$84:$C$86,0)),INDEX('SCORING MASTER'!$D$88:$D$90,MATCH(AS67,'SCORING MASTER'!$C$88:$C$90,0)),INDEX('SCORING MASTER'!$D$92:$D$93,MATCH(AT67,'SCORING MASTER'!$C$92:$C$93,0)))*20,0))</f>
        <v/>
      </c>
      <c r="BL67" s="35" t="str">
        <f aca="false">IF(COUNTBLANK(BA67:BE67)&gt;0,"",ROUND(AVERAGE(INDEX('SCORING MASTER'!$D$113:$D$115,MATCH(BA67,'SCORING MASTER'!$C$113:$C$115,0)),INDEX('SCORING MASTER'!$D$117:$D$119,MATCH(BB67,'SCORING MASTER'!$C$117:$C$119,0)),INDEX('SCORING MASTER'!$D$121:$D$123,MATCH(BC67,'SCORING MASTER'!$C$121:$C$123,0)),INDEX('SCORING MASTER'!$D$125:$D$126,MATCH(BD67,'SCORING MASTER'!$C$125:$C$126,0)),INDEX('SCORING MASTER'!$D$128:$D$129,MATCH(BE67,'SCORING MASTER'!$C$128:$C$129,0)))*20,0))</f>
        <v/>
      </c>
      <c r="BM67" s="35" t="str">
        <f aca="false">IF(OR(BF67="",BG67="",BH67="",BI67="",BJ67="",BK67="",BL67=""),"",ROUND(BF67*0.25+BG67*0.2+BH67*0.15+BI67*0.15+BJ67*0.1+BK67*0.1+BL67*0.05,0))</f>
        <v/>
      </c>
      <c r="BN67" s="35" t="str">
        <f aca="false">IF(OR(BF67="",BG67=""),"",ROUND(BF67*0.5+BG67*0.5,0))</f>
        <v/>
      </c>
      <c r="BO67" s="35" t="str">
        <f aca="false">IF(BN67="","",ROUND(MIN(100,MAX(0,(100-BN67)+IF(AL67="Yes",15,0)+IF(AM67="Yes",15,0)+IF(AND(U67&lt;&gt;"",U67&lt;18.5),20,0))),0))</f>
        <v/>
      </c>
      <c r="BP67" s="32" t="str">
        <f aca="false">IF(BM67="","",IF(BM67&gt;=90,"Green - Healthy",IF(BM67&gt;=75,"Light Green - Mild Watch",IF(BM67&gt;=60,"Yellow - Mild Risk",IF(BM67&gt;=40,"Orange - Moderate Risk","Red - High Risk")))))</f>
        <v/>
      </c>
      <c r="BQ67" s="32" t="str">
        <f aca="false">IF(BM67="","",IF(OR(BM67&lt;60,BO67&gt;=60,AJ67="Yes"),"Yes","No"))</f>
        <v/>
      </c>
      <c r="BR67" s="32" t="str">
        <f aca="false">IF(BM67="","",IF(OR(BP67="Orange - Moderate Risk",BP67="Red - High Risk",BQ67="Yes"),"Yes","No"))</f>
        <v/>
      </c>
    </row>
    <row r="68" customFormat="false" ht="15" hidden="false" customHeight="false" outlineLevel="0" collapsed="false">
      <c r="A68" s="28" t="str">
        <f aca="false">IF(I68="","","STU"&amp;TEXT(ROW()-3,"000000"))</f>
        <v/>
      </c>
      <c r="B68" s="28"/>
      <c r="C68" s="28"/>
      <c r="D68" s="28"/>
      <c r="E68" s="28"/>
      <c r="F68" s="28"/>
      <c r="G68" s="28"/>
      <c r="H68" s="28"/>
      <c r="I68" s="28"/>
      <c r="J68" s="30"/>
      <c r="K68" s="28"/>
      <c r="L68" s="28"/>
      <c r="M68" s="28"/>
      <c r="N68" s="28"/>
      <c r="O68" s="28"/>
      <c r="P68" s="28"/>
      <c r="Q68" s="30"/>
      <c r="R68" s="30"/>
      <c r="S68" s="31" t="str">
        <f aca="false">IF(OR(Q68="",R68=""),"",ROUND(R68/((Q68/100)^2),1))</f>
        <v/>
      </c>
      <c r="T68" s="28" t="str">
        <f aca="false">IF(S68="","",IF(S68&lt;18.5,"Underweight",IF(S68&lt;25,"Normal",IF(S68&lt;30,"Overweight","Obese"))))</f>
        <v/>
      </c>
      <c r="U68" s="30"/>
      <c r="V68" s="30"/>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31" t="str">
        <f aca="false">IF(T68="","",IF(T68="Normal",100,IF(T68="Overweight",65,IF(T68="Obese",50,IF(AND(U68&lt;&gt;"",U68&lt;18.5),30,45)))))</f>
        <v/>
      </c>
      <c r="BG68" s="31" t="str">
        <f aca="false">IF(COUNTBLANK(W68:AC68)&gt;0,"",ROUND(AVERAGE(INDEX('SCORING MASTER'!$D$5:$D$7,MATCH(W68,'SCORING MASTER'!$C$5:$C$7,0)),INDEX('SCORING MASTER'!$D$9:$D$11,MATCH(X68,'SCORING MASTER'!$C$9:$C$11,0)),INDEX('SCORING MASTER'!$D$13:$D$15,MATCH(Y68,'SCORING MASTER'!$C$13:$C$15,0)),INDEX('SCORING MASTER'!$D$17:$D$19,MATCH(Z68,'SCORING MASTER'!$C$17:$C$19,0)),INDEX('SCORING MASTER'!$D$21:$D$23,MATCH(AA68,'SCORING MASTER'!$C$21:$C$23,0)),INDEX('SCORING MASTER'!$D$25:$D$27,MATCH(AB68,'SCORING MASTER'!$C$25:$C$27,0)),INDEX('SCORING MASTER'!$D$29:$D$31,MATCH(AC68,'SCORING MASTER'!$C$29:$C$31,0)))*20,0))</f>
        <v/>
      </c>
      <c r="BH68" s="31" t="str">
        <f aca="false">IF(COUNTBLANK(AD68:AI68)&gt;0,"",ROUND(AVERAGE(INDEX('SCORING MASTER'!$D$33:$D$35,MATCH(AD68,'SCORING MASTER'!$C$33:$C$35,0)),INDEX('SCORING MASTER'!$D$37:$D$39,MATCH(AE68,'SCORING MASTER'!$C$37:$C$39,0)),INDEX('SCORING MASTER'!$D$41:$D$43,MATCH(AF68,'SCORING MASTER'!$C$41:$C$43,0)),INDEX('SCORING MASTER'!$D$45:$D$47,MATCH(AG68,'SCORING MASTER'!$C$45:$C$47,0)),INDEX('SCORING MASTER'!$D$49:$D$52,MATCH(AH68,'SCORING MASTER'!$C$49:$C$52,0)),INDEX('SCORING MASTER'!$D$54:$D$57,MATCH(AI68,'SCORING MASTER'!$C$54:$C$57,0)))*20,0))</f>
        <v/>
      </c>
      <c r="BI68" s="31" t="str">
        <f aca="false">IF(COUNTBLANK(AJ68:AP68)&gt;0,"",ROUND(AVERAGE(INDEX('SCORING MASTER'!$D$59:$D$60,MATCH(AJ68,'SCORING MASTER'!$C$59:$C$60,0)),INDEX('SCORING MASTER'!$D$62:$D$63,MATCH(AK68,'SCORING MASTER'!$C$62:$C$63,0)),INDEX('SCORING MASTER'!$D$65:$D$66,MATCH(AL68,'SCORING MASTER'!$C$65:$C$66,0)),INDEX('SCORING MASTER'!$D$68:$D$69,MATCH(AM68,'SCORING MASTER'!$C$68:$C$69,0)),INDEX('SCORING MASTER'!$D$71:$D$72,MATCH(AN68,'SCORING MASTER'!$C$71:$C$72,0)),INDEX('SCORING MASTER'!$D$74:$D$75,MATCH(AO68,'SCORING MASTER'!$C$74:$C$75,0)),INDEX('SCORING MASTER'!$D$77:$D$78,MATCH(AP68,'SCORING MASTER'!$C$77:$C$78,0)))*20,0))</f>
        <v/>
      </c>
      <c r="BJ68" s="31" t="str">
        <f aca="false">IF(COUNTBLANK(AU68:AZ68)&gt;0,"",ROUND(AVERAGE(INDEX('SCORING MASTER'!$D$95:$D$96,MATCH(AU68,'SCORING MASTER'!$C$95:$C$96,0)),INDEX('SCORING MASTER'!$D$98:$D$99,MATCH(AV68,'SCORING MASTER'!$C$98:$C$99,0)),INDEX('SCORING MASTER'!$D$101:$D$102,MATCH(AW68,'SCORING MASTER'!$C$101:$C$102,0)),INDEX('SCORING MASTER'!$D$104:$D$105,MATCH(AX68,'SCORING MASTER'!$C$104:$C$105,0)),INDEX('SCORING MASTER'!$D$107:$D$108,MATCH(AY68,'SCORING MASTER'!$C$107:$C$108,0)),INDEX('SCORING MASTER'!$D$110:$D$111,MATCH(AZ68,'SCORING MASTER'!$C$110:$C$111,0)))*20,0))</f>
        <v/>
      </c>
      <c r="BK68" s="31" t="str">
        <f aca="false">IF(COUNTBLANK(AQ68:AT68)&gt;0,"",ROUND(AVERAGE(INDEX('SCORING MASTER'!$D$80:$D$82,MATCH(AQ68,'SCORING MASTER'!$C$80:$C$82,0)),INDEX('SCORING MASTER'!$D$84:$D$86,MATCH(AR68,'SCORING MASTER'!$C$84:$C$86,0)),INDEX('SCORING MASTER'!$D$88:$D$90,MATCH(AS68,'SCORING MASTER'!$C$88:$C$90,0)),INDEX('SCORING MASTER'!$D$92:$D$93,MATCH(AT68,'SCORING MASTER'!$C$92:$C$93,0)))*20,0))</f>
        <v/>
      </c>
      <c r="BL68" s="31" t="str">
        <f aca="false">IF(COUNTBLANK(BA68:BE68)&gt;0,"",ROUND(AVERAGE(INDEX('SCORING MASTER'!$D$113:$D$115,MATCH(BA68,'SCORING MASTER'!$C$113:$C$115,0)),INDEX('SCORING MASTER'!$D$117:$D$119,MATCH(BB68,'SCORING MASTER'!$C$117:$C$119,0)),INDEX('SCORING MASTER'!$D$121:$D$123,MATCH(BC68,'SCORING MASTER'!$C$121:$C$123,0)),INDEX('SCORING MASTER'!$D$125:$D$126,MATCH(BD68,'SCORING MASTER'!$C$125:$C$126,0)),INDEX('SCORING MASTER'!$D$128:$D$129,MATCH(BE68,'SCORING MASTER'!$C$128:$C$129,0)))*20,0))</f>
        <v/>
      </c>
      <c r="BM68" s="31" t="str">
        <f aca="false">IF(OR(BF68="",BG68="",BH68="",BI68="",BJ68="",BK68="",BL68=""),"",ROUND(BF68*0.25+BG68*0.2+BH68*0.15+BI68*0.15+BJ68*0.1+BK68*0.1+BL68*0.05,0))</f>
        <v/>
      </c>
      <c r="BN68" s="31" t="str">
        <f aca="false">IF(OR(BF68="",BG68=""),"",ROUND(BF68*0.5+BG68*0.5,0))</f>
        <v/>
      </c>
      <c r="BO68" s="31" t="str">
        <f aca="false">IF(BN68="","",ROUND(MIN(100,MAX(0,(100-BN68)+IF(AL68="Yes",15,0)+IF(AM68="Yes",15,0)+IF(AND(U68&lt;&gt;"",U68&lt;18.5),20,0))),0))</f>
        <v/>
      </c>
      <c r="BP68" s="28" t="str">
        <f aca="false">IF(BM68="","",IF(BM68&gt;=90,"Green - Healthy",IF(BM68&gt;=75,"Light Green - Mild Watch",IF(BM68&gt;=60,"Yellow - Mild Risk",IF(BM68&gt;=40,"Orange - Moderate Risk","Red - High Risk")))))</f>
        <v/>
      </c>
      <c r="BQ68" s="28" t="str">
        <f aca="false">IF(BM68="","",IF(OR(BM68&lt;60,BO68&gt;=60,AJ68="Yes"),"Yes","No"))</f>
        <v/>
      </c>
      <c r="BR68" s="28" t="str">
        <f aca="false">IF(BM68="","",IF(OR(BP68="Orange - Moderate Risk",BP68="Red - High Risk",BQ68="Yes"),"Yes","No"))</f>
        <v/>
      </c>
    </row>
    <row r="69" customFormat="false" ht="15" hidden="false" customHeight="false" outlineLevel="0" collapsed="false">
      <c r="A69" s="32" t="str">
        <f aca="false">IF(I69="","","STU"&amp;TEXT(ROW()-3,"000000"))</f>
        <v/>
      </c>
      <c r="B69" s="32"/>
      <c r="C69" s="32"/>
      <c r="D69" s="32"/>
      <c r="E69" s="32"/>
      <c r="F69" s="32"/>
      <c r="G69" s="32"/>
      <c r="H69" s="32"/>
      <c r="I69" s="32"/>
      <c r="J69" s="34"/>
      <c r="K69" s="32"/>
      <c r="L69" s="32"/>
      <c r="M69" s="32"/>
      <c r="N69" s="32"/>
      <c r="O69" s="32"/>
      <c r="P69" s="32"/>
      <c r="Q69" s="34"/>
      <c r="R69" s="34"/>
      <c r="S69" s="35" t="str">
        <f aca="false">IF(OR(Q69="",R69=""),"",ROUND(R69/((Q69/100)^2),1))</f>
        <v/>
      </c>
      <c r="T69" s="32" t="str">
        <f aca="false">IF(S69="","",IF(S69&lt;18.5,"Underweight",IF(S69&lt;25,"Normal",IF(S69&lt;30,"Overweight","Obese"))))</f>
        <v/>
      </c>
      <c r="U69" s="34"/>
      <c r="V69" s="34"/>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5" t="str">
        <f aca="false">IF(T69="","",IF(T69="Normal",100,IF(T69="Overweight",65,IF(T69="Obese",50,IF(AND(U69&lt;&gt;"",U69&lt;18.5),30,45)))))</f>
        <v/>
      </c>
      <c r="BG69" s="35" t="str">
        <f aca="false">IF(COUNTBLANK(W69:AC69)&gt;0,"",ROUND(AVERAGE(INDEX('SCORING MASTER'!$D$5:$D$7,MATCH(W69,'SCORING MASTER'!$C$5:$C$7,0)),INDEX('SCORING MASTER'!$D$9:$D$11,MATCH(X69,'SCORING MASTER'!$C$9:$C$11,0)),INDEX('SCORING MASTER'!$D$13:$D$15,MATCH(Y69,'SCORING MASTER'!$C$13:$C$15,0)),INDEX('SCORING MASTER'!$D$17:$D$19,MATCH(Z69,'SCORING MASTER'!$C$17:$C$19,0)),INDEX('SCORING MASTER'!$D$21:$D$23,MATCH(AA69,'SCORING MASTER'!$C$21:$C$23,0)),INDEX('SCORING MASTER'!$D$25:$D$27,MATCH(AB69,'SCORING MASTER'!$C$25:$C$27,0)),INDEX('SCORING MASTER'!$D$29:$D$31,MATCH(AC69,'SCORING MASTER'!$C$29:$C$31,0)))*20,0))</f>
        <v/>
      </c>
      <c r="BH69" s="35" t="str">
        <f aca="false">IF(COUNTBLANK(AD69:AI69)&gt;0,"",ROUND(AVERAGE(INDEX('SCORING MASTER'!$D$33:$D$35,MATCH(AD69,'SCORING MASTER'!$C$33:$C$35,0)),INDEX('SCORING MASTER'!$D$37:$D$39,MATCH(AE69,'SCORING MASTER'!$C$37:$C$39,0)),INDEX('SCORING MASTER'!$D$41:$D$43,MATCH(AF69,'SCORING MASTER'!$C$41:$C$43,0)),INDEX('SCORING MASTER'!$D$45:$D$47,MATCH(AG69,'SCORING MASTER'!$C$45:$C$47,0)),INDEX('SCORING MASTER'!$D$49:$D$52,MATCH(AH69,'SCORING MASTER'!$C$49:$C$52,0)),INDEX('SCORING MASTER'!$D$54:$D$57,MATCH(AI69,'SCORING MASTER'!$C$54:$C$57,0)))*20,0))</f>
        <v/>
      </c>
      <c r="BI69" s="35" t="str">
        <f aca="false">IF(COUNTBLANK(AJ69:AP69)&gt;0,"",ROUND(AVERAGE(INDEX('SCORING MASTER'!$D$59:$D$60,MATCH(AJ69,'SCORING MASTER'!$C$59:$C$60,0)),INDEX('SCORING MASTER'!$D$62:$D$63,MATCH(AK69,'SCORING MASTER'!$C$62:$C$63,0)),INDEX('SCORING MASTER'!$D$65:$D$66,MATCH(AL69,'SCORING MASTER'!$C$65:$C$66,0)),INDEX('SCORING MASTER'!$D$68:$D$69,MATCH(AM69,'SCORING MASTER'!$C$68:$C$69,0)),INDEX('SCORING MASTER'!$D$71:$D$72,MATCH(AN69,'SCORING MASTER'!$C$71:$C$72,0)),INDEX('SCORING MASTER'!$D$74:$D$75,MATCH(AO69,'SCORING MASTER'!$C$74:$C$75,0)),INDEX('SCORING MASTER'!$D$77:$D$78,MATCH(AP69,'SCORING MASTER'!$C$77:$C$78,0)))*20,0))</f>
        <v/>
      </c>
      <c r="BJ69" s="35" t="str">
        <f aca="false">IF(COUNTBLANK(AU69:AZ69)&gt;0,"",ROUND(AVERAGE(INDEX('SCORING MASTER'!$D$95:$D$96,MATCH(AU69,'SCORING MASTER'!$C$95:$C$96,0)),INDEX('SCORING MASTER'!$D$98:$D$99,MATCH(AV69,'SCORING MASTER'!$C$98:$C$99,0)),INDEX('SCORING MASTER'!$D$101:$D$102,MATCH(AW69,'SCORING MASTER'!$C$101:$C$102,0)),INDEX('SCORING MASTER'!$D$104:$D$105,MATCH(AX69,'SCORING MASTER'!$C$104:$C$105,0)),INDEX('SCORING MASTER'!$D$107:$D$108,MATCH(AY69,'SCORING MASTER'!$C$107:$C$108,0)),INDEX('SCORING MASTER'!$D$110:$D$111,MATCH(AZ69,'SCORING MASTER'!$C$110:$C$111,0)))*20,0))</f>
        <v/>
      </c>
      <c r="BK69" s="35" t="str">
        <f aca="false">IF(COUNTBLANK(AQ69:AT69)&gt;0,"",ROUND(AVERAGE(INDEX('SCORING MASTER'!$D$80:$D$82,MATCH(AQ69,'SCORING MASTER'!$C$80:$C$82,0)),INDEX('SCORING MASTER'!$D$84:$D$86,MATCH(AR69,'SCORING MASTER'!$C$84:$C$86,0)),INDEX('SCORING MASTER'!$D$88:$D$90,MATCH(AS69,'SCORING MASTER'!$C$88:$C$90,0)),INDEX('SCORING MASTER'!$D$92:$D$93,MATCH(AT69,'SCORING MASTER'!$C$92:$C$93,0)))*20,0))</f>
        <v/>
      </c>
      <c r="BL69" s="35" t="str">
        <f aca="false">IF(COUNTBLANK(BA69:BE69)&gt;0,"",ROUND(AVERAGE(INDEX('SCORING MASTER'!$D$113:$D$115,MATCH(BA69,'SCORING MASTER'!$C$113:$C$115,0)),INDEX('SCORING MASTER'!$D$117:$D$119,MATCH(BB69,'SCORING MASTER'!$C$117:$C$119,0)),INDEX('SCORING MASTER'!$D$121:$D$123,MATCH(BC69,'SCORING MASTER'!$C$121:$C$123,0)),INDEX('SCORING MASTER'!$D$125:$D$126,MATCH(BD69,'SCORING MASTER'!$C$125:$C$126,0)),INDEX('SCORING MASTER'!$D$128:$D$129,MATCH(BE69,'SCORING MASTER'!$C$128:$C$129,0)))*20,0))</f>
        <v/>
      </c>
      <c r="BM69" s="35" t="str">
        <f aca="false">IF(OR(BF69="",BG69="",BH69="",BI69="",BJ69="",BK69="",BL69=""),"",ROUND(BF69*0.25+BG69*0.2+BH69*0.15+BI69*0.15+BJ69*0.1+BK69*0.1+BL69*0.05,0))</f>
        <v/>
      </c>
      <c r="BN69" s="35" t="str">
        <f aca="false">IF(OR(BF69="",BG69=""),"",ROUND(BF69*0.5+BG69*0.5,0))</f>
        <v/>
      </c>
      <c r="BO69" s="35" t="str">
        <f aca="false">IF(BN69="","",ROUND(MIN(100,MAX(0,(100-BN69)+IF(AL69="Yes",15,0)+IF(AM69="Yes",15,0)+IF(AND(U69&lt;&gt;"",U69&lt;18.5),20,0))),0))</f>
        <v/>
      </c>
      <c r="BP69" s="32" t="str">
        <f aca="false">IF(BM69="","",IF(BM69&gt;=90,"Green - Healthy",IF(BM69&gt;=75,"Light Green - Mild Watch",IF(BM69&gt;=60,"Yellow - Mild Risk",IF(BM69&gt;=40,"Orange - Moderate Risk","Red - High Risk")))))</f>
        <v/>
      </c>
      <c r="BQ69" s="32" t="str">
        <f aca="false">IF(BM69="","",IF(OR(BM69&lt;60,BO69&gt;=60,AJ69="Yes"),"Yes","No"))</f>
        <v/>
      </c>
      <c r="BR69" s="32" t="str">
        <f aca="false">IF(BM69="","",IF(OR(BP69="Orange - Moderate Risk",BP69="Red - High Risk",BQ69="Yes"),"Yes","No"))</f>
        <v/>
      </c>
    </row>
    <row r="70" customFormat="false" ht="15" hidden="false" customHeight="false" outlineLevel="0" collapsed="false">
      <c r="A70" s="28" t="str">
        <f aca="false">IF(I70="","","STU"&amp;TEXT(ROW()-3,"000000"))</f>
        <v/>
      </c>
      <c r="B70" s="28"/>
      <c r="C70" s="28"/>
      <c r="D70" s="28"/>
      <c r="E70" s="28"/>
      <c r="F70" s="28"/>
      <c r="G70" s="28"/>
      <c r="H70" s="28"/>
      <c r="I70" s="28"/>
      <c r="J70" s="30"/>
      <c r="K70" s="28"/>
      <c r="L70" s="28"/>
      <c r="M70" s="28"/>
      <c r="N70" s="28"/>
      <c r="O70" s="28"/>
      <c r="P70" s="28"/>
      <c r="Q70" s="30"/>
      <c r="R70" s="30"/>
      <c r="S70" s="31" t="str">
        <f aca="false">IF(OR(Q70="",R70=""),"",ROUND(R70/((Q70/100)^2),1))</f>
        <v/>
      </c>
      <c r="T70" s="28" t="str">
        <f aca="false">IF(S70="","",IF(S70&lt;18.5,"Underweight",IF(S70&lt;25,"Normal",IF(S70&lt;30,"Overweight","Obese"))))</f>
        <v/>
      </c>
      <c r="U70" s="30"/>
      <c r="V70" s="30"/>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31" t="str">
        <f aca="false">IF(T70="","",IF(T70="Normal",100,IF(T70="Overweight",65,IF(T70="Obese",50,IF(AND(U70&lt;&gt;"",U70&lt;18.5),30,45)))))</f>
        <v/>
      </c>
      <c r="BG70" s="31" t="str">
        <f aca="false">IF(COUNTBLANK(W70:AC70)&gt;0,"",ROUND(AVERAGE(INDEX('SCORING MASTER'!$D$5:$D$7,MATCH(W70,'SCORING MASTER'!$C$5:$C$7,0)),INDEX('SCORING MASTER'!$D$9:$D$11,MATCH(X70,'SCORING MASTER'!$C$9:$C$11,0)),INDEX('SCORING MASTER'!$D$13:$D$15,MATCH(Y70,'SCORING MASTER'!$C$13:$C$15,0)),INDEX('SCORING MASTER'!$D$17:$D$19,MATCH(Z70,'SCORING MASTER'!$C$17:$C$19,0)),INDEX('SCORING MASTER'!$D$21:$D$23,MATCH(AA70,'SCORING MASTER'!$C$21:$C$23,0)),INDEX('SCORING MASTER'!$D$25:$D$27,MATCH(AB70,'SCORING MASTER'!$C$25:$C$27,0)),INDEX('SCORING MASTER'!$D$29:$D$31,MATCH(AC70,'SCORING MASTER'!$C$29:$C$31,0)))*20,0))</f>
        <v/>
      </c>
      <c r="BH70" s="31" t="str">
        <f aca="false">IF(COUNTBLANK(AD70:AI70)&gt;0,"",ROUND(AVERAGE(INDEX('SCORING MASTER'!$D$33:$D$35,MATCH(AD70,'SCORING MASTER'!$C$33:$C$35,0)),INDEX('SCORING MASTER'!$D$37:$D$39,MATCH(AE70,'SCORING MASTER'!$C$37:$C$39,0)),INDEX('SCORING MASTER'!$D$41:$D$43,MATCH(AF70,'SCORING MASTER'!$C$41:$C$43,0)),INDEX('SCORING MASTER'!$D$45:$D$47,MATCH(AG70,'SCORING MASTER'!$C$45:$C$47,0)),INDEX('SCORING MASTER'!$D$49:$D$52,MATCH(AH70,'SCORING MASTER'!$C$49:$C$52,0)),INDEX('SCORING MASTER'!$D$54:$D$57,MATCH(AI70,'SCORING MASTER'!$C$54:$C$57,0)))*20,0))</f>
        <v/>
      </c>
      <c r="BI70" s="31" t="str">
        <f aca="false">IF(COUNTBLANK(AJ70:AP70)&gt;0,"",ROUND(AVERAGE(INDEX('SCORING MASTER'!$D$59:$D$60,MATCH(AJ70,'SCORING MASTER'!$C$59:$C$60,0)),INDEX('SCORING MASTER'!$D$62:$D$63,MATCH(AK70,'SCORING MASTER'!$C$62:$C$63,0)),INDEX('SCORING MASTER'!$D$65:$D$66,MATCH(AL70,'SCORING MASTER'!$C$65:$C$66,0)),INDEX('SCORING MASTER'!$D$68:$D$69,MATCH(AM70,'SCORING MASTER'!$C$68:$C$69,0)),INDEX('SCORING MASTER'!$D$71:$D$72,MATCH(AN70,'SCORING MASTER'!$C$71:$C$72,0)),INDEX('SCORING MASTER'!$D$74:$D$75,MATCH(AO70,'SCORING MASTER'!$C$74:$C$75,0)),INDEX('SCORING MASTER'!$D$77:$D$78,MATCH(AP70,'SCORING MASTER'!$C$77:$C$78,0)))*20,0))</f>
        <v/>
      </c>
      <c r="BJ70" s="31" t="str">
        <f aca="false">IF(COUNTBLANK(AU70:AZ70)&gt;0,"",ROUND(AVERAGE(INDEX('SCORING MASTER'!$D$95:$D$96,MATCH(AU70,'SCORING MASTER'!$C$95:$C$96,0)),INDEX('SCORING MASTER'!$D$98:$D$99,MATCH(AV70,'SCORING MASTER'!$C$98:$C$99,0)),INDEX('SCORING MASTER'!$D$101:$D$102,MATCH(AW70,'SCORING MASTER'!$C$101:$C$102,0)),INDEX('SCORING MASTER'!$D$104:$D$105,MATCH(AX70,'SCORING MASTER'!$C$104:$C$105,0)),INDEX('SCORING MASTER'!$D$107:$D$108,MATCH(AY70,'SCORING MASTER'!$C$107:$C$108,0)),INDEX('SCORING MASTER'!$D$110:$D$111,MATCH(AZ70,'SCORING MASTER'!$C$110:$C$111,0)))*20,0))</f>
        <v/>
      </c>
      <c r="BK70" s="31" t="str">
        <f aca="false">IF(COUNTBLANK(AQ70:AT70)&gt;0,"",ROUND(AVERAGE(INDEX('SCORING MASTER'!$D$80:$D$82,MATCH(AQ70,'SCORING MASTER'!$C$80:$C$82,0)),INDEX('SCORING MASTER'!$D$84:$D$86,MATCH(AR70,'SCORING MASTER'!$C$84:$C$86,0)),INDEX('SCORING MASTER'!$D$88:$D$90,MATCH(AS70,'SCORING MASTER'!$C$88:$C$90,0)),INDEX('SCORING MASTER'!$D$92:$D$93,MATCH(AT70,'SCORING MASTER'!$C$92:$C$93,0)))*20,0))</f>
        <v/>
      </c>
      <c r="BL70" s="31" t="str">
        <f aca="false">IF(COUNTBLANK(BA70:BE70)&gt;0,"",ROUND(AVERAGE(INDEX('SCORING MASTER'!$D$113:$D$115,MATCH(BA70,'SCORING MASTER'!$C$113:$C$115,0)),INDEX('SCORING MASTER'!$D$117:$D$119,MATCH(BB70,'SCORING MASTER'!$C$117:$C$119,0)),INDEX('SCORING MASTER'!$D$121:$D$123,MATCH(BC70,'SCORING MASTER'!$C$121:$C$123,0)),INDEX('SCORING MASTER'!$D$125:$D$126,MATCH(BD70,'SCORING MASTER'!$C$125:$C$126,0)),INDEX('SCORING MASTER'!$D$128:$D$129,MATCH(BE70,'SCORING MASTER'!$C$128:$C$129,0)))*20,0))</f>
        <v/>
      </c>
      <c r="BM70" s="31" t="str">
        <f aca="false">IF(OR(BF70="",BG70="",BH70="",BI70="",BJ70="",BK70="",BL70=""),"",ROUND(BF70*0.25+BG70*0.2+BH70*0.15+BI70*0.15+BJ70*0.1+BK70*0.1+BL70*0.05,0))</f>
        <v/>
      </c>
      <c r="BN70" s="31" t="str">
        <f aca="false">IF(OR(BF70="",BG70=""),"",ROUND(BF70*0.5+BG70*0.5,0))</f>
        <v/>
      </c>
      <c r="BO70" s="31" t="str">
        <f aca="false">IF(BN70="","",ROUND(MIN(100,MAX(0,(100-BN70)+IF(AL70="Yes",15,0)+IF(AM70="Yes",15,0)+IF(AND(U70&lt;&gt;"",U70&lt;18.5),20,0))),0))</f>
        <v/>
      </c>
      <c r="BP70" s="28" t="str">
        <f aca="false">IF(BM70="","",IF(BM70&gt;=90,"Green - Healthy",IF(BM70&gt;=75,"Light Green - Mild Watch",IF(BM70&gt;=60,"Yellow - Mild Risk",IF(BM70&gt;=40,"Orange - Moderate Risk","Red - High Risk")))))</f>
        <v/>
      </c>
      <c r="BQ70" s="28" t="str">
        <f aca="false">IF(BM70="","",IF(OR(BM70&lt;60,BO70&gt;=60,AJ70="Yes"),"Yes","No"))</f>
        <v/>
      </c>
      <c r="BR70" s="28" t="str">
        <f aca="false">IF(BM70="","",IF(OR(BP70="Orange - Moderate Risk",BP70="Red - High Risk",BQ70="Yes"),"Yes","No"))</f>
        <v/>
      </c>
    </row>
    <row r="71" customFormat="false" ht="15" hidden="false" customHeight="false" outlineLevel="0" collapsed="false">
      <c r="A71" s="32" t="str">
        <f aca="false">IF(I71="","","STU"&amp;TEXT(ROW()-3,"000000"))</f>
        <v/>
      </c>
      <c r="B71" s="32"/>
      <c r="C71" s="32"/>
      <c r="D71" s="32"/>
      <c r="E71" s="32"/>
      <c r="F71" s="32"/>
      <c r="G71" s="32"/>
      <c r="H71" s="32"/>
      <c r="I71" s="32"/>
      <c r="J71" s="34"/>
      <c r="K71" s="32"/>
      <c r="L71" s="32"/>
      <c r="M71" s="32"/>
      <c r="N71" s="32"/>
      <c r="O71" s="32"/>
      <c r="P71" s="32"/>
      <c r="Q71" s="34"/>
      <c r="R71" s="34"/>
      <c r="S71" s="35" t="str">
        <f aca="false">IF(OR(Q71="",R71=""),"",ROUND(R71/((Q71/100)^2),1))</f>
        <v/>
      </c>
      <c r="T71" s="32" t="str">
        <f aca="false">IF(S71="","",IF(S71&lt;18.5,"Underweight",IF(S71&lt;25,"Normal",IF(S71&lt;30,"Overweight","Obese"))))</f>
        <v/>
      </c>
      <c r="U71" s="34"/>
      <c r="V71" s="34"/>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5" t="str">
        <f aca="false">IF(T71="","",IF(T71="Normal",100,IF(T71="Overweight",65,IF(T71="Obese",50,IF(AND(U71&lt;&gt;"",U71&lt;18.5),30,45)))))</f>
        <v/>
      </c>
      <c r="BG71" s="35" t="str">
        <f aca="false">IF(COUNTBLANK(W71:AC71)&gt;0,"",ROUND(AVERAGE(INDEX('SCORING MASTER'!$D$5:$D$7,MATCH(W71,'SCORING MASTER'!$C$5:$C$7,0)),INDEX('SCORING MASTER'!$D$9:$D$11,MATCH(X71,'SCORING MASTER'!$C$9:$C$11,0)),INDEX('SCORING MASTER'!$D$13:$D$15,MATCH(Y71,'SCORING MASTER'!$C$13:$C$15,0)),INDEX('SCORING MASTER'!$D$17:$D$19,MATCH(Z71,'SCORING MASTER'!$C$17:$C$19,0)),INDEX('SCORING MASTER'!$D$21:$D$23,MATCH(AA71,'SCORING MASTER'!$C$21:$C$23,0)),INDEX('SCORING MASTER'!$D$25:$D$27,MATCH(AB71,'SCORING MASTER'!$C$25:$C$27,0)),INDEX('SCORING MASTER'!$D$29:$D$31,MATCH(AC71,'SCORING MASTER'!$C$29:$C$31,0)))*20,0))</f>
        <v/>
      </c>
      <c r="BH71" s="35" t="str">
        <f aca="false">IF(COUNTBLANK(AD71:AI71)&gt;0,"",ROUND(AVERAGE(INDEX('SCORING MASTER'!$D$33:$D$35,MATCH(AD71,'SCORING MASTER'!$C$33:$C$35,0)),INDEX('SCORING MASTER'!$D$37:$D$39,MATCH(AE71,'SCORING MASTER'!$C$37:$C$39,0)),INDEX('SCORING MASTER'!$D$41:$D$43,MATCH(AF71,'SCORING MASTER'!$C$41:$C$43,0)),INDEX('SCORING MASTER'!$D$45:$D$47,MATCH(AG71,'SCORING MASTER'!$C$45:$C$47,0)),INDEX('SCORING MASTER'!$D$49:$D$52,MATCH(AH71,'SCORING MASTER'!$C$49:$C$52,0)),INDEX('SCORING MASTER'!$D$54:$D$57,MATCH(AI71,'SCORING MASTER'!$C$54:$C$57,0)))*20,0))</f>
        <v/>
      </c>
      <c r="BI71" s="35" t="str">
        <f aca="false">IF(COUNTBLANK(AJ71:AP71)&gt;0,"",ROUND(AVERAGE(INDEX('SCORING MASTER'!$D$59:$D$60,MATCH(AJ71,'SCORING MASTER'!$C$59:$C$60,0)),INDEX('SCORING MASTER'!$D$62:$D$63,MATCH(AK71,'SCORING MASTER'!$C$62:$C$63,0)),INDEX('SCORING MASTER'!$D$65:$D$66,MATCH(AL71,'SCORING MASTER'!$C$65:$C$66,0)),INDEX('SCORING MASTER'!$D$68:$D$69,MATCH(AM71,'SCORING MASTER'!$C$68:$C$69,0)),INDEX('SCORING MASTER'!$D$71:$D$72,MATCH(AN71,'SCORING MASTER'!$C$71:$C$72,0)),INDEX('SCORING MASTER'!$D$74:$D$75,MATCH(AO71,'SCORING MASTER'!$C$74:$C$75,0)),INDEX('SCORING MASTER'!$D$77:$D$78,MATCH(AP71,'SCORING MASTER'!$C$77:$C$78,0)))*20,0))</f>
        <v/>
      </c>
      <c r="BJ71" s="35" t="str">
        <f aca="false">IF(COUNTBLANK(AU71:AZ71)&gt;0,"",ROUND(AVERAGE(INDEX('SCORING MASTER'!$D$95:$D$96,MATCH(AU71,'SCORING MASTER'!$C$95:$C$96,0)),INDEX('SCORING MASTER'!$D$98:$D$99,MATCH(AV71,'SCORING MASTER'!$C$98:$C$99,0)),INDEX('SCORING MASTER'!$D$101:$D$102,MATCH(AW71,'SCORING MASTER'!$C$101:$C$102,0)),INDEX('SCORING MASTER'!$D$104:$D$105,MATCH(AX71,'SCORING MASTER'!$C$104:$C$105,0)),INDEX('SCORING MASTER'!$D$107:$D$108,MATCH(AY71,'SCORING MASTER'!$C$107:$C$108,0)),INDEX('SCORING MASTER'!$D$110:$D$111,MATCH(AZ71,'SCORING MASTER'!$C$110:$C$111,0)))*20,0))</f>
        <v/>
      </c>
      <c r="BK71" s="35" t="str">
        <f aca="false">IF(COUNTBLANK(AQ71:AT71)&gt;0,"",ROUND(AVERAGE(INDEX('SCORING MASTER'!$D$80:$D$82,MATCH(AQ71,'SCORING MASTER'!$C$80:$C$82,0)),INDEX('SCORING MASTER'!$D$84:$D$86,MATCH(AR71,'SCORING MASTER'!$C$84:$C$86,0)),INDEX('SCORING MASTER'!$D$88:$D$90,MATCH(AS71,'SCORING MASTER'!$C$88:$C$90,0)),INDEX('SCORING MASTER'!$D$92:$D$93,MATCH(AT71,'SCORING MASTER'!$C$92:$C$93,0)))*20,0))</f>
        <v/>
      </c>
      <c r="BL71" s="35" t="str">
        <f aca="false">IF(COUNTBLANK(BA71:BE71)&gt;0,"",ROUND(AVERAGE(INDEX('SCORING MASTER'!$D$113:$D$115,MATCH(BA71,'SCORING MASTER'!$C$113:$C$115,0)),INDEX('SCORING MASTER'!$D$117:$D$119,MATCH(BB71,'SCORING MASTER'!$C$117:$C$119,0)),INDEX('SCORING MASTER'!$D$121:$D$123,MATCH(BC71,'SCORING MASTER'!$C$121:$C$123,0)),INDEX('SCORING MASTER'!$D$125:$D$126,MATCH(BD71,'SCORING MASTER'!$C$125:$C$126,0)),INDEX('SCORING MASTER'!$D$128:$D$129,MATCH(BE71,'SCORING MASTER'!$C$128:$C$129,0)))*20,0))</f>
        <v/>
      </c>
      <c r="BM71" s="35" t="str">
        <f aca="false">IF(OR(BF71="",BG71="",BH71="",BI71="",BJ71="",BK71="",BL71=""),"",ROUND(BF71*0.25+BG71*0.2+BH71*0.15+BI71*0.15+BJ71*0.1+BK71*0.1+BL71*0.05,0))</f>
        <v/>
      </c>
      <c r="BN71" s="35" t="str">
        <f aca="false">IF(OR(BF71="",BG71=""),"",ROUND(BF71*0.5+BG71*0.5,0))</f>
        <v/>
      </c>
      <c r="BO71" s="35" t="str">
        <f aca="false">IF(BN71="","",ROUND(MIN(100,MAX(0,(100-BN71)+IF(AL71="Yes",15,0)+IF(AM71="Yes",15,0)+IF(AND(U71&lt;&gt;"",U71&lt;18.5),20,0))),0))</f>
        <v/>
      </c>
      <c r="BP71" s="32" t="str">
        <f aca="false">IF(BM71="","",IF(BM71&gt;=90,"Green - Healthy",IF(BM71&gt;=75,"Light Green - Mild Watch",IF(BM71&gt;=60,"Yellow - Mild Risk",IF(BM71&gt;=40,"Orange - Moderate Risk","Red - High Risk")))))</f>
        <v/>
      </c>
      <c r="BQ71" s="32" t="str">
        <f aca="false">IF(BM71="","",IF(OR(BM71&lt;60,BO71&gt;=60,AJ71="Yes"),"Yes","No"))</f>
        <v/>
      </c>
      <c r="BR71" s="32" t="str">
        <f aca="false">IF(BM71="","",IF(OR(BP71="Orange - Moderate Risk",BP71="Red - High Risk",BQ71="Yes"),"Yes","No"))</f>
        <v/>
      </c>
    </row>
    <row r="72" customFormat="false" ht="15" hidden="false" customHeight="false" outlineLevel="0" collapsed="false">
      <c r="A72" s="28" t="str">
        <f aca="false">IF(I72="","","STU"&amp;TEXT(ROW()-3,"000000"))</f>
        <v/>
      </c>
      <c r="B72" s="28"/>
      <c r="C72" s="28"/>
      <c r="D72" s="28"/>
      <c r="E72" s="28"/>
      <c r="F72" s="28"/>
      <c r="G72" s="28"/>
      <c r="H72" s="28"/>
      <c r="I72" s="28"/>
      <c r="J72" s="30"/>
      <c r="K72" s="28"/>
      <c r="L72" s="28"/>
      <c r="M72" s="28"/>
      <c r="N72" s="28"/>
      <c r="O72" s="28"/>
      <c r="P72" s="28"/>
      <c r="Q72" s="30"/>
      <c r="R72" s="30"/>
      <c r="S72" s="31" t="str">
        <f aca="false">IF(OR(Q72="",R72=""),"",ROUND(R72/((Q72/100)^2),1))</f>
        <v/>
      </c>
      <c r="T72" s="28" t="str">
        <f aca="false">IF(S72="","",IF(S72&lt;18.5,"Underweight",IF(S72&lt;25,"Normal",IF(S72&lt;30,"Overweight","Obese"))))</f>
        <v/>
      </c>
      <c r="U72" s="30"/>
      <c r="V72" s="30"/>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31" t="str">
        <f aca="false">IF(T72="","",IF(T72="Normal",100,IF(T72="Overweight",65,IF(T72="Obese",50,IF(AND(U72&lt;&gt;"",U72&lt;18.5),30,45)))))</f>
        <v/>
      </c>
      <c r="BG72" s="31" t="str">
        <f aca="false">IF(COUNTBLANK(W72:AC72)&gt;0,"",ROUND(AVERAGE(INDEX('SCORING MASTER'!$D$5:$D$7,MATCH(W72,'SCORING MASTER'!$C$5:$C$7,0)),INDEX('SCORING MASTER'!$D$9:$D$11,MATCH(X72,'SCORING MASTER'!$C$9:$C$11,0)),INDEX('SCORING MASTER'!$D$13:$D$15,MATCH(Y72,'SCORING MASTER'!$C$13:$C$15,0)),INDEX('SCORING MASTER'!$D$17:$D$19,MATCH(Z72,'SCORING MASTER'!$C$17:$C$19,0)),INDEX('SCORING MASTER'!$D$21:$D$23,MATCH(AA72,'SCORING MASTER'!$C$21:$C$23,0)),INDEX('SCORING MASTER'!$D$25:$D$27,MATCH(AB72,'SCORING MASTER'!$C$25:$C$27,0)),INDEX('SCORING MASTER'!$D$29:$D$31,MATCH(AC72,'SCORING MASTER'!$C$29:$C$31,0)))*20,0))</f>
        <v/>
      </c>
      <c r="BH72" s="31" t="str">
        <f aca="false">IF(COUNTBLANK(AD72:AI72)&gt;0,"",ROUND(AVERAGE(INDEX('SCORING MASTER'!$D$33:$D$35,MATCH(AD72,'SCORING MASTER'!$C$33:$C$35,0)),INDEX('SCORING MASTER'!$D$37:$D$39,MATCH(AE72,'SCORING MASTER'!$C$37:$C$39,0)),INDEX('SCORING MASTER'!$D$41:$D$43,MATCH(AF72,'SCORING MASTER'!$C$41:$C$43,0)),INDEX('SCORING MASTER'!$D$45:$D$47,MATCH(AG72,'SCORING MASTER'!$C$45:$C$47,0)),INDEX('SCORING MASTER'!$D$49:$D$52,MATCH(AH72,'SCORING MASTER'!$C$49:$C$52,0)),INDEX('SCORING MASTER'!$D$54:$D$57,MATCH(AI72,'SCORING MASTER'!$C$54:$C$57,0)))*20,0))</f>
        <v/>
      </c>
      <c r="BI72" s="31" t="str">
        <f aca="false">IF(COUNTBLANK(AJ72:AP72)&gt;0,"",ROUND(AVERAGE(INDEX('SCORING MASTER'!$D$59:$D$60,MATCH(AJ72,'SCORING MASTER'!$C$59:$C$60,0)),INDEX('SCORING MASTER'!$D$62:$D$63,MATCH(AK72,'SCORING MASTER'!$C$62:$C$63,0)),INDEX('SCORING MASTER'!$D$65:$D$66,MATCH(AL72,'SCORING MASTER'!$C$65:$C$66,0)),INDEX('SCORING MASTER'!$D$68:$D$69,MATCH(AM72,'SCORING MASTER'!$C$68:$C$69,0)),INDEX('SCORING MASTER'!$D$71:$D$72,MATCH(AN72,'SCORING MASTER'!$C$71:$C$72,0)),INDEX('SCORING MASTER'!$D$74:$D$75,MATCH(AO72,'SCORING MASTER'!$C$74:$C$75,0)),INDEX('SCORING MASTER'!$D$77:$D$78,MATCH(AP72,'SCORING MASTER'!$C$77:$C$78,0)))*20,0))</f>
        <v/>
      </c>
      <c r="BJ72" s="31" t="str">
        <f aca="false">IF(COUNTBLANK(AU72:AZ72)&gt;0,"",ROUND(AVERAGE(INDEX('SCORING MASTER'!$D$95:$D$96,MATCH(AU72,'SCORING MASTER'!$C$95:$C$96,0)),INDEX('SCORING MASTER'!$D$98:$D$99,MATCH(AV72,'SCORING MASTER'!$C$98:$C$99,0)),INDEX('SCORING MASTER'!$D$101:$D$102,MATCH(AW72,'SCORING MASTER'!$C$101:$C$102,0)),INDEX('SCORING MASTER'!$D$104:$D$105,MATCH(AX72,'SCORING MASTER'!$C$104:$C$105,0)),INDEX('SCORING MASTER'!$D$107:$D$108,MATCH(AY72,'SCORING MASTER'!$C$107:$C$108,0)),INDEX('SCORING MASTER'!$D$110:$D$111,MATCH(AZ72,'SCORING MASTER'!$C$110:$C$111,0)))*20,0))</f>
        <v/>
      </c>
      <c r="BK72" s="31" t="str">
        <f aca="false">IF(COUNTBLANK(AQ72:AT72)&gt;0,"",ROUND(AVERAGE(INDEX('SCORING MASTER'!$D$80:$D$82,MATCH(AQ72,'SCORING MASTER'!$C$80:$C$82,0)),INDEX('SCORING MASTER'!$D$84:$D$86,MATCH(AR72,'SCORING MASTER'!$C$84:$C$86,0)),INDEX('SCORING MASTER'!$D$88:$D$90,MATCH(AS72,'SCORING MASTER'!$C$88:$C$90,0)),INDEX('SCORING MASTER'!$D$92:$D$93,MATCH(AT72,'SCORING MASTER'!$C$92:$C$93,0)))*20,0))</f>
        <v/>
      </c>
      <c r="BL72" s="31" t="str">
        <f aca="false">IF(COUNTBLANK(BA72:BE72)&gt;0,"",ROUND(AVERAGE(INDEX('SCORING MASTER'!$D$113:$D$115,MATCH(BA72,'SCORING MASTER'!$C$113:$C$115,0)),INDEX('SCORING MASTER'!$D$117:$D$119,MATCH(BB72,'SCORING MASTER'!$C$117:$C$119,0)),INDEX('SCORING MASTER'!$D$121:$D$123,MATCH(BC72,'SCORING MASTER'!$C$121:$C$123,0)),INDEX('SCORING MASTER'!$D$125:$D$126,MATCH(BD72,'SCORING MASTER'!$C$125:$C$126,0)),INDEX('SCORING MASTER'!$D$128:$D$129,MATCH(BE72,'SCORING MASTER'!$C$128:$C$129,0)))*20,0))</f>
        <v/>
      </c>
      <c r="BM72" s="31" t="str">
        <f aca="false">IF(OR(BF72="",BG72="",BH72="",BI72="",BJ72="",BK72="",BL72=""),"",ROUND(BF72*0.25+BG72*0.2+BH72*0.15+BI72*0.15+BJ72*0.1+BK72*0.1+BL72*0.05,0))</f>
        <v/>
      </c>
      <c r="BN72" s="31" t="str">
        <f aca="false">IF(OR(BF72="",BG72=""),"",ROUND(BF72*0.5+BG72*0.5,0))</f>
        <v/>
      </c>
      <c r="BO72" s="31" t="str">
        <f aca="false">IF(BN72="","",ROUND(MIN(100,MAX(0,(100-BN72)+IF(AL72="Yes",15,0)+IF(AM72="Yes",15,0)+IF(AND(U72&lt;&gt;"",U72&lt;18.5),20,0))),0))</f>
        <v/>
      </c>
      <c r="BP72" s="28" t="str">
        <f aca="false">IF(BM72="","",IF(BM72&gt;=90,"Green - Healthy",IF(BM72&gt;=75,"Light Green - Mild Watch",IF(BM72&gt;=60,"Yellow - Mild Risk",IF(BM72&gt;=40,"Orange - Moderate Risk","Red - High Risk")))))</f>
        <v/>
      </c>
      <c r="BQ72" s="28" t="str">
        <f aca="false">IF(BM72="","",IF(OR(BM72&lt;60,BO72&gt;=60,AJ72="Yes"),"Yes","No"))</f>
        <v/>
      </c>
      <c r="BR72" s="28" t="str">
        <f aca="false">IF(BM72="","",IF(OR(BP72="Orange - Moderate Risk",BP72="Red - High Risk",BQ72="Yes"),"Yes","No"))</f>
        <v/>
      </c>
    </row>
    <row r="73" customFormat="false" ht="15" hidden="false" customHeight="false" outlineLevel="0" collapsed="false">
      <c r="A73" s="32" t="str">
        <f aca="false">IF(I73="","","STU"&amp;TEXT(ROW()-3,"000000"))</f>
        <v/>
      </c>
      <c r="B73" s="32"/>
      <c r="C73" s="32"/>
      <c r="D73" s="32"/>
      <c r="E73" s="32"/>
      <c r="F73" s="32"/>
      <c r="G73" s="32"/>
      <c r="H73" s="32"/>
      <c r="I73" s="32"/>
      <c r="J73" s="34"/>
      <c r="K73" s="32"/>
      <c r="L73" s="32"/>
      <c r="M73" s="32"/>
      <c r="N73" s="32"/>
      <c r="O73" s="32"/>
      <c r="P73" s="32"/>
      <c r="Q73" s="34"/>
      <c r="R73" s="34"/>
      <c r="S73" s="35" t="str">
        <f aca="false">IF(OR(Q73="",R73=""),"",ROUND(R73/((Q73/100)^2),1))</f>
        <v/>
      </c>
      <c r="T73" s="32" t="str">
        <f aca="false">IF(S73="","",IF(S73&lt;18.5,"Underweight",IF(S73&lt;25,"Normal",IF(S73&lt;30,"Overweight","Obese"))))</f>
        <v/>
      </c>
      <c r="U73" s="34"/>
      <c r="V73" s="34"/>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5" t="str">
        <f aca="false">IF(T73="","",IF(T73="Normal",100,IF(T73="Overweight",65,IF(T73="Obese",50,IF(AND(U73&lt;&gt;"",U73&lt;18.5),30,45)))))</f>
        <v/>
      </c>
      <c r="BG73" s="35" t="str">
        <f aca="false">IF(COUNTBLANK(W73:AC73)&gt;0,"",ROUND(AVERAGE(INDEX('SCORING MASTER'!$D$5:$D$7,MATCH(W73,'SCORING MASTER'!$C$5:$C$7,0)),INDEX('SCORING MASTER'!$D$9:$D$11,MATCH(X73,'SCORING MASTER'!$C$9:$C$11,0)),INDEX('SCORING MASTER'!$D$13:$D$15,MATCH(Y73,'SCORING MASTER'!$C$13:$C$15,0)),INDEX('SCORING MASTER'!$D$17:$D$19,MATCH(Z73,'SCORING MASTER'!$C$17:$C$19,0)),INDEX('SCORING MASTER'!$D$21:$D$23,MATCH(AA73,'SCORING MASTER'!$C$21:$C$23,0)),INDEX('SCORING MASTER'!$D$25:$D$27,MATCH(AB73,'SCORING MASTER'!$C$25:$C$27,0)),INDEX('SCORING MASTER'!$D$29:$D$31,MATCH(AC73,'SCORING MASTER'!$C$29:$C$31,0)))*20,0))</f>
        <v/>
      </c>
      <c r="BH73" s="35" t="str">
        <f aca="false">IF(COUNTBLANK(AD73:AI73)&gt;0,"",ROUND(AVERAGE(INDEX('SCORING MASTER'!$D$33:$D$35,MATCH(AD73,'SCORING MASTER'!$C$33:$C$35,0)),INDEX('SCORING MASTER'!$D$37:$D$39,MATCH(AE73,'SCORING MASTER'!$C$37:$C$39,0)),INDEX('SCORING MASTER'!$D$41:$D$43,MATCH(AF73,'SCORING MASTER'!$C$41:$C$43,0)),INDEX('SCORING MASTER'!$D$45:$D$47,MATCH(AG73,'SCORING MASTER'!$C$45:$C$47,0)),INDEX('SCORING MASTER'!$D$49:$D$52,MATCH(AH73,'SCORING MASTER'!$C$49:$C$52,0)),INDEX('SCORING MASTER'!$D$54:$D$57,MATCH(AI73,'SCORING MASTER'!$C$54:$C$57,0)))*20,0))</f>
        <v/>
      </c>
      <c r="BI73" s="35" t="str">
        <f aca="false">IF(COUNTBLANK(AJ73:AP73)&gt;0,"",ROUND(AVERAGE(INDEX('SCORING MASTER'!$D$59:$D$60,MATCH(AJ73,'SCORING MASTER'!$C$59:$C$60,0)),INDEX('SCORING MASTER'!$D$62:$D$63,MATCH(AK73,'SCORING MASTER'!$C$62:$C$63,0)),INDEX('SCORING MASTER'!$D$65:$D$66,MATCH(AL73,'SCORING MASTER'!$C$65:$C$66,0)),INDEX('SCORING MASTER'!$D$68:$D$69,MATCH(AM73,'SCORING MASTER'!$C$68:$C$69,0)),INDEX('SCORING MASTER'!$D$71:$D$72,MATCH(AN73,'SCORING MASTER'!$C$71:$C$72,0)),INDEX('SCORING MASTER'!$D$74:$D$75,MATCH(AO73,'SCORING MASTER'!$C$74:$C$75,0)),INDEX('SCORING MASTER'!$D$77:$D$78,MATCH(AP73,'SCORING MASTER'!$C$77:$C$78,0)))*20,0))</f>
        <v/>
      </c>
      <c r="BJ73" s="35" t="str">
        <f aca="false">IF(COUNTBLANK(AU73:AZ73)&gt;0,"",ROUND(AVERAGE(INDEX('SCORING MASTER'!$D$95:$D$96,MATCH(AU73,'SCORING MASTER'!$C$95:$C$96,0)),INDEX('SCORING MASTER'!$D$98:$D$99,MATCH(AV73,'SCORING MASTER'!$C$98:$C$99,0)),INDEX('SCORING MASTER'!$D$101:$D$102,MATCH(AW73,'SCORING MASTER'!$C$101:$C$102,0)),INDEX('SCORING MASTER'!$D$104:$D$105,MATCH(AX73,'SCORING MASTER'!$C$104:$C$105,0)),INDEX('SCORING MASTER'!$D$107:$D$108,MATCH(AY73,'SCORING MASTER'!$C$107:$C$108,0)),INDEX('SCORING MASTER'!$D$110:$D$111,MATCH(AZ73,'SCORING MASTER'!$C$110:$C$111,0)))*20,0))</f>
        <v/>
      </c>
      <c r="BK73" s="35" t="str">
        <f aca="false">IF(COUNTBLANK(AQ73:AT73)&gt;0,"",ROUND(AVERAGE(INDEX('SCORING MASTER'!$D$80:$D$82,MATCH(AQ73,'SCORING MASTER'!$C$80:$C$82,0)),INDEX('SCORING MASTER'!$D$84:$D$86,MATCH(AR73,'SCORING MASTER'!$C$84:$C$86,0)),INDEX('SCORING MASTER'!$D$88:$D$90,MATCH(AS73,'SCORING MASTER'!$C$88:$C$90,0)),INDEX('SCORING MASTER'!$D$92:$D$93,MATCH(AT73,'SCORING MASTER'!$C$92:$C$93,0)))*20,0))</f>
        <v/>
      </c>
      <c r="BL73" s="35" t="str">
        <f aca="false">IF(COUNTBLANK(BA73:BE73)&gt;0,"",ROUND(AVERAGE(INDEX('SCORING MASTER'!$D$113:$D$115,MATCH(BA73,'SCORING MASTER'!$C$113:$C$115,0)),INDEX('SCORING MASTER'!$D$117:$D$119,MATCH(BB73,'SCORING MASTER'!$C$117:$C$119,0)),INDEX('SCORING MASTER'!$D$121:$D$123,MATCH(BC73,'SCORING MASTER'!$C$121:$C$123,0)),INDEX('SCORING MASTER'!$D$125:$D$126,MATCH(BD73,'SCORING MASTER'!$C$125:$C$126,0)),INDEX('SCORING MASTER'!$D$128:$D$129,MATCH(BE73,'SCORING MASTER'!$C$128:$C$129,0)))*20,0))</f>
        <v/>
      </c>
      <c r="BM73" s="35" t="str">
        <f aca="false">IF(OR(BF73="",BG73="",BH73="",BI73="",BJ73="",BK73="",BL73=""),"",ROUND(BF73*0.25+BG73*0.2+BH73*0.15+BI73*0.15+BJ73*0.1+BK73*0.1+BL73*0.05,0))</f>
        <v/>
      </c>
      <c r="BN73" s="35" t="str">
        <f aca="false">IF(OR(BF73="",BG73=""),"",ROUND(BF73*0.5+BG73*0.5,0))</f>
        <v/>
      </c>
      <c r="BO73" s="35" t="str">
        <f aca="false">IF(BN73="","",ROUND(MIN(100,MAX(0,(100-BN73)+IF(AL73="Yes",15,0)+IF(AM73="Yes",15,0)+IF(AND(U73&lt;&gt;"",U73&lt;18.5),20,0))),0))</f>
        <v/>
      </c>
      <c r="BP73" s="32" t="str">
        <f aca="false">IF(BM73="","",IF(BM73&gt;=90,"Green - Healthy",IF(BM73&gt;=75,"Light Green - Mild Watch",IF(BM73&gt;=60,"Yellow - Mild Risk",IF(BM73&gt;=40,"Orange - Moderate Risk","Red - High Risk")))))</f>
        <v/>
      </c>
      <c r="BQ73" s="32" t="str">
        <f aca="false">IF(BM73="","",IF(OR(BM73&lt;60,BO73&gt;=60,AJ73="Yes"),"Yes","No"))</f>
        <v/>
      </c>
      <c r="BR73" s="32" t="str">
        <f aca="false">IF(BM73="","",IF(OR(BP73="Orange - Moderate Risk",BP73="Red - High Risk",BQ73="Yes"),"Yes","No"))</f>
        <v/>
      </c>
    </row>
    <row r="74" customFormat="false" ht="15" hidden="false" customHeight="false" outlineLevel="0" collapsed="false">
      <c r="A74" s="28" t="str">
        <f aca="false">IF(I74="","","STU"&amp;TEXT(ROW()-3,"000000"))</f>
        <v/>
      </c>
      <c r="B74" s="28"/>
      <c r="C74" s="28"/>
      <c r="D74" s="28"/>
      <c r="E74" s="28"/>
      <c r="F74" s="28"/>
      <c r="G74" s="28"/>
      <c r="H74" s="28"/>
      <c r="I74" s="28"/>
      <c r="J74" s="30"/>
      <c r="K74" s="28"/>
      <c r="L74" s="28"/>
      <c r="M74" s="28"/>
      <c r="N74" s="28"/>
      <c r="O74" s="28"/>
      <c r="P74" s="28"/>
      <c r="Q74" s="30"/>
      <c r="R74" s="30"/>
      <c r="S74" s="31" t="str">
        <f aca="false">IF(OR(Q74="",R74=""),"",ROUND(R74/((Q74/100)^2),1))</f>
        <v/>
      </c>
      <c r="T74" s="28" t="str">
        <f aca="false">IF(S74="","",IF(S74&lt;18.5,"Underweight",IF(S74&lt;25,"Normal",IF(S74&lt;30,"Overweight","Obese"))))</f>
        <v/>
      </c>
      <c r="U74" s="30"/>
      <c r="V74" s="30"/>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31" t="str">
        <f aca="false">IF(T74="","",IF(T74="Normal",100,IF(T74="Overweight",65,IF(T74="Obese",50,IF(AND(U74&lt;&gt;"",U74&lt;18.5),30,45)))))</f>
        <v/>
      </c>
      <c r="BG74" s="31" t="str">
        <f aca="false">IF(COUNTBLANK(W74:AC74)&gt;0,"",ROUND(AVERAGE(INDEX('SCORING MASTER'!$D$5:$D$7,MATCH(W74,'SCORING MASTER'!$C$5:$C$7,0)),INDEX('SCORING MASTER'!$D$9:$D$11,MATCH(X74,'SCORING MASTER'!$C$9:$C$11,0)),INDEX('SCORING MASTER'!$D$13:$D$15,MATCH(Y74,'SCORING MASTER'!$C$13:$C$15,0)),INDEX('SCORING MASTER'!$D$17:$D$19,MATCH(Z74,'SCORING MASTER'!$C$17:$C$19,0)),INDEX('SCORING MASTER'!$D$21:$D$23,MATCH(AA74,'SCORING MASTER'!$C$21:$C$23,0)),INDEX('SCORING MASTER'!$D$25:$D$27,MATCH(AB74,'SCORING MASTER'!$C$25:$C$27,0)),INDEX('SCORING MASTER'!$D$29:$D$31,MATCH(AC74,'SCORING MASTER'!$C$29:$C$31,0)))*20,0))</f>
        <v/>
      </c>
      <c r="BH74" s="31" t="str">
        <f aca="false">IF(COUNTBLANK(AD74:AI74)&gt;0,"",ROUND(AVERAGE(INDEX('SCORING MASTER'!$D$33:$D$35,MATCH(AD74,'SCORING MASTER'!$C$33:$C$35,0)),INDEX('SCORING MASTER'!$D$37:$D$39,MATCH(AE74,'SCORING MASTER'!$C$37:$C$39,0)),INDEX('SCORING MASTER'!$D$41:$D$43,MATCH(AF74,'SCORING MASTER'!$C$41:$C$43,0)),INDEX('SCORING MASTER'!$D$45:$D$47,MATCH(AG74,'SCORING MASTER'!$C$45:$C$47,0)),INDEX('SCORING MASTER'!$D$49:$D$52,MATCH(AH74,'SCORING MASTER'!$C$49:$C$52,0)),INDEX('SCORING MASTER'!$D$54:$D$57,MATCH(AI74,'SCORING MASTER'!$C$54:$C$57,0)))*20,0))</f>
        <v/>
      </c>
      <c r="BI74" s="31" t="str">
        <f aca="false">IF(COUNTBLANK(AJ74:AP74)&gt;0,"",ROUND(AVERAGE(INDEX('SCORING MASTER'!$D$59:$D$60,MATCH(AJ74,'SCORING MASTER'!$C$59:$C$60,0)),INDEX('SCORING MASTER'!$D$62:$D$63,MATCH(AK74,'SCORING MASTER'!$C$62:$C$63,0)),INDEX('SCORING MASTER'!$D$65:$D$66,MATCH(AL74,'SCORING MASTER'!$C$65:$C$66,0)),INDEX('SCORING MASTER'!$D$68:$D$69,MATCH(AM74,'SCORING MASTER'!$C$68:$C$69,0)),INDEX('SCORING MASTER'!$D$71:$D$72,MATCH(AN74,'SCORING MASTER'!$C$71:$C$72,0)),INDEX('SCORING MASTER'!$D$74:$D$75,MATCH(AO74,'SCORING MASTER'!$C$74:$C$75,0)),INDEX('SCORING MASTER'!$D$77:$D$78,MATCH(AP74,'SCORING MASTER'!$C$77:$C$78,0)))*20,0))</f>
        <v/>
      </c>
      <c r="BJ74" s="31" t="str">
        <f aca="false">IF(COUNTBLANK(AU74:AZ74)&gt;0,"",ROUND(AVERAGE(INDEX('SCORING MASTER'!$D$95:$D$96,MATCH(AU74,'SCORING MASTER'!$C$95:$C$96,0)),INDEX('SCORING MASTER'!$D$98:$D$99,MATCH(AV74,'SCORING MASTER'!$C$98:$C$99,0)),INDEX('SCORING MASTER'!$D$101:$D$102,MATCH(AW74,'SCORING MASTER'!$C$101:$C$102,0)),INDEX('SCORING MASTER'!$D$104:$D$105,MATCH(AX74,'SCORING MASTER'!$C$104:$C$105,0)),INDEX('SCORING MASTER'!$D$107:$D$108,MATCH(AY74,'SCORING MASTER'!$C$107:$C$108,0)),INDEX('SCORING MASTER'!$D$110:$D$111,MATCH(AZ74,'SCORING MASTER'!$C$110:$C$111,0)))*20,0))</f>
        <v/>
      </c>
      <c r="BK74" s="31" t="str">
        <f aca="false">IF(COUNTBLANK(AQ74:AT74)&gt;0,"",ROUND(AVERAGE(INDEX('SCORING MASTER'!$D$80:$D$82,MATCH(AQ74,'SCORING MASTER'!$C$80:$C$82,0)),INDEX('SCORING MASTER'!$D$84:$D$86,MATCH(AR74,'SCORING MASTER'!$C$84:$C$86,0)),INDEX('SCORING MASTER'!$D$88:$D$90,MATCH(AS74,'SCORING MASTER'!$C$88:$C$90,0)),INDEX('SCORING MASTER'!$D$92:$D$93,MATCH(AT74,'SCORING MASTER'!$C$92:$C$93,0)))*20,0))</f>
        <v/>
      </c>
      <c r="BL74" s="31" t="str">
        <f aca="false">IF(COUNTBLANK(BA74:BE74)&gt;0,"",ROUND(AVERAGE(INDEX('SCORING MASTER'!$D$113:$D$115,MATCH(BA74,'SCORING MASTER'!$C$113:$C$115,0)),INDEX('SCORING MASTER'!$D$117:$D$119,MATCH(BB74,'SCORING MASTER'!$C$117:$C$119,0)),INDEX('SCORING MASTER'!$D$121:$D$123,MATCH(BC74,'SCORING MASTER'!$C$121:$C$123,0)),INDEX('SCORING MASTER'!$D$125:$D$126,MATCH(BD74,'SCORING MASTER'!$C$125:$C$126,0)),INDEX('SCORING MASTER'!$D$128:$D$129,MATCH(BE74,'SCORING MASTER'!$C$128:$C$129,0)))*20,0))</f>
        <v/>
      </c>
      <c r="BM74" s="31" t="str">
        <f aca="false">IF(OR(BF74="",BG74="",BH74="",BI74="",BJ74="",BK74="",BL74=""),"",ROUND(BF74*0.25+BG74*0.2+BH74*0.15+BI74*0.15+BJ74*0.1+BK74*0.1+BL74*0.05,0))</f>
        <v/>
      </c>
      <c r="BN74" s="31" t="str">
        <f aca="false">IF(OR(BF74="",BG74=""),"",ROUND(BF74*0.5+BG74*0.5,0))</f>
        <v/>
      </c>
      <c r="BO74" s="31" t="str">
        <f aca="false">IF(BN74="","",ROUND(MIN(100,MAX(0,(100-BN74)+IF(AL74="Yes",15,0)+IF(AM74="Yes",15,0)+IF(AND(U74&lt;&gt;"",U74&lt;18.5),20,0))),0))</f>
        <v/>
      </c>
      <c r="BP74" s="28" t="str">
        <f aca="false">IF(BM74="","",IF(BM74&gt;=90,"Green - Healthy",IF(BM74&gt;=75,"Light Green - Mild Watch",IF(BM74&gt;=60,"Yellow - Mild Risk",IF(BM74&gt;=40,"Orange - Moderate Risk","Red - High Risk")))))</f>
        <v/>
      </c>
      <c r="BQ74" s="28" t="str">
        <f aca="false">IF(BM74="","",IF(OR(BM74&lt;60,BO74&gt;=60,AJ74="Yes"),"Yes","No"))</f>
        <v/>
      </c>
      <c r="BR74" s="28" t="str">
        <f aca="false">IF(BM74="","",IF(OR(BP74="Orange - Moderate Risk",BP74="Red - High Risk",BQ74="Yes"),"Yes","No"))</f>
        <v/>
      </c>
    </row>
    <row r="75" customFormat="false" ht="15" hidden="false" customHeight="false" outlineLevel="0" collapsed="false">
      <c r="A75" s="32" t="str">
        <f aca="false">IF(I75="","","STU"&amp;TEXT(ROW()-3,"000000"))</f>
        <v/>
      </c>
      <c r="B75" s="32"/>
      <c r="C75" s="32"/>
      <c r="D75" s="32"/>
      <c r="E75" s="32"/>
      <c r="F75" s="32"/>
      <c r="G75" s="32"/>
      <c r="H75" s="32"/>
      <c r="I75" s="32"/>
      <c r="J75" s="34"/>
      <c r="K75" s="32"/>
      <c r="L75" s="32"/>
      <c r="M75" s="32"/>
      <c r="N75" s="32"/>
      <c r="O75" s="32"/>
      <c r="P75" s="32"/>
      <c r="Q75" s="34"/>
      <c r="R75" s="34"/>
      <c r="S75" s="35" t="str">
        <f aca="false">IF(OR(Q75="",R75=""),"",ROUND(R75/((Q75/100)^2),1))</f>
        <v/>
      </c>
      <c r="T75" s="32" t="str">
        <f aca="false">IF(S75="","",IF(S75&lt;18.5,"Underweight",IF(S75&lt;25,"Normal",IF(S75&lt;30,"Overweight","Obese"))))</f>
        <v/>
      </c>
      <c r="U75" s="34"/>
      <c r="V75" s="34"/>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5" t="str">
        <f aca="false">IF(T75="","",IF(T75="Normal",100,IF(T75="Overweight",65,IF(T75="Obese",50,IF(AND(U75&lt;&gt;"",U75&lt;18.5),30,45)))))</f>
        <v/>
      </c>
      <c r="BG75" s="35" t="str">
        <f aca="false">IF(COUNTBLANK(W75:AC75)&gt;0,"",ROUND(AVERAGE(INDEX('SCORING MASTER'!$D$5:$D$7,MATCH(W75,'SCORING MASTER'!$C$5:$C$7,0)),INDEX('SCORING MASTER'!$D$9:$D$11,MATCH(X75,'SCORING MASTER'!$C$9:$C$11,0)),INDEX('SCORING MASTER'!$D$13:$D$15,MATCH(Y75,'SCORING MASTER'!$C$13:$C$15,0)),INDEX('SCORING MASTER'!$D$17:$D$19,MATCH(Z75,'SCORING MASTER'!$C$17:$C$19,0)),INDEX('SCORING MASTER'!$D$21:$D$23,MATCH(AA75,'SCORING MASTER'!$C$21:$C$23,0)),INDEX('SCORING MASTER'!$D$25:$D$27,MATCH(AB75,'SCORING MASTER'!$C$25:$C$27,0)),INDEX('SCORING MASTER'!$D$29:$D$31,MATCH(AC75,'SCORING MASTER'!$C$29:$C$31,0)))*20,0))</f>
        <v/>
      </c>
      <c r="BH75" s="35" t="str">
        <f aca="false">IF(COUNTBLANK(AD75:AI75)&gt;0,"",ROUND(AVERAGE(INDEX('SCORING MASTER'!$D$33:$D$35,MATCH(AD75,'SCORING MASTER'!$C$33:$C$35,0)),INDEX('SCORING MASTER'!$D$37:$D$39,MATCH(AE75,'SCORING MASTER'!$C$37:$C$39,0)),INDEX('SCORING MASTER'!$D$41:$D$43,MATCH(AF75,'SCORING MASTER'!$C$41:$C$43,0)),INDEX('SCORING MASTER'!$D$45:$D$47,MATCH(AG75,'SCORING MASTER'!$C$45:$C$47,0)),INDEX('SCORING MASTER'!$D$49:$D$52,MATCH(AH75,'SCORING MASTER'!$C$49:$C$52,0)),INDEX('SCORING MASTER'!$D$54:$D$57,MATCH(AI75,'SCORING MASTER'!$C$54:$C$57,0)))*20,0))</f>
        <v/>
      </c>
      <c r="BI75" s="35" t="str">
        <f aca="false">IF(COUNTBLANK(AJ75:AP75)&gt;0,"",ROUND(AVERAGE(INDEX('SCORING MASTER'!$D$59:$D$60,MATCH(AJ75,'SCORING MASTER'!$C$59:$C$60,0)),INDEX('SCORING MASTER'!$D$62:$D$63,MATCH(AK75,'SCORING MASTER'!$C$62:$C$63,0)),INDEX('SCORING MASTER'!$D$65:$D$66,MATCH(AL75,'SCORING MASTER'!$C$65:$C$66,0)),INDEX('SCORING MASTER'!$D$68:$D$69,MATCH(AM75,'SCORING MASTER'!$C$68:$C$69,0)),INDEX('SCORING MASTER'!$D$71:$D$72,MATCH(AN75,'SCORING MASTER'!$C$71:$C$72,0)),INDEX('SCORING MASTER'!$D$74:$D$75,MATCH(AO75,'SCORING MASTER'!$C$74:$C$75,0)),INDEX('SCORING MASTER'!$D$77:$D$78,MATCH(AP75,'SCORING MASTER'!$C$77:$C$78,0)))*20,0))</f>
        <v/>
      </c>
      <c r="BJ75" s="35" t="str">
        <f aca="false">IF(COUNTBLANK(AU75:AZ75)&gt;0,"",ROUND(AVERAGE(INDEX('SCORING MASTER'!$D$95:$D$96,MATCH(AU75,'SCORING MASTER'!$C$95:$C$96,0)),INDEX('SCORING MASTER'!$D$98:$D$99,MATCH(AV75,'SCORING MASTER'!$C$98:$C$99,0)),INDEX('SCORING MASTER'!$D$101:$D$102,MATCH(AW75,'SCORING MASTER'!$C$101:$C$102,0)),INDEX('SCORING MASTER'!$D$104:$D$105,MATCH(AX75,'SCORING MASTER'!$C$104:$C$105,0)),INDEX('SCORING MASTER'!$D$107:$D$108,MATCH(AY75,'SCORING MASTER'!$C$107:$C$108,0)),INDEX('SCORING MASTER'!$D$110:$D$111,MATCH(AZ75,'SCORING MASTER'!$C$110:$C$111,0)))*20,0))</f>
        <v/>
      </c>
      <c r="BK75" s="35" t="str">
        <f aca="false">IF(COUNTBLANK(AQ75:AT75)&gt;0,"",ROUND(AVERAGE(INDEX('SCORING MASTER'!$D$80:$D$82,MATCH(AQ75,'SCORING MASTER'!$C$80:$C$82,0)),INDEX('SCORING MASTER'!$D$84:$D$86,MATCH(AR75,'SCORING MASTER'!$C$84:$C$86,0)),INDEX('SCORING MASTER'!$D$88:$D$90,MATCH(AS75,'SCORING MASTER'!$C$88:$C$90,0)),INDEX('SCORING MASTER'!$D$92:$D$93,MATCH(AT75,'SCORING MASTER'!$C$92:$C$93,0)))*20,0))</f>
        <v/>
      </c>
      <c r="BL75" s="35" t="str">
        <f aca="false">IF(COUNTBLANK(BA75:BE75)&gt;0,"",ROUND(AVERAGE(INDEX('SCORING MASTER'!$D$113:$D$115,MATCH(BA75,'SCORING MASTER'!$C$113:$C$115,0)),INDEX('SCORING MASTER'!$D$117:$D$119,MATCH(BB75,'SCORING MASTER'!$C$117:$C$119,0)),INDEX('SCORING MASTER'!$D$121:$D$123,MATCH(BC75,'SCORING MASTER'!$C$121:$C$123,0)),INDEX('SCORING MASTER'!$D$125:$D$126,MATCH(BD75,'SCORING MASTER'!$C$125:$C$126,0)),INDEX('SCORING MASTER'!$D$128:$D$129,MATCH(BE75,'SCORING MASTER'!$C$128:$C$129,0)))*20,0))</f>
        <v/>
      </c>
      <c r="BM75" s="35" t="str">
        <f aca="false">IF(OR(BF75="",BG75="",BH75="",BI75="",BJ75="",BK75="",BL75=""),"",ROUND(BF75*0.25+BG75*0.2+BH75*0.15+BI75*0.15+BJ75*0.1+BK75*0.1+BL75*0.05,0))</f>
        <v/>
      </c>
      <c r="BN75" s="35" t="str">
        <f aca="false">IF(OR(BF75="",BG75=""),"",ROUND(BF75*0.5+BG75*0.5,0))</f>
        <v/>
      </c>
      <c r="BO75" s="35" t="str">
        <f aca="false">IF(BN75="","",ROUND(MIN(100,MAX(0,(100-BN75)+IF(AL75="Yes",15,0)+IF(AM75="Yes",15,0)+IF(AND(U75&lt;&gt;"",U75&lt;18.5),20,0))),0))</f>
        <v/>
      </c>
      <c r="BP75" s="32" t="str">
        <f aca="false">IF(BM75="","",IF(BM75&gt;=90,"Green - Healthy",IF(BM75&gt;=75,"Light Green - Mild Watch",IF(BM75&gt;=60,"Yellow - Mild Risk",IF(BM75&gt;=40,"Orange - Moderate Risk","Red - High Risk")))))</f>
        <v/>
      </c>
      <c r="BQ75" s="32" t="str">
        <f aca="false">IF(BM75="","",IF(OR(BM75&lt;60,BO75&gt;=60,AJ75="Yes"),"Yes","No"))</f>
        <v/>
      </c>
      <c r="BR75" s="32" t="str">
        <f aca="false">IF(BM75="","",IF(OR(BP75="Orange - Moderate Risk",BP75="Red - High Risk",BQ75="Yes"),"Yes","No"))</f>
        <v/>
      </c>
    </row>
    <row r="76" customFormat="false" ht="15" hidden="false" customHeight="false" outlineLevel="0" collapsed="false">
      <c r="A76" s="28" t="str">
        <f aca="false">IF(I76="","","STU"&amp;TEXT(ROW()-3,"000000"))</f>
        <v/>
      </c>
      <c r="B76" s="28"/>
      <c r="C76" s="28"/>
      <c r="D76" s="28"/>
      <c r="E76" s="28"/>
      <c r="F76" s="28"/>
      <c r="G76" s="28"/>
      <c r="H76" s="28"/>
      <c r="I76" s="28"/>
      <c r="J76" s="30"/>
      <c r="K76" s="28"/>
      <c r="L76" s="28"/>
      <c r="M76" s="28"/>
      <c r="N76" s="28"/>
      <c r="O76" s="28"/>
      <c r="P76" s="28"/>
      <c r="Q76" s="30"/>
      <c r="R76" s="30"/>
      <c r="S76" s="31" t="str">
        <f aca="false">IF(OR(Q76="",R76=""),"",ROUND(R76/((Q76/100)^2),1))</f>
        <v/>
      </c>
      <c r="T76" s="28" t="str">
        <f aca="false">IF(S76="","",IF(S76&lt;18.5,"Underweight",IF(S76&lt;25,"Normal",IF(S76&lt;30,"Overweight","Obese"))))</f>
        <v/>
      </c>
      <c r="U76" s="30"/>
      <c r="V76" s="30"/>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31" t="str">
        <f aca="false">IF(T76="","",IF(T76="Normal",100,IF(T76="Overweight",65,IF(T76="Obese",50,IF(AND(U76&lt;&gt;"",U76&lt;18.5),30,45)))))</f>
        <v/>
      </c>
      <c r="BG76" s="31" t="str">
        <f aca="false">IF(COUNTBLANK(W76:AC76)&gt;0,"",ROUND(AVERAGE(INDEX('SCORING MASTER'!$D$5:$D$7,MATCH(W76,'SCORING MASTER'!$C$5:$C$7,0)),INDEX('SCORING MASTER'!$D$9:$D$11,MATCH(X76,'SCORING MASTER'!$C$9:$C$11,0)),INDEX('SCORING MASTER'!$D$13:$D$15,MATCH(Y76,'SCORING MASTER'!$C$13:$C$15,0)),INDEX('SCORING MASTER'!$D$17:$D$19,MATCH(Z76,'SCORING MASTER'!$C$17:$C$19,0)),INDEX('SCORING MASTER'!$D$21:$D$23,MATCH(AA76,'SCORING MASTER'!$C$21:$C$23,0)),INDEX('SCORING MASTER'!$D$25:$D$27,MATCH(AB76,'SCORING MASTER'!$C$25:$C$27,0)),INDEX('SCORING MASTER'!$D$29:$D$31,MATCH(AC76,'SCORING MASTER'!$C$29:$C$31,0)))*20,0))</f>
        <v/>
      </c>
      <c r="BH76" s="31" t="str">
        <f aca="false">IF(COUNTBLANK(AD76:AI76)&gt;0,"",ROUND(AVERAGE(INDEX('SCORING MASTER'!$D$33:$D$35,MATCH(AD76,'SCORING MASTER'!$C$33:$C$35,0)),INDEX('SCORING MASTER'!$D$37:$D$39,MATCH(AE76,'SCORING MASTER'!$C$37:$C$39,0)),INDEX('SCORING MASTER'!$D$41:$D$43,MATCH(AF76,'SCORING MASTER'!$C$41:$C$43,0)),INDEX('SCORING MASTER'!$D$45:$D$47,MATCH(AG76,'SCORING MASTER'!$C$45:$C$47,0)),INDEX('SCORING MASTER'!$D$49:$D$52,MATCH(AH76,'SCORING MASTER'!$C$49:$C$52,0)),INDEX('SCORING MASTER'!$D$54:$D$57,MATCH(AI76,'SCORING MASTER'!$C$54:$C$57,0)))*20,0))</f>
        <v/>
      </c>
      <c r="BI76" s="31" t="str">
        <f aca="false">IF(COUNTBLANK(AJ76:AP76)&gt;0,"",ROUND(AVERAGE(INDEX('SCORING MASTER'!$D$59:$D$60,MATCH(AJ76,'SCORING MASTER'!$C$59:$C$60,0)),INDEX('SCORING MASTER'!$D$62:$D$63,MATCH(AK76,'SCORING MASTER'!$C$62:$C$63,0)),INDEX('SCORING MASTER'!$D$65:$D$66,MATCH(AL76,'SCORING MASTER'!$C$65:$C$66,0)),INDEX('SCORING MASTER'!$D$68:$D$69,MATCH(AM76,'SCORING MASTER'!$C$68:$C$69,0)),INDEX('SCORING MASTER'!$D$71:$D$72,MATCH(AN76,'SCORING MASTER'!$C$71:$C$72,0)),INDEX('SCORING MASTER'!$D$74:$D$75,MATCH(AO76,'SCORING MASTER'!$C$74:$C$75,0)),INDEX('SCORING MASTER'!$D$77:$D$78,MATCH(AP76,'SCORING MASTER'!$C$77:$C$78,0)))*20,0))</f>
        <v/>
      </c>
      <c r="BJ76" s="31" t="str">
        <f aca="false">IF(COUNTBLANK(AU76:AZ76)&gt;0,"",ROUND(AVERAGE(INDEX('SCORING MASTER'!$D$95:$D$96,MATCH(AU76,'SCORING MASTER'!$C$95:$C$96,0)),INDEX('SCORING MASTER'!$D$98:$D$99,MATCH(AV76,'SCORING MASTER'!$C$98:$C$99,0)),INDEX('SCORING MASTER'!$D$101:$D$102,MATCH(AW76,'SCORING MASTER'!$C$101:$C$102,0)),INDEX('SCORING MASTER'!$D$104:$D$105,MATCH(AX76,'SCORING MASTER'!$C$104:$C$105,0)),INDEX('SCORING MASTER'!$D$107:$D$108,MATCH(AY76,'SCORING MASTER'!$C$107:$C$108,0)),INDEX('SCORING MASTER'!$D$110:$D$111,MATCH(AZ76,'SCORING MASTER'!$C$110:$C$111,0)))*20,0))</f>
        <v/>
      </c>
      <c r="BK76" s="31" t="str">
        <f aca="false">IF(COUNTBLANK(AQ76:AT76)&gt;0,"",ROUND(AVERAGE(INDEX('SCORING MASTER'!$D$80:$D$82,MATCH(AQ76,'SCORING MASTER'!$C$80:$C$82,0)),INDEX('SCORING MASTER'!$D$84:$D$86,MATCH(AR76,'SCORING MASTER'!$C$84:$C$86,0)),INDEX('SCORING MASTER'!$D$88:$D$90,MATCH(AS76,'SCORING MASTER'!$C$88:$C$90,0)),INDEX('SCORING MASTER'!$D$92:$D$93,MATCH(AT76,'SCORING MASTER'!$C$92:$C$93,0)))*20,0))</f>
        <v/>
      </c>
      <c r="BL76" s="31" t="str">
        <f aca="false">IF(COUNTBLANK(BA76:BE76)&gt;0,"",ROUND(AVERAGE(INDEX('SCORING MASTER'!$D$113:$D$115,MATCH(BA76,'SCORING MASTER'!$C$113:$C$115,0)),INDEX('SCORING MASTER'!$D$117:$D$119,MATCH(BB76,'SCORING MASTER'!$C$117:$C$119,0)),INDEX('SCORING MASTER'!$D$121:$D$123,MATCH(BC76,'SCORING MASTER'!$C$121:$C$123,0)),INDEX('SCORING MASTER'!$D$125:$D$126,MATCH(BD76,'SCORING MASTER'!$C$125:$C$126,0)),INDEX('SCORING MASTER'!$D$128:$D$129,MATCH(BE76,'SCORING MASTER'!$C$128:$C$129,0)))*20,0))</f>
        <v/>
      </c>
      <c r="BM76" s="31" t="str">
        <f aca="false">IF(OR(BF76="",BG76="",BH76="",BI76="",BJ76="",BK76="",BL76=""),"",ROUND(BF76*0.25+BG76*0.2+BH76*0.15+BI76*0.15+BJ76*0.1+BK76*0.1+BL76*0.05,0))</f>
        <v/>
      </c>
      <c r="BN76" s="31" t="str">
        <f aca="false">IF(OR(BF76="",BG76=""),"",ROUND(BF76*0.5+BG76*0.5,0))</f>
        <v/>
      </c>
      <c r="BO76" s="31" t="str">
        <f aca="false">IF(BN76="","",ROUND(MIN(100,MAX(0,(100-BN76)+IF(AL76="Yes",15,0)+IF(AM76="Yes",15,0)+IF(AND(U76&lt;&gt;"",U76&lt;18.5),20,0))),0))</f>
        <v/>
      </c>
      <c r="BP76" s="28" t="str">
        <f aca="false">IF(BM76="","",IF(BM76&gt;=90,"Green - Healthy",IF(BM76&gt;=75,"Light Green - Mild Watch",IF(BM76&gt;=60,"Yellow - Mild Risk",IF(BM76&gt;=40,"Orange - Moderate Risk","Red - High Risk")))))</f>
        <v/>
      </c>
      <c r="BQ76" s="28" t="str">
        <f aca="false">IF(BM76="","",IF(OR(BM76&lt;60,BO76&gt;=60,AJ76="Yes"),"Yes","No"))</f>
        <v/>
      </c>
      <c r="BR76" s="28" t="str">
        <f aca="false">IF(BM76="","",IF(OR(BP76="Orange - Moderate Risk",BP76="Red - High Risk",BQ76="Yes"),"Yes","No"))</f>
        <v/>
      </c>
    </row>
    <row r="77" customFormat="false" ht="15" hidden="false" customHeight="false" outlineLevel="0" collapsed="false">
      <c r="A77" s="32" t="str">
        <f aca="false">IF(I77="","","STU"&amp;TEXT(ROW()-3,"000000"))</f>
        <v/>
      </c>
      <c r="B77" s="32"/>
      <c r="C77" s="32"/>
      <c r="D77" s="32"/>
      <c r="E77" s="32"/>
      <c r="F77" s="32"/>
      <c r="G77" s="32"/>
      <c r="H77" s="32"/>
      <c r="I77" s="32"/>
      <c r="J77" s="34"/>
      <c r="K77" s="32"/>
      <c r="L77" s="32"/>
      <c r="M77" s="32"/>
      <c r="N77" s="32"/>
      <c r="O77" s="32"/>
      <c r="P77" s="32"/>
      <c r="Q77" s="34"/>
      <c r="R77" s="34"/>
      <c r="S77" s="35" t="str">
        <f aca="false">IF(OR(Q77="",R77=""),"",ROUND(R77/((Q77/100)^2),1))</f>
        <v/>
      </c>
      <c r="T77" s="32" t="str">
        <f aca="false">IF(S77="","",IF(S77&lt;18.5,"Underweight",IF(S77&lt;25,"Normal",IF(S77&lt;30,"Overweight","Obese"))))</f>
        <v/>
      </c>
      <c r="U77" s="34"/>
      <c r="V77" s="34"/>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5" t="str">
        <f aca="false">IF(T77="","",IF(T77="Normal",100,IF(T77="Overweight",65,IF(T77="Obese",50,IF(AND(U77&lt;&gt;"",U77&lt;18.5),30,45)))))</f>
        <v/>
      </c>
      <c r="BG77" s="35" t="str">
        <f aca="false">IF(COUNTBLANK(W77:AC77)&gt;0,"",ROUND(AVERAGE(INDEX('SCORING MASTER'!$D$5:$D$7,MATCH(W77,'SCORING MASTER'!$C$5:$C$7,0)),INDEX('SCORING MASTER'!$D$9:$D$11,MATCH(X77,'SCORING MASTER'!$C$9:$C$11,0)),INDEX('SCORING MASTER'!$D$13:$D$15,MATCH(Y77,'SCORING MASTER'!$C$13:$C$15,0)),INDEX('SCORING MASTER'!$D$17:$D$19,MATCH(Z77,'SCORING MASTER'!$C$17:$C$19,0)),INDEX('SCORING MASTER'!$D$21:$D$23,MATCH(AA77,'SCORING MASTER'!$C$21:$C$23,0)),INDEX('SCORING MASTER'!$D$25:$D$27,MATCH(AB77,'SCORING MASTER'!$C$25:$C$27,0)),INDEX('SCORING MASTER'!$D$29:$D$31,MATCH(AC77,'SCORING MASTER'!$C$29:$C$31,0)))*20,0))</f>
        <v/>
      </c>
      <c r="BH77" s="35" t="str">
        <f aca="false">IF(COUNTBLANK(AD77:AI77)&gt;0,"",ROUND(AVERAGE(INDEX('SCORING MASTER'!$D$33:$D$35,MATCH(AD77,'SCORING MASTER'!$C$33:$C$35,0)),INDEX('SCORING MASTER'!$D$37:$D$39,MATCH(AE77,'SCORING MASTER'!$C$37:$C$39,0)),INDEX('SCORING MASTER'!$D$41:$D$43,MATCH(AF77,'SCORING MASTER'!$C$41:$C$43,0)),INDEX('SCORING MASTER'!$D$45:$D$47,MATCH(AG77,'SCORING MASTER'!$C$45:$C$47,0)),INDEX('SCORING MASTER'!$D$49:$D$52,MATCH(AH77,'SCORING MASTER'!$C$49:$C$52,0)),INDEX('SCORING MASTER'!$D$54:$D$57,MATCH(AI77,'SCORING MASTER'!$C$54:$C$57,0)))*20,0))</f>
        <v/>
      </c>
      <c r="BI77" s="35" t="str">
        <f aca="false">IF(COUNTBLANK(AJ77:AP77)&gt;0,"",ROUND(AVERAGE(INDEX('SCORING MASTER'!$D$59:$D$60,MATCH(AJ77,'SCORING MASTER'!$C$59:$C$60,0)),INDEX('SCORING MASTER'!$D$62:$D$63,MATCH(AK77,'SCORING MASTER'!$C$62:$C$63,0)),INDEX('SCORING MASTER'!$D$65:$D$66,MATCH(AL77,'SCORING MASTER'!$C$65:$C$66,0)),INDEX('SCORING MASTER'!$D$68:$D$69,MATCH(AM77,'SCORING MASTER'!$C$68:$C$69,0)),INDEX('SCORING MASTER'!$D$71:$D$72,MATCH(AN77,'SCORING MASTER'!$C$71:$C$72,0)),INDEX('SCORING MASTER'!$D$74:$D$75,MATCH(AO77,'SCORING MASTER'!$C$74:$C$75,0)),INDEX('SCORING MASTER'!$D$77:$D$78,MATCH(AP77,'SCORING MASTER'!$C$77:$C$78,0)))*20,0))</f>
        <v/>
      </c>
      <c r="BJ77" s="35" t="str">
        <f aca="false">IF(COUNTBLANK(AU77:AZ77)&gt;0,"",ROUND(AVERAGE(INDEX('SCORING MASTER'!$D$95:$D$96,MATCH(AU77,'SCORING MASTER'!$C$95:$C$96,0)),INDEX('SCORING MASTER'!$D$98:$D$99,MATCH(AV77,'SCORING MASTER'!$C$98:$C$99,0)),INDEX('SCORING MASTER'!$D$101:$D$102,MATCH(AW77,'SCORING MASTER'!$C$101:$C$102,0)),INDEX('SCORING MASTER'!$D$104:$D$105,MATCH(AX77,'SCORING MASTER'!$C$104:$C$105,0)),INDEX('SCORING MASTER'!$D$107:$D$108,MATCH(AY77,'SCORING MASTER'!$C$107:$C$108,0)),INDEX('SCORING MASTER'!$D$110:$D$111,MATCH(AZ77,'SCORING MASTER'!$C$110:$C$111,0)))*20,0))</f>
        <v/>
      </c>
      <c r="BK77" s="35" t="str">
        <f aca="false">IF(COUNTBLANK(AQ77:AT77)&gt;0,"",ROUND(AVERAGE(INDEX('SCORING MASTER'!$D$80:$D$82,MATCH(AQ77,'SCORING MASTER'!$C$80:$C$82,0)),INDEX('SCORING MASTER'!$D$84:$D$86,MATCH(AR77,'SCORING MASTER'!$C$84:$C$86,0)),INDEX('SCORING MASTER'!$D$88:$D$90,MATCH(AS77,'SCORING MASTER'!$C$88:$C$90,0)),INDEX('SCORING MASTER'!$D$92:$D$93,MATCH(AT77,'SCORING MASTER'!$C$92:$C$93,0)))*20,0))</f>
        <v/>
      </c>
      <c r="BL77" s="35" t="str">
        <f aca="false">IF(COUNTBLANK(BA77:BE77)&gt;0,"",ROUND(AVERAGE(INDEX('SCORING MASTER'!$D$113:$D$115,MATCH(BA77,'SCORING MASTER'!$C$113:$C$115,0)),INDEX('SCORING MASTER'!$D$117:$D$119,MATCH(BB77,'SCORING MASTER'!$C$117:$C$119,0)),INDEX('SCORING MASTER'!$D$121:$D$123,MATCH(BC77,'SCORING MASTER'!$C$121:$C$123,0)),INDEX('SCORING MASTER'!$D$125:$D$126,MATCH(BD77,'SCORING MASTER'!$C$125:$C$126,0)),INDEX('SCORING MASTER'!$D$128:$D$129,MATCH(BE77,'SCORING MASTER'!$C$128:$C$129,0)))*20,0))</f>
        <v/>
      </c>
      <c r="BM77" s="35" t="str">
        <f aca="false">IF(OR(BF77="",BG77="",BH77="",BI77="",BJ77="",BK77="",BL77=""),"",ROUND(BF77*0.25+BG77*0.2+BH77*0.15+BI77*0.15+BJ77*0.1+BK77*0.1+BL77*0.05,0))</f>
        <v/>
      </c>
      <c r="BN77" s="35" t="str">
        <f aca="false">IF(OR(BF77="",BG77=""),"",ROUND(BF77*0.5+BG77*0.5,0))</f>
        <v/>
      </c>
      <c r="BO77" s="35" t="str">
        <f aca="false">IF(BN77="","",ROUND(MIN(100,MAX(0,(100-BN77)+IF(AL77="Yes",15,0)+IF(AM77="Yes",15,0)+IF(AND(U77&lt;&gt;"",U77&lt;18.5),20,0))),0))</f>
        <v/>
      </c>
      <c r="BP77" s="32" t="str">
        <f aca="false">IF(BM77="","",IF(BM77&gt;=90,"Green - Healthy",IF(BM77&gt;=75,"Light Green - Mild Watch",IF(BM77&gt;=60,"Yellow - Mild Risk",IF(BM77&gt;=40,"Orange - Moderate Risk","Red - High Risk")))))</f>
        <v/>
      </c>
      <c r="BQ77" s="32" t="str">
        <f aca="false">IF(BM77="","",IF(OR(BM77&lt;60,BO77&gt;=60,AJ77="Yes"),"Yes","No"))</f>
        <v/>
      </c>
      <c r="BR77" s="32" t="str">
        <f aca="false">IF(BM77="","",IF(OR(BP77="Orange - Moderate Risk",BP77="Red - High Risk",BQ77="Yes"),"Yes","No"))</f>
        <v/>
      </c>
    </row>
    <row r="78" customFormat="false" ht="15" hidden="false" customHeight="false" outlineLevel="0" collapsed="false">
      <c r="A78" s="28" t="str">
        <f aca="false">IF(I78="","","STU"&amp;TEXT(ROW()-3,"000000"))</f>
        <v/>
      </c>
      <c r="B78" s="28"/>
      <c r="C78" s="28"/>
      <c r="D78" s="28"/>
      <c r="E78" s="28"/>
      <c r="F78" s="28"/>
      <c r="G78" s="28"/>
      <c r="H78" s="28"/>
      <c r="I78" s="28"/>
      <c r="J78" s="30"/>
      <c r="K78" s="28"/>
      <c r="L78" s="28"/>
      <c r="M78" s="28"/>
      <c r="N78" s="28"/>
      <c r="O78" s="28"/>
      <c r="P78" s="28"/>
      <c r="Q78" s="30"/>
      <c r="R78" s="30"/>
      <c r="S78" s="31" t="str">
        <f aca="false">IF(OR(Q78="",R78=""),"",ROUND(R78/((Q78/100)^2),1))</f>
        <v/>
      </c>
      <c r="T78" s="28" t="str">
        <f aca="false">IF(S78="","",IF(S78&lt;18.5,"Underweight",IF(S78&lt;25,"Normal",IF(S78&lt;30,"Overweight","Obese"))))</f>
        <v/>
      </c>
      <c r="U78" s="30"/>
      <c r="V78" s="30"/>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31" t="str">
        <f aca="false">IF(T78="","",IF(T78="Normal",100,IF(T78="Overweight",65,IF(T78="Obese",50,IF(AND(U78&lt;&gt;"",U78&lt;18.5),30,45)))))</f>
        <v/>
      </c>
      <c r="BG78" s="31" t="str">
        <f aca="false">IF(COUNTBLANK(W78:AC78)&gt;0,"",ROUND(AVERAGE(INDEX('SCORING MASTER'!$D$5:$D$7,MATCH(W78,'SCORING MASTER'!$C$5:$C$7,0)),INDEX('SCORING MASTER'!$D$9:$D$11,MATCH(X78,'SCORING MASTER'!$C$9:$C$11,0)),INDEX('SCORING MASTER'!$D$13:$D$15,MATCH(Y78,'SCORING MASTER'!$C$13:$C$15,0)),INDEX('SCORING MASTER'!$D$17:$D$19,MATCH(Z78,'SCORING MASTER'!$C$17:$C$19,0)),INDEX('SCORING MASTER'!$D$21:$D$23,MATCH(AA78,'SCORING MASTER'!$C$21:$C$23,0)),INDEX('SCORING MASTER'!$D$25:$D$27,MATCH(AB78,'SCORING MASTER'!$C$25:$C$27,0)),INDEX('SCORING MASTER'!$D$29:$D$31,MATCH(AC78,'SCORING MASTER'!$C$29:$C$31,0)))*20,0))</f>
        <v/>
      </c>
      <c r="BH78" s="31" t="str">
        <f aca="false">IF(COUNTBLANK(AD78:AI78)&gt;0,"",ROUND(AVERAGE(INDEX('SCORING MASTER'!$D$33:$D$35,MATCH(AD78,'SCORING MASTER'!$C$33:$C$35,0)),INDEX('SCORING MASTER'!$D$37:$D$39,MATCH(AE78,'SCORING MASTER'!$C$37:$C$39,0)),INDEX('SCORING MASTER'!$D$41:$D$43,MATCH(AF78,'SCORING MASTER'!$C$41:$C$43,0)),INDEX('SCORING MASTER'!$D$45:$D$47,MATCH(AG78,'SCORING MASTER'!$C$45:$C$47,0)),INDEX('SCORING MASTER'!$D$49:$D$52,MATCH(AH78,'SCORING MASTER'!$C$49:$C$52,0)),INDEX('SCORING MASTER'!$D$54:$D$57,MATCH(AI78,'SCORING MASTER'!$C$54:$C$57,0)))*20,0))</f>
        <v/>
      </c>
      <c r="BI78" s="31" t="str">
        <f aca="false">IF(COUNTBLANK(AJ78:AP78)&gt;0,"",ROUND(AVERAGE(INDEX('SCORING MASTER'!$D$59:$D$60,MATCH(AJ78,'SCORING MASTER'!$C$59:$C$60,0)),INDEX('SCORING MASTER'!$D$62:$D$63,MATCH(AK78,'SCORING MASTER'!$C$62:$C$63,0)),INDEX('SCORING MASTER'!$D$65:$D$66,MATCH(AL78,'SCORING MASTER'!$C$65:$C$66,0)),INDEX('SCORING MASTER'!$D$68:$D$69,MATCH(AM78,'SCORING MASTER'!$C$68:$C$69,0)),INDEX('SCORING MASTER'!$D$71:$D$72,MATCH(AN78,'SCORING MASTER'!$C$71:$C$72,0)),INDEX('SCORING MASTER'!$D$74:$D$75,MATCH(AO78,'SCORING MASTER'!$C$74:$C$75,0)),INDEX('SCORING MASTER'!$D$77:$D$78,MATCH(AP78,'SCORING MASTER'!$C$77:$C$78,0)))*20,0))</f>
        <v/>
      </c>
      <c r="BJ78" s="31" t="str">
        <f aca="false">IF(COUNTBLANK(AU78:AZ78)&gt;0,"",ROUND(AVERAGE(INDEX('SCORING MASTER'!$D$95:$D$96,MATCH(AU78,'SCORING MASTER'!$C$95:$C$96,0)),INDEX('SCORING MASTER'!$D$98:$D$99,MATCH(AV78,'SCORING MASTER'!$C$98:$C$99,0)),INDEX('SCORING MASTER'!$D$101:$D$102,MATCH(AW78,'SCORING MASTER'!$C$101:$C$102,0)),INDEX('SCORING MASTER'!$D$104:$D$105,MATCH(AX78,'SCORING MASTER'!$C$104:$C$105,0)),INDEX('SCORING MASTER'!$D$107:$D$108,MATCH(AY78,'SCORING MASTER'!$C$107:$C$108,0)),INDEX('SCORING MASTER'!$D$110:$D$111,MATCH(AZ78,'SCORING MASTER'!$C$110:$C$111,0)))*20,0))</f>
        <v/>
      </c>
      <c r="BK78" s="31" t="str">
        <f aca="false">IF(COUNTBLANK(AQ78:AT78)&gt;0,"",ROUND(AVERAGE(INDEX('SCORING MASTER'!$D$80:$D$82,MATCH(AQ78,'SCORING MASTER'!$C$80:$C$82,0)),INDEX('SCORING MASTER'!$D$84:$D$86,MATCH(AR78,'SCORING MASTER'!$C$84:$C$86,0)),INDEX('SCORING MASTER'!$D$88:$D$90,MATCH(AS78,'SCORING MASTER'!$C$88:$C$90,0)),INDEX('SCORING MASTER'!$D$92:$D$93,MATCH(AT78,'SCORING MASTER'!$C$92:$C$93,0)))*20,0))</f>
        <v/>
      </c>
      <c r="BL78" s="31" t="str">
        <f aca="false">IF(COUNTBLANK(BA78:BE78)&gt;0,"",ROUND(AVERAGE(INDEX('SCORING MASTER'!$D$113:$D$115,MATCH(BA78,'SCORING MASTER'!$C$113:$C$115,0)),INDEX('SCORING MASTER'!$D$117:$D$119,MATCH(BB78,'SCORING MASTER'!$C$117:$C$119,0)),INDEX('SCORING MASTER'!$D$121:$D$123,MATCH(BC78,'SCORING MASTER'!$C$121:$C$123,0)),INDEX('SCORING MASTER'!$D$125:$D$126,MATCH(BD78,'SCORING MASTER'!$C$125:$C$126,0)),INDEX('SCORING MASTER'!$D$128:$D$129,MATCH(BE78,'SCORING MASTER'!$C$128:$C$129,0)))*20,0))</f>
        <v/>
      </c>
      <c r="BM78" s="31" t="str">
        <f aca="false">IF(OR(BF78="",BG78="",BH78="",BI78="",BJ78="",BK78="",BL78=""),"",ROUND(BF78*0.25+BG78*0.2+BH78*0.15+BI78*0.15+BJ78*0.1+BK78*0.1+BL78*0.05,0))</f>
        <v/>
      </c>
      <c r="BN78" s="31" t="str">
        <f aca="false">IF(OR(BF78="",BG78=""),"",ROUND(BF78*0.5+BG78*0.5,0))</f>
        <v/>
      </c>
      <c r="BO78" s="31" t="str">
        <f aca="false">IF(BN78="","",ROUND(MIN(100,MAX(0,(100-BN78)+IF(AL78="Yes",15,0)+IF(AM78="Yes",15,0)+IF(AND(U78&lt;&gt;"",U78&lt;18.5),20,0))),0))</f>
        <v/>
      </c>
      <c r="BP78" s="28" t="str">
        <f aca="false">IF(BM78="","",IF(BM78&gt;=90,"Green - Healthy",IF(BM78&gt;=75,"Light Green - Mild Watch",IF(BM78&gt;=60,"Yellow - Mild Risk",IF(BM78&gt;=40,"Orange - Moderate Risk","Red - High Risk")))))</f>
        <v/>
      </c>
      <c r="BQ78" s="28" t="str">
        <f aca="false">IF(BM78="","",IF(OR(BM78&lt;60,BO78&gt;=60,AJ78="Yes"),"Yes","No"))</f>
        <v/>
      </c>
      <c r="BR78" s="28" t="str">
        <f aca="false">IF(BM78="","",IF(OR(BP78="Orange - Moderate Risk",BP78="Red - High Risk",BQ78="Yes"),"Yes","No"))</f>
        <v/>
      </c>
    </row>
    <row r="79" customFormat="false" ht="15" hidden="false" customHeight="false" outlineLevel="0" collapsed="false">
      <c r="A79" s="32" t="str">
        <f aca="false">IF(I79="","","STU"&amp;TEXT(ROW()-3,"000000"))</f>
        <v/>
      </c>
      <c r="B79" s="32"/>
      <c r="C79" s="32"/>
      <c r="D79" s="32"/>
      <c r="E79" s="32"/>
      <c r="F79" s="32"/>
      <c r="G79" s="32"/>
      <c r="H79" s="32"/>
      <c r="I79" s="32"/>
      <c r="J79" s="34"/>
      <c r="K79" s="32"/>
      <c r="L79" s="32"/>
      <c r="M79" s="32"/>
      <c r="N79" s="32"/>
      <c r="O79" s="32"/>
      <c r="P79" s="32"/>
      <c r="Q79" s="34"/>
      <c r="R79" s="34"/>
      <c r="S79" s="35" t="str">
        <f aca="false">IF(OR(Q79="",R79=""),"",ROUND(R79/((Q79/100)^2),1))</f>
        <v/>
      </c>
      <c r="T79" s="32" t="str">
        <f aca="false">IF(S79="","",IF(S79&lt;18.5,"Underweight",IF(S79&lt;25,"Normal",IF(S79&lt;30,"Overweight","Obese"))))</f>
        <v/>
      </c>
      <c r="U79" s="34"/>
      <c r="V79" s="34"/>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5" t="str">
        <f aca="false">IF(T79="","",IF(T79="Normal",100,IF(T79="Overweight",65,IF(T79="Obese",50,IF(AND(U79&lt;&gt;"",U79&lt;18.5),30,45)))))</f>
        <v/>
      </c>
      <c r="BG79" s="35" t="str">
        <f aca="false">IF(COUNTBLANK(W79:AC79)&gt;0,"",ROUND(AVERAGE(INDEX('SCORING MASTER'!$D$5:$D$7,MATCH(W79,'SCORING MASTER'!$C$5:$C$7,0)),INDEX('SCORING MASTER'!$D$9:$D$11,MATCH(X79,'SCORING MASTER'!$C$9:$C$11,0)),INDEX('SCORING MASTER'!$D$13:$D$15,MATCH(Y79,'SCORING MASTER'!$C$13:$C$15,0)),INDEX('SCORING MASTER'!$D$17:$D$19,MATCH(Z79,'SCORING MASTER'!$C$17:$C$19,0)),INDEX('SCORING MASTER'!$D$21:$D$23,MATCH(AA79,'SCORING MASTER'!$C$21:$C$23,0)),INDEX('SCORING MASTER'!$D$25:$D$27,MATCH(AB79,'SCORING MASTER'!$C$25:$C$27,0)),INDEX('SCORING MASTER'!$D$29:$D$31,MATCH(AC79,'SCORING MASTER'!$C$29:$C$31,0)))*20,0))</f>
        <v/>
      </c>
      <c r="BH79" s="35" t="str">
        <f aca="false">IF(COUNTBLANK(AD79:AI79)&gt;0,"",ROUND(AVERAGE(INDEX('SCORING MASTER'!$D$33:$D$35,MATCH(AD79,'SCORING MASTER'!$C$33:$C$35,0)),INDEX('SCORING MASTER'!$D$37:$D$39,MATCH(AE79,'SCORING MASTER'!$C$37:$C$39,0)),INDEX('SCORING MASTER'!$D$41:$D$43,MATCH(AF79,'SCORING MASTER'!$C$41:$C$43,0)),INDEX('SCORING MASTER'!$D$45:$D$47,MATCH(AG79,'SCORING MASTER'!$C$45:$C$47,0)),INDEX('SCORING MASTER'!$D$49:$D$52,MATCH(AH79,'SCORING MASTER'!$C$49:$C$52,0)),INDEX('SCORING MASTER'!$D$54:$D$57,MATCH(AI79,'SCORING MASTER'!$C$54:$C$57,0)))*20,0))</f>
        <v/>
      </c>
      <c r="BI79" s="35" t="str">
        <f aca="false">IF(COUNTBLANK(AJ79:AP79)&gt;0,"",ROUND(AVERAGE(INDEX('SCORING MASTER'!$D$59:$D$60,MATCH(AJ79,'SCORING MASTER'!$C$59:$C$60,0)),INDEX('SCORING MASTER'!$D$62:$D$63,MATCH(AK79,'SCORING MASTER'!$C$62:$C$63,0)),INDEX('SCORING MASTER'!$D$65:$D$66,MATCH(AL79,'SCORING MASTER'!$C$65:$C$66,0)),INDEX('SCORING MASTER'!$D$68:$D$69,MATCH(AM79,'SCORING MASTER'!$C$68:$C$69,0)),INDEX('SCORING MASTER'!$D$71:$D$72,MATCH(AN79,'SCORING MASTER'!$C$71:$C$72,0)),INDEX('SCORING MASTER'!$D$74:$D$75,MATCH(AO79,'SCORING MASTER'!$C$74:$C$75,0)),INDEX('SCORING MASTER'!$D$77:$D$78,MATCH(AP79,'SCORING MASTER'!$C$77:$C$78,0)))*20,0))</f>
        <v/>
      </c>
      <c r="BJ79" s="35" t="str">
        <f aca="false">IF(COUNTBLANK(AU79:AZ79)&gt;0,"",ROUND(AVERAGE(INDEX('SCORING MASTER'!$D$95:$D$96,MATCH(AU79,'SCORING MASTER'!$C$95:$C$96,0)),INDEX('SCORING MASTER'!$D$98:$D$99,MATCH(AV79,'SCORING MASTER'!$C$98:$C$99,0)),INDEX('SCORING MASTER'!$D$101:$D$102,MATCH(AW79,'SCORING MASTER'!$C$101:$C$102,0)),INDEX('SCORING MASTER'!$D$104:$D$105,MATCH(AX79,'SCORING MASTER'!$C$104:$C$105,0)),INDEX('SCORING MASTER'!$D$107:$D$108,MATCH(AY79,'SCORING MASTER'!$C$107:$C$108,0)),INDEX('SCORING MASTER'!$D$110:$D$111,MATCH(AZ79,'SCORING MASTER'!$C$110:$C$111,0)))*20,0))</f>
        <v/>
      </c>
      <c r="BK79" s="35" t="str">
        <f aca="false">IF(COUNTBLANK(AQ79:AT79)&gt;0,"",ROUND(AVERAGE(INDEX('SCORING MASTER'!$D$80:$D$82,MATCH(AQ79,'SCORING MASTER'!$C$80:$C$82,0)),INDEX('SCORING MASTER'!$D$84:$D$86,MATCH(AR79,'SCORING MASTER'!$C$84:$C$86,0)),INDEX('SCORING MASTER'!$D$88:$D$90,MATCH(AS79,'SCORING MASTER'!$C$88:$C$90,0)),INDEX('SCORING MASTER'!$D$92:$D$93,MATCH(AT79,'SCORING MASTER'!$C$92:$C$93,0)))*20,0))</f>
        <v/>
      </c>
      <c r="BL79" s="35" t="str">
        <f aca="false">IF(COUNTBLANK(BA79:BE79)&gt;0,"",ROUND(AVERAGE(INDEX('SCORING MASTER'!$D$113:$D$115,MATCH(BA79,'SCORING MASTER'!$C$113:$C$115,0)),INDEX('SCORING MASTER'!$D$117:$D$119,MATCH(BB79,'SCORING MASTER'!$C$117:$C$119,0)),INDEX('SCORING MASTER'!$D$121:$D$123,MATCH(BC79,'SCORING MASTER'!$C$121:$C$123,0)),INDEX('SCORING MASTER'!$D$125:$D$126,MATCH(BD79,'SCORING MASTER'!$C$125:$C$126,0)),INDEX('SCORING MASTER'!$D$128:$D$129,MATCH(BE79,'SCORING MASTER'!$C$128:$C$129,0)))*20,0))</f>
        <v/>
      </c>
      <c r="BM79" s="35" t="str">
        <f aca="false">IF(OR(BF79="",BG79="",BH79="",BI79="",BJ79="",BK79="",BL79=""),"",ROUND(BF79*0.25+BG79*0.2+BH79*0.15+BI79*0.15+BJ79*0.1+BK79*0.1+BL79*0.05,0))</f>
        <v/>
      </c>
      <c r="BN79" s="35" t="str">
        <f aca="false">IF(OR(BF79="",BG79=""),"",ROUND(BF79*0.5+BG79*0.5,0))</f>
        <v/>
      </c>
      <c r="BO79" s="35" t="str">
        <f aca="false">IF(BN79="","",ROUND(MIN(100,MAX(0,(100-BN79)+IF(AL79="Yes",15,0)+IF(AM79="Yes",15,0)+IF(AND(U79&lt;&gt;"",U79&lt;18.5),20,0))),0))</f>
        <v/>
      </c>
      <c r="BP79" s="32" t="str">
        <f aca="false">IF(BM79="","",IF(BM79&gt;=90,"Green - Healthy",IF(BM79&gt;=75,"Light Green - Mild Watch",IF(BM79&gt;=60,"Yellow - Mild Risk",IF(BM79&gt;=40,"Orange - Moderate Risk","Red - High Risk")))))</f>
        <v/>
      </c>
      <c r="BQ79" s="32" t="str">
        <f aca="false">IF(BM79="","",IF(OR(BM79&lt;60,BO79&gt;=60,AJ79="Yes"),"Yes","No"))</f>
        <v/>
      </c>
      <c r="BR79" s="32" t="str">
        <f aca="false">IF(BM79="","",IF(OR(BP79="Orange - Moderate Risk",BP79="Red - High Risk",BQ79="Yes"),"Yes","No"))</f>
        <v/>
      </c>
    </row>
    <row r="80" customFormat="false" ht="15" hidden="false" customHeight="false" outlineLevel="0" collapsed="false">
      <c r="A80" s="28" t="str">
        <f aca="false">IF(I80="","","STU"&amp;TEXT(ROW()-3,"000000"))</f>
        <v/>
      </c>
      <c r="B80" s="28"/>
      <c r="C80" s="28"/>
      <c r="D80" s="28"/>
      <c r="E80" s="28"/>
      <c r="F80" s="28"/>
      <c r="G80" s="28"/>
      <c r="H80" s="28"/>
      <c r="I80" s="28"/>
      <c r="J80" s="30"/>
      <c r="K80" s="28"/>
      <c r="L80" s="28"/>
      <c r="M80" s="28"/>
      <c r="N80" s="28"/>
      <c r="O80" s="28"/>
      <c r="P80" s="28"/>
      <c r="Q80" s="30"/>
      <c r="R80" s="30"/>
      <c r="S80" s="31" t="str">
        <f aca="false">IF(OR(Q80="",R80=""),"",ROUND(R80/((Q80/100)^2),1))</f>
        <v/>
      </c>
      <c r="T80" s="28" t="str">
        <f aca="false">IF(S80="","",IF(S80&lt;18.5,"Underweight",IF(S80&lt;25,"Normal",IF(S80&lt;30,"Overweight","Obese"))))</f>
        <v/>
      </c>
      <c r="U80" s="30"/>
      <c r="V80" s="30"/>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31" t="str">
        <f aca="false">IF(T80="","",IF(T80="Normal",100,IF(T80="Overweight",65,IF(T80="Obese",50,IF(AND(U80&lt;&gt;"",U80&lt;18.5),30,45)))))</f>
        <v/>
      </c>
      <c r="BG80" s="31" t="str">
        <f aca="false">IF(COUNTBLANK(W80:AC80)&gt;0,"",ROUND(AVERAGE(INDEX('SCORING MASTER'!$D$5:$D$7,MATCH(W80,'SCORING MASTER'!$C$5:$C$7,0)),INDEX('SCORING MASTER'!$D$9:$D$11,MATCH(X80,'SCORING MASTER'!$C$9:$C$11,0)),INDEX('SCORING MASTER'!$D$13:$D$15,MATCH(Y80,'SCORING MASTER'!$C$13:$C$15,0)),INDEX('SCORING MASTER'!$D$17:$D$19,MATCH(Z80,'SCORING MASTER'!$C$17:$C$19,0)),INDEX('SCORING MASTER'!$D$21:$D$23,MATCH(AA80,'SCORING MASTER'!$C$21:$C$23,0)),INDEX('SCORING MASTER'!$D$25:$D$27,MATCH(AB80,'SCORING MASTER'!$C$25:$C$27,0)),INDEX('SCORING MASTER'!$D$29:$D$31,MATCH(AC80,'SCORING MASTER'!$C$29:$C$31,0)))*20,0))</f>
        <v/>
      </c>
      <c r="BH80" s="31" t="str">
        <f aca="false">IF(COUNTBLANK(AD80:AI80)&gt;0,"",ROUND(AVERAGE(INDEX('SCORING MASTER'!$D$33:$D$35,MATCH(AD80,'SCORING MASTER'!$C$33:$C$35,0)),INDEX('SCORING MASTER'!$D$37:$D$39,MATCH(AE80,'SCORING MASTER'!$C$37:$C$39,0)),INDEX('SCORING MASTER'!$D$41:$D$43,MATCH(AF80,'SCORING MASTER'!$C$41:$C$43,0)),INDEX('SCORING MASTER'!$D$45:$D$47,MATCH(AG80,'SCORING MASTER'!$C$45:$C$47,0)),INDEX('SCORING MASTER'!$D$49:$D$52,MATCH(AH80,'SCORING MASTER'!$C$49:$C$52,0)),INDEX('SCORING MASTER'!$D$54:$D$57,MATCH(AI80,'SCORING MASTER'!$C$54:$C$57,0)))*20,0))</f>
        <v/>
      </c>
      <c r="BI80" s="31" t="str">
        <f aca="false">IF(COUNTBLANK(AJ80:AP80)&gt;0,"",ROUND(AVERAGE(INDEX('SCORING MASTER'!$D$59:$D$60,MATCH(AJ80,'SCORING MASTER'!$C$59:$C$60,0)),INDEX('SCORING MASTER'!$D$62:$D$63,MATCH(AK80,'SCORING MASTER'!$C$62:$C$63,0)),INDEX('SCORING MASTER'!$D$65:$D$66,MATCH(AL80,'SCORING MASTER'!$C$65:$C$66,0)),INDEX('SCORING MASTER'!$D$68:$D$69,MATCH(AM80,'SCORING MASTER'!$C$68:$C$69,0)),INDEX('SCORING MASTER'!$D$71:$D$72,MATCH(AN80,'SCORING MASTER'!$C$71:$C$72,0)),INDEX('SCORING MASTER'!$D$74:$D$75,MATCH(AO80,'SCORING MASTER'!$C$74:$C$75,0)),INDEX('SCORING MASTER'!$D$77:$D$78,MATCH(AP80,'SCORING MASTER'!$C$77:$C$78,0)))*20,0))</f>
        <v/>
      </c>
      <c r="BJ80" s="31" t="str">
        <f aca="false">IF(COUNTBLANK(AU80:AZ80)&gt;0,"",ROUND(AVERAGE(INDEX('SCORING MASTER'!$D$95:$D$96,MATCH(AU80,'SCORING MASTER'!$C$95:$C$96,0)),INDEX('SCORING MASTER'!$D$98:$D$99,MATCH(AV80,'SCORING MASTER'!$C$98:$C$99,0)),INDEX('SCORING MASTER'!$D$101:$D$102,MATCH(AW80,'SCORING MASTER'!$C$101:$C$102,0)),INDEX('SCORING MASTER'!$D$104:$D$105,MATCH(AX80,'SCORING MASTER'!$C$104:$C$105,0)),INDEX('SCORING MASTER'!$D$107:$D$108,MATCH(AY80,'SCORING MASTER'!$C$107:$C$108,0)),INDEX('SCORING MASTER'!$D$110:$D$111,MATCH(AZ80,'SCORING MASTER'!$C$110:$C$111,0)))*20,0))</f>
        <v/>
      </c>
      <c r="BK80" s="31" t="str">
        <f aca="false">IF(COUNTBLANK(AQ80:AT80)&gt;0,"",ROUND(AVERAGE(INDEX('SCORING MASTER'!$D$80:$D$82,MATCH(AQ80,'SCORING MASTER'!$C$80:$C$82,0)),INDEX('SCORING MASTER'!$D$84:$D$86,MATCH(AR80,'SCORING MASTER'!$C$84:$C$86,0)),INDEX('SCORING MASTER'!$D$88:$D$90,MATCH(AS80,'SCORING MASTER'!$C$88:$C$90,0)),INDEX('SCORING MASTER'!$D$92:$D$93,MATCH(AT80,'SCORING MASTER'!$C$92:$C$93,0)))*20,0))</f>
        <v/>
      </c>
      <c r="BL80" s="31" t="str">
        <f aca="false">IF(COUNTBLANK(BA80:BE80)&gt;0,"",ROUND(AVERAGE(INDEX('SCORING MASTER'!$D$113:$D$115,MATCH(BA80,'SCORING MASTER'!$C$113:$C$115,0)),INDEX('SCORING MASTER'!$D$117:$D$119,MATCH(BB80,'SCORING MASTER'!$C$117:$C$119,0)),INDEX('SCORING MASTER'!$D$121:$D$123,MATCH(BC80,'SCORING MASTER'!$C$121:$C$123,0)),INDEX('SCORING MASTER'!$D$125:$D$126,MATCH(BD80,'SCORING MASTER'!$C$125:$C$126,0)),INDEX('SCORING MASTER'!$D$128:$D$129,MATCH(BE80,'SCORING MASTER'!$C$128:$C$129,0)))*20,0))</f>
        <v/>
      </c>
      <c r="BM80" s="31" t="str">
        <f aca="false">IF(OR(BF80="",BG80="",BH80="",BI80="",BJ80="",BK80="",BL80=""),"",ROUND(BF80*0.25+BG80*0.2+BH80*0.15+BI80*0.15+BJ80*0.1+BK80*0.1+BL80*0.05,0))</f>
        <v/>
      </c>
      <c r="BN80" s="31" t="str">
        <f aca="false">IF(OR(BF80="",BG80=""),"",ROUND(BF80*0.5+BG80*0.5,0))</f>
        <v/>
      </c>
      <c r="BO80" s="31" t="str">
        <f aca="false">IF(BN80="","",ROUND(MIN(100,MAX(0,(100-BN80)+IF(AL80="Yes",15,0)+IF(AM80="Yes",15,0)+IF(AND(U80&lt;&gt;"",U80&lt;18.5),20,0))),0))</f>
        <v/>
      </c>
      <c r="BP80" s="28" t="str">
        <f aca="false">IF(BM80="","",IF(BM80&gt;=90,"Green - Healthy",IF(BM80&gt;=75,"Light Green - Mild Watch",IF(BM80&gt;=60,"Yellow - Mild Risk",IF(BM80&gt;=40,"Orange - Moderate Risk","Red - High Risk")))))</f>
        <v/>
      </c>
      <c r="BQ80" s="28" t="str">
        <f aca="false">IF(BM80="","",IF(OR(BM80&lt;60,BO80&gt;=60,AJ80="Yes"),"Yes","No"))</f>
        <v/>
      </c>
      <c r="BR80" s="28" t="str">
        <f aca="false">IF(BM80="","",IF(OR(BP80="Orange - Moderate Risk",BP80="Red - High Risk",BQ80="Yes"),"Yes","No"))</f>
        <v/>
      </c>
    </row>
    <row r="81" customFormat="false" ht="15" hidden="false" customHeight="false" outlineLevel="0" collapsed="false">
      <c r="A81" s="32" t="str">
        <f aca="false">IF(I81="","","STU"&amp;TEXT(ROW()-3,"000000"))</f>
        <v/>
      </c>
      <c r="B81" s="32"/>
      <c r="C81" s="32"/>
      <c r="D81" s="32"/>
      <c r="E81" s="32"/>
      <c r="F81" s="32"/>
      <c r="G81" s="32"/>
      <c r="H81" s="32"/>
      <c r="I81" s="32"/>
      <c r="J81" s="34"/>
      <c r="K81" s="32"/>
      <c r="L81" s="32"/>
      <c r="M81" s="32"/>
      <c r="N81" s="32"/>
      <c r="O81" s="32"/>
      <c r="P81" s="32"/>
      <c r="Q81" s="34"/>
      <c r="R81" s="34"/>
      <c r="S81" s="35" t="str">
        <f aca="false">IF(OR(Q81="",R81=""),"",ROUND(R81/((Q81/100)^2),1))</f>
        <v/>
      </c>
      <c r="T81" s="32" t="str">
        <f aca="false">IF(S81="","",IF(S81&lt;18.5,"Underweight",IF(S81&lt;25,"Normal",IF(S81&lt;30,"Overweight","Obese"))))</f>
        <v/>
      </c>
      <c r="U81" s="34"/>
      <c r="V81" s="34"/>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5" t="str">
        <f aca="false">IF(T81="","",IF(T81="Normal",100,IF(T81="Overweight",65,IF(T81="Obese",50,IF(AND(U81&lt;&gt;"",U81&lt;18.5),30,45)))))</f>
        <v/>
      </c>
      <c r="BG81" s="35" t="str">
        <f aca="false">IF(COUNTBLANK(W81:AC81)&gt;0,"",ROUND(AVERAGE(INDEX('SCORING MASTER'!$D$5:$D$7,MATCH(W81,'SCORING MASTER'!$C$5:$C$7,0)),INDEX('SCORING MASTER'!$D$9:$D$11,MATCH(X81,'SCORING MASTER'!$C$9:$C$11,0)),INDEX('SCORING MASTER'!$D$13:$D$15,MATCH(Y81,'SCORING MASTER'!$C$13:$C$15,0)),INDEX('SCORING MASTER'!$D$17:$D$19,MATCH(Z81,'SCORING MASTER'!$C$17:$C$19,0)),INDEX('SCORING MASTER'!$D$21:$D$23,MATCH(AA81,'SCORING MASTER'!$C$21:$C$23,0)),INDEX('SCORING MASTER'!$D$25:$D$27,MATCH(AB81,'SCORING MASTER'!$C$25:$C$27,0)),INDEX('SCORING MASTER'!$D$29:$D$31,MATCH(AC81,'SCORING MASTER'!$C$29:$C$31,0)))*20,0))</f>
        <v/>
      </c>
      <c r="BH81" s="35" t="str">
        <f aca="false">IF(COUNTBLANK(AD81:AI81)&gt;0,"",ROUND(AVERAGE(INDEX('SCORING MASTER'!$D$33:$D$35,MATCH(AD81,'SCORING MASTER'!$C$33:$C$35,0)),INDEX('SCORING MASTER'!$D$37:$D$39,MATCH(AE81,'SCORING MASTER'!$C$37:$C$39,0)),INDEX('SCORING MASTER'!$D$41:$D$43,MATCH(AF81,'SCORING MASTER'!$C$41:$C$43,0)),INDEX('SCORING MASTER'!$D$45:$D$47,MATCH(AG81,'SCORING MASTER'!$C$45:$C$47,0)),INDEX('SCORING MASTER'!$D$49:$D$52,MATCH(AH81,'SCORING MASTER'!$C$49:$C$52,0)),INDEX('SCORING MASTER'!$D$54:$D$57,MATCH(AI81,'SCORING MASTER'!$C$54:$C$57,0)))*20,0))</f>
        <v/>
      </c>
      <c r="BI81" s="35" t="str">
        <f aca="false">IF(COUNTBLANK(AJ81:AP81)&gt;0,"",ROUND(AVERAGE(INDEX('SCORING MASTER'!$D$59:$D$60,MATCH(AJ81,'SCORING MASTER'!$C$59:$C$60,0)),INDEX('SCORING MASTER'!$D$62:$D$63,MATCH(AK81,'SCORING MASTER'!$C$62:$C$63,0)),INDEX('SCORING MASTER'!$D$65:$D$66,MATCH(AL81,'SCORING MASTER'!$C$65:$C$66,0)),INDEX('SCORING MASTER'!$D$68:$D$69,MATCH(AM81,'SCORING MASTER'!$C$68:$C$69,0)),INDEX('SCORING MASTER'!$D$71:$D$72,MATCH(AN81,'SCORING MASTER'!$C$71:$C$72,0)),INDEX('SCORING MASTER'!$D$74:$D$75,MATCH(AO81,'SCORING MASTER'!$C$74:$C$75,0)),INDEX('SCORING MASTER'!$D$77:$D$78,MATCH(AP81,'SCORING MASTER'!$C$77:$C$78,0)))*20,0))</f>
        <v/>
      </c>
      <c r="BJ81" s="35" t="str">
        <f aca="false">IF(COUNTBLANK(AU81:AZ81)&gt;0,"",ROUND(AVERAGE(INDEX('SCORING MASTER'!$D$95:$D$96,MATCH(AU81,'SCORING MASTER'!$C$95:$C$96,0)),INDEX('SCORING MASTER'!$D$98:$D$99,MATCH(AV81,'SCORING MASTER'!$C$98:$C$99,0)),INDEX('SCORING MASTER'!$D$101:$D$102,MATCH(AW81,'SCORING MASTER'!$C$101:$C$102,0)),INDEX('SCORING MASTER'!$D$104:$D$105,MATCH(AX81,'SCORING MASTER'!$C$104:$C$105,0)),INDEX('SCORING MASTER'!$D$107:$D$108,MATCH(AY81,'SCORING MASTER'!$C$107:$C$108,0)),INDEX('SCORING MASTER'!$D$110:$D$111,MATCH(AZ81,'SCORING MASTER'!$C$110:$C$111,0)))*20,0))</f>
        <v/>
      </c>
      <c r="BK81" s="35" t="str">
        <f aca="false">IF(COUNTBLANK(AQ81:AT81)&gt;0,"",ROUND(AVERAGE(INDEX('SCORING MASTER'!$D$80:$D$82,MATCH(AQ81,'SCORING MASTER'!$C$80:$C$82,0)),INDEX('SCORING MASTER'!$D$84:$D$86,MATCH(AR81,'SCORING MASTER'!$C$84:$C$86,0)),INDEX('SCORING MASTER'!$D$88:$D$90,MATCH(AS81,'SCORING MASTER'!$C$88:$C$90,0)),INDEX('SCORING MASTER'!$D$92:$D$93,MATCH(AT81,'SCORING MASTER'!$C$92:$C$93,0)))*20,0))</f>
        <v/>
      </c>
      <c r="BL81" s="35" t="str">
        <f aca="false">IF(COUNTBLANK(BA81:BE81)&gt;0,"",ROUND(AVERAGE(INDEX('SCORING MASTER'!$D$113:$D$115,MATCH(BA81,'SCORING MASTER'!$C$113:$C$115,0)),INDEX('SCORING MASTER'!$D$117:$D$119,MATCH(BB81,'SCORING MASTER'!$C$117:$C$119,0)),INDEX('SCORING MASTER'!$D$121:$D$123,MATCH(BC81,'SCORING MASTER'!$C$121:$C$123,0)),INDEX('SCORING MASTER'!$D$125:$D$126,MATCH(BD81,'SCORING MASTER'!$C$125:$C$126,0)),INDEX('SCORING MASTER'!$D$128:$D$129,MATCH(BE81,'SCORING MASTER'!$C$128:$C$129,0)))*20,0))</f>
        <v/>
      </c>
      <c r="BM81" s="35" t="str">
        <f aca="false">IF(OR(BF81="",BG81="",BH81="",BI81="",BJ81="",BK81="",BL81=""),"",ROUND(BF81*0.25+BG81*0.2+BH81*0.15+BI81*0.15+BJ81*0.1+BK81*0.1+BL81*0.05,0))</f>
        <v/>
      </c>
      <c r="BN81" s="35" t="str">
        <f aca="false">IF(OR(BF81="",BG81=""),"",ROUND(BF81*0.5+BG81*0.5,0))</f>
        <v/>
      </c>
      <c r="BO81" s="35" t="str">
        <f aca="false">IF(BN81="","",ROUND(MIN(100,MAX(0,(100-BN81)+IF(AL81="Yes",15,0)+IF(AM81="Yes",15,0)+IF(AND(U81&lt;&gt;"",U81&lt;18.5),20,0))),0))</f>
        <v/>
      </c>
      <c r="BP81" s="32" t="str">
        <f aca="false">IF(BM81="","",IF(BM81&gt;=90,"Green - Healthy",IF(BM81&gt;=75,"Light Green - Mild Watch",IF(BM81&gt;=60,"Yellow - Mild Risk",IF(BM81&gt;=40,"Orange - Moderate Risk","Red - High Risk")))))</f>
        <v/>
      </c>
      <c r="BQ81" s="32" t="str">
        <f aca="false">IF(BM81="","",IF(OR(BM81&lt;60,BO81&gt;=60,AJ81="Yes"),"Yes","No"))</f>
        <v/>
      </c>
      <c r="BR81" s="32" t="str">
        <f aca="false">IF(BM81="","",IF(OR(BP81="Orange - Moderate Risk",BP81="Red - High Risk",BQ81="Yes"),"Yes","No"))</f>
        <v/>
      </c>
    </row>
    <row r="82" customFormat="false" ht="15" hidden="false" customHeight="false" outlineLevel="0" collapsed="false">
      <c r="A82" s="28" t="str">
        <f aca="false">IF(I82="","","STU"&amp;TEXT(ROW()-3,"000000"))</f>
        <v/>
      </c>
      <c r="B82" s="28"/>
      <c r="C82" s="28"/>
      <c r="D82" s="28"/>
      <c r="E82" s="28"/>
      <c r="F82" s="28"/>
      <c r="G82" s="28"/>
      <c r="H82" s="28"/>
      <c r="I82" s="28"/>
      <c r="J82" s="30"/>
      <c r="K82" s="28"/>
      <c r="L82" s="28"/>
      <c r="M82" s="28"/>
      <c r="N82" s="28"/>
      <c r="O82" s="28"/>
      <c r="P82" s="28"/>
      <c r="Q82" s="30"/>
      <c r="R82" s="30"/>
      <c r="S82" s="31" t="str">
        <f aca="false">IF(OR(Q82="",R82=""),"",ROUND(R82/((Q82/100)^2),1))</f>
        <v/>
      </c>
      <c r="T82" s="28" t="str">
        <f aca="false">IF(S82="","",IF(S82&lt;18.5,"Underweight",IF(S82&lt;25,"Normal",IF(S82&lt;30,"Overweight","Obese"))))</f>
        <v/>
      </c>
      <c r="U82" s="30"/>
      <c r="V82" s="30"/>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31" t="str">
        <f aca="false">IF(T82="","",IF(T82="Normal",100,IF(T82="Overweight",65,IF(T82="Obese",50,IF(AND(U82&lt;&gt;"",U82&lt;18.5),30,45)))))</f>
        <v/>
      </c>
      <c r="BG82" s="31" t="str">
        <f aca="false">IF(COUNTBLANK(W82:AC82)&gt;0,"",ROUND(AVERAGE(INDEX('SCORING MASTER'!$D$5:$D$7,MATCH(W82,'SCORING MASTER'!$C$5:$C$7,0)),INDEX('SCORING MASTER'!$D$9:$D$11,MATCH(X82,'SCORING MASTER'!$C$9:$C$11,0)),INDEX('SCORING MASTER'!$D$13:$D$15,MATCH(Y82,'SCORING MASTER'!$C$13:$C$15,0)),INDEX('SCORING MASTER'!$D$17:$D$19,MATCH(Z82,'SCORING MASTER'!$C$17:$C$19,0)),INDEX('SCORING MASTER'!$D$21:$D$23,MATCH(AA82,'SCORING MASTER'!$C$21:$C$23,0)),INDEX('SCORING MASTER'!$D$25:$D$27,MATCH(AB82,'SCORING MASTER'!$C$25:$C$27,0)),INDEX('SCORING MASTER'!$D$29:$D$31,MATCH(AC82,'SCORING MASTER'!$C$29:$C$31,0)))*20,0))</f>
        <v/>
      </c>
      <c r="BH82" s="31" t="str">
        <f aca="false">IF(COUNTBLANK(AD82:AI82)&gt;0,"",ROUND(AVERAGE(INDEX('SCORING MASTER'!$D$33:$D$35,MATCH(AD82,'SCORING MASTER'!$C$33:$C$35,0)),INDEX('SCORING MASTER'!$D$37:$D$39,MATCH(AE82,'SCORING MASTER'!$C$37:$C$39,0)),INDEX('SCORING MASTER'!$D$41:$D$43,MATCH(AF82,'SCORING MASTER'!$C$41:$C$43,0)),INDEX('SCORING MASTER'!$D$45:$D$47,MATCH(AG82,'SCORING MASTER'!$C$45:$C$47,0)),INDEX('SCORING MASTER'!$D$49:$D$52,MATCH(AH82,'SCORING MASTER'!$C$49:$C$52,0)),INDEX('SCORING MASTER'!$D$54:$D$57,MATCH(AI82,'SCORING MASTER'!$C$54:$C$57,0)))*20,0))</f>
        <v/>
      </c>
      <c r="BI82" s="31" t="str">
        <f aca="false">IF(COUNTBLANK(AJ82:AP82)&gt;0,"",ROUND(AVERAGE(INDEX('SCORING MASTER'!$D$59:$D$60,MATCH(AJ82,'SCORING MASTER'!$C$59:$C$60,0)),INDEX('SCORING MASTER'!$D$62:$D$63,MATCH(AK82,'SCORING MASTER'!$C$62:$C$63,0)),INDEX('SCORING MASTER'!$D$65:$D$66,MATCH(AL82,'SCORING MASTER'!$C$65:$C$66,0)),INDEX('SCORING MASTER'!$D$68:$D$69,MATCH(AM82,'SCORING MASTER'!$C$68:$C$69,0)),INDEX('SCORING MASTER'!$D$71:$D$72,MATCH(AN82,'SCORING MASTER'!$C$71:$C$72,0)),INDEX('SCORING MASTER'!$D$74:$D$75,MATCH(AO82,'SCORING MASTER'!$C$74:$C$75,0)),INDEX('SCORING MASTER'!$D$77:$D$78,MATCH(AP82,'SCORING MASTER'!$C$77:$C$78,0)))*20,0))</f>
        <v/>
      </c>
      <c r="BJ82" s="31" t="str">
        <f aca="false">IF(COUNTBLANK(AU82:AZ82)&gt;0,"",ROUND(AVERAGE(INDEX('SCORING MASTER'!$D$95:$D$96,MATCH(AU82,'SCORING MASTER'!$C$95:$C$96,0)),INDEX('SCORING MASTER'!$D$98:$D$99,MATCH(AV82,'SCORING MASTER'!$C$98:$C$99,0)),INDEX('SCORING MASTER'!$D$101:$D$102,MATCH(AW82,'SCORING MASTER'!$C$101:$C$102,0)),INDEX('SCORING MASTER'!$D$104:$D$105,MATCH(AX82,'SCORING MASTER'!$C$104:$C$105,0)),INDEX('SCORING MASTER'!$D$107:$D$108,MATCH(AY82,'SCORING MASTER'!$C$107:$C$108,0)),INDEX('SCORING MASTER'!$D$110:$D$111,MATCH(AZ82,'SCORING MASTER'!$C$110:$C$111,0)))*20,0))</f>
        <v/>
      </c>
      <c r="BK82" s="31" t="str">
        <f aca="false">IF(COUNTBLANK(AQ82:AT82)&gt;0,"",ROUND(AVERAGE(INDEX('SCORING MASTER'!$D$80:$D$82,MATCH(AQ82,'SCORING MASTER'!$C$80:$C$82,0)),INDEX('SCORING MASTER'!$D$84:$D$86,MATCH(AR82,'SCORING MASTER'!$C$84:$C$86,0)),INDEX('SCORING MASTER'!$D$88:$D$90,MATCH(AS82,'SCORING MASTER'!$C$88:$C$90,0)),INDEX('SCORING MASTER'!$D$92:$D$93,MATCH(AT82,'SCORING MASTER'!$C$92:$C$93,0)))*20,0))</f>
        <v/>
      </c>
      <c r="BL82" s="31" t="str">
        <f aca="false">IF(COUNTBLANK(BA82:BE82)&gt;0,"",ROUND(AVERAGE(INDEX('SCORING MASTER'!$D$113:$D$115,MATCH(BA82,'SCORING MASTER'!$C$113:$C$115,0)),INDEX('SCORING MASTER'!$D$117:$D$119,MATCH(BB82,'SCORING MASTER'!$C$117:$C$119,0)),INDEX('SCORING MASTER'!$D$121:$D$123,MATCH(BC82,'SCORING MASTER'!$C$121:$C$123,0)),INDEX('SCORING MASTER'!$D$125:$D$126,MATCH(BD82,'SCORING MASTER'!$C$125:$C$126,0)),INDEX('SCORING MASTER'!$D$128:$D$129,MATCH(BE82,'SCORING MASTER'!$C$128:$C$129,0)))*20,0))</f>
        <v/>
      </c>
      <c r="BM82" s="31" t="str">
        <f aca="false">IF(OR(BF82="",BG82="",BH82="",BI82="",BJ82="",BK82="",BL82=""),"",ROUND(BF82*0.25+BG82*0.2+BH82*0.15+BI82*0.15+BJ82*0.1+BK82*0.1+BL82*0.05,0))</f>
        <v/>
      </c>
      <c r="BN82" s="31" t="str">
        <f aca="false">IF(OR(BF82="",BG82=""),"",ROUND(BF82*0.5+BG82*0.5,0))</f>
        <v/>
      </c>
      <c r="BO82" s="31" t="str">
        <f aca="false">IF(BN82="","",ROUND(MIN(100,MAX(0,(100-BN82)+IF(AL82="Yes",15,0)+IF(AM82="Yes",15,0)+IF(AND(U82&lt;&gt;"",U82&lt;18.5),20,0))),0))</f>
        <v/>
      </c>
      <c r="BP82" s="28" t="str">
        <f aca="false">IF(BM82="","",IF(BM82&gt;=90,"Green - Healthy",IF(BM82&gt;=75,"Light Green - Mild Watch",IF(BM82&gt;=60,"Yellow - Mild Risk",IF(BM82&gt;=40,"Orange - Moderate Risk","Red - High Risk")))))</f>
        <v/>
      </c>
      <c r="BQ82" s="28" t="str">
        <f aca="false">IF(BM82="","",IF(OR(BM82&lt;60,BO82&gt;=60,AJ82="Yes"),"Yes","No"))</f>
        <v/>
      </c>
      <c r="BR82" s="28" t="str">
        <f aca="false">IF(BM82="","",IF(OR(BP82="Orange - Moderate Risk",BP82="Red - High Risk",BQ82="Yes"),"Yes","No"))</f>
        <v/>
      </c>
    </row>
    <row r="83" customFormat="false" ht="15" hidden="false" customHeight="false" outlineLevel="0" collapsed="false">
      <c r="A83" s="32" t="str">
        <f aca="false">IF(I83="","","STU"&amp;TEXT(ROW()-3,"000000"))</f>
        <v/>
      </c>
      <c r="B83" s="32"/>
      <c r="C83" s="32"/>
      <c r="D83" s="32"/>
      <c r="E83" s="32"/>
      <c r="F83" s="32"/>
      <c r="G83" s="32"/>
      <c r="H83" s="32"/>
      <c r="I83" s="32"/>
      <c r="J83" s="34"/>
      <c r="K83" s="32"/>
      <c r="L83" s="32"/>
      <c r="M83" s="32"/>
      <c r="N83" s="32"/>
      <c r="O83" s="32"/>
      <c r="P83" s="32"/>
      <c r="Q83" s="34"/>
      <c r="R83" s="34"/>
      <c r="S83" s="35" t="str">
        <f aca="false">IF(OR(Q83="",R83=""),"",ROUND(R83/((Q83/100)^2),1))</f>
        <v/>
      </c>
      <c r="T83" s="32" t="str">
        <f aca="false">IF(S83="","",IF(S83&lt;18.5,"Underweight",IF(S83&lt;25,"Normal",IF(S83&lt;30,"Overweight","Obese"))))</f>
        <v/>
      </c>
      <c r="U83" s="34"/>
      <c r="V83" s="34"/>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5" t="str">
        <f aca="false">IF(T83="","",IF(T83="Normal",100,IF(T83="Overweight",65,IF(T83="Obese",50,IF(AND(U83&lt;&gt;"",U83&lt;18.5),30,45)))))</f>
        <v/>
      </c>
      <c r="BG83" s="35" t="str">
        <f aca="false">IF(COUNTBLANK(W83:AC83)&gt;0,"",ROUND(AVERAGE(INDEX('SCORING MASTER'!$D$5:$D$7,MATCH(W83,'SCORING MASTER'!$C$5:$C$7,0)),INDEX('SCORING MASTER'!$D$9:$D$11,MATCH(X83,'SCORING MASTER'!$C$9:$C$11,0)),INDEX('SCORING MASTER'!$D$13:$D$15,MATCH(Y83,'SCORING MASTER'!$C$13:$C$15,0)),INDEX('SCORING MASTER'!$D$17:$D$19,MATCH(Z83,'SCORING MASTER'!$C$17:$C$19,0)),INDEX('SCORING MASTER'!$D$21:$D$23,MATCH(AA83,'SCORING MASTER'!$C$21:$C$23,0)),INDEX('SCORING MASTER'!$D$25:$D$27,MATCH(AB83,'SCORING MASTER'!$C$25:$C$27,0)),INDEX('SCORING MASTER'!$D$29:$D$31,MATCH(AC83,'SCORING MASTER'!$C$29:$C$31,0)))*20,0))</f>
        <v/>
      </c>
      <c r="BH83" s="35" t="str">
        <f aca="false">IF(COUNTBLANK(AD83:AI83)&gt;0,"",ROUND(AVERAGE(INDEX('SCORING MASTER'!$D$33:$D$35,MATCH(AD83,'SCORING MASTER'!$C$33:$C$35,0)),INDEX('SCORING MASTER'!$D$37:$D$39,MATCH(AE83,'SCORING MASTER'!$C$37:$C$39,0)),INDEX('SCORING MASTER'!$D$41:$D$43,MATCH(AF83,'SCORING MASTER'!$C$41:$C$43,0)),INDEX('SCORING MASTER'!$D$45:$D$47,MATCH(AG83,'SCORING MASTER'!$C$45:$C$47,0)),INDEX('SCORING MASTER'!$D$49:$D$52,MATCH(AH83,'SCORING MASTER'!$C$49:$C$52,0)),INDEX('SCORING MASTER'!$D$54:$D$57,MATCH(AI83,'SCORING MASTER'!$C$54:$C$57,0)))*20,0))</f>
        <v/>
      </c>
      <c r="BI83" s="35" t="str">
        <f aca="false">IF(COUNTBLANK(AJ83:AP83)&gt;0,"",ROUND(AVERAGE(INDEX('SCORING MASTER'!$D$59:$D$60,MATCH(AJ83,'SCORING MASTER'!$C$59:$C$60,0)),INDEX('SCORING MASTER'!$D$62:$D$63,MATCH(AK83,'SCORING MASTER'!$C$62:$C$63,0)),INDEX('SCORING MASTER'!$D$65:$D$66,MATCH(AL83,'SCORING MASTER'!$C$65:$C$66,0)),INDEX('SCORING MASTER'!$D$68:$D$69,MATCH(AM83,'SCORING MASTER'!$C$68:$C$69,0)),INDEX('SCORING MASTER'!$D$71:$D$72,MATCH(AN83,'SCORING MASTER'!$C$71:$C$72,0)),INDEX('SCORING MASTER'!$D$74:$D$75,MATCH(AO83,'SCORING MASTER'!$C$74:$C$75,0)),INDEX('SCORING MASTER'!$D$77:$D$78,MATCH(AP83,'SCORING MASTER'!$C$77:$C$78,0)))*20,0))</f>
        <v/>
      </c>
      <c r="BJ83" s="35" t="str">
        <f aca="false">IF(COUNTBLANK(AU83:AZ83)&gt;0,"",ROUND(AVERAGE(INDEX('SCORING MASTER'!$D$95:$D$96,MATCH(AU83,'SCORING MASTER'!$C$95:$C$96,0)),INDEX('SCORING MASTER'!$D$98:$D$99,MATCH(AV83,'SCORING MASTER'!$C$98:$C$99,0)),INDEX('SCORING MASTER'!$D$101:$D$102,MATCH(AW83,'SCORING MASTER'!$C$101:$C$102,0)),INDEX('SCORING MASTER'!$D$104:$D$105,MATCH(AX83,'SCORING MASTER'!$C$104:$C$105,0)),INDEX('SCORING MASTER'!$D$107:$D$108,MATCH(AY83,'SCORING MASTER'!$C$107:$C$108,0)),INDEX('SCORING MASTER'!$D$110:$D$111,MATCH(AZ83,'SCORING MASTER'!$C$110:$C$111,0)))*20,0))</f>
        <v/>
      </c>
      <c r="BK83" s="35" t="str">
        <f aca="false">IF(COUNTBLANK(AQ83:AT83)&gt;0,"",ROUND(AVERAGE(INDEX('SCORING MASTER'!$D$80:$D$82,MATCH(AQ83,'SCORING MASTER'!$C$80:$C$82,0)),INDEX('SCORING MASTER'!$D$84:$D$86,MATCH(AR83,'SCORING MASTER'!$C$84:$C$86,0)),INDEX('SCORING MASTER'!$D$88:$D$90,MATCH(AS83,'SCORING MASTER'!$C$88:$C$90,0)),INDEX('SCORING MASTER'!$D$92:$D$93,MATCH(AT83,'SCORING MASTER'!$C$92:$C$93,0)))*20,0))</f>
        <v/>
      </c>
      <c r="BL83" s="35" t="str">
        <f aca="false">IF(COUNTBLANK(BA83:BE83)&gt;0,"",ROUND(AVERAGE(INDEX('SCORING MASTER'!$D$113:$D$115,MATCH(BA83,'SCORING MASTER'!$C$113:$C$115,0)),INDEX('SCORING MASTER'!$D$117:$D$119,MATCH(BB83,'SCORING MASTER'!$C$117:$C$119,0)),INDEX('SCORING MASTER'!$D$121:$D$123,MATCH(BC83,'SCORING MASTER'!$C$121:$C$123,0)),INDEX('SCORING MASTER'!$D$125:$D$126,MATCH(BD83,'SCORING MASTER'!$C$125:$C$126,0)),INDEX('SCORING MASTER'!$D$128:$D$129,MATCH(BE83,'SCORING MASTER'!$C$128:$C$129,0)))*20,0))</f>
        <v/>
      </c>
      <c r="BM83" s="35" t="str">
        <f aca="false">IF(OR(BF83="",BG83="",BH83="",BI83="",BJ83="",BK83="",BL83=""),"",ROUND(BF83*0.25+BG83*0.2+BH83*0.15+BI83*0.15+BJ83*0.1+BK83*0.1+BL83*0.05,0))</f>
        <v/>
      </c>
      <c r="BN83" s="35" t="str">
        <f aca="false">IF(OR(BF83="",BG83=""),"",ROUND(BF83*0.5+BG83*0.5,0))</f>
        <v/>
      </c>
      <c r="BO83" s="35" t="str">
        <f aca="false">IF(BN83="","",ROUND(MIN(100,MAX(0,(100-BN83)+IF(AL83="Yes",15,0)+IF(AM83="Yes",15,0)+IF(AND(U83&lt;&gt;"",U83&lt;18.5),20,0))),0))</f>
        <v/>
      </c>
      <c r="BP83" s="32" t="str">
        <f aca="false">IF(BM83="","",IF(BM83&gt;=90,"Green - Healthy",IF(BM83&gt;=75,"Light Green - Mild Watch",IF(BM83&gt;=60,"Yellow - Mild Risk",IF(BM83&gt;=40,"Orange - Moderate Risk","Red - High Risk")))))</f>
        <v/>
      </c>
      <c r="BQ83" s="32" t="str">
        <f aca="false">IF(BM83="","",IF(OR(BM83&lt;60,BO83&gt;=60,AJ83="Yes"),"Yes","No"))</f>
        <v/>
      </c>
      <c r="BR83" s="32" t="str">
        <f aca="false">IF(BM83="","",IF(OR(BP83="Orange - Moderate Risk",BP83="Red - High Risk",BQ83="Yes"),"Yes","No"))</f>
        <v/>
      </c>
    </row>
    <row r="84" customFormat="false" ht="15" hidden="false" customHeight="false" outlineLevel="0" collapsed="false">
      <c r="A84" s="28" t="str">
        <f aca="false">IF(I84="","","STU"&amp;TEXT(ROW()-3,"000000"))</f>
        <v/>
      </c>
      <c r="B84" s="28"/>
      <c r="C84" s="28"/>
      <c r="D84" s="28"/>
      <c r="E84" s="28"/>
      <c r="F84" s="28"/>
      <c r="G84" s="28"/>
      <c r="H84" s="28"/>
      <c r="I84" s="28"/>
      <c r="J84" s="30"/>
      <c r="K84" s="28"/>
      <c r="L84" s="28"/>
      <c r="M84" s="28"/>
      <c r="N84" s="28"/>
      <c r="O84" s="28"/>
      <c r="P84" s="28"/>
      <c r="Q84" s="30"/>
      <c r="R84" s="30"/>
      <c r="S84" s="31" t="str">
        <f aca="false">IF(OR(Q84="",R84=""),"",ROUND(R84/((Q84/100)^2),1))</f>
        <v/>
      </c>
      <c r="T84" s="28" t="str">
        <f aca="false">IF(S84="","",IF(S84&lt;18.5,"Underweight",IF(S84&lt;25,"Normal",IF(S84&lt;30,"Overweight","Obese"))))</f>
        <v/>
      </c>
      <c r="U84" s="30"/>
      <c r="V84" s="30"/>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31" t="str">
        <f aca="false">IF(T84="","",IF(T84="Normal",100,IF(T84="Overweight",65,IF(T84="Obese",50,IF(AND(U84&lt;&gt;"",U84&lt;18.5),30,45)))))</f>
        <v/>
      </c>
      <c r="BG84" s="31" t="str">
        <f aca="false">IF(COUNTBLANK(W84:AC84)&gt;0,"",ROUND(AVERAGE(INDEX('SCORING MASTER'!$D$5:$D$7,MATCH(W84,'SCORING MASTER'!$C$5:$C$7,0)),INDEX('SCORING MASTER'!$D$9:$D$11,MATCH(X84,'SCORING MASTER'!$C$9:$C$11,0)),INDEX('SCORING MASTER'!$D$13:$D$15,MATCH(Y84,'SCORING MASTER'!$C$13:$C$15,0)),INDEX('SCORING MASTER'!$D$17:$D$19,MATCH(Z84,'SCORING MASTER'!$C$17:$C$19,0)),INDEX('SCORING MASTER'!$D$21:$D$23,MATCH(AA84,'SCORING MASTER'!$C$21:$C$23,0)),INDEX('SCORING MASTER'!$D$25:$D$27,MATCH(AB84,'SCORING MASTER'!$C$25:$C$27,0)),INDEX('SCORING MASTER'!$D$29:$D$31,MATCH(AC84,'SCORING MASTER'!$C$29:$C$31,0)))*20,0))</f>
        <v/>
      </c>
      <c r="BH84" s="31" t="str">
        <f aca="false">IF(COUNTBLANK(AD84:AI84)&gt;0,"",ROUND(AVERAGE(INDEX('SCORING MASTER'!$D$33:$D$35,MATCH(AD84,'SCORING MASTER'!$C$33:$C$35,0)),INDEX('SCORING MASTER'!$D$37:$D$39,MATCH(AE84,'SCORING MASTER'!$C$37:$C$39,0)),INDEX('SCORING MASTER'!$D$41:$D$43,MATCH(AF84,'SCORING MASTER'!$C$41:$C$43,0)),INDEX('SCORING MASTER'!$D$45:$D$47,MATCH(AG84,'SCORING MASTER'!$C$45:$C$47,0)),INDEX('SCORING MASTER'!$D$49:$D$52,MATCH(AH84,'SCORING MASTER'!$C$49:$C$52,0)),INDEX('SCORING MASTER'!$D$54:$D$57,MATCH(AI84,'SCORING MASTER'!$C$54:$C$57,0)))*20,0))</f>
        <v/>
      </c>
      <c r="BI84" s="31" t="str">
        <f aca="false">IF(COUNTBLANK(AJ84:AP84)&gt;0,"",ROUND(AVERAGE(INDEX('SCORING MASTER'!$D$59:$D$60,MATCH(AJ84,'SCORING MASTER'!$C$59:$C$60,0)),INDEX('SCORING MASTER'!$D$62:$D$63,MATCH(AK84,'SCORING MASTER'!$C$62:$C$63,0)),INDEX('SCORING MASTER'!$D$65:$D$66,MATCH(AL84,'SCORING MASTER'!$C$65:$C$66,0)),INDEX('SCORING MASTER'!$D$68:$D$69,MATCH(AM84,'SCORING MASTER'!$C$68:$C$69,0)),INDEX('SCORING MASTER'!$D$71:$D$72,MATCH(AN84,'SCORING MASTER'!$C$71:$C$72,0)),INDEX('SCORING MASTER'!$D$74:$D$75,MATCH(AO84,'SCORING MASTER'!$C$74:$C$75,0)),INDEX('SCORING MASTER'!$D$77:$D$78,MATCH(AP84,'SCORING MASTER'!$C$77:$C$78,0)))*20,0))</f>
        <v/>
      </c>
      <c r="BJ84" s="31" t="str">
        <f aca="false">IF(COUNTBLANK(AU84:AZ84)&gt;0,"",ROUND(AVERAGE(INDEX('SCORING MASTER'!$D$95:$D$96,MATCH(AU84,'SCORING MASTER'!$C$95:$C$96,0)),INDEX('SCORING MASTER'!$D$98:$D$99,MATCH(AV84,'SCORING MASTER'!$C$98:$C$99,0)),INDEX('SCORING MASTER'!$D$101:$D$102,MATCH(AW84,'SCORING MASTER'!$C$101:$C$102,0)),INDEX('SCORING MASTER'!$D$104:$D$105,MATCH(AX84,'SCORING MASTER'!$C$104:$C$105,0)),INDEX('SCORING MASTER'!$D$107:$D$108,MATCH(AY84,'SCORING MASTER'!$C$107:$C$108,0)),INDEX('SCORING MASTER'!$D$110:$D$111,MATCH(AZ84,'SCORING MASTER'!$C$110:$C$111,0)))*20,0))</f>
        <v/>
      </c>
      <c r="BK84" s="31" t="str">
        <f aca="false">IF(COUNTBLANK(AQ84:AT84)&gt;0,"",ROUND(AVERAGE(INDEX('SCORING MASTER'!$D$80:$D$82,MATCH(AQ84,'SCORING MASTER'!$C$80:$C$82,0)),INDEX('SCORING MASTER'!$D$84:$D$86,MATCH(AR84,'SCORING MASTER'!$C$84:$C$86,0)),INDEX('SCORING MASTER'!$D$88:$D$90,MATCH(AS84,'SCORING MASTER'!$C$88:$C$90,0)),INDEX('SCORING MASTER'!$D$92:$D$93,MATCH(AT84,'SCORING MASTER'!$C$92:$C$93,0)))*20,0))</f>
        <v/>
      </c>
      <c r="BL84" s="31" t="str">
        <f aca="false">IF(COUNTBLANK(BA84:BE84)&gt;0,"",ROUND(AVERAGE(INDEX('SCORING MASTER'!$D$113:$D$115,MATCH(BA84,'SCORING MASTER'!$C$113:$C$115,0)),INDEX('SCORING MASTER'!$D$117:$D$119,MATCH(BB84,'SCORING MASTER'!$C$117:$C$119,0)),INDEX('SCORING MASTER'!$D$121:$D$123,MATCH(BC84,'SCORING MASTER'!$C$121:$C$123,0)),INDEX('SCORING MASTER'!$D$125:$D$126,MATCH(BD84,'SCORING MASTER'!$C$125:$C$126,0)),INDEX('SCORING MASTER'!$D$128:$D$129,MATCH(BE84,'SCORING MASTER'!$C$128:$C$129,0)))*20,0))</f>
        <v/>
      </c>
      <c r="BM84" s="31" t="str">
        <f aca="false">IF(OR(BF84="",BG84="",BH84="",BI84="",BJ84="",BK84="",BL84=""),"",ROUND(BF84*0.25+BG84*0.2+BH84*0.15+BI84*0.15+BJ84*0.1+BK84*0.1+BL84*0.05,0))</f>
        <v/>
      </c>
      <c r="BN84" s="31" t="str">
        <f aca="false">IF(OR(BF84="",BG84=""),"",ROUND(BF84*0.5+BG84*0.5,0))</f>
        <v/>
      </c>
      <c r="BO84" s="31" t="str">
        <f aca="false">IF(BN84="","",ROUND(MIN(100,MAX(0,(100-BN84)+IF(AL84="Yes",15,0)+IF(AM84="Yes",15,0)+IF(AND(U84&lt;&gt;"",U84&lt;18.5),20,0))),0))</f>
        <v/>
      </c>
      <c r="BP84" s="28" t="str">
        <f aca="false">IF(BM84="","",IF(BM84&gt;=90,"Green - Healthy",IF(BM84&gt;=75,"Light Green - Mild Watch",IF(BM84&gt;=60,"Yellow - Mild Risk",IF(BM84&gt;=40,"Orange - Moderate Risk","Red - High Risk")))))</f>
        <v/>
      </c>
      <c r="BQ84" s="28" t="str">
        <f aca="false">IF(BM84="","",IF(OR(BM84&lt;60,BO84&gt;=60,AJ84="Yes"),"Yes","No"))</f>
        <v/>
      </c>
      <c r="BR84" s="28" t="str">
        <f aca="false">IF(BM84="","",IF(OR(BP84="Orange - Moderate Risk",BP84="Red - High Risk",BQ84="Yes"),"Yes","No"))</f>
        <v/>
      </c>
    </row>
    <row r="85" customFormat="false" ht="15" hidden="false" customHeight="false" outlineLevel="0" collapsed="false">
      <c r="A85" s="32" t="str">
        <f aca="false">IF(I85="","","STU"&amp;TEXT(ROW()-3,"000000"))</f>
        <v/>
      </c>
      <c r="B85" s="32"/>
      <c r="C85" s="32"/>
      <c r="D85" s="32"/>
      <c r="E85" s="32"/>
      <c r="F85" s="32"/>
      <c r="G85" s="32"/>
      <c r="H85" s="32"/>
      <c r="I85" s="32"/>
      <c r="J85" s="34"/>
      <c r="K85" s="32"/>
      <c r="L85" s="32"/>
      <c r="M85" s="32"/>
      <c r="N85" s="32"/>
      <c r="O85" s="32"/>
      <c r="P85" s="32"/>
      <c r="Q85" s="34"/>
      <c r="R85" s="34"/>
      <c r="S85" s="35" t="str">
        <f aca="false">IF(OR(Q85="",R85=""),"",ROUND(R85/((Q85/100)^2),1))</f>
        <v/>
      </c>
      <c r="T85" s="32" t="str">
        <f aca="false">IF(S85="","",IF(S85&lt;18.5,"Underweight",IF(S85&lt;25,"Normal",IF(S85&lt;30,"Overweight","Obese"))))</f>
        <v/>
      </c>
      <c r="U85" s="34"/>
      <c r="V85" s="34"/>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5" t="str">
        <f aca="false">IF(T85="","",IF(T85="Normal",100,IF(T85="Overweight",65,IF(T85="Obese",50,IF(AND(U85&lt;&gt;"",U85&lt;18.5),30,45)))))</f>
        <v/>
      </c>
      <c r="BG85" s="35" t="str">
        <f aca="false">IF(COUNTBLANK(W85:AC85)&gt;0,"",ROUND(AVERAGE(INDEX('SCORING MASTER'!$D$5:$D$7,MATCH(W85,'SCORING MASTER'!$C$5:$C$7,0)),INDEX('SCORING MASTER'!$D$9:$D$11,MATCH(X85,'SCORING MASTER'!$C$9:$C$11,0)),INDEX('SCORING MASTER'!$D$13:$D$15,MATCH(Y85,'SCORING MASTER'!$C$13:$C$15,0)),INDEX('SCORING MASTER'!$D$17:$D$19,MATCH(Z85,'SCORING MASTER'!$C$17:$C$19,0)),INDEX('SCORING MASTER'!$D$21:$D$23,MATCH(AA85,'SCORING MASTER'!$C$21:$C$23,0)),INDEX('SCORING MASTER'!$D$25:$D$27,MATCH(AB85,'SCORING MASTER'!$C$25:$C$27,0)),INDEX('SCORING MASTER'!$D$29:$D$31,MATCH(AC85,'SCORING MASTER'!$C$29:$C$31,0)))*20,0))</f>
        <v/>
      </c>
      <c r="BH85" s="35" t="str">
        <f aca="false">IF(COUNTBLANK(AD85:AI85)&gt;0,"",ROUND(AVERAGE(INDEX('SCORING MASTER'!$D$33:$D$35,MATCH(AD85,'SCORING MASTER'!$C$33:$C$35,0)),INDEX('SCORING MASTER'!$D$37:$D$39,MATCH(AE85,'SCORING MASTER'!$C$37:$C$39,0)),INDEX('SCORING MASTER'!$D$41:$D$43,MATCH(AF85,'SCORING MASTER'!$C$41:$C$43,0)),INDEX('SCORING MASTER'!$D$45:$D$47,MATCH(AG85,'SCORING MASTER'!$C$45:$C$47,0)),INDEX('SCORING MASTER'!$D$49:$D$52,MATCH(AH85,'SCORING MASTER'!$C$49:$C$52,0)),INDEX('SCORING MASTER'!$D$54:$D$57,MATCH(AI85,'SCORING MASTER'!$C$54:$C$57,0)))*20,0))</f>
        <v/>
      </c>
      <c r="BI85" s="35" t="str">
        <f aca="false">IF(COUNTBLANK(AJ85:AP85)&gt;0,"",ROUND(AVERAGE(INDEX('SCORING MASTER'!$D$59:$D$60,MATCH(AJ85,'SCORING MASTER'!$C$59:$C$60,0)),INDEX('SCORING MASTER'!$D$62:$D$63,MATCH(AK85,'SCORING MASTER'!$C$62:$C$63,0)),INDEX('SCORING MASTER'!$D$65:$D$66,MATCH(AL85,'SCORING MASTER'!$C$65:$C$66,0)),INDEX('SCORING MASTER'!$D$68:$D$69,MATCH(AM85,'SCORING MASTER'!$C$68:$C$69,0)),INDEX('SCORING MASTER'!$D$71:$D$72,MATCH(AN85,'SCORING MASTER'!$C$71:$C$72,0)),INDEX('SCORING MASTER'!$D$74:$D$75,MATCH(AO85,'SCORING MASTER'!$C$74:$C$75,0)),INDEX('SCORING MASTER'!$D$77:$D$78,MATCH(AP85,'SCORING MASTER'!$C$77:$C$78,0)))*20,0))</f>
        <v/>
      </c>
      <c r="BJ85" s="35" t="str">
        <f aca="false">IF(COUNTBLANK(AU85:AZ85)&gt;0,"",ROUND(AVERAGE(INDEX('SCORING MASTER'!$D$95:$D$96,MATCH(AU85,'SCORING MASTER'!$C$95:$C$96,0)),INDEX('SCORING MASTER'!$D$98:$D$99,MATCH(AV85,'SCORING MASTER'!$C$98:$C$99,0)),INDEX('SCORING MASTER'!$D$101:$D$102,MATCH(AW85,'SCORING MASTER'!$C$101:$C$102,0)),INDEX('SCORING MASTER'!$D$104:$D$105,MATCH(AX85,'SCORING MASTER'!$C$104:$C$105,0)),INDEX('SCORING MASTER'!$D$107:$D$108,MATCH(AY85,'SCORING MASTER'!$C$107:$C$108,0)),INDEX('SCORING MASTER'!$D$110:$D$111,MATCH(AZ85,'SCORING MASTER'!$C$110:$C$111,0)))*20,0))</f>
        <v/>
      </c>
      <c r="BK85" s="35" t="str">
        <f aca="false">IF(COUNTBLANK(AQ85:AT85)&gt;0,"",ROUND(AVERAGE(INDEX('SCORING MASTER'!$D$80:$D$82,MATCH(AQ85,'SCORING MASTER'!$C$80:$C$82,0)),INDEX('SCORING MASTER'!$D$84:$D$86,MATCH(AR85,'SCORING MASTER'!$C$84:$C$86,0)),INDEX('SCORING MASTER'!$D$88:$D$90,MATCH(AS85,'SCORING MASTER'!$C$88:$C$90,0)),INDEX('SCORING MASTER'!$D$92:$D$93,MATCH(AT85,'SCORING MASTER'!$C$92:$C$93,0)))*20,0))</f>
        <v/>
      </c>
      <c r="BL85" s="35" t="str">
        <f aca="false">IF(COUNTBLANK(BA85:BE85)&gt;0,"",ROUND(AVERAGE(INDEX('SCORING MASTER'!$D$113:$D$115,MATCH(BA85,'SCORING MASTER'!$C$113:$C$115,0)),INDEX('SCORING MASTER'!$D$117:$D$119,MATCH(BB85,'SCORING MASTER'!$C$117:$C$119,0)),INDEX('SCORING MASTER'!$D$121:$D$123,MATCH(BC85,'SCORING MASTER'!$C$121:$C$123,0)),INDEX('SCORING MASTER'!$D$125:$D$126,MATCH(BD85,'SCORING MASTER'!$C$125:$C$126,0)),INDEX('SCORING MASTER'!$D$128:$D$129,MATCH(BE85,'SCORING MASTER'!$C$128:$C$129,0)))*20,0))</f>
        <v/>
      </c>
      <c r="BM85" s="35" t="str">
        <f aca="false">IF(OR(BF85="",BG85="",BH85="",BI85="",BJ85="",BK85="",BL85=""),"",ROUND(BF85*0.25+BG85*0.2+BH85*0.15+BI85*0.15+BJ85*0.1+BK85*0.1+BL85*0.05,0))</f>
        <v/>
      </c>
      <c r="BN85" s="35" t="str">
        <f aca="false">IF(OR(BF85="",BG85=""),"",ROUND(BF85*0.5+BG85*0.5,0))</f>
        <v/>
      </c>
      <c r="BO85" s="35" t="str">
        <f aca="false">IF(BN85="","",ROUND(MIN(100,MAX(0,(100-BN85)+IF(AL85="Yes",15,0)+IF(AM85="Yes",15,0)+IF(AND(U85&lt;&gt;"",U85&lt;18.5),20,0))),0))</f>
        <v/>
      </c>
      <c r="BP85" s="32" t="str">
        <f aca="false">IF(BM85="","",IF(BM85&gt;=90,"Green - Healthy",IF(BM85&gt;=75,"Light Green - Mild Watch",IF(BM85&gt;=60,"Yellow - Mild Risk",IF(BM85&gt;=40,"Orange - Moderate Risk","Red - High Risk")))))</f>
        <v/>
      </c>
      <c r="BQ85" s="32" t="str">
        <f aca="false">IF(BM85="","",IF(OR(BM85&lt;60,BO85&gt;=60,AJ85="Yes"),"Yes","No"))</f>
        <v/>
      </c>
      <c r="BR85" s="32" t="str">
        <f aca="false">IF(BM85="","",IF(OR(BP85="Orange - Moderate Risk",BP85="Red - High Risk",BQ85="Yes"),"Yes","No"))</f>
        <v/>
      </c>
    </row>
    <row r="86" customFormat="false" ht="15" hidden="false" customHeight="false" outlineLevel="0" collapsed="false">
      <c r="A86" s="28" t="str">
        <f aca="false">IF(I86="","","STU"&amp;TEXT(ROW()-3,"000000"))</f>
        <v/>
      </c>
      <c r="B86" s="28"/>
      <c r="C86" s="28"/>
      <c r="D86" s="28"/>
      <c r="E86" s="28"/>
      <c r="F86" s="28"/>
      <c r="G86" s="28"/>
      <c r="H86" s="28"/>
      <c r="I86" s="28"/>
      <c r="J86" s="30"/>
      <c r="K86" s="28"/>
      <c r="L86" s="28"/>
      <c r="M86" s="28"/>
      <c r="N86" s="28"/>
      <c r="O86" s="28"/>
      <c r="P86" s="28"/>
      <c r="Q86" s="30"/>
      <c r="R86" s="30"/>
      <c r="S86" s="31" t="str">
        <f aca="false">IF(OR(Q86="",R86=""),"",ROUND(R86/((Q86/100)^2),1))</f>
        <v/>
      </c>
      <c r="T86" s="28" t="str">
        <f aca="false">IF(S86="","",IF(S86&lt;18.5,"Underweight",IF(S86&lt;25,"Normal",IF(S86&lt;30,"Overweight","Obese"))))</f>
        <v/>
      </c>
      <c r="U86" s="30"/>
      <c r="V86" s="30"/>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31" t="str">
        <f aca="false">IF(T86="","",IF(T86="Normal",100,IF(T86="Overweight",65,IF(T86="Obese",50,IF(AND(U86&lt;&gt;"",U86&lt;18.5),30,45)))))</f>
        <v/>
      </c>
      <c r="BG86" s="31" t="str">
        <f aca="false">IF(COUNTBLANK(W86:AC86)&gt;0,"",ROUND(AVERAGE(INDEX('SCORING MASTER'!$D$5:$D$7,MATCH(W86,'SCORING MASTER'!$C$5:$C$7,0)),INDEX('SCORING MASTER'!$D$9:$D$11,MATCH(X86,'SCORING MASTER'!$C$9:$C$11,0)),INDEX('SCORING MASTER'!$D$13:$D$15,MATCH(Y86,'SCORING MASTER'!$C$13:$C$15,0)),INDEX('SCORING MASTER'!$D$17:$D$19,MATCH(Z86,'SCORING MASTER'!$C$17:$C$19,0)),INDEX('SCORING MASTER'!$D$21:$D$23,MATCH(AA86,'SCORING MASTER'!$C$21:$C$23,0)),INDEX('SCORING MASTER'!$D$25:$D$27,MATCH(AB86,'SCORING MASTER'!$C$25:$C$27,0)),INDEX('SCORING MASTER'!$D$29:$D$31,MATCH(AC86,'SCORING MASTER'!$C$29:$C$31,0)))*20,0))</f>
        <v/>
      </c>
      <c r="BH86" s="31" t="str">
        <f aca="false">IF(COUNTBLANK(AD86:AI86)&gt;0,"",ROUND(AVERAGE(INDEX('SCORING MASTER'!$D$33:$D$35,MATCH(AD86,'SCORING MASTER'!$C$33:$C$35,0)),INDEX('SCORING MASTER'!$D$37:$D$39,MATCH(AE86,'SCORING MASTER'!$C$37:$C$39,0)),INDEX('SCORING MASTER'!$D$41:$D$43,MATCH(AF86,'SCORING MASTER'!$C$41:$C$43,0)),INDEX('SCORING MASTER'!$D$45:$D$47,MATCH(AG86,'SCORING MASTER'!$C$45:$C$47,0)),INDEX('SCORING MASTER'!$D$49:$D$52,MATCH(AH86,'SCORING MASTER'!$C$49:$C$52,0)),INDEX('SCORING MASTER'!$D$54:$D$57,MATCH(AI86,'SCORING MASTER'!$C$54:$C$57,0)))*20,0))</f>
        <v/>
      </c>
      <c r="BI86" s="31" t="str">
        <f aca="false">IF(COUNTBLANK(AJ86:AP86)&gt;0,"",ROUND(AVERAGE(INDEX('SCORING MASTER'!$D$59:$D$60,MATCH(AJ86,'SCORING MASTER'!$C$59:$C$60,0)),INDEX('SCORING MASTER'!$D$62:$D$63,MATCH(AK86,'SCORING MASTER'!$C$62:$C$63,0)),INDEX('SCORING MASTER'!$D$65:$D$66,MATCH(AL86,'SCORING MASTER'!$C$65:$C$66,0)),INDEX('SCORING MASTER'!$D$68:$D$69,MATCH(AM86,'SCORING MASTER'!$C$68:$C$69,0)),INDEX('SCORING MASTER'!$D$71:$D$72,MATCH(AN86,'SCORING MASTER'!$C$71:$C$72,0)),INDEX('SCORING MASTER'!$D$74:$D$75,MATCH(AO86,'SCORING MASTER'!$C$74:$C$75,0)),INDEX('SCORING MASTER'!$D$77:$D$78,MATCH(AP86,'SCORING MASTER'!$C$77:$C$78,0)))*20,0))</f>
        <v/>
      </c>
      <c r="BJ86" s="31" t="str">
        <f aca="false">IF(COUNTBLANK(AU86:AZ86)&gt;0,"",ROUND(AVERAGE(INDEX('SCORING MASTER'!$D$95:$D$96,MATCH(AU86,'SCORING MASTER'!$C$95:$C$96,0)),INDEX('SCORING MASTER'!$D$98:$D$99,MATCH(AV86,'SCORING MASTER'!$C$98:$C$99,0)),INDEX('SCORING MASTER'!$D$101:$D$102,MATCH(AW86,'SCORING MASTER'!$C$101:$C$102,0)),INDEX('SCORING MASTER'!$D$104:$D$105,MATCH(AX86,'SCORING MASTER'!$C$104:$C$105,0)),INDEX('SCORING MASTER'!$D$107:$D$108,MATCH(AY86,'SCORING MASTER'!$C$107:$C$108,0)),INDEX('SCORING MASTER'!$D$110:$D$111,MATCH(AZ86,'SCORING MASTER'!$C$110:$C$111,0)))*20,0))</f>
        <v/>
      </c>
      <c r="BK86" s="31" t="str">
        <f aca="false">IF(COUNTBLANK(AQ86:AT86)&gt;0,"",ROUND(AVERAGE(INDEX('SCORING MASTER'!$D$80:$D$82,MATCH(AQ86,'SCORING MASTER'!$C$80:$C$82,0)),INDEX('SCORING MASTER'!$D$84:$D$86,MATCH(AR86,'SCORING MASTER'!$C$84:$C$86,0)),INDEX('SCORING MASTER'!$D$88:$D$90,MATCH(AS86,'SCORING MASTER'!$C$88:$C$90,0)),INDEX('SCORING MASTER'!$D$92:$D$93,MATCH(AT86,'SCORING MASTER'!$C$92:$C$93,0)))*20,0))</f>
        <v/>
      </c>
      <c r="BL86" s="31" t="str">
        <f aca="false">IF(COUNTBLANK(BA86:BE86)&gt;0,"",ROUND(AVERAGE(INDEX('SCORING MASTER'!$D$113:$D$115,MATCH(BA86,'SCORING MASTER'!$C$113:$C$115,0)),INDEX('SCORING MASTER'!$D$117:$D$119,MATCH(BB86,'SCORING MASTER'!$C$117:$C$119,0)),INDEX('SCORING MASTER'!$D$121:$D$123,MATCH(BC86,'SCORING MASTER'!$C$121:$C$123,0)),INDEX('SCORING MASTER'!$D$125:$D$126,MATCH(BD86,'SCORING MASTER'!$C$125:$C$126,0)),INDEX('SCORING MASTER'!$D$128:$D$129,MATCH(BE86,'SCORING MASTER'!$C$128:$C$129,0)))*20,0))</f>
        <v/>
      </c>
      <c r="BM86" s="31" t="str">
        <f aca="false">IF(OR(BF86="",BG86="",BH86="",BI86="",BJ86="",BK86="",BL86=""),"",ROUND(BF86*0.25+BG86*0.2+BH86*0.15+BI86*0.15+BJ86*0.1+BK86*0.1+BL86*0.05,0))</f>
        <v/>
      </c>
      <c r="BN86" s="31" t="str">
        <f aca="false">IF(OR(BF86="",BG86=""),"",ROUND(BF86*0.5+BG86*0.5,0))</f>
        <v/>
      </c>
      <c r="BO86" s="31" t="str">
        <f aca="false">IF(BN86="","",ROUND(MIN(100,MAX(0,(100-BN86)+IF(AL86="Yes",15,0)+IF(AM86="Yes",15,0)+IF(AND(U86&lt;&gt;"",U86&lt;18.5),20,0))),0))</f>
        <v/>
      </c>
      <c r="BP86" s="28" t="str">
        <f aca="false">IF(BM86="","",IF(BM86&gt;=90,"Green - Healthy",IF(BM86&gt;=75,"Light Green - Mild Watch",IF(BM86&gt;=60,"Yellow - Mild Risk",IF(BM86&gt;=40,"Orange - Moderate Risk","Red - High Risk")))))</f>
        <v/>
      </c>
      <c r="BQ86" s="28" t="str">
        <f aca="false">IF(BM86="","",IF(OR(BM86&lt;60,BO86&gt;=60,AJ86="Yes"),"Yes","No"))</f>
        <v/>
      </c>
      <c r="BR86" s="28" t="str">
        <f aca="false">IF(BM86="","",IF(OR(BP86="Orange - Moderate Risk",BP86="Red - High Risk",BQ86="Yes"),"Yes","No"))</f>
        <v/>
      </c>
    </row>
    <row r="87" customFormat="false" ht="15" hidden="false" customHeight="false" outlineLevel="0" collapsed="false">
      <c r="A87" s="32" t="str">
        <f aca="false">IF(I87="","","STU"&amp;TEXT(ROW()-3,"000000"))</f>
        <v/>
      </c>
      <c r="B87" s="32"/>
      <c r="C87" s="32"/>
      <c r="D87" s="32"/>
      <c r="E87" s="32"/>
      <c r="F87" s="32"/>
      <c r="G87" s="32"/>
      <c r="H87" s="32"/>
      <c r="I87" s="32"/>
      <c r="J87" s="34"/>
      <c r="K87" s="32"/>
      <c r="L87" s="32"/>
      <c r="M87" s="32"/>
      <c r="N87" s="32"/>
      <c r="O87" s="32"/>
      <c r="P87" s="32"/>
      <c r="Q87" s="34"/>
      <c r="R87" s="34"/>
      <c r="S87" s="35" t="str">
        <f aca="false">IF(OR(Q87="",R87=""),"",ROUND(R87/((Q87/100)^2),1))</f>
        <v/>
      </c>
      <c r="T87" s="32" t="str">
        <f aca="false">IF(S87="","",IF(S87&lt;18.5,"Underweight",IF(S87&lt;25,"Normal",IF(S87&lt;30,"Overweight","Obese"))))</f>
        <v/>
      </c>
      <c r="U87" s="34"/>
      <c r="V87" s="34"/>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5" t="str">
        <f aca="false">IF(T87="","",IF(T87="Normal",100,IF(T87="Overweight",65,IF(T87="Obese",50,IF(AND(U87&lt;&gt;"",U87&lt;18.5),30,45)))))</f>
        <v/>
      </c>
      <c r="BG87" s="35" t="str">
        <f aca="false">IF(COUNTBLANK(W87:AC87)&gt;0,"",ROUND(AVERAGE(INDEX('SCORING MASTER'!$D$5:$D$7,MATCH(W87,'SCORING MASTER'!$C$5:$C$7,0)),INDEX('SCORING MASTER'!$D$9:$D$11,MATCH(X87,'SCORING MASTER'!$C$9:$C$11,0)),INDEX('SCORING MASTER'!$D$13:$D$15,MATCH(Y87,'SCORING MASTER'!$C$13:$C$15,0)),INDEX('SCORING MASTER'!$D$17:$D$19,MATCH(Z87,'SCORING MASTER'!$C$17:$C$19,0)),INDEX('SCORING MASTER'!$D$21:$D$23,MATCH(AA87,'SCORING MASTER'!$C$21:$C$23,0)),INDEX('SCORING MASTER'!$D$25:$D$27,MATCH(AB87,'SCORING MASTER'!$C$25:$C$27,0)),INDEX('SCORING MASTER'!$D$29:$D$31,MATCH(AC87,'SCORING MASTER'!$C$29:$C$31,0)))*20,0))</f>
        <v/>
      </c>
      <c r="BH87" s="35" t="str">
        <f aca="false">IF(COUNTBLANK(AD87:AI87)&gt;0,"",ROUND(AVERAGE(INDEX('SCORING MASTER'!$D$33:$D$35,MATCH(AD87,'SCORING MASTER'!$C$33:$C$35,0)),INDEX('SCORING MASTER'!$D$37:$D$39,MATCH(AE87,'SCORING MASTER'!$C$37:$C$39,0)),INDEX('SCORING MASTER'!$D$41:$D$43,MATCH(AF87,'SCORING MASTER'!$C$41:$C$43,0)),INDEX('SCORING MASTER'!$D$45:$D$47,MATCH(AG87,'SCORING MASTER'!$C$45:$C$47,0)),INDEX('SCORING MASTER'!$D$49:$D$52,MATCH(AH87,'SCORING MASTER'!$C$49:$C$52,0)),INDEX('SCORING MASTER'!$D$54:$D$57,MATCH(AI87,'SCORING MASTER'!$C$54:$C$57,0)))*20,0))</f>
        <v/>
      </c>
      <c r="BI87" s="35" t="str">
        <f aca="false">IF(COUNTBLANK(AJ87:AP87)&gt;0,"",ROUND(AVERAGE(INDEX('SCORING MASTER'!$D$59:$D$60,MATCH(AJ87,'SCORING MASTER'!$C$59:$C$60,0)),INDEX('SCORING MASTER'!$D$62:$D$63,MATCH(AK87,'SCORING MASTER'!$C$62:$C$63,0)),INDEX('SCORING MASTER'!$D$65:$D$66,MATCH(AL87,'SCORING MASTER'!$C$65:$C$66,0)),INDEX('SCORING MASTER'!$D$68:$D$69,MATCH(AM87,'SCORING MASTER'!$C$68:$C$69,0)),INDEX('SCORING MASTER'!$D$71:$D$72,MATCH(AN87,'SCORING MASTER'!$C$71:$C$72,0)),INDEX('SCORING MASTER'!$D$74:$D$75,MATCH(AO87,'SCORING MASTER'!$C$74:$C$75,0)),INDEX('SCORING MASTER'!$D$77:$D$78,MATCH(AP87,'SCORING MASTER'!$C$77:$C$78,0)))*20,0))</f>
        <v/>
      </c>
      <c r="BJ87" s="35" t="str">
        <f aca="false">IF(COUNTBLANK(AU87:AZ87)&gt;0,"",ROUND(AVERAGE(INDEX('SCORING MASTER'!$D$95:$D$96,MATCH(AU87,'SCORING MASTER'!$C$95:$C$96,0)),INDEX('SCORING MASTER'!$D$98:$D$99,MATCH(AV87,'SCORING MASTER'!$C$98:$C$99,0)),INDEX('SCORING MASTER'!$D$101:$D$102,MATCH(AW87,'SCORING MASTER'!$C$101:$C$102,0)),INDEX('SCORING MASTER'!$D$104:$D$105,MATCH(AX87,'SCORING MASTER'!$C$104:$C$105,0)),INDEX('SCORING MASTER'!$D$107:$D$108,MATCH(AY87,'SCORING MASTER'!$C$107:$C$108,0)),INDEX('SCORING MASTER'!$D$110:$D$111,MATCH(AZ87,'SCORING MASTER'!$C$110:$C$111,0)))*20,0))</f>
        <v/>
      </c>
      <c r="BK87" s="35" t="str">
        <f aca="false">IF(COUNTBLANK(AQ87:AT87)&gt;0,"",ROUND(AVERAGE(INDEX('SCORING MASTER'!$D$80:$D$82,MATCH(AQ87,'SCORING MASTER'!$C$80:$C$82,0)),INDEX('SCORING MASTER'!$D$84:$D$86,MATCH(AR87,'SCORING MASTER'!$C$84:$C$86,0)),INDEX('SCORING MASTER'!$D$88:$D$90,MATCH(AS87,'SCORING MASTER'!$C$88:$C$90,0)),INDEX('SCORING MASTER'!$D$92:$D$93,MATCH(AT87,'SCORING MASTER'!$C$92:$C$93,0)))*20,0))</f>
        <v/>
      </c>
      <c r="BL87" s="35" t="str">
        <f aca="false">IF(COUNTBLANK(BA87:BE87)&gt;0,"",ROUND(AVERAGE(INDEX('SCORING MASTER'!$D$113:$D$115,MATCH(BA87,'SCORING MASTER'!$C$113:$C$115,0)),INDEX('SCORING MASTER'!$D$117:$D$119,MATCH(BB87,'SCORING MASTER'!$C$117:$C$119,0)),INDEX('SCORING MASTER'!$D$121:$D$123,MATCH(BC87,'SCORING MASTER'!$C$121:$C$123,0)),INDEX('SCORING MASTER'!$D$125:$D$126,MATCH(BD87,'SCORING MASTER'!$C$125:$C$126,0)),INDEX('SCORING MASTER'!$D$128:$D$129,MATCH(BE87,'SCORING MASTER'!$C$128:$C$129,0)))*20,0))</f>
        <v/>
      </c>
      <c r="BM87" s="35" t="str">
        <f aca="false">IF(OR(BF87="",BG87="",BH87="",BI87="",BJ87="",BK87="",BL87=""),"",ROUND(BF87*0.25+BG87*0.2+BH87*0.15+BI87*0.15+BJ87*0.1+BK87*0.1+BL87*0.05,0))</f>
        <v/>
      </c>
      <c r="BN87" s="35" t="str">
        <f aca="false">IF(OR(BF87="",BG87=""),"",ROUND(BF87*0.5+BG87*0.5,0))</f>
        <v/>
      </c>
      <c r="BO87" s="35" t="str">
        <f aca="false">IF(BN87="","",ROUND(MIN(100,MAX(0,(100-BN87)+IF(AL87="Yes",15,0)+IF(AM87="Yes",15,0)+IF(AND(U87&lt;&gt;"",U87&lt;18.5),20,0))),0))</f>
        <v/>
      </c>
      <c r="BP87" s="32" t="str">
        <f aca="false">IF(BM87="","",IF(BM87&gt;=90,"Green - Healthy",IF(BM87&gt;=75,"Light Green - Mild Watch",IF(BM87&gt;=60,"Yellow - Mild Risk",IF(BM87&gt;=40,"Orange - Moderate Risk","Red - High Risk")))))</f>
        <v/>
      </c>
      <c r="BQ87" s="32" t="str">
        <f aca="false">IF(BM87="","",IF(OR(BM87&lt;60,BO87&gt;=60,AJ87="Yes"),"Yes","No"))</f>
        <v/>
      </c>
      <c r="BR87" s="32" t="str">
        <f aca="false">IF(BM87="","",IF(OR(BP87="Orange - Moderate Risk",BP87="Red - High Risk",BQ87="Yes"),"Yes","No"))</f>
        <v/>
      </c>
    </row>
    <row r="88" customFormat="false" ht="15" hidden="false" customHeight="false" outlineLevel="0" collapsed="false">
      <c r="A88" s="28" t="str">
        <f aca="false">IF(I88="","","STU"&amp;TEXT(ROW()-3,"000000"))</f>
        <v/>
      </c>
      <c r="B88" s="28"/>
      <c r="C88" s="28"/>
      <c r="D88" s="28"/>
      <c r="E88" s="28"/>
      <c r="F88" s="28"/>
      <c r="G88" s="28"/>
      <c r="H88" s="28"/>
      <c r="I88" s="28"/>
      <c r="J88" s="30"/>
      <c r="K88" s="28"/>
      <c r="L88" s="28"/>
      <c r="M88" s="28"/>
      <c r="N88" s="28"/>
      <c r="O88" s="28"/>
      <c r="P88" s="28"/>
      <c r="Q88" s="30"/>
      <c r="R88" s="30"/>
      <c r="S88" s="31" t="str">
        <f aca="false">IF(OR(Q88="",R88=""),"",ROUND(R88/((Q88/100)^2),1))</f>
        <v/>
      </c>
      <c r="T88" s="28" t="str">
        <f aca="false">IF(S88="","",IF(S88&lt;18.5,"Underweight",IF(S88&lt;25,"Normal",IF(S88&lt;30,"Overweight","Obese"))))</f>
        <v/>
      </c>
      <c r="U88" s="30"/>
      <c r="V88" s="30"/>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31" t="str">
        <f aca="false">IF(T88="","",IF(T88="Normal",100,IF(T88="Overweight",65,IF(T88="Obese",50,IF(AND(U88&lt;&gt;"",U88&lt;18.5),30,45)))))</f>
        <v/>
      </c>
      <c r="BG88" s="31" t="str">
        <f aca="false">IF(COUNTBLANK(W88:AC88)&gt;0,"",ROUND(AVERAGE(INDEX('SCORING MASTER'!$D$5:$D$7,MATCH(W88,'SCORING MASTER'!$C$5:$C$7,0)),INDEX('SCORING MASTER'!$D$9:$D$11,MATCH(X88,'SCORING MASTER'!$C$9:$C$11,0)),INDEX('SCORING MASTER'!$D$13:$D$15,MATCH(Y88,'SCORING MASTER'!$C$13:$C$15,0)),INDEX('SCORING MASTER'!$D$17:$D$19,MATCH(Z88,'SCORING MASTER'!$C$17:$C$19,0)),INDEX('SCORING MASTER'!$D$21:$D$23,MATCH(AA88,'SCORING MASTER'!$C$21:$C$23,0)),INDEX('SCORING MASTER'!$D$25:$D$27,MATCH(AB88,'SCORING MASTER'!$C$25:$C$27,0)),INDEX('SCORING MASTER'!$D$29:$D$31,MATCH(AC88,'SCORING MASTER'!$C$29:$C$31,0)))*20,0))</f>
        <v/>
      </c>
      <c r="BH88" s="31" t="str">
        <f aca="false">IF(COUNTBLANK(AD88:AI88)&gt;0,"",ROUND(AVERAGE(INDEX('SCORING MASTER'!$D$33:$D$35,MATCH(AD88,'SCORING MASTER'!$C$33:$C$35,0)),INDEX('SCORING MASTER'!$D$37:$D$39,MATCH(AE88,'SCORING MASTER'!$C$37:$C$39,0)),INDEX('SCORING MASTER'!$D$41:$D$43,MATCH(AF88,'SCORING MASTER'!$C$41:$C$43,0)),INDEX('SCORING MASTER'!$D$45:$D$47,MATCH(AG88,'SCORING MASTER'!$C$45:$C$47,0)),INDEX('SCORING MASTER'!$D$49:$D$52,MATCH(AH88,'SCORING MASTER'!$C$49:$C$52,0)),INDEX('SCORING MASTER'!$D$54:$D$57,MATCH(AI88,'SCORING MASTER'!$C$54:$C$57,0)))*20,0))</f>
        <v/>
      </c>
      <c r="BI88" s="31" t="str">
        <f aca="false">IF(COUNTBLANK(AJ88:AP88)&gt;0,"",ROUND(AVERAGE(INDEX('SCORING MASTER'!$D$59:$D$60,MATCH(AJ88,'SCORING MASTER'!$C$59:$C$60,0)),INDEX('SCORING MASTER'!$D$62:$D$63,MATCH(AK88,'SCORING MASTER'!$C$62:$C$63,0)),INDEX('SCORING MASTER'!$D$65:$D$66,MATCH(AL88,'SCORING MASTER'!$C$65:$C$66,0)),INDEX('SCORING MASTER'!$D$68:$D$69,MATCH(AM88,'SCORING MASTER'!$C$68:$C$69,0)),INDEX('SCORING MASTER'!$D$71:$D$72,MATCH(AN88,'SCORING MASTER'!$C$71:$C$72,0)),INDEX('SCORING MASTER'!$D$74:$D$75,MATCH(AO88,'SCORING MASTER'!$C$74:$C$75,0)),INDEX('SCORING MASTER'!$D$77:$D$78,MATCH(AP88,'SCORING MASTER'!$C$77:$C$78,0)))*20,0))</f>
        <v/>
      </c>
      <c r="BJ88" s="31" t="str">
        <f aca="false">IF(COUNTBLANK(AU88:AZ88)&gt;0,"",ROUND(AVERAGE(INDEX('SCORING MASTER'!$D$95:$D$96,MATCH(AU88,'SCORING MASTER'!$C$95:$C$96,0)),INDEX('SCORING MASTER'!$D$98:$D$99,MATCH(AV88,'SCORING MASTER'!$C$98:$C$99,0)),INDEX('SCORING MASTER'!$D$101:$D$102,MATCH(AW88,'SCORING MASTER'!$C$101:$C$102,0)),INDEX('SCORING MASTER'!$D$104:$D$105,MATCH(AX88,'SCORING MASTER'!$C$104:$C$105,0)),INDEX('SCORING MASTER'!$D$107:$D$108,MATCH(AY88,'SCORING MASTER'!$C$107:$C$108,0)),INDEX('SCORING MASTER'!$D$110:$D$111,MATCH(AZ88,'SCORING MASTER'!$C$110:$C$111,0)))*20,0))</f>
        <v/>
      </c>
      <c r="BK88" s="31" t="str">
        <f aca="false">IF(COUNTBLANK(AQ88:AT88)&gt;0,"",ROUND(AVERAGE(INDEX('SCORING MASTER'!$D$80:$D$82,MATCH(AQ88,'SCORING MASTER'!$C$80:$C$82,0)),INDEX('SCORING MASTER'!$D$84:$D$86,MATCH(AR88,'SCORING MASTER'!$C$84:$C$86,0)),INDEX('SCORING MASTER'!$D$88:$D$90,MATCH(AS88,'SCORING MASTER'!$C$88:$C$90,0)),INDEX('SCORING MASTER'!$D$92:$D$93,MATCH(AT88,'SCORING MASTER'!$C$92:$C$93,0)))*20,0))</f>
        <v/>
      </c>
      <c r="BL88" s="31" t="str">
        <f aca="false">IF(COUNTBLANK(BA88:BE88)&gt;0,"",ROUND(AVERAGE(INDEX('SCORING MASTER'!$D$113:$D$115,MATCH(BA88,'SCORING MASTER'!$C$113:$C$115,0)),INDEX('SCORING MASTER'!$D$117:$D$119,MATCH(BB88,'SCORING MASTER'!$C$117:$C$119,0)),INDEX('SCORING MASTER'!$D$121:$D$123,MATCH(BC88,'SCORING MASTER'!$C$121:$C$123,0)),INDEX('SCORING MASTER'!$D$125:$D$126,MATCH(BD88,'SCORING MASTER'!$C$125:$C$126,0)),INDEX('SCORING MASTER'!$D$128:$D$129,MATCH(BE88,'SCORING MASTER'!$C$128:$C$129,0)))*20,0))</f>
        <v/>
      </c>
      <c r="BM88" s="31" t="str">
        <f aca="false">IF(OR(BF88="",BG88="",BH88="",BI88="",BJ88="",BK88="",BL88=""),"",ROUND(BF88*0.25+BG88*0.2+BH88*0.15+BI88*0.15+BJ88*0.1+BK88*0.1+BL88*0.05,0))</f>
        <v/>
      </c>
      <c r="BN88" s="31" t="str">
        <f aca="false">IF(OR(BF88="",BG88=""),"",ROUND(BF88*0.5+BG88*0.5,0))</f>
        <v/>
      </c>
      <c r="BO88" s="31" t="str">
        <f aca="false">IF(BN88="","",ROUND(MIN(100,MAX(0,(100-BN88)+IF(AL88="Yes",15,0)+IF(AM88="Yes",15,0)+IF(AND(U88&lt;&gt;"",U88&lt;18.5),20,0))),0))</f>
        <v/>
      </c>
      <c r="BP88" s="28" t="str">
        <f aca="false">IF(BM88="","",IF(BM88&gt;=90,"Green - Healthy",IF(BM88&gt;=75,"Light Green - Mild Watch",IF(BM88&gt;=60,"Yellow - Mild Risk",IF(BM88&gt;=40,"Orange - Moderate Risk","Red - High Risk")))))</f>
        <v/>
      </c>
      <c r="BQ88" s="28" t="str">
        <f aca="false">IF(BM88="","",IF(OR(BM88&lt;60,BO88&gt;=60,AJ88="Yes"),"Yes","No"))</f>
        <v/>
      </c>
      <c r="BR88" s="28" t="str">
        <f aca="false">IF(BM88="","",IF(OR(BP88="Orange - Moderate Risk",BP88="Red - High Risk",BQ88="Yes"),"Yes","No"))</f>
        <v/>
      </c>
    </row>
    <row r="89" customFormat="false" ht="15" hidden="false" customHeight="false" outlineLevel="0" collapsed="false">
      <c r="A89" s="32" t="str">
        <f aca="false">IF(I89="","","STU"&amp;TEXT(ROW()-3,"000000"))</f>
        <v/>
      </c>
      <c r="B89" s="32"/>
      <c r="C89" s="32"/>
      <c r="D89" s="32"/>
      <c r="E89" s="32"/>
      <c r="F89" s="32"/>
      <c r="G89" s="32"/>
      <c r="H89" s="32"/>
      <c r="I89" s="32"/>
      <c r="J89" s="34"/>
      <c r="K89" s="32"/>
      <c r="L89" s="32"/>
      <c r="M89" s="32"/>
      <c r="N89" s="32"/>
      <c r="O89" s="32"/>
      <c r="P89" s="32"/>
      <c r="Q89" s="34"/>
      <c r="R89" s="34"/>
      <c r="S89" s="35" t="str">
        <f aca="false">IF(OR(Q89="",R89=""),"",ROUND(R89/((Q89/100)^2),1))</f>
        <v/>
      </c>
      <c r="T89" s="32" t="str">
        <f aca="false">IF(S89="","",IF(S89&lt;18.5,"Underweight",IF(S89&lt;25,"Normal",IF(S89&lt;30,"Overweight","Obese"))))</f>
        <v/>
      </c>
      <c r="U89" s="34"/>
      <c r="V89" s="34"/>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5" t="str">
        <f aca="false">IF(T89="","",IF(T89="Normal",100,IF(T89="Overweight",65,IF(T89="Obese",50,IF(AND(U89&lt;&gt;"",U89&lt;18.5),30,45)))))</f>
        <v/>
      </c>
      <c r="BG89" s="35" t="str">
        <f aca="false">IF(COUNTBLANK(W89:AC89)&gt;0,"",ROUND(AVERAGE(INDEX('SCORING MASTER'!$D$5:$D$7,MATCH(W89,'SCORING MASTER'!$C$5:$C$7,0)),INDEX('SCORING MASTER'!$D$9:$D$11,MATCH(X89,'SCORING MASTER'!$C$9:$C$11,0)),INDEX('SCORING MASTER'!$D$13:$D$15,MATCH(Y89,'SCORING MASTER'!$C$13:$C$15,0)),INDEX('SCORING MASTER'!$D$17:$D$19,MATCH(Z89,'SCORING MASTER'!$C$17:$C$19,0)),INDEX('SCORING MASTER'!$D$21:$D$23,MATCH(AA89,'SCORING MASTER'!$C$21:$C$23,0)),INDEX('SCORING MASTER'!$D$25:$D$27,MATCH(AB89,'SCORING MASTER'!$C$25:$C$27,0)),INDEX('SCORING MASTER'!$D$29:$D$31,MATCH(AC89,'SCORING MASTER'!$C$29:$C$31,0)))*20,0))</f>
        <v/>
      </c>
      <c r="BH89" s="35" t="str">
        <f aca="false">IF(COUNTBLANK(AD89:AI89)&gt;0,"",ROUND(AVERAGE(INDEX('SCORING MASTER'!$D$33:$D$35,MATCH(AD89,'SCORING MASTER'!$C$33:$C$35,0)),INDEX('SCORING MASTER'!$D$37:$D$39,MATCH(AE89,'SCORING MASTER'!$C$37:$C$39,0)),INDEX('SCORING MASTER'!$D$41:$D$43,MATCH(AF89,'SCORING MASTER'!$C$41:$C$43,0)),INDEX('SCORING MASTER'!$D$45:$D$47,MATCH(AG89,'SCORING MASTER'!$C$45:$C$47,0)),INDEX('SCORING MASTER'!$D$49:$D$52,MATCH(AH89,'SCORING MASTER'!$C$49:$C$52,0)),INDEX('SCORING MASTER'!$D$54:$D$57,MATCH(AI89,'SCORING MASTER'!$C$54:$C$57,0)))*20,0))</f>
        <v/>
      </c>
      <c r="BI89" s="35" t="str">
        <f aca="false">IF(COUNTBLANK(AJ89:AP89)&gt;0,"",ROUND(AVERAGE(INDEX('SCORING MASTER'!$D$59:$D$60,MATCH(AJ89,'SCORING MASTER'!$C$59:$C$60,0)),INDEX('SCORING MASTER'!$D$62:$D$63,MATCH(AK89,'SCORING MASTER'!$C$62:$C$63,0)),INDEX('SCORING MASTER'!$D$65:$D$66,MATCH(AL89,'SCORING MASTER'!$C$65:$C$66,0)),INDEX('SCORING MASTER'!$D$68:$D$69,MATCH(AM89,'SCORING MASTER'!$C$68:$C$69,0)),INDEX('SCORING MASTER'!$D$71:$D$72,MATCH(AN89,'SCORING MASTER'!$C$71:$C$72,0)),INDEX('SCORING MASTER'!$D$74:$D$75,MATCH(AO89,'SCORING MASTER'!$C$74:$C$75,0)),INDEX('SCORING MASTER'!$D$77:$D$78,MATCH(AP89,'SCORING MASTER'!$C$77:$C$78,0)))*20,0))</f>
        <v/>
      </c>
      <c r="BJ89" s="35" t="str">
        <f aca="false">IF(COUNTBLANK(AU89:AZ89)&gt;0,"",ROUND(AVERAGE(INDEX('SCORING MASTER'!$D$95:$D$96,MATCH(AU89,'SCORING MASTER'!$C$95:$C$96,0)),INDEX('SCORING MASTER'!$D$98:$D$99,MATCH(AV89,'SCORING MASTER'!$C$98:$C$99,0)),INDEX('SCORING MASTER'!$D$101:$D$102,MATCH(AW89,'SCORING MASTER'!$C$101:$C$102,0)),INDEX('SCORING MASTER'!$D$104:$D$105,MATCH(AX89,'SCORING MASTER'!$C$104:$C$105,0)),INDEX('SCORING MASTER'!$D$107:$D$108,MATCH(AY89,'SCORING MASTER'!$C$107:$C$108,0)),INDEX('SCORING MASTER'!$D$110:$D$111,MATCH(AZ89,'SCORING MASTER'!$C$110:$C$111,0)))*20,0))</f>
        <v/>
      </c>
      <c r="BK89" s="35" t="str">
        <f aca="false">IF(COUNTBLANK(AQ89:AT89)&gt;0,"",ROUND(AVERAGE(INDEX('SCORING MASTER'!$D$80:$D$82,MATCH(AQ89,'SCORING MASTER'!$C$80:$C$82,0)),INDEX('SCORING MASTER'!$D$84:$D$86,MATCH(AR89,'SCORING MASTER'!$C$84:$C$86,0)),INDEX('SCORING MASTER'!$D$88:$D$90,MATCH(AS89,'SCORING MASTER'!$C$88:$C$90,0)),INDEX('SCORING MASTER'!$D$92:$D$93,MATCH(AT89,'SCORING MASTER'!$C$92:$C$93,0)))*20,0))</f>
        <v/>
      </c>
      <c r="BL89" s="35" t="str">
        <f aca="false">IF(COUNTBLANK(BA89:BE89)&gt;0,"",ROUND(AVERAGE(INDEX('SCORING MASTER'!$D$113:$D$115,MATCH(BA89,'SCORING MASTER'!$C$113:$C$115,0)),INDEX('SCORING MASTER'!$D$117:$D$119,MATCH(BB89,'SCORING MASTER'!$C$117:$C$119,0)),INDEX('SCORING MASTER'!$D$121:$D$123,MATCH(BC89,'SCORING MASTER'!$C$121:$C$123,0)),INDEX('SCORING MASTER'!$D$125:$D$126,MATCH(BD89,'SCORING MASTER'!$C$125:$C$126,0)),INDEX('SCORING MASTER'!$D$128:$D$129,MATCH(BE89,'SCORING MASTER'!$C$128:$C$129,0)))*20,0))</f>
        <v/>
      </c>
      <c r="BM89" s="35" t="str">
        <f aca="false">IF(OR(BF89="",BG89="",BH89="",BI89="",BJ89="",BK89="",BL89=""),"",ROUND(BF89*0.25+BG89*0.2+BH89*0.15+BI89*0.15+BJ89*0.1+BK89*0.1+BL89*0.05,0))</f>
        <v/>
      </c>
      <c r="BN89" s="35" t="str">
        <f aca="false">IF(OR(BF89="",BG89=""),"",ROUND(BF89*0.5+BG89*0.5,0))</f>
        <v/>
      </c>
      <c r="BO89" s="35" t="str">
        <f aca="false">IF(BN89="","",ROUND(MIN(100,MAX(0,(100-BN89)+IF(AL89="Yes",15,0)+IF(AM89="Yes",15,0)+IF(AND(U89&lt;&gt;"",U89&lt;18.5),20,0))),0))</f>
        <v/>
      </c>
      <c r="BP89" s="32" t="str">
        <f aca="false">IF(BM89="","",IF(BM89&gt;=90,"Green - Healthy",IF(BM89&gt;=75,"Light Green - Mild Watch",IF(BM89&gt;=60,"Yellow - Mild Risk",IF(BM89&gt;=40,"Orange - Moderate Risk","Red - High Risk")))))</f>
        <v/>
      </c>
      <c r="BQ89" s="32" t="str">
        <f aca="false">IF(BM89="","",IF(OR(BM89&lt;60,BO89&gt;=60,AJ89="Yes"),"Yes","No"))</f>
        <v/>
      </c>
      <c r="BR89" s="32" t="str">
        <f aca="false">IF(BM89="","",IF(OR(BP89="Orange - Moderate Risk",BP89="Red - High Risk",BQ89="Yes"),"Yes","No"))</f>
        <v/>
      </c>
    </row>
    <row r="90" customFormat="false" ht="15" hidden="false" customHeight="false" outlineLevel="0" collapsed="false">
      <c r="A90" s="28" t="str">
        <f aca="false">IF(I90="","","STU"&amp;TEXT(ROW()-3,"000000"))</f>
        <v/>
      </c>
      <c r="B90" s="28"/>
      <c r="C90" s="28"/>
      <c r="D90" s="28"/>
      <c r="E90" s="28"/>
      <c r="F90" s="28"/>
      <c r="G90" s="28"/>
      <c r="H90" s="28"/>
      <c r="I90" s="28"/>
      <c r="J90" s="30"/>
      <c r="K90" s="28"/>
      <c r="L90" s="28"/>
      <c r="M90" s="28"/>
      <c r="N90" s="28"/>
      <c r="O90" s="28"/>
      <c r="P90" s="28"/>
      <c r="Q90" s="30"/>
      <c r="R90" s="30"/>
      <c r="S90" s="31" t="str">
        <f aca="false">IF(OR(Q90="",R90=""),"",ROUND(R90/((Q90/100)^2),1))</f>
        <v/>
      </c>
      <c r="T90" s="28" t="str">
        <f aca="false">IF(S90="","",IF(S90&lt;18.5,"Underweight",IF(S90&lt;25,"Normal",IF(S90&lt;30,"Overweight","Obese"))))</f>
        <v/>
      </c>
      <c r="U90" s="30"/>
      <c r="V90" s="30"/>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31" t="str">
        <f aca="false">IF(T90="","",IF(T90="Normal",100,IF(T90="Overweight",65,IF(T90="Obese",50,IF(AND(U90&lt;&gt;"",U90&lt;18.5),30,45)))))</f>
        <v/>
      </c>
      <c r="BG90" s="31" t="str">
        <f aca="false">IF(COUNTBLANK(W90:AC90)&gt;0,"",ROUND(AVERAGE(INDEX('SCORING MASTER'!$D$5:$D$7,MATCH(W90,'SCORING MASTER'!$C$5:$C$7,0)),INDEX('SCORING MASTER'!$D$9:$D$11,MATCH(X90,'SCORING MASTER'!$C$9:$C$11,0)),INDEX('SCORING MASTER'!$D$13:$D$15,MATCH(Y90,'SCORING MASTER'!$C$13:$C$15,0)),INDEX('SCORING MASTER'!$D$17:$D$19,MATCH(Z90,'SCORING MASTER'!$C$17:$C$19,0)),INDEX('SCORING MASTER'!$D$21:$D$23,MATCH(AA90,'SCORING MASTER'!$C$21:$C$23,0)),INDEX('SCORING MASTER'!$D$25:$D$27,MATCH(AB90,'SCORING MASTER'!$C$25:$C$27,0)),INDEX('SCORING MASTER'!$D$29:$D$31,MATCH(AC90,'SCORING MASTER'!$C$29:$C$31,0)))*20,0))</f>
        <v/>
      </c>
      <c r="BH90" s="31" t="str">
        <f aca="false">IF(COUNTBLANK(AD90:AI90)&gt;0,"",ROUND(AVERAGE(INDEX('SCORING MASTER'!$D$33:$D$35,MATCH(AD90,'SCORING MASTER'!$C$33:$C$35,0)),INDEX('SCORING MASTER'!$D$37:$D$39,MATCH(AE90,'SCORING MASTER'!$C$37:$C$39,0)),INDEX('SCORING MASTER'!$D$41:$D$43,MATCH(AF90,'SCORING MASTER'!$C$41:$C$43,0)),INDEX('SCORING MASTER'!$D$45:$D$47,MATCH(AG90,'SCORING MASTER'!$C$45:$C$47,0)),INDEX('SCORING MASTER'!$D$49:$D$52,MATCH(AH90,'SCORING MASTER'!$C$49:$C$52,0)),INDEX('SCORING MASTER'!$D$54:$D$57,MATCH(AI90,'SCORING MASTER'!$C$54:$C$57,0)))*20,0))</f>
        <v/>
      </c>
      <c r="BI90" s="31" t="str">
        <f aca="false">IF(COUNTBLANK(AJ90:AP90)&gt;0,"",ROUND(AVERAGE(INDEX('SCORING MASTER'!$D$59:$D$60,MATCH(AJ90,'SCORING MASTER'!$C$59:$C$60,0)),INDEX('SCORING MASTER'!$D$62:$D$63,MATCH(AK90,'SCORING MASTER'!$C$62:$C$63,0)),INDEX('SCORING MASTER'!$D$65:$D$66,MATCH(AL90,'SCORING MASTER'!$C$65:$C$66,0)),INDEX('SCORING MASTER'!$D$68:$D$69,MATCH(AM90,'SCORING MASTER'!$C$68:$C$69,0)),INDEX('SCORING MASTER'!$D$71:$D$72,MATCH(AN90,'SCORING MASTER'!$C$71:$C$72,0)),INDEX('SCORING MASTER'!$D$74:$D$75,MATCH(AO90,'SCORING MASTER'!$C$74:$C$75,0)),INDEX('SCORING MASTER'!$D$77:$D$78,MATCH(AP90,'SCORING MASTER'!$C$77:$C$78,0)))*20,0))</f>
        <v/>
      </c>
      <c r="BJ90" s="31" t="str">
        <f aca="false">IF(COUNTBLANK(AU90:AZ90)&gt;0,"",ROUND(AVERAGE(INDEX('SCORING MASTER'!$D$95:$D$96,MATCH(AU90,'SCORING MASTER'!$C$95:$C$96,0)),INDEX('SCORING MASTER'!$D$98:$D$99,MATCH(AV90,'SCORING MASTER'!$C$98:$C$99,0)),INDEX('SCORING MASTER'!$D$101:$D$102,MATCH(AW90,'SCORING MASTER'!$C$101:$C$102,0)),INDEX('SCORING MASTER'!$D$104:$D$105,MATCH(AX90,'SCORING MASTER'!$C$104:$C$105,0)),INDEX('SCORING MASTER'!$D$107:$D$108,MATCH(AY90,'SCORING MASTER'!$C$107:$C$108,0)),INDEX('SCORING MASTER'!$D$110:$D$111,MATCH(AZ90,'SCORING MASTER'!$C$110:$C$111,0)))*20,0))</f>
        <v/>
      </c>
      <c r="BK90" s="31" t="str">
        <f aca="false">IF(COUNTBLANK(AQ90:AT90)&gt;0,"",ROUND(AVERAGE(INDEX('SCORING MASTER'!$D$80:$D$82,MATCH(AQ90,'SCORING MASTER'!$C$80:$C$82,0)),INDEX('SCORING MASTER'!$D$84:$D$86,MATCH(AR90,'SCORING MASTER'!$C$84:$C$86,0)),INDEX('SCORING MASTER'!$D$88:$D$90,MATCH(AS90,'SCORING MASTER'!$C$88:$C$90,0)),INDEX('SCORING MASTER'!$D$92:$D$93,MATCH(AT90,'SCORING MASTER'!$C$92:$C$93,0)))*20,0))</f>
        <v/>
      </c>
      <c r="BL90" s="31" t="str">
        <f aca="false">IF(COUNTBLANK(BA90:BE90)&gt;0,"",ROUND(AVERAGE(INDEX('SCORING MASTER'!$D$113:$D$115,MATCH(BA90,'SCORING MASTER'!$C$113:$C$115,0)),INDEX('SCORING MASTER'!$D$117:$D$119,MATCH(BB90,'SCORING MASTER'!$C$117:$C$119,0)),INDEX('SCORING MASTER'!$D$121:$D$123,MATCH(BC90,'SCORING MASTER'!$C$121:$C$123,0)),INDEX('SCORING MASTER'!$D$125:$D$126,MATCH(BD90,'SCORING MASTER'!$C$125:$C$126,0)),INDEX('SCORING MASTER'!$D$128:$D$129,MATCH(BE90,'SCORING MASTER'!$C$128:$C$129,0)))*20,0))</f>
        <v/>
      </c>
      <c r="BM90" s="31" t="str">
        <f aca="false">IF(OR(BF90="",BG90="",BH90="",BI90="",BJ90="",BK90="",BL90=""),"",ROUND(BF90*0.25+BG90*0.2+BH90*0.15+BI90*0.15+BJ90*0.1+BK90*0.1+BL90*0.05,0))</f>
        <v/>
      </c>
      <c r="BN90" s="31" t="str">
        <f aca="false">IF(OR(BF90="",BG90=""),"",ROUND(BF90*0.5+BG90*0.5,0))</f>
        <v/>
      </c>
      <c r="BO90" s="31" t="str">
        <f aca="false">IF(BN90="","",ROUND(MIN(100,MAX(0,(100-BN90)+IF(AL90="Yes",15,0)+IF(AM90="Yes",15,0)+IF(AND(U90&lt;&gt;"",U90&lt;18.5),20,0))),0))</f>
        <v/>
      </c>
      <c r="BP90" s="28" t="str">
        <f aca="false">IF(BM90="","",IF(BM90&gt;=90,"Green - Healthy",IF(BM90&gt;=75,"Light Green - Mild Watch",IF(BM90&gt;=60,"Yellow - Mild Risk",IF(BM90&gt;=40,"Orange - Moderate Risk","Red - High Risk")))))</f>
        <v/>
      </c>
      <c r="BQ90" s="28" t="str">
        <f aca="false">IF(BM90="","",IF(OR(BM90&lt;60,BO90&gt;=60,AJ90="Yes"),"Yes","No"))</f>
        <v/>
      </c>
      <c r="BR90" s="28" t="str">
        <f aca="false">IF(BM90="","",IF(OR(BP90="Orange - Moderate Risk",BP90="Red - High Risk",BQ90="Yes"),"Yes","No"))</f>
        <v/>
      </c>
    </row>
    <row r="91" customFormat="false" ht="15" hidden="false" customHeight="false" outlineLevel="0" collapsed="false">
      <c r="A91" s="32" t="str">
        <f aca="false">IF(I91="","","STU"&amp;TEXT(ROW()-3,"000000"))</f>
        <v/>
      </c>
      <c r="B91" s="32"/>
      <c r="C91" s="32"/>
      <c r="D91" s="32"/>
      <c r="E91" s="32"/>
      <c r="F91" s="32"/>
      <c r="G91" s="32"/>
      <c r="H91" s="32"/>
      <c r="I91" s="32"/>
      <c r="J91" s="34"/>
      <c r="K91" s="32"/>
      <c r="L91" s="32"/>
      <c r="M91" s="32"/>
      <c r="N91" s="32"/>
      <c r="O91" s="32"/>
      <c r="P91" s="32"/>
      <c r="Q91" s="34"/>
      <c r="R91" s="34"/>
      <c r="S91" s="35" t="str">
        <f aca="false">IF(OR(Q91="",R91=""),"",ROUND(R91/((Q91/100)^2),1))</f>
        <v/>
      </c>
      <c r="T91" s="32" t="str">
        <f aca="false">IF(S91="","",IF(S91&lt;18.5,"Underweight",IF(S91&lt;25,"Normal",IF(S91&lt;30,"Overweight","Obese"))))</f>
        <v/>
      </c>
      <c r="U91" s="34"/>
      <c r="V91" s="34"/>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5" t="str">
        <f aca="false">IF(T91="","",IF(T91="Normal",100,IF(T91="Overweight",65,IF(T91="Obese",50,IF(AND(U91&lt;&gt;"",U91&lt;18.5),30,45)))))</f>
        <v/>
      </c>
      <c r="BG91" s="35" t="str">
        <f aca="false">IF(COUNTBLANK(W91:AC91)&gt;0,"",ROUND(AVERAGE(INDEX('SCORING MASTER'!$D$5:$D$7,MATCH(W91,'SCORING MASTER'!$C$5:$C$7,0)),INDEX('SCORING MASTER'!$D$9:$D$11,MATCH(X91,'SCORING MASTER'!$C$9:$C$11,0)),INDEX('SCORING MASTER'!$D$13:$D$15,MATCH(Y91,'SCORING MASTER'!$C$13:$C$15,0)),INDEX('SCORING MASTER'!$D$17:$D$19,MATCH(Z91,'SCORING MASTER'!$C$17:$C$19,0)),INDEX('SCORING MASTER'!$D$21:$D$23,MATCH(AA91,'SCORING MASTER'!$C$21:$C$23,0)),INDEX('SCORING MASTER'!$D$25:$D$27,MATCH(AB91,'SCORING MASTER'!$C$25:$C$27,0)),INDEX('SCORING MASTER'!$D$29:$D$31,MATCH(AC91,'SCORING MASTER'!$C$29:$C$31,0)))*20,0))</f>
        <v/>
      </c>
      <c r="BH91" s="35" t="str">
        <f aca="false">IF(COUNTBLANK(AD91:AI91)&gt;0,"",ROUND(AVERAGE(INDEX('SCORING MASTER'!$D$33:$D$35,MATCH(AD91,'SCORING MASTER'!$C$33:$C$35,0)),INDEX('SCORING MASTER'!$D$37:$D$39,MATCH(AE91,'SCORING MASTER'!$C$37:$C$39,0)),INDEX('SCORING MASTER'!$D$41:$D$43,MATCH(AF91,'SCORING MASTER'!$C$41:$C$43,0)),INDEX('SCORING MASTER'!$D$45:$D$47,MATCH(AG91,'SCORING MASTER'!$C$45:$C$47,0)),INDEX('SCORING MASTER'!$D$49:$D$52,MATCH(AH91,'SCORING MASTER'!$C$49:$C$52,0)),INDEX('SCORING MASTER'!$D$54:$D$57,MATCH(AI91,'SCORING MASTER'!$C$54:$C$57,0)))*20,0))</f>
        <v/>
      </c>
      <c r="BI91" s="35" t="str">
        <f aca="false">IF(COUNTBLANK(AJ91:AP91)&gt;0,"",ROUND(AVERAGE(INDEX('SCORING MASTER'!$D$59:$D$60,MATCH(AJ91,'SCORING MASTER'!$C$59:$C$60,0)),INDEX('SCORING MASTER'!$D$62:$D$63,MATCH(AK91,'SCORING MASTER'!$C$62:$C$63,0)),INDEX('SCORING MASTER'!$D$65:$D$66,MATCH(AL91,'SCORING MASTER'!$C$65:$C$66,0)),INDEX('SCORING MASTER'!$D$68:$D$69,MATCH(AM91,'SCORING MASTER'!$C$68:$C$69,0)),INDEX('SCORING MASTER'!$D$71:$D$72,MATCH(AN91,'SCORING MASTER'!$C$71:$C$72,0)),INDEX('SCORING MASTER'!$D$74:$D$75,MATCH(AO91,'SCORING MASTER'!$C$74:$C$75,0)),INDEX('SCORING MASTER'!$D$77:$D$78,MATCH(AP91,'SCORING MASTER'!$C$77:$C$78,0)))*20,0))</f>
        <v/>
      </c>
      <c r="BJ91" s="35" t="str">
        <f aca="false">IF(COUNTBLANK(AU91:AZ91)&gt;0,"",ROUND(AVERAGE(INDEX('SCORING MASTER'!$D$95:$D$96,MATCH(AU91,'SCORING MASTER'!$C$95:$C$96,0)),INDEX('SCORING MASTER'!$D$98:$D$99,MATCH(AV91,'SCORING MASTER'!$C$98:$C$99,0)),INDEX('SCORING MASTER'!$D$101:$D$102,MATCH(AW91,'SCORING MASTER'!$C$101:$C$102,0)),INDEX('SCORING MASTER'!$D$104:$D$105,MATCH(AX91,'SCORING MASTER'!$C$104:$C$105,0)),INDEX('SCORING MASTER'!$D$107:$D$108,MATCH(AY91,'SCORING MASTER'!$C$107:$C$108,0)),INDEX('SCORING MASTER'!$D$110:$D$111,MATCH(AZ91,'SCORING MASTER'!$C$110:$C$111,0)))*20,0))</f>
        <v/>
      </c>
      <c r="BK91" s="35" t="str">
        <f aca="false">IF(COUNTBLANK(AQ91:AT91)&gt;0,"",ROUND(AVERAGE(INDEX('SCORING MASTER'!$D$80:$D$82,MATCH(AQ91,'SCORING MASTER'!$C$80:$C$82,0)),INDEX('SCORING MASTER'!$D$84:$D$86,MATCH(AR91,'SCORING MASTER'!$C$84:$C$86,0)),INDEX('SCORING MASTER'!$D$88:$D$90,MATCH(AS91,'SCORING MASTER'!$C$88:$C$90,0)),INDEX('SCORING MASTER'!$D$92:$D$93,MATCH(AT91,'SCORING MASTER'!$C$92:$C$93,0)))*20,0))</f>
        <v/>
      </c>
      <c r="BL91" s="35" t="str">
        <f aca="false">IF(COUNTBLANK(BA91:BE91)&gt;0,"",ROUND(AVERAGE(INDEX('SCORING MASTER'!$D$113:$D$115,MATCH(BA91,'SCORING MASTER'!$C$113:$C$115,0)),INDEX('SCORING MASTER'!$D$117:$D$119,MATCH(BB91,'SCORING MASTER'!$C$117:$C$119,0)),INDEX('SCORING MASTER'!$D$121:$D$123,MATCH(BC91,'SCORING MASTER'!$C$121:$C$123,0)),INDEX('SCORING MASTER'!$D$125:$D$126,MATCH(BD91,'SCORING MASTER'!$C$125:$C$126,0)),INDEX('SCORING MASTER'!$D$128:$D$129,MATCH(BE91,'SCORING MASTER'!$C$128:$C$129,0)))*20,0))</f>
        <v/>
      </c>
      <c r="BM91" s="35" t="str">
        <f aca="false">IF(OR(BF91="",BG91="",BH91="",BI91="",BJ91="",BK91="",BL91=""),"",ROUND(BF91*0.25+BG91*0.2+BH91*0.15+BI91*0.15+BJ91*0.1+BK91*0.1+BL91*0.05,0))</f>
        <v/>
      </c>
      <c r="BN91" s="35" t="str">
        <f aca="false">IF(OR(BF91="",BG91=""),"",ROUND(BF91*0.5+BG91*0.5,0))</f>
        <v/>
      </c>
      <c r="BO91" s="35" t="str">
        <f aca="false">IF(BN91="","",ROUND(MIN(100,MAX(0,(100-BN91)+IF(AL91="Yes",15,0)+IF(AM91="Yes",15,0)+IF(AND(U91&lt;&gt;"",U91&lt;18.5),20,0))),0))</f>
        <v/>
      </c>
      <c r="BP91" s="32" t="str">
        <f aca="false">IF(BM91="","",IF(BM91&gt;=90,"Green - Healthy",IF(BM91&gt;=75,"Light Green - Mild Watch",IF(BM91&gt;=60,"Yellow - Mild Risk",IF(BM91&gt;=40,"Orange - Moderate Risk","Red - High Risk")))))</f>
        <v/>
      </c>
      <c r="BQ91" s="32" t="str">
        <f aca="false">IF(BM91="","",IF(OR(BM91&lt;60,BO91&gt;=60,AJ91="Yes"),"Yes","No"))</f>
        <v/>
      </c>
      <c r="BR91" s="32" t="str">
        <f aca="false">IF(BM91="","",IF(OR(BP91="Orange - Moderate Risk",BP91="Red - High Risk",BQ91="Yes"),"Yes","No"))</f>
        <v/>
      </c>
    </row>
    <row r="92" customFormat="false" ht="15" hidden="false" customHeight="false" outlineLevel="0" collapsed="false">
      <c r="A92" s="28" t="str">
        <f aca="false">IF(I92="","","STU"&amp;TEXT(ROW()-3,"000000"))</f>
        <v/>
      </c>
      <c r="B92" s="28"/>
      <c r="C92" s="28"/>
      <c r="D92" s="28"/>
      <c r="E92" s="28"/>
      <c r="F92" s="28"/>
      <c r="G92" s="28"/>
      <c r="H92" s="28"/>
      <c r="I92" s="28"/>
      <c r="J92" s="30"/>
      <c r="K92" s="28"/>
      <c r="L92" s="28"/>
      <c r="M92" s="28"/>
      <c r="N92" s="28"/>
      <c r="O92" s="28"/>
      <c r="P92" s="28"/>
      <c r="Q92" s="30"/>
      <c r="R92" s="30"/>
      <c r="S92" s="31" t="str">
        <f aca="false">IF(OR(Q92="",R92=""),"",ROUND(R92/((Q92/100)^2),1))</f>
        <v/>
      </c>
      <c r="T92" s="28" t="str">
        <f aca="false">IF(S92="","",IF(S92&lt;18.5,"Underweight",IF(S92&lt;25,"Normal",IF(S92&lt;30,"Overweight","Obese"))))</f>
        <v/>
      </c>
      <c r="U92" s="30"/>
      <c r="V92" s="30"/>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31" t="str">
        <f aca="false">IF(T92="","",IF(T92="Normal",100,IF(T92="Overweight",65,IF(T92="Obese",50,IF(AND(U92&lt;&gt;"",U92&lt;18.5),30,45)))))</f>
        <v/>
      </c>
      <c r="BG92" s="31" t="str">
        <f aca="false">IF(COUNTBLANK(W92:AC92)&gt;0,"",ROUND(AVERAGE(INDEX('SCORING MASTER'!$D$5:$D$7,MATCH(W92,'SCORING MASTER'!$C$5:$C$7,0)),INDEX('SCORING MASTER'!$D$9:$D$11,MATCH(X92,'SCORING MASTER'!$C$9:$C$11,0)),INDEX('SCORING MASTER'!$D$13:$D$15,MATCH(Y92,'SCORING MASTER'!$C$13:$C$15,0)),INDEX('SCORING MASTER'!$D$17:$D$19,MATCH(Z92,'SCORING MASTER'!$C$17:$C$19,0)),INDEX('SCORING MASTER'!$D$21:$D$23,MATCH(AA92,'SCORING MASTER'!$C$21:$C$23,0)),INDEX('SCORING MASTER'!$D$25:$D$27,MATCH(AB92,'SCORING MASTER'!$C$25:$C$27,0)),INDEX('SCORING MASTER'!$D$29:$D$31,MATCH(AC92,'SCORING MASTER'!$C$29:$C$31,0)))*20,0))</f>
        <v/>
      </c>
      <c r="BH92" s="31" t="str">
        <f aca="false">IF(COUNTBLANK(AD92:AI92)&gt;0,"",ROUND(AVERAGE(INDEX('SCORING MASTER'!$D$33:$D$35,MATCH(AD92,'SCORING MASTER'!$C$33:$C$35,0)),INDEX('SCORING MASTER'!$D$37:$D$39,MATCH(AE92,'SCORING MASTER'!$C$37:$C$39,0)),INDEX('SCORING MASTER'!$D$41:$D$43,MATCH(AF92,'SCORING MASTER'!$C$41:$C$43,0)),INDEX('SCORING MASTER'!$D$45:$D$47,MATCH(AG92,'SCORING MASTER'!$C$45:$C$47,0)),INDEX('SCORING MASTER'!$D$49:$D$52,MATCH(AH92,'SCORING MASTER'!$C$49:$C$52,0)),INDEX('SCORING MASTER'!$D$54:$D$57,MATCH(AI92,'SCORING MASTER'!$C$54:$C$57,0)))*20,0))</f>
        <v/>
      </c>
      <c r="BI92" s="31" t="str">
        <f aca="false">IF(COUNTBLANK(AJ92:AP92)&gt;0,"",ROUND(AVERAGE(INDEX('SCORING MASTER'!$D$59:$D$60,MATCH(AJ92,'SCORING MASTER'!$C$59:$C$60,0)),INDEX('SCORING MASTER'!$D$62:$D$63,MATCH(AK92,'SCORING MASTER'!$C$62:$C$63,0)),INDEX('SCORING MASTER'!$D$65:$D$66,MATCH(AL92,'SCORING MASTER'!$C$65:$C$66,0)),INDEX('SCORING MASTER'!$D$68:$D$69,MATCH(AM92,'SCORING MASTER'!$C$68:$C$69,0)),INDEX('SCORING MASTER'!$D$71:$D$72,MATCH(AN92,'SCORING MASTER'!$C$71:$C$72,0)),INDEX('SCORING MASTER'!$D$74:$D$75,MATCH(AO92,'SCORING MASTER'!$C$74:$C$75,0)),INDEX('SCORING MASTER'!$D$77:$D$78,MATCH(AP92,'SCORING MASTER'!$C$77:$C$78,0)))*20,0))</f>
        <v/>
      </c>
      <c r="BJ92" s="31" t="str">
        <f aca="false">IF(COUNTBLANK(AU92:AZ92)&gt;0,"",ROUND(AVERAGE(INDEX('SCORING MASTER'!$D$95:$D$96,MATCH(AU92,'SCORING MASTER'!$C$95:$C$96,0)),INDEX('SCORING MASTER'!$D$98:$D$99,MATCH(AV92,'SCORING MASTER'!$C$98:$C$99,0)),INDEX('SCORING MASTER'!$D$101:$D$102,MATCH(AW92,'SCORING MASTER'!$C$101:$C$102,0)),INDEX('SCORING MASTER'!$D$104:$D$105,MATCH(AX92,'SCORING MASTER'!$C$104:$C$105,0)),INDEX('SCORING MASTER'!$D$107:$D$108,MATCH(AY92,'SCORING MASTER'!$C$107:$C$108,0)),INDEX('SCORING MASTER'!$D$110:$D$111,MATCH(AZ92,'SCORING MASTER'!$C$110:$C$111,0)))*20,0))</f>
        <v/>
      </c>
      <c r="BK92" s="31" t="str">
        <f aca="false">IF(COUNTBLANK(AQ92:AT92)&gt;0,"",ROUND(AVERAGE(INDEX('SCORING MASTER'!$D$80:$D$82,MATCH(AQ92,'SCORING MASTER'!$C$80:$C$82,0)),INDEX('SCORING MASTER'!$D$84:$D$86,MATCH(AR92,'SCORING MASTER'!$C$84:$C$86,0)),INDEX('SCORING MASTER'!$D$88:$D$90,MATCH(AS92,'SCORING MASTER'!$C$88:$C$90,0)),INDEX('SCORING MASTER'!$D$92:$D$93,MATCH(AT92,'SCORING MASTER'!$C$92:$C$93,0)))*20,0))</f>
        <v/>
      </c>
      <c r="BL92" s="31" t="str">
        <f aca="false">IF(COUNTBLANK(BA92:BE92)&gt;0,"",ROUND(AVERAGE(INDEX('SCORING MASTER'!$D$113:$D$115,MATCH(BA92,'SCORING MASTER'!$C$113:$C$115,0)),INDEX('SCORING MASTER'!$D$117:$D$119,MATCH(BB92,'SCORING MASTER'!$C$117:$C$119,0)),INDEX('SCORING MASTER'!$D$121:$D$123,MATCH(BC92,'SCORING MASTER'!$C$121:$C$123,0)),INDEX('SCORING MASTER'!$D$125:$D$126,MATCH(BD92,'SCORING MASTER'!$C$125:$C$126,0)),INDEX('SCORING MASTER'!$D$128:$D$129,MATCH(BE92,'SCORING MASTER'!$C$128:$C$129,0)))*20,0))</f>
        <v/>
      </c>
      <c r="BM92" s="31" t="str">
        <f aca="false">IF(OR(BF92="",BG92="",BH92="",BI92="",BJ92="",BK92="",BL92=""),"",ROUND(BF92*0.25+BG92*0.2+BH92*0.15+BI92*0.15+BJ92*0.1+BK92*0.1+BL92*0.05,0))</f>
        <v/>
      </c>
      <c r="BN92" s="31" t="str">
        <f aca="false">IF(OR(BF92="",BG92=""),"",ROUND(BF92*0.5+BG92*0.5,0))</f>
        <v/>
      </c>
      <c r="BO92" s="31" t="str">
        <f aca="false">IF(BN92="","",ROUND(MIN(100,MAX(0,(100-BN92)+IF(AL92="Yes",15,0)+IF(AM92="Yes",15,0)+IF(AND(U92&lt;&gt;"",U92&lt;18.5),20,0))),0))</f>
        <v/>
      </c>
      <c r="BP92" s="28" t="str">
        <f aca="false">IF(BM92="","",IF(BM92&gt;=90,"Green - Healthy",IF(BM92&gt;=75,"Light Green - Mild Watch",IF(BM92&gt;=60,"Yellow - Mild Risk",IF(BM92&gt;=40,"Orange - Moderate Risk","Red - High Risk")))))</f>
        <v/>
      </c>
      <c r="BQ92" s="28" t="str">
        <f aca="false">IF(BM92="","",IF(OR(BM92&lt;60,BO92&gt;=60,AJ92="Yes"),"Yes","No"))</f>
        <v/>
      </c>
      <c r="BR92" s="28" t="str">
        <f aca="false">IF(BM92="","",IF(OR(BP92="Orange - Moderate Risk",BP92="Red - High Risk",BQ92="Yes"),"Yes","No"))</f>
        <v/>
      </c>
    </row>
    <row r="93" customFormat="false" ht="15" hidden="false" customHeight="false" outlineLevel="0" collapsed="false">
      <c r="A93" s="32" t="str">
        <f aca="false">IF(I93="","","STU"&amp;TEXT(ROW()-3,"000000"))</f>
        <v/>
      </c>
      <c r="B93" s="32"/>
      <c r="C93" s="32"/>
      <c r="D93" s="32"/>
      <c r="E93" s="32"/>
      <c r="F93" s="32"/>
      <c r="G93" s="32"/>
      <c r="H93" s="32"/>
      <c r="I93" s="32"/>
      <c r="J93" s="34"/>
      <c r="K93" s="32"/>
      <c r="L93" s="32"/>
      <c r="M93" s="32"/>
      <c r="N93" s="32"/>
      <c r="O93" s="32"/>
      <c r="P93" s="32"/>
      <c r="Q93" s="34"/>
      <c r="R93" s="34"/>
      <c r="S93" s="35" t="str">
        <f aca="false">IF(OR(Q93="",R93=""),"",ROUND(R93/((Q93/100)^2),1))</f>
        <v/>
      </c>
      <c r="T93" s="32" t="str">
        <f aca="false">IF(S93="","",IF(S93&lt;18.5,"Underweight",IF(S93&lt;25,"Normal",IF(S93&lt;30,"Overweight","Obese"))))</f>
        <v/>
      </c>
      <c r="U93" s="34"/>
      <c r="V93" s="34"/>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5" t="str">
        <f aca="false">IF(T93="","",IF(T93="Normal",100,IF(T93="Overweight",65,IF(T93="Obese",50,IF(AND(U93&lt;&gt;"",U93&lt;18.5),30,45)))))</f>
        <v/>
      </c>
      <c r="BG93" s="35" t="str">
        <f aca="false">IF(COUNTBLANK(W93:AC93)&gt;0,"",ROUND(AVERAGE(INDEX('SCORING MASTER'!$D$5:$D$7,MATCH(W93,'SCORING MASTER'!$C$5:$C$7,0)),INDEX('SCORING MASTER'!$D$9:$D$11,MATCH(X93,'SCORING MASTER'!$C$9:$C$11,0)),INDEX('SCORING MASTER'!$D$13:$D$15,MATCH(Y93,'SCORING MASTER'!$C$13:$C$15,0)),INDEX('SCORING MASTER'!$D$17:$D$19,MATCH(Z93,'SCORING MASTER'!$C$17:$C$19,0)),INDEX('SCORING MASTER'!$D$21:$D$23,MATCH(AA93,'SCORING MASTER'!$C$21:$C$23,0)),INDEX('SCORING MASTER'!$D$25:$D$27,MATCH(AB93,'SCORING MASTER'!$C$25:$C$27,0)),INDEX('SCORING MASTER'!$D$29:$D$31,MATCH(AC93,'SCORING MASTER'!$C$29:$C$31,0)))*20,0))</f>
        <v/>
      </c>
      <c r="BH93" s="35" t="str">
        <f aca="false">IF(COUNTBLANK(AD93:AI93)&gt;0,"",ROUND(AVERAGE(INDEX('SCORING MASTER'!$D$33:$D$35,MATCH(AD93,'SCORING MASTER'!$C$33:$C$35,0)),INDEX('SCORING MASTER'!$D$37:$D$39,MATCH(AE93,'SCORING MASTER'!$C$37:$C$39,0)),INDEX('SCORING MASTER'!$D$41:$D$43,MATCH(AF93,'SCORING MASTER'!$C$41:$C$43,0)),INDEX('SCORING MASTER'!$D$45:$D$47,MATCH(AG93,'SCORING MASTER'!$C$45:$C$47,0)),INDEX('SCORING MASTER'!$D$49:$D$52,MATCH(AH93,'SCORING MASTER'!$C$49:$C$52,0)),INDEX('SCORING MASTER'!$D$54:$D$57,MATCH(AI93,'SCORING MASTER'!$C$54:$C$57,0)))*20,0))</f>
        <v/>
      </c>
      <c r="BI93" s="35" t="str">
        <f aca="false">IF(COUNTBLANK(AJ93:AP93)&gt;0,"",ROUND(AVERAGE(INDEX('SCORING MASTER'!$D$59:$D$60,MATCH(AJ93,'SCORING MASTER'!$C$59:$C$60,0)),INDEX('SCORING MASTER'!$D$62:$D$63,MATCH(AK93,'SCORING MASTER'!$C$62:$C$63,0)),INDEX('SCORING MASTER'!$D$65:$D$66,MATCH(AL93,'SCORING MASTER'!$C$65:$C$66,0)),INDEX('SCORING MASTER'!$D$68:$D$69,MATCH(AM93,'SCORING MASTER'!$C$68:$C$69,0)),INDEX('SCORING MASTER'!$D$71:$D$72,MATCH(AN93,'SCORING MASTER'!$C$71:$C$72,0)),INDEX('SCORING MASTER'!$D$74:$D$75,MATCH(AO93,'SCORING MASTER'!$C$74:$C$75,0)),INDEX('SCORING MASTER'!$D$77:$D$78,MATCH(AP93,'SCORING MASTER'!$C$77:$C$78,0)))*20,0))</f>
        <v/>
      </c>
      <c r="BJ93" s="35" t="str">
        <f aca="false">IF(COUNTBLANK(AU93:AZ93)&gt;0,"",ROUND(AVERAGE(INDEX('SCORING MASTER'!$D$95:$D$96,MATCH(AU93,'SCORING MASTER'!$C$95:$C$96,0)),INDEX('SCORING MASTER'!$D$98:$D$99,MATCH(AV93,'SCORING MASTER'!$C$98:$C$99,0)),INDEX('SCORING MASTER'!$D$101:$D$102,MATCH(AW93,'SCORING MASTER'!$C$101:$C$102,0)),INDEX('SCORING MASTER'!$D$104:$D$105,MATCH(AX93,'SCORING MASTER'!$C$104:$C$105,0)),INDEX('SCORING MASTER'!$D$107:$D$108,MATCH(AY93,'SCORING MASTER'!$C$107:$C$108,0)),INDEX('SCORING MASTER'!$D$110:$D$111,MATCH(AZ93,'SCORING MASTER'!$C$110:$C$111,0)))*20,0))</f>
        <v/>
      </c>
      <c r="BK93" s="35" t="str">
        <f aca="false">IF(COUNTBLANK(AQ93:AT93)&gt;0,"",ROUND(AVERAGE(INDEX('SCORING MASTER'!$D$80:$D$82,MATCH(AQ93,'SCORING MASTER'!$C$80:$C$82,0)),INDEX('SCORING MASTER'!$D$84:$D$86,MATCH(AR93,'SCORING MASTER'!$C$84:$C$86,0)),INDEX('SCORING MASTER'!$D$88:$D$90,MATCH(AS93,'SCORING MASTER'!$C$88:$C$90,0)),INDEX('SCORING MASTER'!$D$92:$D$93,MATCH(AT93,'SCORING MASTER'!$C$92:$C$93,0)))*20,0))</f>
        <v/>
      </c>
      <c r="BL93" s="35" t="str">
        <f aca="false">IF(COUNTBLANK(BA93:BE93)&gt;0,"",ROUND(AVERAGE(INDEX('SCORING MASTER'!$D$113:$D$115,MATCH(BA93,'SCORING MASTER'!$C$113:$C$115,0)),INDEX('SCORING MASTER'!$D$117:$D$119,MATCH(BB93,'SCORING MASTER'!$C$117:$C$119,0)),INDEX('SCORING MASTER'!$D$121:$D$123,MATCH(BC93,'SCORING MASTER'!$C$121:$C$123,0)),INDEX('SCORING MASTER'!$D$125:$D$126,MATCH(BD93,'SCORING MASTER'!$C$125:$C$126,0)),INDEX('SCORING MASTER'!$D$128:$D$129,MATCH(BE93,'SCORING MASTER'!$C$128:$C$129,0)))*20,0))</f>
        <v/>
      </c>
      <c r="BM93" s="35" t="str">
        <f aca="false">IF(OR(BF93="",BG93="",BH93="",BI93="",BJ93="",BK93="",BL93=""),"",ROUND(BF93*0.25+BG93*0.2+BH93*0.15+BI93*0.15+BJ93*0.1+BK93*0.1+BL93*0.05,0))</f>
        <v/>
      </c>
      <c r="BN93" s="35" t="str">
        <f aca="false">IF(OR(BF93="",BG93=""),"",ROUND(BF93*0.5+BG93*0.5,0))</f>
        <v/>
      </c>
      <c r="BO93" s="35" t="str">
        <f aca="false">IF(BN93="","",ROUND(MIN(100,MAX(0,(100-BN93)+IF(AL93="Yes",15,0)+IF(AM93="Yes",15,0)+IF(AND(U93&lt;&gt;"",U93&lt;18.5),20,0))),0))</f>
        <v/>
      </c>
      <c r="BP93" s="32" t="str">
        <f aca="false">IF(BM93="","",IF(BM93&gt;=90,"Green - Healthy",IF(BM93&gt;=75,"Light Green - Mild Watch",IF(BM93&gt;=60,"Yellow - Mild Risk",IF(BM93&gt;=40,"Orange - Moderate Risk","Red - High Risk")))))</f>
        <v/>
      </c>
      <c r="BQ93" s="32" t="str">
        <f aca="false">IF(BM93="","",IF(OR(BM93&lt;60,BO93&gt;=60,AJ93="Yes"),"Yes","No"))</f>
        <v/>
      </c>
      <c r="BR93" s="32" t="str">
        <f aca="false">IF(BM93="","",IF(OR(BP93="Orange - Moderate Risk",BP93="Red - High Risk",BQ93="Yes"),"Yes","No"))</f>
        <v/>
      </c>
    </row>
    <row r="94" customFormat="false" ht="15" hidden="false" customHeight="false" outlineLevel="0" collapsed="false">
      <c r="A94" s="28" t="str">
        <f aca="false">IF(I94="","","STU"&amp;TEXT(ROW()-3,"000000"))</f>
        <v/>
      </c>
      <c r="B94" s="28"/>
      <c r="C94" s="28"/>
      <c r="D94" s="28"/>
      <c r="E94" s="28"/>
      <c r="F94" s="28"/>
      <c r="G94" s="28"/>
      <c r="H94" s="28"/>
      <c r="I94" s="28"/>
      <c r="J94" s="30"/>
      <c r="K94" s="28"/>
      <c r="L94" s="28"/>
      <c r="M94" s="28"/>
      <c r="N94" s="28"/>
      <c r="O94" s="28"/>
      <c r="P94" s="28"/>
      <c r="Q94" s="30"/>
      <c r="R94" s="30"/>
      <c r="S94" s="31" t="str">
        <f aca="false">IF(OR(Q94="",R94=""),"",ROUND(R94/((Q94/100)^2),1))</f>
        <v/>
      </c>
      <c r="T94" s="28" t="str">
        <f aca="false">IF(S94="","",IF(S94&lt;18.5,"Underweight",IF(S94&lt;25,"Normal",IF(S94&lt;30,"Overweight","Obese"))))</f>
        <v/>
      </c>
      <c r="U94" s="30"/>
      <c r="V94" s="30"/>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31" t="str">
        <f aca="false">IF(T94="","",IF(T94="Normal",100,IF(T94="Overweight",65,IF(T94="Obese",50,IF(AND(U94&lt;&gt;"",U94&lt;18.5),30,45)))))</f>
        <v/>
      </c>
      <c r="BG94" s="31" t="str">
        <f aca="false">IF(COUNTBLANK(W94:AC94)&gt;0,"",ROUND(AVERAGE(INDEX('SCORING MASTER'!$D$5:$D$7,MATCH(W94,'SCORING MASTER'!$C$5:$C$7,0)),INDEX('SCORING MASTER'!$D$9:$D$11,MATCH(X94,'SCORING MASTER'!$C$9:$C$11,0)),INDEX('SCORING MASTER'!$D$13:$D$15,MATCH(Y94,'SCORING MASTER'!$C$13:$C$15,0)),INDEX('SCORING MASTER'!$D$17:$D$19,MATCH(Z94,'SCORING MASTER'!$C$17:$C$19,0)),INDEX('SCORING MASTER'!$D$21:$D$23,MATCH(AA94,'SCORING MASTER'!$C$21:$C$23,0)),INDEX('SCORING MASTER'!$D$25:$D$27,MATCH(AB94,'SCORING MASTER'!$C$25:$C$27,0)),INDEX('SCORING MASTER'!$D$29:$D$31,MATCH(AC94,'SCORING MASTER'!$C$29:$C$31,0)))*20,0))</f>
        <v/>
      </c>
      <c r="BH94" s="31" t="str">
        <f aca="false">IF(COUNTBLANK(AD94:AI94)&gt;0,"",ROUND(AVERAGE(INDEX('SCORING MASTER'!$D$33:$D$35,MATCH(AD94,'SCORING MASTER'!$C$33:$C$35,0)),INDEX('SCORING MASTER'!$D$37:$D$39,MATCH(AE94,'SCORING MASTER'!$C$37:$C$39,0)),INDEX('SCORING MASTER'!$D$41:$D$43,MATCH(AF94,'SCORING MASTER'!$C$41:$C$43,0)),INDEX('SCORING MASTER'!$D$45:$D$47,MATCH(AG94,'SCORING MASTER'!$C$45:$C$47,0)),INDEX('SCORING MASTER'!$D$49:$D$52,MATCH(AH94,'SCORING MASTER'!$C$49:$C$52,0)),INDEX('SCORING MASTER'!$D$54:$D$57,MATCH(AI94,'SCORING MASTER'!$C$54:$C$57,0)))*20,0))</f>
        <v/>
      </c>
      <c r="BI94" s="31" t="str">
        <f aca="false">IF(COUNTBLANK(AJ94:AP94)&gt;0,"",ROUND(AVERAGE(INDEX('SCORING MASTER'!$D$59:$D$60,MATCH(AJ94,'SCORING MASTER'!$C$59:$C$60,0)),INDEX('SCORING MASTER'!$D$62:$D$63,MATCH(AK94,'SCORING MASTER'!$C$62:$C$63,0)),INDEX('SCORING MASTER'!$D$65:$D$66,MATCH(AL94,'SCORING MASTER'!$C$65:$C$66,0)),INDEX('SCORING MASTER'!$D$68:$D$69,MATCH(AM94,'SCORING MASTER'!$C$68:$C$69,0)),INDEX('SCORING MASTER'!$D$71:$D$72,MATCH(AN94,'SCORING MASTER'!$C$71:$C$72,0)),INDEX('SCORING MASTER'!$D$74:$D$75,MATCH(AO94,'SCORING MASTER'!$C$74:$C$75,0)),INDEX('SCORING MASTER'!$D$77:$D$78,MATCH(AP94,'SCORING MASTER'!$C$77:$C$78,0)))*20,0))</f>
        <v/>
      </c>
      <c r="BJ94" s="31" t="str">
        <f aca="false">IF(COUNTBLANK(AU94:AZ94)&gt;0,"",ROUND(AVERAGE(INDEX('SCORING MASTER'!$D$95:$D$96,MATCH(AU94,'SCORING MASTER'!$C$95:$C$96,0)),INDEX('SCORING MASTER'!$D$98:$D$99,MATCH(AV94,'SCORING MASTER'!$C$98:$C$99,0)),INDEX('SCORING MASTER'!$D$101:$D$102,MATCH(AW94,'SCORING MASTER'!$C$101:$C$102,0)),INDEX('SCORING MASTER'!$D$104:$D$105,MATCH(AX94,'SCORING MASTER'!$C$104:$C$105,0)),INDEX('SCORING MASTER'!$D$107:$D$108,MATCH(AY94,'SCORING MASTER'!$C$107:$C$108,0)),INDEX('SCORING MASTER'!$D$110:$D$111,MATCH(AZ94,'SCORING MASTER'!$C$110:$C$111,0)))*20,0))</f>
        <v/>
      </c>
      <c r="BK94" s="31" t="str">
        <f aca="false">IF(COUNTBLANK(AQ94:AT94)&gt;0,"",ROUND(AVERAGE(INDEX('SCORING MASTER'!$D$80:$D$82,MATCH(AQ94,'SCORING MASTER'!$C$80:$C$82,0)),INDEX('SCORING MASTER'!$D$84:$D$86,MATCH(AR94,'SCORING MASTER'!$C$84:$C$86,0)),INDEX('SCORING MASTER'!$D$88:$D$90,MATCH(AS94,'SCORING MASTER'!$C$88:$C$90,0)),INDEX('SCORING MASTER'!$D$92:$D$93,MATCH(AT94,'SCORING MASTER'!$C$92:$C$93,0)))*20,0))</f>
        <v/>
      </c>
      <c r="BL94" s="31" t="str">
        <f aca="false">IF(COUNTBLANK(BA94:BE94)&gt;0,"",ROUND(AVERAGE(INDEX('SCORING MASTER'!$D$113:$D$115,MATCH(BA94,'SCORING MASTER'!$C$113:$C$115,0)),INDEX('SCORING MASTER'!$D$117:$D$119,MATCH(BB94,'SCORING MASTER'!$C$117:$C$119,0)),INDEX('SCORING MASTER'!$D$121:$D$123,MATCH(BC94,'SCORING MASTER'!$C$121:$C$123,0)),INDEX('SCORING MASTER'!$D$125:$D$126,MATCH(BD94,'SCORING MASTER'!$C$125:$C$126,0)),INDEX('SCORING MASTER'!$D$128:$D$129,MATCH(BE94,'SCORING MASTER'!$C$128:$C$129,0)))*20,0))</f>
        <v/>
      </c>
      <c r="BM94" s="31" t="str">
        <f aca="false">IF(OR(BF94="",BG94="",BH94="",BI94="",BJ94="",BK94="",BL94=""),"",ROUND(BF94*0.25+BG94*0.2+BH94*0.15+BI94*0.15+BJ94*0.1+BK94*0.1+BL94*0.05,0))</f>
        <v/>
      </c>
      <c r="BN94" s="31" t="str">
        <f aca="false">IF(OR(BF94="",BG94=""),"",ROUND(BF94*0.5+BG94*0.5,0))</f>
        <v/>
      </c>
      <c r="BO94" s="31" t="str">
        <f aca="false">IF(BN94="","",ROUND(MIN(100,MAX(0,(100-BN94)+IF(AL94="Yes",15,0)+IF(AM94="Yes",15,0)+IF(AND(U94&lt;&gt;"",U94&lt;18.5),20,0))),0))</f>
        <v/>
      </c>
      <c r="BP94" s="28" t="str">
        <f aca="false">IF(BM94="","",IF(BM94&gt;=90,"Green - Healthy",IF(BM94&gt;=75,"Light Green - Mild Watch",IF(BM94&gt;=60,"Yellow - Mild Risk",IF(BM94&gt;=40,"Orange - Moderate Risk","Red - High Risk")))))</f>
        <v/>
      </c>
      <c r="BQ94" s="28" t="str">
        <f aca="false">IF(BM94="","",IF(OR(BM94&lt;60,BO94&gt;=60,AJ94="Yes"),"Yes","No"))</f>
        <v/>
      </c>
      <c r="BR94" s="28" t="str">
        <f aca="false">IF(BM94="","",IF(OR(BP94="Orange - Moderate Risk",BP94="Red - High Risk",BQ94="Yes"),"Yes","No"))</f>
        <v/>
      </c>
    </row>
    <row r="95" customFormat="false" ht="15" hidden="false" customHeight="false" outlineLevel="0" collapsed="false">
      <c r="A95" s="32" t="str">
        <f aca="false">IF(I95="","","STU"&amp;TEXT(ROW()-3,"000000"))</f>
        <v/>
      </c>
      <c r="B95" s="32"/>
      <c r="C95" s="32"/>
      <c r="D95" s="32"/>
      <c r="E95" s="32"/>
      <c r="F95" s="32"/>
      <c r="G95" s="32"/>
      <c r="H95" s="32"/>
      <c r="I95" s="32"/>
      <c r="J95" s="34"/>
      <c r="K95" s="32"/>
      <c r="L95" s="32"/>
      <c r="M95" s="32"/>
      <c r="N95" s="32"/>
      <c r="O95" s="32"/>
      <c r="P95" s="32"/>
      <c r="Q95" s="34"/>
      <c r="R95" s="34"/>
      <c r="S95" s="35" t="str">
        <f aca="false">IF(OR(Q95="",R95=""),"",ROUND(R95/((Q95/100)^2),1))</f>
        <v/>
      </c>
      <c r="T95" s="32" t="str">
        <f aca="false">IF(S95="","",IF(S95&lt;18.5,"Underweight",IF(S95&lt;25,"Normal",IF(S95&lt;30,"Overweight","Obese"))))</f>
        <v/>
      </c>
      <c r="U95" s="34"/>
      <c r="V95" s="34"/>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5" t="str">
        <f aca="false">IF(T95="","",IF(T95="Normal",100,IF(T95="Overweight",65,IF(T95="Obese",50,IF(AND(U95&lt;&gt;"",U95&lt;18.5),30,45)))))</f>
        <v/>
      </c>
      <c r="BG95" s="35" t="str">
        <f aca="false">IF(COUNTBLANK(W95:AC95)&gt;0,"",ROUND(AVERAGE(INDEX('SCORING MASTER'!$D$5:$D$7,MATCH(W95,'SCORING MASTER'!$C$5:$C$7,0)),INDEX('SCORING MASTER'!$D$9:$D$11,MATCH(X95,'SCORING MASTER'!$C$9:$C$11,0)),INDEX('SCORING MASTER'!$D$13:$D$15,MATCH(Y95,'SCORING MASTER'!$C$13:$C$15,0)),INDEX('SCORING MASTER'!$D$17:$D$19,MATCH(Z95,'SCORING MASTER'!$C$17:$C$19,0)),INDEX('SCORING MASTER'!$D$21:$D$23,MATCH(AA95,'SCORING MASTER'!$C$21:$C$23,0)),INDEX('SCORING MASTER'!$D$25:$D$27,MATCH(AB95,'SCORING MASTER'!$C$25:$C$27,0)),INDEX('SCORING MASTER'!$D$29:$D$31,MATCH(AC95,'SCORING MASTER'!$C$29:$C$31,0)))*20,0))</f>
        <v/>
      </c>
      <c r="BH95" s="35" t="str">
        <f aca="false">IF(COUNTBLANK(AD95:AI95)&gt;0,"",ROUND(AVERAGE(INDEX('SCORING MASTER'!$D$33:$D$35,MATCH(AD95,'SCORING MASTER'!$C$33:$C$35,0)),INDEX('SCORING MASTER'!$D$37:$D$39,MATCH(AE95,'SCORING MASTER'!$C$37:$C$39,0)),INDEX('SCORING MASTER'!$D$41:$D$43,MATCH(AF95,'SCORING MASTER'!$C$41:$C$43,0)),INDEX('SCORING MASTER'!$D$45:$D$47,MATCH(AG95,'SCORING MASTER'!$C$45:$C$47,0)),INDEX('SCORING MASTER'!$D$49:$D$52,MATCH(AH95,'SCORING MASTER'!$C$49:$C$52,0)),INDEX('SCORING MASTER'!$D$54:$D$57,MATCH(AI95,'SCORING MASTER'!$C$54:$C$57,0)))*20,0))</f>
        <v/>
      </c>
      <c r="BI95" s="35" t="str">
        <f aca="false">IF(COUNTBLANK(AJ95:AP95)&gt;0,"",ROUND(AVERAGE(INDEX('SCORING MASTER'!$D$59:$D$60,MATCH(AJ95,'SCORING MASTER'!$C$59:$C$60,0)),INDEX('SCORING MASTER'!$D$62:$D$63,MATCH(AK95,'SCORING MASTER'!$C$62:$C$63,0)),INDEX('SCORING MASTER'!$D$65:$D$66,MATCH(AL95,'SCORING MASTER'!$C$65:$C$66,0)),INDEX('SCORING MASTER'!$D$68:$D$69,MATCH(AM95,'SCORING MASTER'!$C$68:$C$69,0)),INDEX('SCORING MASTER'!$D$71:$D$72,MATCH(AN95,'SCORING MASTER'!$C$71:$C$72,0)),INDEX('SCORING MASTER'!$D$74:$D$75,MATCH(AO95,'SCORING MASTER'!$C$74:$C$75,0)),INDEX('SCORING MASTER'!$D$77:$D$78,MATCH(AP95,'SCORING MASTER'!$C$77:$C$78,0)))*20,0))</f>
        <v/>
      </c>
      <c r="BJ95" s="35" t="str">
        <f aca="false">IF(COUNTBLANK(AU95:AZ95)&gt;0,"",ROUND(AVERAGE(INDEX('SCORING MASTER'!$D$95:$D$96,MATCH(AU95,'SCORING MASTER'!$C$95:$C$96,0)),INDEX('SCORING MASTER'!$D$98:$D$99,MATCH(AV95,'SCORING MASTER'!$C$98:$C$99,0)),INDEX('SCORING MASTER'!$D$101:$D$102,MATCH(AW95,'SCORING MASTER'!$C$101:$C$102,0)),INDEX('SCORING MASTER'!$D$104:$D$105,MATCH(AX95,'SCORING MASTER'!$C$104:$C$105,0)),INDEX('SCORING MASTER'!$D$107:$D$108,MATCH(AY95,'SCORING MASTER'!$C$107:$C$108,0)),INDEX('SCORING MASTER'!$D$110:$D$111,MATCH(AZ95,'SCORING MASTER'!$C$110:$C$111,0)))*20,0))</f>
        <v/>
      </c>
      <c r="BK95" s="35" t="str">
        <f aca="false">IF(COUNTBLANK(AQ95:AT95)&gt;0,"",ROUND(AVERAGE(INDEX('SCORING MASTER'!$D$80:$D$82,MATCH(AQ95,'SCORING MASTER'!$C$80:$C$82,0)),INDEX('SCORING MASTER'!$D$84:$D$86,MATCH(AR95,'SCORING MASTER'!$C$84:$C$86,0)),INDEX('SCORING MASTER'!$D$88:$D$90,MATCH(AS95,'SCORING MASTER'!$C$88:$C$90,0)),INDEX('SCORING MASTER'!$D$92:$D$93,MATCH(AT95,'SCORING MASTER'!$C$92:$C$93,0)))*20,0))</f>
        <v/>
      </c>
      <c r="BL95" s="35" t="str">
        <f aca="false">IF(COUNTBLANK(BA95:BE95)&gt;0,"",ROUND(AVERAGE(INDEX('SCORING MASTER'!$D$113:$D$115,MATCH(BA95,'SCORING MASTER'!$C$113:$C$115,0)),INDEX('SCORING MASTER'!$D$117:$D$119,MATCH(BB95,'SCORING MASTER'!$C$117:$C$119,0)),INDEX('SCORING MASTER'!$D$121:$D$123,MATCH(BC95,'SCORING MASTER'!$C$121:$C$123,0)),INDEX('SCORING MASTER'!$D$125:$D$126,MATCH(BD95,'SCORING MASTER'!$C$125:$C$126,0)),INDEX('SCORING MASTER'!$D$128:$D$129,MATCH(BE95,'SCORING MASTER'!$C$128:$C$129,0)))*20,0))</f>
        <v/>
      </c>
      <c r="BM95" s="35" t="str">
        <f aca="false">IF(OR(BF95="",BG95="",BH95="",BI95="",BJ95="",BK95="",BL95=""),"",ROUND(BF95*0.25+BG95*0.2+BH95*0.15+BI95*0.15+BJ95*0.1+BK95*0.1+BL95*0.05,0))</f>
        <v/>
      </c>
      <c r="BN95" s="35" t="str">
        <f aca="false">IF(OR(BF95="",BG95=""),"",ROUND(BF95*0.5+BG95*0.5,0))</f>
        <v/>
      </c>
      <c r="BO95" s="35" t="str">
        <f aca="false">IF(BN95="","",ROUND(MIN(100,MAX(0,(100-BN95)+IF(AL95="Yes",15,0)+IF(AM95="Yes",15,0)+IF(AND(U95&lt;&gt;"",U95&lt;18.5),20,0))),0))</f>
        <v/>
      </c>
      <c r="BP95" s="32" t="str">
        <f aca="false">IF(BM95="","",IF(BM95&gt;=90,"Green - Healthy",IF(BM95&gt;=75,"Light Green - Mild Watch",IF(BM95&gt;=60,"Yellow - Mild Risk",IF(BM95&gt;=40,"Orange - Moderate Risk","Red - High Risk")))))</f>
        <v/>
      </c>
      <c r="BQ95" s="32" t="str">
        <f aca="false">IF(BM95="","",IF(OR(BM95&lt;60,BO95&gt;=60,AJ95="Yes"),"Yes","No"))</f>
        <v/>
      </c>
      <c r="BR95" s="32" t="str">
        <f aca="false">IF(BM95="","",IF(OR(BP95="Orange - Moderate Risk",BP95="Red - High Risk",BQ95="Yes"),"Yes","No"))</f>
        <v/>
      </c>
    </row>
    <row r="96" customFormat="false" ht="15" hidden="false" customHeight="false" outlineLevel="0" collapsed="false">
      <c r="A96" s="28" t="str">
        <f aca="false">IF(I96="","","STU"&amp;TEXT(ROW()-3,"000000"))</f>
        <v/>
      </c>
      <c r="B96" s="28"/>
      <c r="C96" s="28"/>
      <c r="D96" s="28"/>
      <c r="E96" s="28"/>
      <c r="F96" s="28"/>
      <c r="G96" s="28"/>
      <c r="H96" s="28"/>
      <c r="I96" s="28"/>
      <c r="J96" s="30"/>
      <c r="K96" s="28"/>
      <c r="L96" s="28"/>
      <c r="M96" s="28"/>
      <c r="N96" s="28"/>
      <c r="O96" s="28"/>
      <c r="P96" s="28"/>
      <c r="Q96" s="30"/>
      <c r="R96" s="30"/>
      <c r="S96" s="31" t="str">
        <f aca="false">IF(OR(Q96="",R96=""),"",ROUND(R96/((Q96/100)^2),1))</f>
        <v/>
      </c>
      <c r="T96" s="28" t="str">
        <f aca="false">IF(S96="","",IF(S96&lt;18.5,"Underweight",IF(S96&lt;25,"Normal",IF(S96&lt;30,"Overweight","Obese"))))</f>
        <v/>
      </c>
      <c r="U96" s="30"/>
      <c r="V96" s="30"/>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31" t="str">
        <f aca="false">IF(T96="","",IF(T96="Normal",100,IF(T96="Overweight",65,IF(T96="Obese",50,IF(AND(U96&lt;&gt;"",U96&lt;18.5),30,45)))))</f>
        <v/>
      </c>
      <c r="BG96" s="31" t="str">
        <f aca="false">IF(COUNTBLANK(W96:AC96)&gt;0,"",ROUND(AVERAGE(INDEX('SCORING MASTER'!$D$5:$D$7,MATCH(W96,'SCORING MASTER'!$C$5:$C$7,0)),INDEX('SCORING MASTER'!$D$9:$D$11,MATCH(X96,'SCORING MASTER'!$C$9:$C$11,0)),INDEX('SCORING MASTER'!$D$13:$D$15,MATCH(Y96,'SCORING MASTER'!$C$13:$C$15,0)),INDEX('SCORING MASTER'!$D$17:$D$19,MATCH(Z96,'SCORING MASTER'!$C$17:$C$19,0)),INDEX('SCORING MASTER'!$D$21:$D$23,MATCH(AA96,'SCORING MASTER'!$C$21:$C$23,0)),INDEX('SCORING MASTER'!$D$25:$D$27,MATCH(AB96,'SCORING MASTER'!$C$25:$C$27,0)),INDEX('SCORING MASTER'!$D$29:$D$31,MATCH(AC96,'SCORING MASTER'!$C$29:$C$31,0)))*20,0))</f>
        <v/>
      </c>
      <c r="BH96" s="31" t="str">
        <f aca="false">IF(COUNTBLANK(AD96:AI96)&gt;0,"",ROUND(AVERAGE(INDEX('SCORING MASTER'!$D$33:$D$35,MATCH(AD96,'SCORING MASTER'!$C$33:$C$35,0)),INDEX('SCORING MASTER'!$D$37:$D$39,MATCH(AE96,'SCORING MASTER'!$C$37:$C$39,0)),INDEX('SCORING MASTER'!$D$41:$D$43,MATCH(AF96,'SCORING MASTER'!$C$41:$C$43,0)),INDEX('SCORING MASTER'!$D$45:$D$47,MATCH(AG96,'SCORING MASTER'!$C$45:$C$47,0)),INDEX('SCORING MASTER'!$D$49:$D$52,MATCH(AH96,'SCORING MASTER'!$C$49:$C$52,0)),INDEX('SCORING MASTER'!$D$54:$D$57,MATCH(AI96,'SCORING MASTER'!$C$54:$C$57,0)))*20,0))</f>
        <v/>
      </c>
      <c r="BI96" s="31" t="str">
        <f aca="false">IF(COUNTBLANK(AJ96:AP96)&gt;0,"",ROUND(AVERAGE(INDEX('SCORING MASTER'!$D$59:$D$60,MATCH(AJ96,'SCORING MASTER'!$C$59:$C$60,0)),INDEX('SCORING MASTER'!$D$62:$D$63,MATCH(AK96,'SCORING MASTER'!$C$62:$C$63,0)),INDEX('SCORING MASTER'!$D$65:$D$66,MATCH(AL96,'SCORING MASTER'!$C$65:$C$66,0)),INDEX('SCORING MASTER'!$D$68:$D$69,MATCH(AM96,'SCORING MASTER'!$C$68:$C$69,0)),INDEX('SCORING MASTER'!$D$71:$D$72,MATCH(AN96,'SCORING MASTER'!$C$71:$C$72,0)),INDEX('SCORING MASTER'!$D$74:$D$75,MATCH(AO96,'SCORING MASTER'!$C$74:$C$75,0)),INDEX('SCORING MASTER'!$D$77:$D$78,MATCH(AP96,'SCORING MASTER'!$C$77:$C$78,0)))*20,0))</f>
        <v/>
      </c>
      <c r="BJ96" s="31" t="str">
        <f aca="false">IF(COUNTBLANK(AU96:AZ96)&gt;0,"",ROUND(AVERAGE(INDEX('SCORING MASTER'!$D$95:$D$96,MATCH(AU96,'SCORING MASTER'!$C$95:$C$96,0)),INDEX('SCORING MASTER'!$D$98:$D$99,MATCH(AV96,'SCORING MASTER'!$C$98:$C$99,0)),INDEX('SCORING MASTER'!$D$101:$D$102,MATCH(AW96,'SCORING MASTER'!$C$101:$C$102,0)),INDEX('SCORING MASTER'!$D$104:$D$105,MATCH(AX96,'SCORING MASTER'!$C$104:$C$105,0)),INDEX('SCORING MASTER'!$D$107:$D$108,MATCH(AY96,'SCORING MASTER'!$C$107:$C$108,0)),INDEX('SCORING MASTER'!$D$110:$D$111,MATCH(AZ96,'SCORING MASTER'!$C$110:$C$111,0)))*20,0))</f>
        <v/>
      </c>
      <c r="BK96" s="31" t="str">
        <f aca="false">IF(COUNTBLANK(AQ96:AT96)&gt;0,"",ROUND(AVERAGE(INDEX('SCORING MASTER'!$D$80:$D$82,MATCH(AQ96,'SCORING MASTER'!$C$80:$C$82,0)),INDEX('SCORING MASTER'!$D$84:$D$86,MATCH(AR96,'SCORING MASTER'!$C$84:$C$86,0)),INDEX('SCORING MASTER'!$D$88:$D$90,MATCH(AS96,'SCORING MASTER'!$C$88:$C$90,0)),INDEX('SCORING MASTER'!$D$92:$D$93,MATCH(AT96,'SCORING MASTER'!$C$92:$C$93,0)))*20,0))</f>
        <v/>
      </c>
      <c r="BL96" s="31" t="str">
        <f aca="false">IF(COUNTBLANK(BA96:BE96)&gt;0,"",ROUND(AVERAGE(INDEX('SCORING MASTER'!$D$113:$D$115,MATCH(BA96,'SCORING MASTER'!$C$113:$C$115,0)),INDEX('SCORING MASTER'!$D$117:$D$119,MATCH(BB96,'SCORING MASTER'!$C$117:$C$119,0)),INDEX('SCORING MASTER'!$D$121:$D$123,MATCH(BC96,'SCORING MASTER'!$C$121:$C$123,0)),INDEX('SCORING MASTER'!$D$125:$D$126,MATCH(BD96,'SCORING MASTER'!$C$125:$C$126,0)),INDEX('SCORING MASTER'!$D$128:$D$129,MATCH(BE96,'SCORING MASTER'!$C$128:$C$129,0)))*20,0))</f>
        <v/>
      </c>
      <c r="BM96" s="31" t="str">
        <f aca="false">IF(OR(BF96="",BG96="",BH96="",BI96="",BJ96="",BK96="",BL96=""),"",ROUND(BF96*0.25+BG96*0.2+BH96*0.15+BI96*0.15+BJ96*0.1+BK96*0.1+BL96*0.05,0))</f>
        <v/>
      </c>
      <c r="BN96" s="31" t="str">
        <f aca="false">IF(OR(BF96="",BG96=""),"",ROUND(BF96*0.5+BG96*0.5,0))</f>
        <v/>
      </c>
      <c r="BO96" s="31" t="str">
        <f aca="false">IF(BN96="","",ROUND(MIN(100,MAX(0,(100-BN96)+IF(AL96="Yes",15,0)+IF(AM96="Yes",15,0)+IF(AND(U96&lt;&gt;"",U96&lt;18.5),20,0))),0))</f>
        <v/>
      </c>
      <c r="BP96" s="28" t="str">
        <f aca="false">IF(BM96="","",IF(BM96&gt;=90,"Green - Healthy",IF(BM96&gt;=75,"Light Green - Mild Watch",IF(BM96&gt;=60,"Yellow - Mild Risk",IF(BM96&gt;=40,"Orange - Moderate Risk","Red - High Risk")))))</f>
        <v/>
      </c>
      <c r="BQ96" s="28" t="str">
        <f aca="false">IF(BM96="","",IF(OR(BM96&lt;60,BO96&gt;=60,AJ96="Yes"),"Yes","No"))</f>
        <v/>
      </c>
      <c r="BR96" s="28" t="str">
        <f aca="false">IF(BM96="","",IF(OR(BP96="Orange - Moderate Risk",BP96="Red - High Risk",BQ96="Yes"),"Yes","No"))</f>
        <v/>
      </c>
    </row>
    <row r="97" customFormat="false" ht="15" hidden="false" customHeight="false" outlineLevel="0" collapsed="false">
      <c r="A97" s="32" t="str">
        <f aca="false">IF(I97="","","STU"&amp;TEXT(ROW()-3,"000000"))</f>
        <v/>
      </c>
      <c r="B97" s="32"/>
      <c r="C97" s="32"/>
      <c r="D97" s="32"/>
      <c r="E97" s="32"/>
      <c r="F97" s="32"/>
      <c r="G97" s="32"/>
      <c r="H97" s="32"/>
      <c r="I97" s="32"/>
      <c r="J97" s="34"/>
      <c r="K97" s="32"/>
      <c r="L97" s="32"/>
      <c r="M97" s="32"/>
      <c r="N97" s="32"/>
      <c r="O97" s="32"/>
      <c r="P97" s="32"/>
      <c r="Q97" s="34"/>
      <c r="R97" s="34"/>
      <c r="S97" s="35" t="str">
        <f aca="false">IF(OR(Q97="",R97=""),"",ROUND(R97/((Q97/100)^2),1))</f>
        <v/>
      </c>
      <c r="T97" s="32" t="str">
        <f aca="false">IF(S97="","",IF(S97&lt;18.5,"Underweight",IF(S97&lt;25,"Normal",IF(S97&lt;30,"Overweight","Obese"))))</f>
        <v/>
      </c>
      <c r="U97" s="34"/>
      <c r="V97" s="34"/>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5" t="str">
        <f aca="false">IF(T97="","",IF(T97="Normal",100,IF(T97="Overweight",65,IF(T97="Obese",50,IF(AND(U97&lt;&gt;"",U97&lt;18.5),30,45)))))</f>
        <v/>
      </c>
      <c r="BG97" s="35" t="str">
        <f aca="false">IF(COUNTBLANK(W97:AC97)&gt;0,"",ROUND(AVERAGE(INDEX('SCORING MASTER'!$D$5:$D$7,MATCH(W97,'SCORING MASTER'!$C$5:$C$7,0)),INDEX('SCORING MASTER'!$D$9:$D$11,MATCH(X97,'SCORING MASTER'!$C$9:$C$11,0)),INDEX('SCORING MASTER'!$D$13:$D$15,MATCH(Y97,'SCORING MASTER'!$C$13:$C$15,0)),INDEX('SCORING MASTER'!$D$17:$D$19,MATCH(Z97,'SCORING MASTER'!$C$17:$C$19,0)),INDEX('SCORING MASTER'!$D$21:$D$23,MATCH(AA97,'SCORING MASTER'!$C$21:$C$23,0)),INDEX('SCORING MASTER'!$D$25:$D$27,MATCH(AB97,'SCORING MASTER'!$C$25:$C$27,0)),INDEX('SCORING MASTER'!$D$29:$D$31,MATCH(AC97,'SCORING MASTER'!$C$29:$C$31,0)))*20,0))</f>
        <v/>
      </c>
      <c r="BH97" s="35" t="str">
        <f aca="false">IF(COUNTBLANK(AD97:AI97)&gt;0,"",ROUND(AVERAGE(INDEX('SCORING MASTER'!$D$33:$D$35,MATCH(AD97,'SCORING MASTER'!$C$33:$C$35,0)),INDEX('SCORING MASTER'!$D$37:$D$39,MATCH(AE97,'SCORING MASTER'!$C$37:$C$39,0)),INDEX('SCORING MASTER'!$D$41:$D$43,MATCH(AF97,'SCORING MASTER'!$C$41:$C$43,0)),INDEX('SCORING MASTER'!$D$45:$D$47,MATCH(AG97,'SCORING MASTER'!$C$45:$C$47,0)),INDEX('SCORING MASTER'!$D$49:$D$52,MATCH(AH97,'SCORING MASTER'!$C$49:$C$52,0)),INDEX('SCORING MASTER'!$D$54:$D$57,MATCH(AI97,'SCORING MASTER'!$C$54:$C$57,0)))*20,0))</f>
        <v/>
      </c>
      <c r="BI97" s="35" t="str">
        <f aca="false">IF(COUNTBLANK(AJ97:AP97)&gt;0,"",ROUND(AVERAGE(INDEX('SCORING MASTER'!$D$59:$D$60,MATCH(AJ97,'SCORING MASTER'!$C$59:$C$60,0)),INDEX('SCORING MASTER'!$D$62:$D$63,MATCH(AK97,'SCORING MASTER'!$C$62:$C$63,0)),INDEX('SCORING MASTER'!$D$65:$D$66,MATCH(AL97,'SCORING MASTER'!$C$65:$C$66,0)),INDEX('SCORING MASTER'!$D$68:$D$69,MATCH(AM97,'SCORING MASTER'!$C$68:$C$69,0)),INDEX('SCORING MASTER'!$D$71:$D$72,MATCH(AN97,'SCORING MASTER'!$C$71:$C$72,0)),INDEX('SCORING MASTER'!$D$74:$D$75,MATCH(AO97,'SCORING MASTER'!$C$74:$C$75,0)),INDEX('SCORING MASTER'!$D$77:$D$78,MATCH(AP97,'SCORING MASTER'!$C$77:$C$78,0)))*20,0))</f>
        <v/>
      </c>
      <c r="BJ97" s="35" t="str">
        <f aca="false">IF(COUNTBLANK(AU97:AZ97)&gt;0,"",ROUND(AVERAGE(INDEX('SCORING MASTER'!$D$95:$D$96,MATCH(AU97,'SCORING MASTER'!$C$95:$C$96,0)),INDEX('SCORING MASTER'!$D$98:$D$99,MATCH(AV97,'SCORING MASTER'!$C$98:$C$99,0)),INDEX('SCORING MASTER'!$D$101:$D$102,MATCH(AW97,'SCORING MASTER'!$C$101:$C$102,0)),INDEX('SCORING MASTER'!$D$104:$D$105,MATCH(AX97,'SCORING MASTER'!$C$104:$C$105,0)),INDEX('SCORING MASTER'!$D$107:$D$108,MATCH(AY97,'SCORING MASTER'!$C$107:$C$108,0)),INDEX('SCORING MASTER'!$D$110:$D$111,MATCH(AZ97,'SCORING MASTER'!$C$110:$C$111,0)))*20,0))</f>
        <v/>
      </c>
      <c r="BK97" s="35" t="str">
        <f aca="false">IF(COUNTBLANK(AQ97:AT97)&gt;0,"",ROUND(AVERAGE(INDEX('SCORING MASTER'!$D$80:$D$82,MATCH(AQ97,'SCORING MASTER'!$C$80:$C$82,0)),INDEX('SCORING MASTER'!$D$84:$D$86,MATCH(AR97,'SCORING MASTER'!$C$84:$C$86,0)),INDEX('SCORING MASTER'!$D$88:$D$90,MATCH(AS97,'SCORING MASTER'!$C$88:$C$90,0)),INDEX('SCORING MASTER'!$D$92:$D$93,MATCH(AT97,'SCORING MASTER'!$C$92:$C$93,0)))*20,0))</f>
        <v/>
      </c>
      <c r="BL97" s="35" t="str">
        <f aca="false">IF(COUNTBLANK(BA97:BE97)&gt;0,"",ROUND(AVERAGE(INDEX('SCORING MASTER'!$D$113:$D$115,MATCH(BA97,'SCORING MASTER'!$C$113:$C$115,0)),INDEX('SCORING MASTER'!$D$117:$D$119,MATCH(BB97,'SCORING MASTER'!$C$117:$C$119,0)),INDEX('SCORING MASTER'!$D$121:$D$123,MATCH(BC97,'SCORING MASTER'!$C$121:$C$123,0)),INDEX('SCORING MASTER'!$D$125:$D$126,MATCH(BD97,'SCORING MASTER'!$C$125:$C$126,0)),INDEX('SCORING MASTER'!$D$128:$D$129,MATCH(BE97,'SCORING MASTER'!$C$128:$C$129,0)))*20,0))</f>
        <v/>
      </c>
      <c r="BM97" s="35" t="str">
        <f aca="false">IF(OR(BF97="",BG97="",BH97="",BI97="",BJ97="",BK97="",BL97=""),"",ROUND(BF97*0.25+BG97*0.2+BH97*0.15+BI97*0.15+BJ97*0.1+BK97*0.1+BL97*0.05,0))</f>
        <v/>
      </c>
      <c r="BN97" s="35" t="str">
        <f aca="false">IF(OR(BF97="",BG97=""),"",ROUND(BF97*0.5+BG97*0.5,0))</f>
        <v/>
      </c>
      <c r="BO97" s="35" t="str">
        <f aca="false">IF(BN97="","",ROUND(MIN(100,MAX(0,(100-BN97)+IF(AL97="Yes",15,0)+IF(AM97="Yes",15,0)+IF(AND(U97&lt;&gt;"",U97&lt;18.5),20,0))),0))</f>
        <v/>
      </c>
      <c r="BP97" s="32" t="str">
        <f aca="false">IF(BM97="","",IF(BM97&gt;=90,"Green - Healthy",IF(BM97&gt;=75,"Light Green - Mild Watch",IF(BM97&gt;=60,"Yellow - Mild Risk",IF(BM97&gt;=40,"Orange - Moderate Risk","Red - High Risk")))))</f>
        <v/>
      </c>
      <c r="BQ97" s="32" t="str">
        <f aca="false">IF(BM97="","",IF(OR(BM97&lt;60,BO97&gt;=60,AJ97="Yes"),"Yes","No"))</f>
        <v/>
      </c>
      <c r="BR97" s="32" t="str">
        <f aca="false">IF(BM97="","",IF(OR(BP97="Orange - Moderate Risk",BP97="Red - High Risk",BQ97="Yes"),"Yes","No"))</f>
        <v/>
      </c>
    </row>
    <row r="98" customFormat="false" ht="15" hidden="false" customHeight="false" outlineLevel="0" collapsed="false">
      <c r="A98" s="28" t="str">
        <f aca="false">IF(I98="","","STU"&amp;TEXT(ROW()-3,"000000"))</f>
        <v/>
      </c>
      <c r="B98" s="28"/>
      <c r="C98" s="28"/>
      <c r="D98" s="28"/>
      <c r="E98" s="28"/>
      <c r="F98" s="28"/>
      <c r="G98" s="28"/>
      <c r="H98" s="28"/>
      <c r="I98" s="28"/>
      <c r="J98" s="30"/>
      <c r="K98" s="28"/>
      <c r="L98" s="28"/>
      <c r="M98" s="28"/>
      <c r="N98" s="28"/>
      <c r="O98" s="28"/>
      <c r="P98" s="28"/>
      <c r="Q98" s="30"/>
      <c r="R98" s="30"/>
      <c r="S98" s="31" t="str">
        <f aca="false">IF(OR(Q98="",R98=""),"",ROUND(R98/((Q98/100)^2),1))</f>
        <v/>
      </c>
      <c r="T98" s="28" t="str">
        <f aca="false">IF(S98="","",IF(S98&lt;18.5,"Underweight",IF(S98&lt;25,"Normal",IF(S98&lt;30,"Overweight","Obese"))))</f>
        <v/>
      </c>
      <c r="U98" s="30"/>
      <c r="V98" s="30"/>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31" t="str">
        <f aca="false">IF(T98="","",IF(T98="Normal",100,IF(T98="Overweight",65,IF(T98="Obese",50,IF(AND(U98&lt;&gt;"",U98&lt;18.5),30,45)))))</f>
        <v/>
      </c>
      <c r="BG98" s="31" t="str">
        <f aca="false">IF(COUNTBLANK(W98:AC98)&gt;0,"",ROUND(AVERAGE(INDEX('SCORING MASTER'!$D$5:$D$7,MATCH(W98,'SCORING MASTER'!$C$5:$C$7,0)),INDEX('SCORING MASTER'!$D$9:$D$11,MATCH(X98,'SCORING MASTER'!$C$9:$C$11,0)),INDEX('SCORING MASTER'!$D$13:$D$15,MATCH(Y98,'SCORING MASTER'!$C$13:$C$15,0)),INDEX('SCORING MASTER'!$D$17:$D$19,MATCH(Z98,'SCORING MASTER'!$C$17:$C$19,0)),INDEX('SCORING MASTER'!$D$21:$D$23,MATCH(AA98,'SCORING MASTER'!$C$21:$C$23,0)),INDEX('SCORING MASTER'!$D$25:$D$27,MATCH(AB98,'SCORING MASTER'!$C$25:$C$27,0)),INDEX('SCORING MASTER'!$D$29:$D$31,MATCH(AC98,'SCORING MASTER'!$C$29:$C$31,0)))*20,0))</f>
        <v/>
      </c>
      <c r="BH98" s="31" t="str">
        <f aca="false">IF(COUNTBLANK(AD98:AI98)&gt;0,"",ROUND(AVERAGE(INDEX('SCORING MASTER'!$D$33:$D$35,MATCH(AD98,'SCORING MASTER'!$C$33:$C$35,0)),INDEX('SCORING MASTER'!$D$37:$D$39,MATCH(AE98,'SCORING MASTER'!$C$37:$C$39,0)),INDEX('SCORING MASTER'!$D$41:$D$43,MATCH(AF98,'SCORING MASTER'!$C$41:$C$43,0)),INDEX('SCORING MASTER'!$D$45:$D$47,MATCH(AG98,'SCORING MASTER'!$C$45:$C$47,0)),INDEX('SCORING MASTER'!$D$49:$D$52,MATCH(AH98,'SCORING MASTER'!$C$49:$C$52,0)),INDEX('SCORING MASTER'!$D$54:$D$57,MATCH(AI98,'SCORING MASTER'!$C$54:$C$57,0)))*20,0))</f>
        <v/>
      </c>
      <c r="BI98" s="31" t="str">
        <f aca="false">IF(COUNTBLANK(AJ98:AP98)&gt;0,"",ROUND(AVERAGE(INDEX('SCORING MASTER'!$D$59:$D$60,MATCH(AJ98,'SCORING MASTER'!$C$59:$C$60,0)),INDEX('SCORING MASTER'!$D$62:$D$63,MATCH(AK98,'SCORING MASTER'!$C$62:$C$63,0)),INDEX('SCORING MASTER'!$D$65:$D$66,MATCH(AL98,'SCORING MASTER'!$C$65:$C$66,0)),INDEX('SCORING MASTER'!$D$68:$D$69,MATCH(AM98,'SCORING MASTER'!$C$68:$C$69,0)),INDEX('SCORING MASTER'!$D$71:$D$72,MATCH(AN98,'SCORING MASTER'!$C$71:$C$72,0)),INDEX('SCORING MASTER'!$D$74:$D$75,MATCH(AO98,'SCORING MASTER'!$C$74:$C$75,0)),INDEX('SCORING MASTER'!$D$77:$D$78,MATCH(AP98,'SCORING MASTER'!$C$77:$C$78,0)))*20,0))</f>
        <v/>
      </c>
      <c r="BJ98" s="31" t="str">
        <f aca="false">IF(COUNTBLANK(AU98:AZ98)&gt;0,"",ROUND(AVERAGE(INDEX('SCORING MASTER'!$D$95:$D$96,MATCH(AU98,'SCORING MASTER'!$C$95:$C$96,0)),INDEX('SCORING MASTER'!$D$98:$D$99,MATCH(AV98,'SCORING MASTER'!$C$98:$C$99,0)),INDEX('SCORING MASTER'!$D$101:$D$102,MATCH(AW98,'SCORING MASTER'!$C$101:$C$102,0)),INDEX('SCORING MASTER'!$D$104:$D$105,MATCH(AX98,'SCORING MASTER'!$C$104:$C$105,0)),INDEX('SCORING MASTER'!$D$107:$D$108,MATCH(AY98,'SCORING MASTER'!$C$107:$C$108,0)),INDEX('SCORING MASTER'!$D$110:$D$111,MATCH(AZ98,'SCORING MASTER'!$C$110:$C$111,0)))*20,0))</f>
        <v/>
      </c>
      <c r="BK98" s="31" t="str">
        <f aca="false">IF(COUNTBLANK(AQ98:AT98)&gt;0,"",ROUND(AVERAGE(INDEX('SCORING MASTER'!$D$80:$D$82,MATCH(AQ98,'SCORING MASTER'!$C$80:$C$82,0)),INDEX('SCORING MASTER'!$D$84:$D$86,MATCH(AR98,'SCORING MASTER'!$C$84:$C$86,0)),INDEX('SCORING MASTER'!$D$88:$D$90,MATCH(AS98,'SCORING MASTER'!$C$88:$C$90,0)),INDEX('SCORING MASTER'!$D$92:$D$93,MATCH(AT98,'SCORING MASTER'!$C$92:$C$93,0)))*20,0))</f>
        <v/>
      </c>
      <c r="BL98" s="31" t="str">
        <f aca="false">IF(COUNTBLANK(BA98:BE98)&gt;0,"",ROUND(AVERAGE(INDEX('SCORING MASTER'!$D$113:$D$115,MATCH(BA98,'SCORING MASTER'!$C$113:$C$115,0)),INDEX('SCORING MASTER'!$D$117:$D$119,MATCH(BB98,'SCORING MASTER'!$C$117:$C$119,0)),INDEX('SCORING MASTER'!$D$121:$D$123,MATCH(BC98,'SCORING MASTER'!$C$121:$C$123,0)),INDEX('SCORING MASTER'!$D$125:$D$126,MATCH(BD98,'SCORING MASTER'!$C$125:$C$126,0)),INDEX('SCORING MASTER'!$D$128:$D$129,MATCH(BE98,'SCORING MASTER'!$C$128:$C$129,0)))*20,0))</f>
        <v/>
      </c>
      <c r="BM98" s="31" t="str">
        <f aca="false">IF(OR(BF98="",BG98="",BH98="",BI98="",BJ98="",BK98="",BL98=""),"",ROUND(BF98*0.25+BG98*0.2+BH98*0.15+BI98*0.15+BJ98*0.1+BK98*0.1+BL98*0.05,0))</f>
        <v/>
      </c>
      <c r="BN98" s="31" t="str">
        <f aca="false">IF(OR(BF98="",BG98=""),"",ROUND(BF98*0.5+BG98*0.5,0))</f>
        <v/>
      </c>
      <c r="BO98" s="31" t="str">
        <f aca="false">IF(BN98="","",ROUND(MIN(100,MAX(0,(100-BN98)+IF(AL98="Yes",15,0)+IF(AM98="Yes",15,0)+IF(AND(U98&lt;&gt;"",U98&lt;18.5),20,0))),0))</f>
        <v/>
      </c>
      <c r="BP98" s="28" t="str">
        <f aca="false">IF(BM98="","",IF(BM98&gt;=90,"Green - Healthy",IF(BM98&gt;=75,"Light Green - Mild Watch",IF(BM98&gt;=60,"Yellow - Mild Risk",IF(BM98&gt;=40,"Orange - Moderate Risk","Red - High Risk")))))</f>
        <v/>
      </c>
      <c r="BQ98" s="28" t="str">
        <f aca="false">IF(BM98="","",IF(OR(BM98&lt;60,BO98&gt;=60,AJ98="Yes"),"Yes","No"))</f>
        <v/>
      </c>
      <c r="BR98" s="28" t="str">
        <f aca="false">IF(BM98="","",IF(OR(BP98="Orange - Moderate Risk",BP98="Red - High Risk",BQ98="Yes"),"Yes","No"))</f>
        <v/>
      </c>
    </row>
    <row r="99" customFormat="false" ht="15" hidden="false" customHeight="false" outlineLevel="0" collapsed="false">
      <c r="A99" s="32" t="str">
        <f aca="false">IF(I99="","","STU"&amp;TEXT(ROW()-3,"000000"))</f>
        <v/>
      </c>
      <c r="B99" s="32"/>
      <c r="C99" s="32"/>
      <c r="D99" s="32"/>
      <c r="E99" s="32"/>
      <c r="F99" s="32"/>
      <c r="G99" s="32"/>
      <c r="H99" s="32"/>
      <c r="I99" s="32"/>
      <c r="J99" s="34"/>
      <c r="K99" s="32"/>
      <c r="L99" s="32"/>
      <c r="M99" s="32"/>
      <c r="N99" s="32"/>
      <c r="O99" s="32"/>
      <c r="P99" s="32"/>
      <c r="Q99" s="34"/>
      <c r="R99" s="34"/>
      <c r="S99" s="35" t="str">
        <f aca="false">IF(OR(Q99="",R99=""),"",ROUND(R99/((Q99/100)^2),1))</f>
        <v/>
      </c>
      <c r="T99" s="32" t="str">
        <f aca="false">IF(S99="","",IF(S99&lt;18.5,"Underweight",IF(S99&lt;25,"Normal",IF(S99&lt;30,"Overweight","Obese"))))</f>
        <v/>
      </c>
      <c r="U99" s="34"/>
      <c r="V99" s="34"/>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5" t="str">
        <f aca="false">IF(T99="","",IF(T99="Normal",100,IF(T99="Overweight",65,IF(T99="Obese",50,IF(AND(U99&lt;&gt;"",U99&lt;18.5),30,45)))))</f>
        <v/>
      </c>
      <c r="BG99" s="35" t="str">
        <f aca="false">IF(COUNTBLANK(W99:AC99)&gt;0,"",ROUND(AVERAGE(INDEX('SCORING MASTER'!$D$5:$D$7,MATCH(W99,'SCORING MASTER'!$C$5:$C$7,0)),INDEX('SCORING MASTER'!$D$9:$D$11,MATCH(X99,'SCORING MASTER'!$C$9:$C$11,0)),INDEX('SCORING MASTER'!$D$13:$D$15,MATCH(Y99,'SCORING MASTER'!$C$13:$C$15,0)),INDEX('SCORING MASTER'!$D$17:$D$19,MATCH(Z99,'SCORING MASTER'!$C$17:$C$19,0)),INDEX('SCORING MASTER'!$D$21:$D$23,MATCH(AA99,'SCORING MASTER'!$C$21:$C$23,0)),INDEX('SCORING MASTER'!$D$25:$D$27,MATCH(AB99,'SCORING MASTER'!$C$25:$C$27,0)),INDEX('SCORING MASTER'!$D$29:$D$31,MATCH(AC99,'SCORING MASTER'!$C$29:$C$31,0)))*20,0))</f>
        <v/>
      </c>
      <c r="BH99" s="35" t="str">
        <f aca="false">IF(COUNTBLANK(AD99:AI99)&gt;0,"",ROUND(AVERAGE(INDEX('SCORING MASTER'!$D$33:$D$35,MATCH(AD99,'SCORING MASTER'!$C$33:$C$35,0)),INDEX('SCORING MASTER'!$D$37:$D$39,MATCH(AE99,'SCORING MASTER'!$C$37:$C$39,0)),INDEX('SCORING MASTER'!$D$41:$D$43,MATCH(AF99,'SCORING MASTER'!$C$41:$C$43,0)),INDEX('SCORING MASTER'!$D$45:$D$47,MATCH(AG99,'SCORING MASTER'!$C$45:$C$47,0)),INDEX('SCORING MASTER'!$D$49:$D$52,MATCH(AH99,'SCORING MASTER'!$C$49:$C$52,0)),INDEX('SCORING MASTER'!$D$54:$D$57,MATCH(AI99,'SCORING MASTER'!$C$54:$C$57,0)))*20,0))</f>
        <v/>
      </c>
      <c r="BI99" s="35" t="str">
        <f aca="false">IF(COUNTBLANK(AJ99:AP99)&gt;0,"",ROUND(AVERAGE(INDEX('SCORING MASTER'!$D$59:$D$60,MATCH(AJ99,'SCORING MASTER'!$C$59:$C$60,0)),INDEX('SCORING MASTER'!$D$62:$D$63,MATCH(AK99,'SCORING MASTER'!$C$62:$C$63,0)),INDEX('SCORING MASTER'!$D$65:$D$66,MATCH(AL99,'SCORING MASTER'!$C$65:$C$66,0)),INDEX('SCORING MASTER'!$D$68:$D$69,MATCH(AM99,'SCORING MASTER'!$C$68:$C$69,0)),INDEX('SCORING MASTER'!$D$71:$D$72,MATCH(AN99,'SCORING MASTER'!$C$71:$C$72,0)),INDEX('SCORING MASTER'!$D$74:$D$75,MATCH(AO99,'SCORING MASTER'!$C$74:$C$75,0)),INDEX('SCORING MASTER'!$D$77:$D$78,MATCH(AP99,'SCORING MASTER'!$C$77:$C$78,0)))*20,0))</f>
        <v/>
      </c>
      <c r="BJ99" s="35" t="str">
        <f aca="false">IF(COUNTBLANK(AU99:AZ99)&gt;0,"",ROUND(AVERAGE(INDEX('SCORING MASTER'!$D$95:$D$96,MATCH(AU99,'SCORING MASTER'!$C$95:$C$96,0)),INDEX('SCORING MASTER'!$D$98:$D$99,MATCH(AV99,'SCORING MASTER'!$C$98:$C$99,0)),INDEX('SCORING MASTER'!$D$101:$D$102,MATCH(AW99,'SCORING MASTER'!$C$101:$C$102,0)),INDEX('SCORING MASTER'!$D$104:$D$105,MATCH(AX99,'SCORING MASTER'!$C$104:$C$105,0)),INDEX('SCORING MASTER'!$D$107:$D$108,MATCH(AY99,'SCORING MASTER'!$C$107:$C$108,0)),INDEX('SCORING MASTER'!$D$110:$D$111,MATCH(AZ99,'SCORING MASTER'!$C$110:$C$111,0)))*20,0))</f>
        <v/>
      </c>
      <c r="BK99" s="35" t="str">
        <f aca="false">IF(COUNTBLANK(AQ99:AT99)&gt;0,"",ROUND(AVERAGE(INDEX('SCORING MASTER'!$D$80:$D$82,MATCH(AQ99,'SCORING MASTER'!$C$80:$C$82,0)),INDEX('SCORING MASTER'!$D$84:$D$86,MATCH(AR99,'SCORING MASTER'!$C$84:$C$86,0)),INDEX('SCORING MASTER'!$D$88:$D$90,MATCH(AS99,'SCORING MASTER'!$C$88:$C$90,0)),INDEX('SCORING MASTER'!$D$92:$D$93,MATCH(AT99,'SCORING MASTER'!$C$92:$C$93,0)))*20,0))</f>
        <v/>
      </c>
      <c r="BL99" s="35" t="str">
        <f aca="false">IF(COUNTBLANK(BA99:BE99)&gt;0,"",ROUND(AVERAGE(INDEX('SCORING MASTER'!$D$113:$D$115,MATCH(BA99,'SCORING MASTER'!$C$113:$C$115,0)),INDEX('SCORING MASTER'!$D$117:$D$119,MATCH(BB99,'SCORING MASTER'!$C$117:$C$119,0)),INDEX('SCORING MASTER'!$D$121:$D$123,MATCH(BC99,'SCORING MASTER'!$C$121:$C$123,0)),INDEX('SCORING MASTER'!$D$125:$D$126,MATCH(BD99,'SCORING MASTER'!$C$125:$C$126,0)),INDEX('SCORING MASTER'!$D$128:$D$129,MATCH(BE99,'SCORING MASTER'!$C$128:$C$129,0)))*20,0))</f>
        <v/>
      </c>
      <c r="BM99" s="35" t="str">
        <f aca="false">IF(OR(BF99="",BG99="",BH99="",BI99="",BJ99="",BK99="",BL99=""),"",ROUND(BF99*0.25+BG99*0.2+BH99*0.15+BI99*0.15+BJ99*0.1+BK99*0.1+BL99*0.05,0))</f>
        <v/>
      </c>
      <c r="BN99" s="35" t="str">
        <f aca="false">IF(OR(BF99="",BG99=""),"",ROUND(BF99*0.5+BG99*0.5,0))</f>
        <v/>
      </c>
      <c r="BO99" s="35" t="str">
        <f aca="false">IF(BN99="","",ROUND(MIN(100,MAX(0,(100-BN99)+IF(AL99="Yes",15,0)+IF(AM99="Yes",15,0)+IF(AND(U99&lt;&gt;"",U99&lt;18.5),20,0))),0))</f>
        <v/>
      </c>
      <c r="BP99" s="32" t="str">
        <f aca="false">IF(BM99="","",IF(BM99&gt;=90,"Green - Healthy",IF(BM99&gt;=75,"Light Green - Mild Watch",IF(BM99&gt;=60,"Yellow - Mild Risk",IF(BM99&gt;=40,"Orange - Moderate Risk","Red - High Risk")))))</f>
        <v/>
      </c>
      <c r="BQ99" s="32" t="str">
        <f aca="false">IF(BM99="","",IF(OR(BM99&lt;60,BO99&gt;=60,AJ99="Yes"),"Yes","No"))</f>
        <v/>
      </c>
      <c r="BR99" s="32" t="str">
        <f aca="false">IF(BM99="","",IF(OR(BP99="Orange - Moderate Risk",BP99="Red - High Risk",BQ99="Yes"),"Yes","No"))</f>
        <v/>
      </c>
    </row>
    <row r="100" customFormat="false" ht="15" hidden="false" customHeight="false" outlineLevel="0" collapsed="false">
      <c r="A100" s="28" t="str">
        <f aca="false">IF(I100="","","STU"&amp;TEXT(ROW()-3,"000000"))</f>
        <v/>
      </c>
      <c r="B100" s="28"/>
      <c r="C100" s="28"/>
      <c r="D100" s="28"/>
      <c r="E100" s="28"/>
      <c r="F100" s="28"/>
      <c r="G100" s="28"/>
      <c r="H100" s="28"/>
      <c r="I100" s="28"/>
      <c r="J100" s="30"/>
      <c r="K100" s="28"/>
      <c r="L100" s="28"/>
      <c r="M100" s="28"/>
      <c r="N100" s="28"/>
      <c r="O100" s="28"/>
      <c r="P100" s="28"/>
      <c r="Q100" s="30"/>
      <c r="R100" s="30"/>
      <c r="S100" s="31" t="str">
        <f aca="false">IF(OR(Q100="",R100=""),"",ROUND(R100/((Q100/100)^2),1))</f>
        <v/>
      </c>
      <c r="T100" s="28" t="str">
        <f aca="false">IF(S100="","",IF(S100&lt;18.5,"Underweight",IF(S100&lt;25,"Normal",IF(S100&lt;30,"Overweight","Obese"))))</f>
        <v/>
      </c>
      <c r="U100" s="30"/>
      <c r="V100" s="30"/>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31" t="str">
        <f aca="false">IF(T100="","",IF(T100="Normal",100,IF(T100="Overweight",65,IF(T100="Obese",50,IF(AND(U100&lt;&gt;"",U100&lt;18.5),30,45)))))</f>
        <v/>
      </c>
      <c r="BG100" s="31" t="str">
        <f aca="false">IF(COUNTBLANK(W100:AC100)&gt;0,"",ROUND(AVERAGE(INDEX('SCORING MASTER'!$D$5:$D$7,MATCH(W100,'SCORING MASTER'!$C$5:$C$7,0)),INDEX('SCORING MASTER'!$D$9:$D$11,MATCH(X100,'SCORING MASTER'!$C$9:$C$11,0)),INDEX('SCORING MASTER'!$D$13:$D$15,MATCH(Y100,'SCORING MASTER'!$C$13:$C$15,0)),INDEX('SCORING MASTER'!$D$17:$D$19,MATCH(Z100,'SCORING MASTER'!$C$17:$C$19,0)),INDEX('SCORING MASTER'!$D$21:$D$23,MATCH(AA100,'SCORING MASTER'!$C$21:$C$23,0)),INDEX('SCORING MASTER'!$D$25:$D$27,MATCH(AB100,'SCORING MASTER'!$C$25:$C$27,0)),INDEX('SCORING MASTER'!$D$29:$D$31,MATCH(AC100,'SCORING MASTER'!$C$29:$C$31,0)))*20,0))</f>
        <v/>
      </c>
      <c r="BH100" s="31" t="str">
        <f aca="false">IF(COUNTBLANK(AD100:AI100)&gt;0,"",ROUND(AVERAGE(INDEX('SCORING MASTER'!$D$33:$D$35,MATCH(AD100,'SCORING MASTER'!$C$33:$C$35,0)),INDEX('SCORING MASTER'!$D$37:$D$39,MATCH(AE100,'SCORING MASTER'!$C$37:$C$39,0)),INDEX('SCORING MASTER'!$D$41:$D$43,MATCH(AF100,'SCORING MASTER'!$C$41:$C$43,0)),INDEX('SCORING MASTER'!$D$45:$D$47,MATCH(AG100,'SCORING MASTER'!$C$45:$C$47,0)),INDEX('SCORING MASTER'!$D$49:$D$52,MATCH(AH100,'SCORING MASTER'!$C$49:$C$52,0)),INDEX('SCORING MASTER'!$D$54:$D$57,MATCH(AI100,'SCORING MASTER'!$C$54:$C$57,0)))*20,0))</f>
        <v/>
      </c>
      <c r="BI100" s="31" t="str">
        <f aca="false">IF(COUNTBLANK(AJ100:AP100)&gt;0,"",ROUND(AVERAGE(INDEX('SCORING MASTER'!$D$59:$D$60,MATCH(AJ100,'SCORING MASTER'!$C$59:$C$60,0)),INDEX('SCORING MASTER'!$D$62:$D$63,MATCH(AK100,'SCORING MASTER'!$C$62:$C$63,0)),INDEX('SCORING MASTER'!$D$65:$D$66,MATCH(AL100,'SCORING MASTER'!$C$65:$C$66,0)),INDEX('SCORING MASTER'!$D$68:$D$69,MATCH(AM100,'SCORING MASTER'!$C$68:$C$69,0)),INDEX('SCORING MASTER'!$D$71:$D$72,MATCH(AN100,'SCORING MASTER'!$C$71:$C$72,0)),INDEX('SCORING MASTER'!$D$74:$D$75,MATCH(AO100,'SCORING MASTER'!$C$74:$C$75,0)),INDEX('SCORING MASTER'!$D$77:$D$78,MATCH(AP100,'SCORING MASTER'!$C$77:$C$78,0)))*20,0))</f>
        <v/>
      </c>
      <c r="BJ100" s="31" t="str">
        <f aca="false">IF(COUNTBLANK(AU100:AZ100)&gt;0,"",ROUND(AVERAGE(INDEX('SCORING MASTER'!$D$95:$D$96,MATCH(AU100,'SCORING MASTER'!$C$95:$C$96,0)),INDEX('SCORING MASTER'!$D$98:$D$99,MATCH(AV100,'SCORING MASTER'!$C$98:$C$99,0)),INDEX('SCORING MASTER'!$D$101:$D$102,MATCH(AW100,'SCORING MASTER'!$C$101:$C$102,0)),INDEX('SCORING MASTER'!$D$104:$D$105,MATCH(AX100,'SCORING MASTER'!$C$104:$C$105,0)),INDEX('SCORING MASTER'!$D$107:$D$108,MATCH(AY100,'SCORING MASTER'!$C$107:$C$108,0)),INDEX('SCORING MASTER'!$D$110:$D$111,MATCH(AZ100,'SCORING MASTER'!$C$110:$C$111,0)))*20,0))</f>
        <v/>
      </c>
      <c r="BK100" s="31" t="str">
        <f aca="false">IF(COUNTBLANK(AQ100:AT100)&gt;0,"",ROUND(AVERAGE(INDEX('SCORING MASTER'!$D$80:$D$82,MATCH(AQ100,'SCORING MASTER'!$C$80:$C$82,0)),INDEX('SCORING MASTER'!$D$84:$D$86,MATCH(AR100,'SCORING MASTER'!$C$84:$C$86,0)),INDEX('SCORING MASTER'!$D$88:$D$90,MATCH(AS100,'SCORING MASTER'!$C$88:$C$90,0)),INDEX('SCORING MASTER'!$D$92:$D$93,MATCH(AT100,'SCORING MASTER'!$C$92:$C$93,0)))*20,0))</f>
        <v/>
      </c>
      <c r="BL100" s="31" t="str">
        <f aca="false">IF(COUNTBLANK(BA100:BE100)&gt;0,"",ROUND(AVERAGE(INDEX('SCORING MASTER'!$D$113:$D$115,MATCH(BA100,'SCORING MASTER'!$C$113:$C$115,0)),INDEX('SCORING MASTER'!$D$117:$D$119,MATCH(BB100,'SCORING MASTER'!$C$117:$C$119,0)),INDEX('SCORING MASTER'!$D$121:$D$123,MATCH(BC100,'SCORING MASTER'!$C$121:$C$123,0)),INDEX('SCORING MASTER'!$D$125:$D$126,MATCH(BD100,'SCORING MASTER'!$C$125:$C$126,0)),INDEX('SCORING MASTER'!$D$128:$D$129,MATCH(BE100,'SCORING MASTER'!$C$128:$C$129,0)))*20,0))</f>
        <v/>
      </c>
      <c r="BM100" s="31" t="str">
        <f aca="false">IF(OR(BF100="",BG100="",BH100="",BI100="",BJ100="",BK100="",BL100=""),"",ROUND(BF100*0.25+BG100*0.2+BH100*0.15+BI100*0.15+BJ100*0.1+BK100*0.1+BL100*0.05,0))</f>
        <v/>
      </c>
      <c r="BN100" s="31" t="str">
        <f aca="false">IF(OR(BF100="",BG100=""),"",ROUND(BF100*0.5+BG100*0.5,0))</f>
        <v/>
      </c>
      <c r="BO100" s="31" t="str">
        <f aca="false">IF(BN100="","",ROUND(MIN(100,MAX(0,(100-BN100)+IF(AL100="Yes",15,0)+IF(AM100="Yes",15,0)+IF(AND(U100&lt;&gt;"",U100&lt;18.5),20,0))),0))</f>
        <v/>
      </c>
      <c r="BP100" s="28" t="str">
        <f aca="false">IF(BM100="","",IF(BM100&gt;=90,"Green - Healthy",IF(BM100&gt;=75,"Light Green - Mild Watch",IF(BM100&gt;=60,"Yellow - Mild Risk",IF(BM100&gt;=40,"Orange - Moderate Risk","Red - High Risk")))))</f>
        <v/>
      </c>
      <c r="BQ100" s="28" t="str">
        <f aca="false">IF(BM100="","",IF(OR(BM100&lt;60,BO100&gt;=60,AJ100="Yes"),"Yes","No"))</f>
        <v/>
      </c>
      <c r="BR100" s="28" t="str">
        <f aca="false">IF(BM100="","",IF(OR(BP100="Orange - Moderate Risk",BP100="Red - High Risk",BQ100="Yes"),"Yes","No"))</f>
        <v/>
      </c>
    </row>
    <row r="101" customFormat="false" ht="15" hidden="false" customHeight="false" outlineLevel="0" collapsed="false">
      <c r="A101" s="32" t="str">
        <f aca="false">IF(I101="","","STU"&amp;TEXT(ROW()-3,"000000"))</f>
        <v/>
      </c>
      <c r="B101" s="32"/>
      <c r="C101" s="32"/>
      <c r="D101" s="32"/>
      <c r="E101" s="32"/>
      <c r="F101" s="32"/>
      <c r="G101" s="32"/>
      <c r="H101" s="32"/>
      <c r="I101" s="32"/>
      <c r="J101" s="34"/>
      <c r="K101" s="32"/>
      <c r="L101" s="32"/>
      <c r="M101" s="32"/>
      <c r="N101" s="32"/>
      <c r="O101" s="32"/>
      <c r="P101" s="32"/>
      <c r="Q101" s="34"/>
      <c r="R101" s="34"/>
      <c r="S101" s="35" t="str">
        <f aca="false">IF(OR(Q101="",R101=""),"",ROUND(R101/((Q101/100)^2),1))</f>
        <v/>
      </c>
      <c r="T101" s="32" t="str">
        <f aca="false">IF(S101="","",IF(S101&lt;18.5,"Underweight",IF(S101&lt;25,"Normal",IF(S101&lt;30,"Overweight","Obese"))))</f>
        <v/>
      </c>
      <c r="U101" s="34"/>
      <c r="V101" s="34"/>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5" t="str">
        <f aca="false">IF(T101="","",IF(T101="Normal",100,IF(T101="Overweight",65,IF(T101="Obese",50,IF(AND(U101&lt;&gt;"",U101&lt;18.5),30,45)))))</f>
        <v/>
      </c>
      <c r="BG101" s="35" t="str">
        <f aca="false">IF(COUNTBLANK(W101:AC101)&gt;0,"",ROUND(AVERAGE(INDEX('SCORING MASTER'!$D$5:$D$7,MATCH(W101,'SCORING MASTER'!$C$5:$C$7,0)),INDEX('SCORING MASTER'!$D$9:$D$11,MATCH(X101,'SCORING MASTER'!$C$9:$C$11,0)),INDEX('SCORING MASTER'!$D$13:$D$15,MATCH(Y101,'SCORING MASTER'!$C$13:$C$15,0)),INDEX('SCORING MASTER'!$D$17:$D$19,MATCH(Z101,'SCORING MASTER'!$C$17:$C$19,0)),INDEX('SCORING MASTER'!$D$21:$D$23,MATCH(AA101,'SCORING MASTER'!$C$21:$C$23,0)),INDEX('SCORING MASTER'!$D$25:$D$27,MATCH(AB101,'SCORING MASTER'!$C$25:$C$27,0)),INDEX('SCORING MASTER'!$D$29:$D$31,MATCH(AC101,'SCORING MASTER'!$C$29:$C$31,0)))*20,0))</f>
        <v/>
      </c>
      <c r="BH101" s="35" t="str">
        <f aca="false">IF(COUNTBLANK(AD101:AI101)&gt;0,"",ROUND(AVERAGE(INDEX('SCORING MASTER'!$D$33:$D$35,MATCH(AD101,'SCORING MASTER'!$C$33:$C$35,0)),INDEX('SCORING MASTER'!$D$37:$D$39,MATCH(AE101,'SCORING MASTER'!$C$37:$C$39,0)),INDEX('SCORING MASTER'!$D$41:$D$43,MATCH(AF101,'SCORING MASTER'!$C$41:$C$43,0)),INDEX('SCORING MASTER'!$D$45:$D$47,MATCH(AG101,'SCORING MASTER'!$C$45:$C$47,0)),INDEX('SCORING MASTER'!$D$49:$D$52,MATCH(AH101,'SCORING MASTER'!$C$49:$C$52,0)),INDEX('SCORING MASTER'!$D$54:$D$57,MATCH(AI101,'SCORING MASTER'!$C$54:$C$57,0)))*20,0))</f>
        <v/>
      </c>
      <c r="BI101" s="35" t="str">
        <f aca="false">IF(COUNTBLANK(AJ101:AP101)&gt;0,"",ROUND(AVERAGE(INDEX('SCORING MASTER'!$D$59:$D$60,MATCH(AJ101,'SCORING MASTER'!$C$59:$C$60,0)),INDEX('SCORING MASTER'!$D$62:$D$63,MATCH(AK101,'SCORING MASTER'!$C$62:$C$63,0)),INDEX('SCORING MASTER'!$D$65:$D$66,MATCH(AL101,'SCORING MASTER'!$C$65:$C$66,0)),INDEX('SCORING MASTER'!$D$68:$D$69,MATCH(AM101,'SCORING MASTER'!$C$68:$C$69,0)),INDEX('SCORING MASTER'!$D$71:$D$72,MATCH(AN101,'SCORING MASTER'!$C$71:$C$72,0)),INDEX('SCORING MASTER'!$D$74:$D$75,MATCH(AO101,'SCORING MASTER'!$C$74:$C$75,0)),INDEX('SCORING MASTER'!$D$77:$D$78,MATCH(AP101,'SCORING MASTER'!$C$77:$C$78,0)))*20,0))</f>
        <v/>
      </c>
      <c r="BJ101" s="35" t="str">
        <f aca="false">IF(COUNTBLANK(AU101:AZ101)&gt;0,"",ROUND(AVERAGE(INDEX('SCORING MASTER'!$D$95:$D$96,MATCH(AU101,'SCORING MASTER'!$C$95:$C$96,0)),INDEX('SCORING MASTER'!$D$98:$D$99,MATCH(AV101,'SCORING MASTER'!$C$98:$C$99,0)),INDEX('SCORING MASTER'!$D$101:$D$102,MATCH(AW101,'SCORING MASTER'!$C$101:$C$102,0)),INDEX('SCORING MASTER'!$D$104:$D$105,MATCH(AX101,'SCORING MASTER'!$C$104:$C$105,0)),INDEX('SCORING MASTER'!$D$107:$D$108,MATCH(AY101,'SCORING MASTER'!$C$107:$C$108,0)),INDEX('SCORING MASTER'!$D$110:$D$111,MATCH(AZ101,'SCORING MASTER'!$C$110:$C$111,0)))*20,0))</f>
        <v/>
      </c>
      <c r="BK101" s="35" t="str">
        <f aca="false">IF(COUNTBLANK(AQ101:AT101)&gt;0,"",ROUND(AVERAGE(INDEX('SCORING MASTER'!$D$80:$D$82,MATCH(AQ101,'SCORING MASTER'!$C$80:$C$82,0)),INDEX('SCORING MASTER'!$D$84:$D$86,MATCH(AR101,'SCORING MASTER'!$C$84:$C$86,0)),INDEX('SCORING MASTER'!$D$88:$D$90,MATCH(AS101,'SCORING MASTER'!$C$88:$C$90,0)),INDEX('SCORING MASTER'!$D$92:$D$93,MATCH(AT101,'SCORING MASTER'!$C$92:$C$93,0)))*20,0))</f>
        <v/>
      </c>
      <c r="BL101" s="35" t="str">
        <f aca="false">IF(COUNTBLANK(BA101:BE101)&gt;0,"",ROUND(AVERAGE(INDEX('SCORING MASTER'!$D$113:$D$115,MATCH(BA101,'SCORING MASTER'!$C$113:$C$115,0)),INDEX('SCORING MASTER'!$D$117:$D$119,MATCH(BB101,'SCORING MASTER'!$C$117:$C$119,0)),INDEX('SCORING MASTER'!$D$121:$D$123,MATCH(BC101,'SCORING MASTER'!$C$121:$C$123,0)),INDEX('SCORING MASTER'!$D$125:$D$126,MATCH(BD101,'SCORING MASTER'!$C$125:$C$126,0)),INDEX('SCORING MASTER'!$D$128:$D$129,MATCH(BE101,'SCORING MASTER'!$C$128:$C$129,0)))*20,0))</f>
        <v/>
      </c>
      <c r="BM101" s="35" t="str">
        <f aca="false">IF(OR(BF101="",BG101="",BH101="",BI101="",BJ101="",BK101="",BL101=""),"",ROUND(BF101*0.25+BG101*0.2+BH101*0.15+BI101*0.15+BJ101*0.1+BK101*0.1+BL101*0.05,0))</f>
        <v/>
      </c>
      <c r="BN101" s="35" t="str">
        <f aca="false">IF(OR(BF101="",BG101=""),"",ROUND(BF101*0.5+BG101*0.5,0))</f>
        <v/>
      </c>
      <c r="BO101" s="35" t="str">
        <f aca="false">IF(BN101="","",ROUND(MIN(100,MAX(0,(100-BN101)+IF(AL101="Yes",15,0)+IF(AM101="Yes",15,0)+IF(AND(U101&lt;&gt;"",U101&lt;18.5),20,0))),0))</f>
        <v/>
      </c>
      <c r="BP101" s="32" t="str">
        <f aca="false">IF(BM101="","",IF(BM101&gt;=90,"Green - Healthy",IF(BM101&gt;=75,"Light Green - Mild Watch",IF(BM101&gt;=60,"Yellow - Mild Risk",IF(BM101&gt;=40,"Orange - Moderate Risk","Red - High Risk")))))</f>
        <v/>
      </c>
      <c r="BQ101" s="32" t="str">
        <f aca="false">IF(BM101="","",IF(OR(BM101&lt;60,BO101&gt;=60,AJ101="Yes"),"Yes","No"))</f>
        <v/>
      </c>
      <c r="BR101" s="32" t="str">
        <f aca="false">IF(BM101="","",IF(OR(BP101="Orange - Moderate Risk",BP101="Red - High Risk",BQ101="Yes"),"Yes","No"))</f>
        <v/>
      </c>
    </row>
    <row r="102" customFormat="false" ht="15" hidden="false" customHeight="false" outlineLevel="0" collapsed="false">
      <c r="A102" s="28" t="str">
        <f aca="false">IF(I102="","","STU"&amp;TEXT(ROW()-3,"000000"))</f>
        <v/>
      </c>
      <c r="B102" s="28"/>
      <c r="C102" s="28"/>
      <c r="D102" s="28"/>
      <c r="E102" s="28"/>
      <c r="F102" s="28"/>
      <c r="G102" s="28"/>
      <c r="H102" s="28"/>
      <c r="I102" s="28"/>
      <c r="J102" s="30"/>
      <c r="K102" s="28"/>
      <c r="L102" s="28"/>
      <c r="M102" s="28"/>
      <c r="N102" s="28"/>
      <c r="O102" s="28"/>
      <c r="P102" s="28"/>
      <c r="Q102" s="30"/>
      <c r="R102" s="30"/>
      <c r="S102" s="31" t="str">
        <f aca="false">IF(OR(Q102="",R102=""),"",ROUND(R102/((Q102/100)^2),1))</f>
        <v/>
      </c>
      <c r="T102" s="28" t="str">
        <f aca="false">IF(S102="","",IF(S102&lt;18.5,"Underweight",IF(S102&lt;25,"Normal",IF(S102&lt;30,"Overweight","Obese"))))</f>
        <v/>
      </c>
      <c r="U102" s="30"/>
      <c r="V102" s="30"/>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31" t="str">
        <f aca="false">IF(T102="","",IF(T102="Normal",100,IF(T102="Overweight",65,IF(T102="Obese",50,IF(AND(U102&lt;&gt;"",U102&lt;18.5),30,45)))))</f>
        <v/>
      </c>
      <c r="BG102" s="31" t="str">
        <f aca="false">IF(COUNTBLANK(W102:AC102)&gt;0,"",ROUND(AVERAGE(INDEX('SCORING MASTER'!$D$5:$D$7,MATCH(W102,'SCORING MASTER'!$C$5:$C$7,0)),INDEX('SCORING MASTER'!$D$9:$D$11,MATCH(X102,'SCORING MASTER'!$C$9:$C$11,0)),INDEX('SCORING MASTER'!$D$13:$D$15,MATCH(Y102,'SCORING MASTER'!$C$13:$C$15,0)),INDEX('SCORING MASTER'!$D$17:$D$19,MATCH(Z102,'SCORING MASTER'!$C$17:$C$19,0)),INDEX('SCORING MASTER'!$D$21:$D$23,MATCH(AA102,'SCORING MASTER'!$C$21:$C$23,0)),INDEX('SCORING MASTER'!$D$25:$D$27,MATCH(AB102,'SCORING MASTER'!$C$25:$C$27,0)),INDEX('SCORING MASTER'!$D$29:$D$31,MATCH(AC102,'SCORING MASTER'!$C$29:$C$31,0)))*20,0))</f>
        <v/>
      </c>
      <c r="BH102" s="31" t="str">
        <f aca="false">IF(COUNTBLANK(AD102:AI102)&gt;0,"",ROUND(AVERAGE(INDEX('SCORING MASTER'!$D$33:$D$35,MATCH(AD102,'SCORING MASTER'!$C$33:$C$35,0)),INDEX('SCORING MASTER'!$D$37:$D$39,MATCH(AE102,'SCORING MASTER'!$C$37:$C$39,0)),INDEX('SCORING MASTER'!$D$41:$D$43,MATCH(AF102,'SCORING MASTER'!$C$41:$C$43,0)),INDEX('SCORING MASTER'!$D$45:$D$47,MATCH(AG102,'SCORING MASTER'!$C$45:$C$47,0)),INDEX('SCORING MASTER'!$D$49:$D$52,MATCH(AH102,'SCORING MASTER'!$C$49:$C$52,0)),INDEX('SCORING MASTER'!$D$54:$D$57,MATCH(AI102,'SCORING MASTER'!$C$54:$C$57,0)))*20,0))</f>
        <v/>
      </c>
      <c r="BI102" s="31" t="str">
        <f aca="false">IF(COUNTBLANK(AJ102:AP102)&gt;0,"",ROUND(AVERAGE(INDEX('SCORING MASTER'!$D$59:$D$60,MATCH(AJ102,'SCORING MASTER'!$C$59:$C$60,0)),INDEX('SCORING MASTER'!$D$62:$D$63,MATCH(AK102,'SCORING MASTER'!$C$62:$C$63,0)),INDEX('SCORING MASTER'!$D$65:$D$66,MATCH(AL102,'SCORING MASTER'!$C$65:$C$66,0)),INDEX('SCORING MASTER'!$D$68:$D$69,MATCH(AM102,'SCORING MASTER'!$C$68:$C$69,0)),INDEX('SCORING MASTER'!$D$71:$D$72,MATCH(AN102,'SCORING MASTER'!$C$71:$C$72,0)),INDEX('SCORING MASTER'!$D$74:$D$75,MATCH(AO102,'SCORING MASTER'!$C$74:$C$75,0)),INDEX('SCORING MASTER'!$D$77:$D$78,MATCH(AP102,'SCORING MASTER'!$C$77:$C$78,0)))*20,0))</f>
        <v/>
      </c>
      <c r="BJ102" s="31" t="str">
        <f aca="false">IF(COUNTBLANK(AU102:AZ102)&gt;0,"",ROUND(AVERAGE(INDEX('SCORING MASTER'!$D$95:$D$96,MATCH(AU102,'SCORING MASTER'!$C$95:$C$96,0)),INDEX('SCORING MASTER'!$D$98:$D$99,MATCH(AV102,'SCORING MASTER'!$C$98:$C$99,0)),INDEX('SCORING MASTER'!$D$101:$D$102,MATCH(AW102,'SCORING MASTER'!$C$101:$C$102,0)),INDEX('SCORING MASTER'!$D$104:$D$105,MATCH(AX102,'SCORING MASTER'!$C$104:$C$105,0)),INDEX('SCORING MASTER'!$D$107:$D$108,MATCH(AY102,'SCORING MASTER'!$C$107:$C$108,0)),INDEX('SCORING MASTER'!$D$110:$D$111,MATCH(AZ102,'SCORING MASTER'!$C$110:$C$111,0)))*20,0))</f>
        <v/>
      </c>
      <c r="BK102" s="31" t="str">
        <f aca="false">IF(COUNTBLANK(AQ102:AT102)&gt;0,"",ROUND(AVERAGE(INDEX('SCORING MASTER'!$D$80:$D$82,MATCH(AQ102,'SCORING MASTER'!$C$80:$C$82,0)),INDEX('SCORING MASTER'!$D$84:$D$86,MATCH(AR102,'SCORING MASTER'!$C$84:$C$86,0)),INDEX('SCORING MASTER'!$D$88:$D$90,MATCH(AS102,'SCORING MASTER'!$C$88:$C$90,0)),INDEX('SCORING MASTER'!$D$92:$D$93,MATCH(AT102,'SCORING MASTER'!$C$92:$C$93,0)))*20,0))</f>
        <v/>
      </c>
      <c r="BL102" s="31" t="str">
        <f aca="false">IF(COUNTBLANK(BA102:BE102)&gt;0,"",ROUND(AVERAGE(INDEX('SCORING MASTER'!$D$113:$D$115,MATCH(BA102,'SCORING MASTER'!$C$113:$C$115,0)),INDEX('SCORING MASTER'!$D$117:$D$119,MATCH(BB102,'SCORING MASTER'!$C$117:$C$119,0)),INDEX('SCORING MASTER'!$D$121:$D$123,MATCH(BC102,'SCORING MASTER'!$C$121:$C$123,0)),INDEX('SCORING MASTER'!$D$125:$D$126,MATCH(BD102,'SCORING MASTER'!$C$125:$C$126,0)),INDEX('SCORING MASTER'!$D$128:$D$129,MATCH(BE102,'SCORING MASTER'!$C$128:$C$129,0)))*20,0))</f>
        <v/>
      </c>
      <c r="BM102" s="31" t="str">
        <f aca="false">IF(OR(BF102="",BG102="",BH102="",BI102="",BJ102="",BK102="",BL102=""),"",ROUND(BF102*0.25+BG102*0.2+BH102*0.15+BI102*0.15+BJ102*0.1+BK102*0.1+BL102*0.05,0))</f>
        <v/>
      </c>
      <c r="BN102" s="31" t="str">
        <f aca="false">IF(OR(BF102="",BG102=""),"",ROUND(BF102*0.5+BG102*0.5,0))</f>
        <v/>
      </c>
      <c r="BO102" s="31" t="str">
        <f aca="false">IF(BN102="","",ROUND(MIN(100,MAX(0,(100-BN102)+IF(AL102="Yes",15,0)+IF(AM102="Yes",15,0)+IF(AND(U102&lt;&gt;"",U102&lt;18.5),20,0))),0))</f>
        <v/>
      </c>
      <c r="BP102" s="28" t="str">
        <f aca="false">IF(BM102="","",IF(BM102&gt;=90,"Green - Healthy",IF(BM102&gt;=75,"Light Green - Mild Watch",IF(BM102&gt;=60,"Yellow - Mild Risk",IF(BM102&gt;=40,"Orange - Moderate Risk","Red - High Risk")))))</f>
        <v/>
      </c>
      <c r="BQ102" s="28" t="str">
        <f aca="false">IF(BM102="","",IF(OR(BM102&lt;60,BO102&gt;=60,AJ102="Yes"),"Yes","No"))</f>
        <v/>
      </c>
      <c r="BR102" s="28" t="str">
        <f aca="false">IF(BM102="","",IF(OR(BP102="Orange - Moderate Risk",BP102="Red - High Risk",BQ102="Yes"),"Yes","No"))</f>
        <v/>
      </c>
    </row>
    <row r="103" customFormat="false" ht="15" hidden="false" customHeight="false" outlineLevel="0" collapsed="false">
      <c r="A103" s="32" t="str">
        <f aca="false">IF(I103="","","STU"&amp;TEXT(ROW()-3,"000000"))</f>
        <v/>
      </c>
      <c r="B103" s="32"/>
      <c r="C103" s="32"/>
      <c r="D103" s="32"/>
      <c r="E103" s="32"/>
      <c r="F103" s="32"/>
      <c r="G103" s="32"/>
      <c r="H103" s="32"/>
      <c r="I103" s="32"/>
      <c r="J103" s="34"/>
      <c r="K103" s="32"/>
      <c r="L103" s="32"/>
      <c r="M103" s="32"/>
      <c r="N103" s="32"/>
      <c r="O103" s="32"/>
      <c r="P103" s="32"/>
      <c r="Q103" s="34"/>
      <c r="R103" s="34"/>
      <c r="S103" s="35" t="str">
        <f aca="false">IF(OR(Q103="",R103=""),"",ROUND(R103/((Q103/100)^2),1))</f>
        <v/>
      </c>
      <c r="T103" s="32" t="str">
        <f aca="false">IF(S103="","",IF(S103&lt;18.5,"Underweight",IF(S103&lt;25,"Normal",IF(S103&lt;30,"Overweight","Obese"))))</f>
        <v/>
      </c>
      <c r="U103" s="34"/>
      <c r="V103" s="34"/>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5" t="str">
        <f aca="false">IF(T103="","",IF(T103="Normal",100,IF(T103="Overweight",65,IF(T103="Obese",50,IF(AND(U103&lt;&gt;"",U103&lt;18.5),30,45)))))</f>
        <v/>
      </c>
      <c r="BG103" s="35" t="str">
        <f aca="false">IF(COUNTBLANK(W103:AC103)&gt;0,"",ROUND(AVERAGE(INDEX('SCORING MASTER'!$D$5:$D$7,MATCH(W103,'SCORING MASTER'!$C$5:$C$7,0)),INDEX('SCORING MASTER'!$D$9:$D$11,MATCH(X103,'SCORING MASTER'!$C$9:$C$11,0)),INDEX('SCORING MASTER'!$D$13:$D$15,MATCH(Y103,'SCORING MASTER'!$C$13:$C$15,0)),INDEX('SCORING MASTER'!$D$17:$D$19,MATCH(Z103,'SCORING MASTER'!$C$17:$C$19,0)),INDEX('SCORING MASTER'!$D$21:$D$23,MATCH(AA103,'SCORING MASTER'!$C$21:$C$23,0)),INDEX('SCORING MASTER'!$D$25:$D$27,MATCH(AB103,'SCORING MASTER'!$C$25:$C$27,0)),INDEX('SCORING MASTER'!$D$29:$D$31,MATCH(AC103,'SCORING MASTER'!$C$29:$C$31,0)))*20,0))</f>
        <v/>
      </c>
      <c r="BH103" s="35" t="str">
        <f aca="false">IF(COUNTBLANK(AD103:AI103)&gt;0,"",ROUND(AVERAGE(INDEX('SCORING MASTER'!$D$33:$D$35,MATCH(AD103,'SCORING MASTER'!$C$33:$C$35,0)),INDEX('SCORING MASTER'!$D$37:$D$39,MATCH(AE103,'SCORING MASTER'!$C$37:$C$39,0)),INDEX('SCORING MASTER'!$D$41:$D$43,MATCH(AF103,'SCORING MASTER'!$C$41:$C$43,0)),INDEX('SCORING MASTER'!$D$45:$D$47,MATCH(AG103,'SCORING MASTER'!$C$45:$C$47,0)),INDEX('SCORING MASTER'!$D$49:$D$52,MATCH(AH103,'SCORING MASTER'!$C$49:$C$52,0)),INDEX('SCORING MASTER'!$D$54:$D$57,MATCH(AI103,'SCORING MASTER'!$C$54:$C$57,0)))*20,0))</f>
        <v/>
      </c>
      <c r="BI103" s="35" t="str">
        <f aca="false">IF(COUNTBLANK(AJ103:AP103)&gt;0,"",ROUND(AVERAGE(INDEX('SCORING MASTER'!$D$59:$D$60,MATCH(AJ103,'SCORING MASTER'!$C$59:$C$60,0)),INDEX('SCORING MASTER'!$D$62:$D$63,MATCH(AK103,'SCORING MASTER'!$C$62:$C$63,0)),INDEX('SCORING MASTER'!$D$65:$D$66,MATCH(AL103,'SCORING MASTER'!$C$65:$C$66,0)),INDEX('SCORING MASTER'!$D$68:$D$69,MATCH(AM103,'SCORING MASTER'!$C$68:$C$69,0)),INDEX('SCORING MASTER'!$D$71:$D$72,MATCH(AN103,'SCORING MASTER'!$C$71:$C$72,0)),INDEX('SCORING MASTER'!$D$74:$D$75,MATCH(AO103,'SCORING MASTER'!$C$74:$C$75,0)),INDEX('SCORING MASTER'!$D$77:$D$78,MATCH(AP103,'SCORING MASTER'!$C$77:$C$78,0)))*20,0))</f>
        <v/>
      </c>
      <c r="BJ103" s="35" t="str">
        <f aca="false">IF(COUNTBLANK(AU103:AZ103)&gt;0,"",ROUND(AVERAGE(INDEX('SCORING MASTER'!$D$95:$D$96,MATCH(AU103,'SCORING MASTER'!$C$95:$C$96,0)),INDEX('SCORING MASTER'!$D$98:$D$99,MATCH(AV103,'SCORING MASTER'!$C$98:$C$99,0)),INDEX('SCORING MASTER'!$D$101:$D$102,MATCH(AW103,'SCORING MASTER'!$C$101:$C$102,0)),INDEX('SCORING MASTER'!$D$104:$D$105,MATCH(AX103,'SCORING MASTER'!$C$104:$C$105,0)),INDEX('SCORING MASTER'!$D$107:$D$108,MATCH(AY103,'SCORING MASTER'!$C$107:$C$108,0)),INDEX('SCORING MASTER'!$D$110:$D$111,MATCH(AZ103,'SCORING MASTER'!$C$110:$C$111,0)))*20,0))</f>
        <v/>
      </c>
      <c r="BK103" s="35" t="str">
        <f aca="false">IF(COUNTBLANK(AQ103:AT103)&gt;0,"",ROUND(AVERAGE(INDEX('SCORING MASTER'!$D$80:$D$82,MATCH(AQ103,'SCORING MASTER'!$C$80:$C$82,0)),INDEX('SCORING MASTER'!$D$84:$D$86,MATCH(AR103,'SCORING MASTER'!$C$84:$C$86,0)),INDEX('SCORING MASTER'!$D$88:$D$90,MATCH(AS103,'SCORING MASTER'!$C$88:$C$90,0)),INDEX('SCORING MASTER'!$D$92:$D$93,MATCH(AT103,'SCORING MASTER'!$C$92:$C$93,0)))*20,0))</f>
        <v/>
      </c>
      <c r="BL103" s="35" t="str">
        <f aca="false">IF(COUNTBLANK(BA103:BE103)&gt;0,"",ROUND(AVERAGE(INDEX('SCORING MASTER'!$D$113:$D$115,MATCH(BA103,'SCORING MASTER'!$C$113:$C$115,0)),INDEX('SCORING MASTER'!$D$117:$D$119,MATCH(BB103,'SCORING MASTER'!$C$117:$C$119,0)),INDEX('SCORING MASTER'!$D$121:$D$123,MATCH(BC103,'SCORING MASTER'!$C$121:$C$123,0)),INDEX('SCORING MASTER'!$D$125:$D$126,MATCH(BD103,'SCORING MASTER'!$C$125:$C$126,0)),INDEX('SCORING MASTER'!$D$128:$D$129,MATCH(BE103,'SCORING MASTER'!$C$128:$C$129,0)))*20,0))</f>
        <v/>
      </c>
      <c r="BM103" s="35" t="str">
        <f aca="false">IF(OR(BF103="",BG103="",BH103="",BI103="",BJ103="",BK103="",BL103=""),"",ROUND(BF103*0.25+BG103*0.2+BH103*0.15+BI103*0.15+BJ103*0.1+BK103*0.1+BL103*0.05,0))</f>
        <v/>
      </c>
      <c r="BN103" s="35" t="str">
        <f aca="false">IF(OR(BF103="",BG103=""),"",ROUND(BF103*0.5+BG103*0.5,0))</f>
        <v/>
      </c>
      <c r="BO103" s="35" t="str">
        <f aca="false">IF(BN103="","",ROUND(MIN(100,MAX(0,(100-BN103)+IF(AL103="Yes",15,0)+IF(AM103="Yes",15,0)+IF(AND(U103&lt;&gt;"",U103&lt;18.5),20,0))),0))</f>
        <v/>
      </c>
      <c r="BP103" s="32" t="str">
        <f aca="false">IF(BM103="","",IF(BM103&gt;=90,"Green - Healthy",IF(BM103&gt;=75,"Light Green - Mild Watch",IF(BM103&gt;=60,"Yellow - Mild Risk",IF(BM103&gt;=40,"Orange - Moderate Risk","Red - High Risk")))))</f>
        <v/>
      </c>
      <c r="BQ103" s="32" t="str">
        <f aca="false">IF(BM103="","",IF(OR(BM103&lt;60,BO103&gt;=60,AJ103="Yes"),"Yes","No"))</f>
        <v/>
      </c>
      <c r="BR103" s="32" t="str">
        <f aca="false">IF(BM103="","",IF(OR(BP103="Orange - Moderate Risk",BP103="Red - High Risk",BQ103="Yes"),"Yes","No"))</f>
        <v/>
      </c>
    </row>
    <row r="104" customFormat="false" ht="15" hidden="false" customHeight="false" outlineLevel="0" collapsed="false">
      <c r="A104" s="28" t="str">
        <f aca="false">IF(I104="","","STU"&amp;TEXT(ROW()-3,"000000"))</f>
        <v/>
      </c>
      <c r="B104" s="28"/>
      <c r="C104" s="28"/>
      <c r="D104" s="28"/>
      <c r="E104" s="28"/>
      <c r="F104" s="28"/>
      <c r="G104" s="28"/>
      <c r="H104" s="28"/>
      <c r="I104" s="28"/>
      <c r="J104" s="30"/>
      <c r="K104" s="28"/>
      <c r="L104" s="28"/>
      <c r="M104" s="28"/>
      <c r="N104" s="28"/>
      <c r="O104" s="28"/>
      <c r="P104" s="28"/>
      <c r="Q104" s="30"/>
      <c r="R104" s="30"/>
      <c r="S104" s="31" t="str">
        <f aca="false">IF(OR(Q104="",R104=""),"",ROUND(R104/((Q104/100)^2),1))</f>
        <v/>
      </c>
      <c r="T104" s="28" t="str">
        <f aca="false">IF(S104="","",IF(S104&lt;18.5,"Underweight",IF(S104&lt;25,"Normal",IF(S104&lt;30,"Overweight","Obese"))))</f>
        <v/>
      </c>
      <c r="U104" s="30"/>
      <c r="V104" s="30"/>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31" t="str">
        <f aca="false">IF(T104="","",IF(T104="Normal",100,IF(T104="Overweight",65,IF(T104="Obese",50,IF(AND(U104&lt;&gt;"",U104&lt;18.5),30,45)))))</f>
        <v/>
      </c>
      <c r="BG104" s="31" t="str">
        <f aca="false">IF(COUNTBLANK(W104:AC104)&gt;0,"",ROUND(AVERAGE(INDEX('SCORING MASTER'!$D$5:$D$7,MATCH(W104,'SCORING MASTER'!$C$5:$C$7,0)),INDEX('SCORING MASTER'!$D$9:$D$11,MATCH(X104,'SCORING MASTER'!$C$9:$C$11,0)),INDEX('SCORING MASTER'!$D$13:$D$15,MATCH(Y104,'SCORING MASTER'!$C$13:$C$15,0)),INDEX('SCORING MASTER'!$D$17:$D$19,MATCH(Z104,'SCORING MASTER'!$C$17:$C$19,0)),INDEX('SCORING MASTER'!$D$21:$D$23,MATCH(AA104,'SCORING MASTER'!$C$21:$C$23,0)),INDEX('SCORING MASTER'!$D$25:$D$27,MATCH(AB104,'SCORING MASTER'!$C$25:$C$27,0)),INDEX('SCORING MASTER'!$D$29:$D$31,MATCH(AC104,'SCORING MASTER'!$C$29:$C$31,0)))*20,0))</f>
        <v/>
      </c>
      <c r="BH104" s="31" t="str">
        <f aca="false">IF(COUNTBLANK(AD104:AI104)&gt;0,"",ROUND(AVERAGE(INDEX('SCORING MASTER'!$D$33:$D$35,MATCH(AD104,'SCORING MASTER'!$C$33:$C$35,0)),INDEX('SCORING MASTER'!$D$37:$D$39,MATCH(AE104,'SCORING MASTER'!$C$37:$C$39,0)),INDEX('SCORING MASTER'!$D$41:$D$43,MATCH(AF104,'SCORING MASTER'!$C$41:$C$43,0)),INDEX('SCORING MASTER'!$D$45:$D$47,MATCH(AG104,'SCORING MASTER'!$C$45:$C$47,0)),INDEX('SCORING MASTER'!$D$49:$D$52,MATCH(AH104,'SCORING MASTER'!$C$49:$C$52,0)),INDEX('SCORING MASTER'!$D$54:$D$57,MATCH(AI104,'SCORING MASTER'!$C$54:$C$57,0)))*20,0))</f>
        <v/>
      </c>
      <c r="BI104" s="31" t="str">
        <f aca="false">IF(COUNTBLANK(AJ104:AP104)&gt;0,"",ROUND(AVERAGE(INDEX('SCORING MASTER'!$D$59:$D$60,MATCH(AJ104,'SCORING MASTER'!$C$59:$C$60,0)),INDEX('SCORING MASTER'!$D$62:$D$63,MATCH(AK104,'SCORING MASTER'!$C$62:$C$63,0)),INDEX('SCORING MASTER'!$D$65:$D$66,MATCH(AL104,'SCORING MASTER'!$C$65:$C$66,0)),INDEX('SCORING MASTER'!$D$68:$D$69,MATCH(AM104,'SCORING MASTER'!$C$68:$C$69,0)),INDEX('SCORING MASTER'!$D$71:$D$72,MATCH(AN104,'SCORING MASTER'!$C$71:$C$72,0)),INDEX('SCORING MASTER'!$D$74:$D$75,MATCH(AO104,'SCORING MASTER'!$C$74:$C$75,0)),INDEX('SCORING MASTER'!$D$77:$D$78,MATCH(AP104,'SCORING MASTER'!$C$77:$C$78,0)))*20,0))</f>
        <v/>
      </c>
      <c r="BJ104" s="31" t="str">
        <f aca="false">IF(COUNTBLANK(AU104:AZ104)&gt;0,"",ROUND(AVERAGE(INDEX('SCORING MASTER'!$D$95:$D$96,MATCH(AU104,'SCORING MASTER'!$C$95:$C$96,0)),INDEX('SCORING MASTER'!$D$98:$D$99,MATCH(AV104,'SCORING MASTER'!$C$98:$C$99,0)),INDEX('SCORING MASTER'!$D$101:$D$102,MATCH(AW104,'SCORING MASTER'!$C$101:$C$102,0)),INDEX('SCORING MASTER'!$D$104:$D$105,MATCH(AX104,'SCORING MASTER'!$C$104:$C$105,0)),INDEX('SCORING MASTER'!$D$107:$D$108,MATCH(AY104,'SCORING MASTER'!$C$107:$C$108,0)),INDEX('SCORING MASTER'!$D$110:$D$111,MATCH(AZ104,'SCORING MASTER'!$C$110:$C$111,0)))*20,0))</f>
        <v/>
      </c>
      <c r="BK104" s="31" t="str">
        <f aca="false">IF(COUNTBLANK(AQ104:AT104)&gt;0,"",ROUND(AVERAGE(INDEX('SCORING MASTER'!$D$80:$D$82,MATCH(AQ104,'SCORING MASTER'!$C$80:$C$82,0)),INDEX('SCORING MASTER'!$D$84:$D$86,MATCH(AR104,'SCORING MASTER'!$C$84:$C$86,0)),INDEX('SCORING MASTER'!$D$88:$D$90,MATCH(AS104,'SCORING MASTER'!$C$88:$C$90,0)),INDEX('SCORING MASTER'!$D$92:$D$93,MATCH(AT104,'SCORING MASTER'!$C$92:$C$93,0)))*20,0))</f>
        <v/>
      </c>
      <c r="BL104" s="31" t="str">
        <f aca="false">IF(COUNTBLANK(BA104:BE104)&gt;0,"",ROUND(AVERAGE(INDEX('SCORING MASTER'!$D$113:$D$115,MATCH(BA104,'SCORING MASTER'!$C$113:$C$115,0)),INDEX('SCORING MASTER'!$D$117:$D$119,MATCH(BB104,'SCORING MASTER'!$C$117:$C$119,0)),INDEX('SCORING MASTER'!$D$121:$D$123,MATCH(BC104,'SCORING MASTER'!$C$121:$C$123,0)),INDEX('SCORING MASTER'!$D$125:$D$126,MATCH(BD104,'SCORING MASTER'!$C$125:$C$126,0)),INDEX('SCORING MASTER'!$D$128:$D$129,MATCH(BE104,'SCORING MASTER'!$C$128:$C$129,0)))*20,0))</f>
        <v/>
      </c>
      <c r="BM104" s="31" t="str">
        <f aca="false">IF(OR(BF104="",BG104="",BH104="",BI104="",BJ104="",BK104="",BL104=""),"",ROUND(BF104*0.25+BG104*0.2+BH104*0.15+BI104*0.15+BJ104*0.1+BK104*0.1+BL104*0.05,0))</f>
        <v/>
      </c>
      <c r="BN104" s="31" t="str">
        <f aca="false">IF(OR(BF104="",BG104=""),"",ROUND(BF104*0.5+BG104*0.5,0))</f>
        <v/>
      </c>
      <c r="BO104" s="31" t="str">
        <f aca="false">IF(BN104="","",ROUND(MIN(100,MAX(0,(100-BN104)+IF(AL104="Yes",15,0)+IF(AM104="Yes",15,0)+IF(AND(U104&lt;&gt;"",U104&lt;18.5),20,0))),0))</f>
        <v/>
      </c>
      <c r="BP104" s="28" t="str">
        <f aca="false">IF(BM104="","",IF(BM104&gt;=90,"Green - Healthy",IF(BM104&gt;=75,"Light Green - Mild Watch",IF(BM104&gt;=60,"Yellow - Mild Risk",IF(BM104&gt;=40,"Orange - Moderate Risk","Red - High Risk")))))</f>
        <v/>
      </c>
      <c r="BQ104" s="28" t="str">
        <f aca="false">IF(BM104="","",IF(OR(BM104&lt;60,BO104&gt;=60,AJ104="Yes"),"Yes","No"))</f>
        <v/>
      </c>
      <c r="BR104" s="28" t="str">
        <f aca="false">IF(BM104="","",IF(OR(BP104="Orange - Moderate Risk",BP104="Red - High Risk",BQ104="Yes"),"Yes","No"))</f>
        <v/>
      </c>
    </row>
    <row r="105" customFormat="false" ht="15" hidden="false" customHeight="false" outlineLevel="0" collapsed="false">
      <c r="A105" s="32" t="str">
        <f aca="false">IF(I105="","","STU"&amp;TEXT(ROW()-3,"000000"))</f>
        <v/>
      </c>
      <c r="B105" s="32"/>
      <c r="C105" s="32"/>
      <c r="D105" s="32"/>
      <c r="E105" s="32"/>
      <c r="F105" s="32"/>
      <c r="G105" s="32"/>
      <c r="H105" s="32"/>
      <c r="I105" s="32"/>
      <c r="J105" s="34"/>
      <c r="K105" s="32"/>
      <c r="L105" s="32"/>
      <c r="M105" s="32"/>
      <c r="N105" s="32"/>
      <c r="O105" s="32"/>
      <c r="P105" s="32"/>
      <c r="Q105" s="34"/>
      <c r="R105" s="34"/>
      <c r="S105" s="35" t="str">
        <f aca="false">IF(OR(Q105="",R105=""),"",ROUND(R105/((Q105/100)^2),1))</f>
        <v/>
      </c>
      <c r="T105" s="32" t="str">
        <f aca="false">IF(S105="","",IF(S105&lt;18.5,"Underweight",IF(S105&lt;25,"Normal",IF(S105&lt;30,"Overweight","Obese"))))</f>
        <v/>
      </c>
      <c r="U105" s="34"/>
      <c r="V105" s="34"/>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5" t="str">
        <f aca="false">IF(T105="","",IF(T105="Normal",100,IF(T105="Overweight",65,IF(T105="Obese",50,IF(AND(U105&lt;&gt;"",U105&lt;18.5),30,45)))))</f>
        <v/>
      </c>
      <c r="BG105" s="35" t="str">
        <f aca="false">IF(COUNTBLANK(W105:AC105)&gt;0,"",ROUND(AVERAGE(INDEX('SCORING MASTER'!$D$5:$D$7,MATCH(W105,'SCORING MASTER'!$C$5:$C$7,0)),INDEX('SCORING MASTER'!$D$9:$D$11,MATCH(X105,'SCORING MASTER'!$C$9:$C$11,0)),INDEX('SCORING MASTER'!$D$13:$D$15,MATCH(Y105,'SCORING MASTER'!$C$13:$C$15,0)),INDEX('SCORING MASTER'!$D$17:$D$19,MATCH(Z105,'SCORING MASTER'!$C$17:$C$19,0)),INDEX('SCORING MASTER'!$D$21:$D$23,MATCH(AA105,'SCORING MASTER'!$C$21:$C$23,0)),INDEX('SCORING MASTER'!$D$25:$D$27,MATCH(AB105,'SCORING MASTER'!$C$25:$C$27,0)),INDEX('SCORING MASTER'!$D$29:$D$31,MATCH(AC105,'SCORING MASTER'!$C$29:$C$31,0)))*20,0))</f>
        <v/>
      </c>
      <c r="BH105" s="35" t="str">
        <f aca="false">IF(COUNTBLANK(AD105:AI105)&gt;0,"",ROUND(AVERAGE(INDEX('SCORING MASTER'!$D$33:$D$35,MATCH(AD105,'SCORING MASTER'!$C$33:$C$35,0)),INDEX('SCORING MASTER'!$D$37:$D$39,MATCH(AE105,'SCORING MASTER'!$C$37:$C$39,0)),INDEX('SCORING MASTER'!$D$41:$D$43,MATCH(AF105,'SCORING MASTER'!$C$41:$C$43,0)),INDEX('SCORING MASTER'!$D$45:$D$47,MATCH(AG105,'SCORING MASTER'!$C$45:$C$47,0)),INDEX('SCORING MASTER'!$D$49:$D$52,MATCH(AH105,'SCORING MASTER'!$C$49:$C$52,0)),INDEX('SCORING MASTER'!$D$54:$D$57,MATCH(AI105,'SCORING MASTER'!$C$54:$C$57,0)))*20,0))</f>
        <v/>
      </c>
      <c r="BI105" s="35" t="str">
        <f aca="false">IF(COUNTBLANK(AJ105:AP105)&gt;0,"",ROUND(AVERAGE(INDEX('SCORING MASTER'!$D$59:$D$60,MATCH(AJ105,'SCORING MASTER'!$C$59:$C$60,0)),INDEX('SCORING MASTER'!$D$62:$D$63,MATCH(AK105,'SCORING MASTER'!$C$62:$C$63,0)),INDEX('SCORING MASTER'!$D$65:$D$66,MATCH(AL105,'SCORING MASTER'!$C$65:$C$66,0)),INDEX('SCORING MASTER'!$D$68:$D$69,MATCH(AM105,'SCORING MASTER'!$C$68:$C$69,0)),INDEX('SCORING MASTER'!$D$71:$D$72,MATCH(AN105,'SCORING MASTER'!$C$71:$C$72,0)),INDEX('SCORING MASTER'!$D$74:$D$75,MATCH(AO105,'SCORING MASTER'!$C$74:$C$75,0)),INDEX('SCORING MASTER'!$D$77:$D$78,MATCH(AP105,'SCORING MASTER'!$C$77:$C$78,0)))*20,0))</f>
        <v/>
      </c>
      <c r="BJ105" s="35" t="str">
        <f aca="false">IF(COUNTBLANK(AU105:AZ105)&gt;0,"",ROUND(AVERAGE(INDEX('SCORING MASTER'!$D$95:$D$96,MATCH(AU105,'SCORING MASTER'!$C$95:$C$96,0)),INDEX('SCORING MASTER'!$D$98:$D$99,MATCH(AV105,'SCORING MASTER'!$C$98:$C$99,0)),INDEX('SCORING MASTER'!$D$101:$D$102,MATCH(AW105,'SCORING MASTER'!$C$101:$C$102,0)),INDEX('SCORING MASTER'!$D$104:$D$105,MATCH(AX105,'SCORING MASTER'!$C$104:$C$105,0)),INDEX('SCORING MASTER'!$D$107:$D$108,MATCH(AY105,'SCORING MASTER'!$C$107:$C$108,0)),INDEX('SCORING MASTER'!$D$110:$D$111,MATCH(AZ105,'SCORING MASTER'!$C$110:$C$111,0)))*20,0))</f>
        <v/>
      </c>
      <c r="BK105" s="35" t="str">
        <f aca="false">IF(COUNTBLANK(AQ105:AT105)&gt;0,"",ROUND(AVERAGE(INDEX('SCORING MASTER'!$D$80:$D$82,MATCH(AQ105,'SCORING MASTER'!$C$80:$C$82,0)),INDEX('SCORING MASTER'!$D$84:$D$86,MATCH(AR105,'SCORING MASTER'!$C$84:$C$86,0)),INDEX('SCORING MASTER'!$D$88:$D$90,MATCH(AS105,'SCORING MASTER'!$C$88:$C$90,0)),INDEX('SCORING MASTER'!$D$92:$D$93,MATCH(AT105,'SCORING MASTER'!$C$92:$C$93,0)))*20,0))</f>
        <v/>
      </c>
      <c r="BL105" s="35" t="str">
        <f aca="false">IF(COUNTBLANK(BA105:BE105)&gt;0,"",ROUND(AVERAGE(INDEX('SCORING MASTER'!$D$113:$D$115,MATCH(BA105,'SCORING MASTER'!$C$113:$C$115,0)),INDEX('SCORING MASTER'!$D$117:$D$119,MATCH(BB105,'SCORING MASTER'!$C$117:$C$119,0)),INDEX('SCORING MASTER'!$D$121:$D$123,MATCH(BC105,'SCORING MASTER'!$C$121:$C$123,0)),INDEX('SCORING MASTER'!$D$125:$D$126,MATCH(BD105,'SCORING MASTER'!$C$125:$C$126,0)),INDEX('SCORING MASTER'!$D$128:$D$129,MATCH(BE105,'SCORING MASTER'!$C$128:$C$129,0)))*20,0))</f>
        <v/>
      </c>
      <c r="BM105" s="35" t="str">
        <f aca="false">IF(OR(BF105="",BG105="",BH105="",BI105="",BJ105="",BK105="",BL105=""),"",ROUND(BF105*0.25+BG105*0.2+BH105*0.15+BI105*0.15+BJ105*0.1+BK105*0.1+BL105*0.05,0))</f>
        <v/>
      </c>
      <c r="BN105" s="35" t="str">
        <f aca="false">IF(OR(BF105="",BG105=""),"",ROUND(BF105*0.5+BG105*0.5,0))</f>
        <v/>
      </c>
      <c r="BO105" s="35" t="str">
        <f aca="false">IF(BN105="","",ROUND(MIN(100,MAX(0,(100-BN105)+IF(AL105="Yes",15,0)+IF(AM105="Yes",15,0)+IF(AND(U105&lt;&gt;"",U105&lt;18.5),20,0))),0))</f>
        <v/>
      </c>
      <c r="BP105" s="32" t="str">
        <f aca="false">IF(BM105="","",IF(BM105&gt;=90,"Green - Healthy",IF(BM105&gt;=75,"Light Green - Mild Watch",IF(BM105&gt;=60,"Yellow - Mild Risk",IF(BM105&gt;=40,"Orange - Moderate Risk","Red - High Risk")))))</f>
        <v/>
      </c>
      <c r="BQ105" s="32" t="str">
        <f aca="false">IF(BM105="","",IF(OR(BM105&lt;60,BO105&gt;=60,AJ105="Yes"),"Yes","No"))</f>
        <v/>
      </c>
      <c r="BR105" s="32" t="str">
        <f aca="false">IF(BM105="","",IF(OR(BP105="Orange - Moderate Risk",BP105="Red - High Risk",BQ105="Yes"),"Yes","No"))</f>
        <v/>
      </c>
    </row>
    <row r="106" customFormat="false" ht="15" hidden="false" customHeight="false" outlineLevel="0" collapsed="false">
      <c r="A106" s="28" t="str">
        <f aca="false">IF(I106="","","STU"&amp;TEXT(ROW()-3,"000000"))</f>
        <v/>
      </c>
      <c r="B106" s="28"/>
      <c r="C106" s="28"/>
      <c r="D106" s="28"/>
      <c r="E106" s="28"/>
      <c r="F106" s="28"/>
      <c r="G106" s="28"/>
      <c r="H106" s="28"/>
      <c r="I106" s="28"/>
      <c r="J106" s="30"/>
      <c r="K106" s="28"/>
      <c r="L106" s="28"/>
      <c r="M106" s="28"/>
      <c r="N106" s="28"/>
      <c r="O106" s="28"/>
      <c r="P106" s="28"/>
      <c r="Q106" s="30"/>
      <c r="R106" s="30"/>
      <c r="S106" s="31" t="str">
        <f aca="false">IF(OR(Q106="",R106=""),"",ROUND(R106/((Q106/100)^2),1))</f>
        <v/>
      </c>
      <c r="T106" s="28" t="str">
        <f aca="false">IF(S106="","",IF(S106&lt;18.5,"Underweight",IF(S106&lt;25,"Normal",IF(S106&lt;30,"Overweight","Obese"))))</f>
        <v/>
      </c>
      <c r="U106" s="30"/>
      <c r="V106" s="30"/>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31" t="str">
        <f aca="false">IF(T106="","",IF(T106="Normal",100,IF(T106="Overweight",65,IF(T106="Obese",50,IF(AND(U106&lt;&gt;"",U106&lt;18.5),30,45)))))</f>
        <v/>
      </c>
      <c r="BG106" s="31" t="str">
        <f aca="false">IF(COUNTBLANK(W106:AC106)&gt;0,"",ROUND(AVERAGE(INDEX('SCORING MASTER'!$D$5:$D$7,MATCH(W106,'SCORING MASTER'!$C$5:$C$7,0)),INDEX('SCORING MASTER'!$D$9:$D$11,MATCH(X106,'SCORING MASTER'!$C$9:$C$11,0)),INDEX('SCORING MASTER'!$D$13:$D$15,MATCH(Y106,'SCORING MASTER'!$C$13:$C$15,0)),INDEX('SCORING MASTER'!$D$17:$D$19,MATCH(Z106,'SCORING MASTER'!$C$17:$C$19,0)),INDEX('SCORING MASTER'!$D$21:$D$23,MATCH(AA106,'SCORING MASTER'!$C$21:$C$23,0)),INDEX('SCORING MASTER'!$D$25:$D$27,MATCH(AB106,'SCORING MASTER'!$C$25:$C$27,0)),INDEX('SCORING MASTER'!$D$29:$D$31,MATCH(AC106,'SCORING MASTER'!$C$29:$C$31,0)))*20,0))</f>
        <v/>
      </c>
      <c r="BH106" s="31" t="str">
        <f aca="false">IF(COUNTBLANK(AD106:AI106)&gt;0,"",ROUND(AVERAGE(INDEX('SCORING MASTER'!$D$33:$D$35,MATCH(AD106,'SCORING MASTER'!$C$33:$C$35,0)),INDEX('SCORING MASTER'!$D$37:$D$39,MATCH(AE106,'SCORING MASTER'!$C$37:$C$39,0)),INDEX('SCORING MASTER'!$D$41:$D$43,MATCH(AF106,'SCORING MASTER'!$C$41:$C$43,0)),INDEX('SCORING MASTER'!$D$45:$D$47,MATCH(AG106,'SCORING MASTER'!$C$45:$C$47,0)),INDEX('SCORING MASTER'!$D$49:$D$52,MATCH(AH106,'SCORING MASTER'!$C$49:$C$52,0)),INDEX('SCORING MASTER'!$D$54:$D$57,MATCH(AI106,'SCORING MASTER'!$C$54:$C$57,0)))*20,0))</f>
        <v/>
      </c>
      <c r="BI106" s="31" t="str">
        <f aca="false">IF(COUNTBLANK(AJ106:AP106)&gt;0,"",ROUND(AVERAGE(INDEX('SCORING MASTER'!$D$59:$D$60,MATCH(AJ106,'SCORING MASTER'!$C$59:$C$60,0)),INDEX('SCORING MASTER'!$D$62:$D$63,MATCH(AK106,'SCORING MASTER'!$C$62:$C$63,0)),INDEX('SCORING MASTER'!$D$65:$D$66,MATCH(AL106,'SCORING MASTER'!$C$65:$C$66,0)),INDEX('SCORING MASTER'!$D$68:$D$69,MATCH(AM106,'SCORING MASTER'!$C$68:$C$69,0)),INDEX('SCORING MASTER'!$D$71:$D$72,MATCH(AN106,'SCORING MASTER'!$C$71:$C$72,0)),INDEX('SCORING MASTER'!$D$74:$D$75,MATCH(AO106,'SCORING MASTER'!$C$74:$C$75,0)),INDEX('SCORING MASTER'!$D$77:$D$78,MATCH(AP106,'SCORING MASTER'!$C$77:$C$78,0)))*20,0))</f>
        <v/>
      </c>
      <c r="BJ106" s="31" t="str">
        <f aca="false">IF(COUNTBLANK(AU106:AZ106)&gt;0,"",ROUND(AVERAGE(INDEX('SCORING MASTER'!$D$95:$D$96,MATCH(AU106,'SCORING MASTER'!$C$95:$C$96,0)),INDEX('SCORING MASTER'!$D$98:$D$99,MATCH(AV106,'SCORING MASTER'!$C$98:$C$99,0)),INDEX('SCORING MASTER'!$D$101:$D$102,MATCH(AW106,'SCORING MASTER'!$C$101:$C$102,0)),INDEX('SCORING MASTER'!$D$104:$D$105,MATCH(AX106,'SCORING MASTER'!$C$104:$C$105,0)),INDEX('SCORING MASTER'!$D$107:$D$108,MATCH(AY106,'SCORING MASTER'!$C$107:$C$108,0)),INDEX('SCORING MASTER'!$D$110:$D$111,MATCH(AZ106,'SCORING MASTER'!$C$110:$C$111,0)))*20,0))</f>
        <v/>
      </c>
      <c r="BK106" s="31" t="str">
        <f aca="false">IF(COUNTBLANK(AQ106:AT106)&gt;0,"",ROUND(AVERAGE(INDEX('SCORING MASTER'!$D$80:$D$82,MATCH(AQ106,'SCORING MASTER'!$C$80:$C$82,0)),INDEX('SCORING MASTER'!$D$84:$D$86,MATCH(AR106,'SCORING MASTER'!$C$84:$C$86,0)),INDEX('SCORING MASTER'!$D$88:$D$90,MATCH(AS106,'SCORING MASTER'!$C$88:$C$90,0)),INDEX('SCORING MASTER'!$D$92:$D$93,MATCH(AT106,'SCORING MASTER'!$C$92:$C$93,0)))*20,0))</f>
        <v/>
      </c>
      <c r="BL106" s="31" t="str">
        <f aca="false">IF(COUNTBLANK(BA106:BE106)&gt;0,"",ROUND(AVERAGE(INDEX('SCORING MASTER'!$D$113:$D$115,MATCH(BA106,'SCORING MASTER'!$C$113:$C$115,0)),INDEX('SCORING MASTER'!$D$117:$D$119,MATCH(BB106,'SCORING MASTER'!$C$117:$C$119,0)),INDEX('SCORING MASTER'!$D$121:$D$123,MATCH(BC106,'SCORING MASTER'!$C$121:$C$123,0)),INDEX('SCORING MASTER'!$D$125:$D$126,MATCH(BD106,'SCORING MASTER'!$C$125:$C$126,0)),INDEX('SCORING MASTER'!$D$128:$D$129,MATCH(BE106,'SCORING MASTER'!$C$128:$C$129,0)))*20,0))</f>
        <v/>
      </c>
      <c r="BM106" s="31" t="str">
        <f aca="false">IF(OR(BF106="",BG106="",BH106="",BI106="",BJ106="",BK106="",BL106=""),"",ROUND(BF106*0.25+BG106*0.2+BH106*0.15+BI106*0.15+BJ106*0.1+BK106*0.1+BL106*0.05,0))</f>
        <v/>
      </c>
      <c r="BN106" s="31" t="str">
        <f aca="false">IF(OR(BF106="",BG106=""),"",ROUND(BF106*0.5+BG106*0.5,0))</f>
        <v/>
      </c>
      <c r="BO106" s="31" t="str">
        <f aca="false">IF(BN106="","",ROUND(MIN(100,MAX(0,(100-BN106)+IF(AL106="Yes",15,0)+IF(AM106="Yes",15,0)+IF(AND(U106&lt;&gt;"",U106&lt;18.5),20,0))),0))</f>
        <v/>
      </c>
      <c r="BP106" s="28" t="str">
        <f aca="false">IF(BM106="","",IF(BM106&gt;=90,"Green - Healthy",IF(BM106&gt;=75,"Light Green - Mild Watch",IF(BM106&gt;=60,"Yellow - Mild Risk",IF(BM106&gt;=40,"Orange - Moderate Risk","Red - High Risk")))))</f>
        <v/>
      </c>
      <c r="BQ106" s="28" t="str">
        <f aca="false">IF(BM106="","",IF(OR(BM106&lt;60,BO106&gt;=60,AJ106="Yes"),"Yes","No"))</f>
        <v/>
      </c>
      <c r="BR106" s="28" t="str">
        <f aca="false">IF(BM106="","",IF(OR(BP106="Orange - Moderate Risk",BP106="Red - High Risk",BQ106="Yes"),"Yes","No"))</f>
        <v/>
      </c>
    </row>
    <row r="107" customFormat="false" ht="15" hidden="false" customHeight="false" outlineLevel="0" collapsed="false">
      <c r="A107" s="32" t="str">
        <f aca="false">IF(I107="","","STU"&amp;TEXT(ROW()-3,"000000"))</f>
        <v/>
      </c>
      <c r="B107" s="32"/>
      <c r="C107" s="32"/>
      <c r="D107" s="32"/>
      <c r="E107" s="32"/>
      <c r="F107" s="32"/>
      <c r="G107" s="32"/>
      <c r="H107" s="32"/>
      <c r="I107" s="32"/>
      <c r="J107" s="34"/>
      <c r="K107" s="32"/>
      <c r="L107" s="32"/>
      <c r="M107" s="32"/>
      <c r="N107" s="32"/>
      <c r="O107" s="32"/>
      <c r="P107" s="32"/>
      <c r="Q107" s="34"/>
      <c r="R107" s="34"/>
      <c r="S107" s="35" t="str">
        <f aca="false">IF(OR(Q107="",R107=""),"",ROUND(R107/((Q107/100)^2),1))</f>
        <v/>
      </c>
      <c r="T107" s="32" t="str">
        <f aca="false">IF(S107="","",IF(S107&lt;18.5,"Underweight",IF(S107&lt;25,"Normal",IF(S107&lt;30,"Overweight","Obese"))))</f>
        <v/>
      </c>
      <c r="U107" s="34"/>
      <c r="V107" s="34"/>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5" t="str">
        <f aca="false">IF(T107="","",IF(T107="Normal",100,IF(T107="Overweight",65,IF(T107="Obese",50,IF(AND(U107&lt;&gt;"",U107&lt;18.5),30,45)))))</f>
        <v/>
      </c>
      <c r="BG107" s="35" t="str">
        <f aca="false">IF(COUNTBLANK(W107:AC107)&gt;0,"",ROUND(AVERAGE(INDEX('SCORING MASTER'!$D$5:$D$7,MATCH(W107,'SCORING MASTER'!$C$5:$C$7,0)),INDEX('SCORING MASTER'!$D$9:$D$11,MATCH(X107,'SCORING MASTER'!$C$9:$C$11,0)),INDEX('SCORING MASTER'!$D$13:$D$15,MATCH(Y107,'SCORING MASTER'!$C$13:$C$15,0)),INDEX('SCORING MASTER'!$D$17:$D$19,MATCH(Z107,'SCORING MASTER'!$C$17:$C$19,0)),INDEX('SCORING MASTER'!$D$21:$D$23,MATCH(AA107,'SCORING MASTER'!$C$21:$C$23,0)),INDEX('SCORING MASTER'!$D$25:$D$27,MATCH(AB107,'SCORING MASTER'!$C$25:$C$27,0)),INDEX('SCORING MASTER'!$D$29:$D$31,MATCH(AC107,'SCORING MASTER'!$C$29:$C$31,0)))*20,0))</f>
        <v/>
      </c>
      <c r="BH107" s="35" t="str">
        <f aca="false">IF(COUNTBLANK(AD107:AI107)&gt;0,"",ROUND(AVERAGE(INDEX('SCORING MASTER'!$D$33:$D$35,MATCH(AD107,'SCORING MASTER'!$C$33:$C$35,0)),INDEX('SCORING MASTER'!$D$37:$D$39,MATCH(AE107,'SCORING MASTER'!$C$37:$C$39,0)),INDEX('SCORING MASTER'!$D$41:$D$43,MATCH(AF107,'SCORING MASTER'!$C$41:$C$43,0)),INDEX('SCORING MASTER'!$D$45:$D$47,MATCH(AG107,'SCORING MASTER'!$C$45:$C$47,0)),INDEX('SCORING MASTER'!$D$49:$D$52,MATCH(AH107,'SCORING MASTER'!$C$49:$C$52,0)),INDEX('SCORING MASTER'!$D$54:$D$57,MATCH(AI107,'SCORING MASTER'!$C$54:$C$57,0)))*20,0))</f>
        <v/>
      </c>
      <c r="BI107" s="35" t="str">
        <f aca="false">IF(COUNTBLANK(AJ107:AP107)&gt;0,"",ROUND(AVERAGE(INDEX('SCORING MASTER'!$D$59:$D$60,MATCH(AJ107,'SCORING MASTER'!$C$59:$C$60,0)),INDEX('SCORING MASTER'!$D$62:$D$63,MATCH(AK107,'SCORING MASTER'!$C$62:$C$63,0)),INDEX('SCORING MASTER'!$D$65:$D$66,MATCH(AL107,'SCORING MASTER'!$C$65:$C$66,0)),INDEX('SCORING MASTER'!$D$68:$D$69,MATCH(AM107,'SCORING MASTER'!$C$68:$C$69,0)),INDEX('SCORING MASTER'!$D$71:$D$72,MATCH(AN107,'SCORING MASTER'!$C$71:$C$72,0)),INDEX('SCORING MASTER'!$D$74:$D$75,MATCH(AO107,'SCORING MASTER'!$C$74:$C$75,0)),INDEX('SCORING MASTER'!$D$77:$D$78,MATCH(AP107,'SCORING MASTER'!$C$77:$C$78,0)))*20,0))</f>
        <v/>
      </c>
      <c r="BJ107" s="35" t="str">
        <f aca="false">IF(COUNTBLANK(AU107:AZ107)&gt;0,"",ROUND(AVERAGE(INDEX('SCORING MASTER'!$D$95:$D$96,MATCH(AU107,'SCORING MASTER'!$C$95:$C$96,0)),INDEX('SCORING MASTER'!$D$98:$D$99,MATCH(AV107,'SCORING MASTER'!$C$98:$C$99,0)),INDEX('SCORING MASTER'!$D$101:$D$102,MATCH(AW107,'SCORING MASTER'!$C$101:$C$102,0)),INDEX('SCORING MASTER'!$D$104:$D$105,MATCH(AX107,'SCORING MASTER'!$C$104:$C$105,0)),INDEX('SCORING MASTER'!$D$107:$D$108,MATCH(AY107,'SCORING MASTER'!$C$107:$C$108,0)),INDEX('SCORING MASTER'!$D$110:$D$111,MATCH(AZ107,'SCORING MASTER'!$C$110:$C$111,0)))*20,0))</f>
        <v/>
      </c>
      <c r="BK107" s="35" t="str">
        <f aca="false">IF(COUNTBLANK(AQ107:AT107)&gt;0,"",ROUND(AVERAGE(INDEX('SCORING MASTER'!$D$80:$D$82,MATCH(AQ107,'SCORING MASTER'!$C$80:$C$82,0)),INDEX('SCORING MASTER'!$D$84:$D$86,MATCH(AR107,'SCORING MASTER'!$C$84:$C$86,0)),INDEX('SCORING MASTER'!$D$88:$D$90,MATCH(AS107,'SCORING MASTER'!$C$88:$C$90,0)),INDEX('SCORING MASTER'!$D$92:$D$93,MATCH(AT107,'SCORING MASTER'!$C$92:$C$93,0)))*20,0))</f>
        <v/>
      </c>
      <c r="BL107" s="35" t="str">
        <f aca="false">IF(COUNTBLANK(BA107:BE107)&gt;0,"",ROUND(AVERAGE(INDEX('SCORING MASTER'!$D$113:$D$115,MATCH(BA107,'SCORING MASTER'!$C$113:$C$115,0)),INDEX('SCORING MASTER'!$D$117:$D$119,MATCH(BB107,'SCORING MASTER'!$C$117:$C$119,0)),INDEX('SCORING MASTER'!$D$121:$D$123,MATCH(BC107,'SCORING MASTER'!$C$121:$C$123,0)),INDEX('SCORING MASTER'!$D$125:$D$126,MATCH(BD107,'SCORING MASTER'!$C$125:$C$126,0)),INDEX('SCORING MASTER'!$D$128:$D$129,MATCH(BE107,'SCORING MASTER'!$C$128:$C$129,0)))*20,0))</f>
        <v/>
      </c>
      <c r="BM107" s="35" t="str">
        <f aca="false">IF(OR(BF107="",BG107="",BH107="",BI107="",BJ107="",BK107="",BL107=""),"",ROUND(BF107*0.25+BG107*0.2+BH107*0.15+BI107*0.15+BJ107*0.1+BK107*0.1+BL107*0.05,0))</f>
        <v/>
      </c>
      <c r="BN107" s="35" t="str">
        <f aca="false">IF(OR(BF107="",BG107=""),"",ROUND(BF107*0.5+BG107*0.5,0))</f>
        <v/>
      </c>
      <c r="BO107" s="35" t="str">
        <f aca="false">IF(BN107="","",ROUND(MIN(100,MAX(0,(100-BN107)+IF(AL107="Yes",15,0)+IF(AM107="Yes",15,0)+IF(AND(U107&lt;&gt;"",U107&lt;18.5),20,0))),0))</f>
        <v/>
      </c>
      <c r="BP107" s="32" t="str">
        <f aca="false">IF(BM107="","",IF(BM107&gt;=90,"Green - Healthy",IF(BM107&gt;=75,"Light Green - Mild Watch",IF(BM107&gt;=60,"Yellow - Mild Risk",IF(BM107&gt;=40,"Orange - Moderate Risk","Red - High Risk")))))</f>
        <v/>
      </c>
      <c r="BQ107" s="32" t="str">
        <f aca="false">IF(BM107="","",IF(OR(BM107&lt;60,BO107&gt;=60,AJ107="Yes"),"Yes","No"))</f>
        <v/>
      </c>
      <c r="BR107" s="32" t="str">
        <f aca="false">IF(BM107="","",IF(OR(BP107="Orange - Moderate Risk",BP107="Red - High Risk",BQ107="Yes"),"Yes","No"))</f>
        <v/>
      </c>
    </row>
    <row r="108" customFormat="false" ht="15" hidden="false" customHeight="false" outlineLevel="0" collapsed="false">
      <c r="A108" s="28" t="str">
        <f aca="false">IF(I108="","","STU"&amp;TEXT(ROW()-3,"000000"))</f>
        <v/>
      </c>
      <c r="B108" s="28"/>
      <c r="C108" s="28"/>
      <c r="D108" s="28"/>
      <c r="E108" s="28"/>
      <c r="F108" s="28"/>
      <c r="G108" s="28"/>
      <c r="H108" s="28"/>
      <c r="I108" s="28"/>
      <c r="J108" s="30"/>
      <c r="K108" s="28"/>
      <c r="L108" s="28"/>
      <c r="M108" s="28"/>
      <c r="N108" s="28"/>
      <c r="O108" s="28"/>
      <c r="P108" s="28"/>
      <c r="Q108" s="30"/>
      <c r="R108" s="30"/>
      <c r="S108" s="31" t="str">
        <f aca="false">IF(OR(Q108="",R108=""),"",ROUND(R108/((Q108/100)^2),1))</f>
        <v/>
      </c>
      <c r="T108" s="28" t="str">
        <f aca="false">IF(S108="","",IF(S108&lt;18.5,"Underweight",IF(S108&lt;25,"Normal",IF(S108&lt;30,"Overweight","Obese"))))</f>
        <v/>
      </c>
      <c r="U108" s="30"/>
      <c r="V108" s="30"/>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31" t="str">
        <f aca="false">IF(T108="","",IF(T108="Normal",100,IF(T108="Overweight",65,IF(T108="Obese",50,IF(AND(U108&lt;&gt;"",U108&lt;18.5),30,45)))))</f>
        <v/>
      </c>
      <c r="BG108" s="31" t="str">
        <f aca="false">IF(COUNTBLANK(W108:AC108)&gt;0,"",ROUND(AVERAGE(INDEX('SCORING MASTER'!$D$5:$D$7,MATCH(W108,'SCORING MASTER'!$C$5:$C$7,0)),INDEX('SCORING MASTER'!$D$9:$D$11,MATCH(X108,'SCORING MASTER'!$C$9:$C$11,0)),INDEX('SCORING MASTER'!$D$13:$D$15,MATCH(Y108,'SCORING MASTER'!$C$13:$C$15,0)),INDEX('SCORING MASTER'!$D$17:$D$19,MATCH(Z108,'SCORING MASTER'!$C$17:$C$19,0)),INDEX('SCORING MASTER'!$D$21:$D$23,MATCH(AA108,'SCORING MASTER'!$C$21:$C$23,0)),INDEX('SCORING MASTER'!$D$25:$D$27,MATCH(AB108,'SCORING MASTER'!$C$25:$C$27,0)),INDEX('SCORING MASTER'!$D$29:$D$31,MATCH(AC108,'SCORING MASTER'!$C$29:$C$31,0)))*20,0))</f>
        <v/>
      </c>
      <c r="BH108" s="31" t="str">
        <f aca="false">IF(COUNTBLANK(AD108:AI108)&gt;0,"",ROUND(AVERAGE(INDEX('SCORING MASTER'!$D$33:$D$35,MATCH(AD108,'SCORING MASTER'!$C$33:$C$35,0)),INDEX('SCORING MASTER'!$D$37:$D$39,MATCH(AE108,'SCORING MASTER'!$C$37:$C$39,0)),INDEX('SCORING MASTER'!$D$41:$D$43,MATCH(AF108,'SCORING MASTER'!$C$41:$C$43,0)),INDEX('SCORING MASTER'!$D$45:$D$47,MATCH(AG108,'SCORING MASTER'!$C$45:$C$47,0)),INDEX('SCORING MASTER'!$D$49:$D$52,MATCH(AH108,'SCORING MASTER'!$C$49:$C$52,0)),INDEX('SCORING MASTER'!$D$54:$D$57,MATCH(AI108,'SCORING MASTER'!$C$54:$C$57,0)))*20,0))</f>
        <v/>
      </c>
      <c r="BI108" s="31" t="str">
        <f aca="false">IF(COUNTBLANK(AJ108:AP108)&gt;0,"",ROUND(AVERAGE(INDEX('SCORING MASTER'!$D$59:$D$60,MATCH(AJ108,'SCORING MASTER'!$C$59:$C$60,0)),INDEX('SCORING MASTER'!$D$62:$D$63,MATCH(AK108,'SCORING MASTER'!$C$62:$C$63,0)),INDEX('SCORING MASTER'!$D$65:$D$66,MATCH(AL108,'SCORING MASTER'!$C$65:$C$66,0)),INDEX('SCORING MASTER'!$D$68:$D$69,MATCH(AM108,'SCORING MASTER'!$C$68:$C$69,0)),INDEX('SCORING MASTER'!$D$71:$D$72,MATCH(AN108,'SCORING MASTER'!$C$71:$C$72,0)),INDEX('SCORING MASTER'!$D$74:$D$75,MATCH(AO108,'SCORING MASTER'!$C$74:$C$75,0)),INDEX('SCORING MASTER'!$D$77:$D$78,MATCH(AP108,'SCORING MASTER'!$C$77:$C$78,0)))*20,0))</f>
        <v/>
      </c>
      <c r="BJ108" s="31" t="str">
        <f aca="false">IF(COUNTBLANK(AU108:AZ108)&gt;0,"",ROUND(AVERAGE(INDEX('SCORING MASTER'!$D$95:$D$96,MATCH(AU108,'SCORING MASTER'!$C$95:$C$96,0)),INDEX('SCORING MASTER'!$D$98:$D$99,MATCH(AV108,'SCORING MASTER'!$C$98:$C$99,0)),INDEX('SCORING MASTER'!$D$101:$D$102,MATCH(AW108,'SCORING MASTER'!$C$101:$C$102,0)),INDEX('SCORING MASTER'!$D$104:$D$105,MATCH(AX108,'SCORING MASTER'!$C$104:$C$105,0)),INDEX('SCORING MASTER'!$D$107:$D$108,MATCH(AY108,'SCORING MASTER'!$C$107:$C$108,0)),INDEX('SCORING MASTER'!$D$110:$D$111,MATCH(AZ108,'SCORING MASTER'!$C$110:$C$111,0)))*20,0))</f>
        <v/>
      </c>
      <c r="BK108" s="31" t="str">
        <f aca="false">IF(COUNTBLANK(AQ108:AT108)&gt;0,"",ROUND(AVERAGE(INDEX('SCORING MASTER'!$D$80:$D$82,MATCH(AQ108,'SCORING MASTER'!$C$80:$C$82,0)),INDEX('SCORING MASTER'!$D$84:$D$86,MATCH(AR108,'SCORING MASTER'!$C$84:$C$86,0)),INDEX('SCORING MASTER'!$D$88:$D$90,MATCH(AS108,'SCORING MASTER'!$C$88:$C$90,0)),INDEX('SCORING MASTER'!$D$92:$D$93,MATCH(AT108,'SCORING MASTER'!$C$92:$C$93,0)))*20,0))</f>
        <v/>
      </c>
      <c r="BL108" s="31" t="str">
        <f aca="false">IF(COUNTBLANK(BA108:BE108)&gt;0,"",ROUND(AVERAGE(INDEX('SCORING MASTER'!$D$113:$D$115,MATCH(BA108,'SCORING MASTER'!$C$113:$C$115,0)),INDEX('SCORING MASTER'!$D$117:$D$119,MATCH(BB108,'SCORING MASTER'!$C$117:$C$119,0)),INDEX('SCORING MASTER'!$D$121:$D$123,MATCH(BC108,'SCORING MASTER'!$C$121:$C$123,0)),INDEX('SCORING MASTER'!$D$125:$D$126,MATCH(BD108,'SCORING MASTER'!$C$125:$C$126,0)),INDEX('SCORING MASTER'!$D$128:$D$129,MATCH(BE108,'SCORING MASTER'!$C$128:$C$129,0)))*20,0))</f>
        <v/>
      </c>
      <c r="BM108" s="31" t="str">
        <f aca="false">IF(OR(BF108="",BG108="",BH108="",BI108="",BJ108="",BK108="",BL108=""),"",ROUND(BF108*0.25+BG108*0.2+BH108*0.15+BI108*0.15+BJ108*0.1+BK108*0.1+BL108*0.05,0))</f>
        <v/>
      </c>
      <c r="BN108" s="31" t="str">
        <f aca="false">IF(OR(BF108="",BG108=""),"",ROUND(BF108*0.5+BG108*0.5,0))</f>
        <v/>
      </c>
      <c r="BO108" s="31" t="str">
        <f aca="false">IF(BN108="","",ROUND(MIN(100,MAX(0,(100-BN108)+IF(AL108="Yes",15,0)+IF(AM108="Yes",15,0)+IF(AND(U108&lt;&gt;"",U108&lt;18.5),20,0))),0))</f>
        <v/>
      </c>
      <c r="BP108" s="28" t="str">
        <f aca="false">IF(BM108="","",IF(BM108&gt;=90,"Green - Healthy",IF(BM108&gt;=75,"Light Green - Mild Watch",IF(BM108&gt;=60,"Yellow - Mild Risk",IF(BM108&gt;=40,"Orange - Moderate Risk","Red - High Risk")))))</f>
        <v/>
      </c>
      <c r="BQ108" s="28" t="str">
        <f aca="false">IF(BM108="","",IF(OR(BM108&lt;60,BO108&gt;=60,AJ108="Yes"),"Yes","No"))</f>
        <v/>
      </c>
      <c r="BR108" s="28" t="str">
        <f aca="false">IF(BM108="","",IF(OR(BP108="Orange - Moderate Risk",BP108="Red - High Risk",BQ108="Yes"),"Yes","No"))</f>
        <v/>
      </c>
    </row>
    <row r="109" customFormat="false" ht="15" hidden="false" customHeight="false" outlineLevel="0" collapsed="false">
      <c r="A109" s="32" t="str">
        <f aca="false">IF(I109="","","STU"&amp;TEXT(ROW()-3,"000000"))</f>
        <v/>
      </c>
      <c r="B109" s="32"/>
      <c r="C109" s="32"/>
      <c r="D109" s="32"/>
      <c r="E109" s="32"/>
      <c r="F109" s="32"/>
      <c r="G109" s="32"/>
      <c r="H109" s="32"/>
      <c r="I109" s="32"/>
      <c r="J109" s="34"/>
      <c r="K109" s="32"/>
      <c r="L109" s="32"/>
      <c r="M109" s="32"/>
      <c r="N109" s="32"/>
      <c r="O109" s="32"/>
      <c r="P109" s="32"/>
      <c r="Q109" s="34"/>
      <c r="R109" s="34"/>
      <c r="S109" s="35" t="str">
        <f aca="false">IF(OR(Q109="",R109=""),"",ROUND(R109/((Q109/100)^2),1))</f>
        <v/>
      </c>
      <c r="T109" s="32" t="str">
        <f aca="false">IF(S109="","",IF(S109&lt;18.5,"Underweight",IF(S109&lt;25,"Normal",IF(S109&lt;30,"Overweight","Obese"))))</f>
        <v/>
      </c>
      <c r="U109" s="34"/>
      <c r="V109" s="34"/>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5" t="str">
        <f aca="false">IF(T109="","",IF(T109="Normal",100,IF(T109="Overweight",65,IF(T109="Obese",50,IF(AND(U109&lt;&gt;"",U109&lt;18.5),30,45)))))</f>
        <v/>
      </c>
      <c r="BG109" s="35" t="str">
        <f aca="false">IF(COUNTBLANK(W109:AC109)&gt;0,"",ROUND(AVERAGE(INDEX('SCORING MASTER'!$D$5:$D$7,MATCH(W109,'SCORING MASTER'!$C$5:$C$7,0)),INDEX('SCORING MASTER'!$D$9:$D$11,MATCH(X109,'SCORING MASTER'!$C$9:$C$11,0)),INDEX('SCORING MASTER'!$D$13:$D$15,MATCH(Y109,'SCORING MASTER'!$C$13:$C$15,0)),INDEX('SCORING MASTER'!$D$17:$D$19,MATCH(Z109,'SCORING MASTER'!$C$17:$C$19,0)),INDEX('SCORING MASTER'!$D$21:$D$23,MATCH(AA109,'SCORING MASTER'!$C$21:$C$23,0)),INDEX('SCORING MASTER'!$D$25:$D$27,MATCH(AB109,'SCORING MASTER'!$C$25:$C$27,0)),INDEX('SCORING MASTER'!$D$29:$D$31,MATCH(AC109,'SCORING MASTER'!$C$29:$C$31,0)))*20,0))</f>
        <v/>
      </c>
      <c r="BH109" s="35" t="str">
        <f aca="false">IF(COUNTBLANK(AD109:AI109)&gt;0,"",ROUND(AVERAGE(INDEX('SCORING MASTER'!$D$33:$D$35,MATCH(AD109,'SCORING MASTER'!$C$33:$C$35,0)),INDEX('SCORING MASTER'!$D$37:$D$39,MATCH(AE109,'SCORING MASTER'!$C$37:$C$39,0)),INDEX('SCORING MASTER'!$D$41:$D$43,MATCH(AF109,'SCORING MASTER'!$C$41:$C$43,0)),INDEX('SCORING MASTER'!$D$45:$D$47,MATCH(AG109,'SCORING MASTER'!$C$45:$C$47,0)),INDEX('SCORING MASTER'!$D$49:$D$52,MATCH(AH109,'SCORING MASTER'!$C$49:$C$52,0)),INDEX('SCORING MASTER'!$D$54:$D$57,MATCH(AI109,'SCORING MASTER'!$C$54:$C$57,0)))*20,0))</f>
        <v/>
      </c>
      <c r="BI109" s="35" t="str">
        <f aca="false">IF(COUNTBLANK(AJ109:AP109)&gt;0,"",ROUND(AVERAGE(INDEX('SCORING MASTER'!$D$59:$D$60,MATCH(AJ109,'SCORING MASTER'!$C$59:$C$60,0)),INDEX('SCORING MASTER'!$D$62:$D$63,MATCH(AK109,'SCORING MASTER'!$C$62:$C$63,0)),INDEX('SCORING MASTER'!$D$65:$D$66,MATCH(AL109,'SCORING MASTER'!$C$65:$C$66,0)),INDEX('SCORING MASTER'!$D$68:$D$69,MATCH(AM109,'SCORING MASTER'!$C$68:$C$69,0)),INDEX('SCORING MASTER'!$D$71:$D$72,MATCH(AN109,'SCORING MASTER'!$C$71:$C$72,0)),INDEX('SCORING MASTER'!$D$74:$D$75,MATCH(AO109,'SCORING MASTER'!$C$74:$C$75,0)),INDEX('SCORING MASTER'!$D$77:$D$78,MATCH(AP109,'SCORING MASTER'!$C$77:$C$78,0)))*20,0))</f>
        <v/>
      </c>
      <c r="BJ109" s="35" t="str">
        <f aca="false">IF(COUNTBLANK(AU109:AZ109)&gt;0,"",ROUND(AVERAGE(INDEX('SCORING MASTER'!$D$95:$D$96,MATCH(AU109,'SCORING MASTER'!$C$95:$C$96,0)),INDEX('SCORING MASTER'!$D$98:$D$99,MATCH(AV109,'SCORING MASTER'!$C$98:$C$99,0)),INDEX('SCORING MASTER'!$D$101:$D$102,MATCH(AW109,'SCORING MASTER'!$C$101:$C$102,0)),INDEX('SCORING MASTER'!$D$104:$D$105,MATCH(AX109,'SCORING MASTER'!$C$104:$C$105,0)),INDEX('SCORING MASTER'!$D$107:$D$108,MATCH(AY109,'SCORING MASTER'!$C$107:$C$108,0)),INDEX('SCORING MASTER'!$D$110:$D$111,MATCH(AZ109,'SCORING MASTER'!$C$110:$C$111,0)))*20,0))</f>
        <v/>
      </c>
      <c r="BK109" s="35" t="str">
        <f aca="false">IF(COUNTBLANK(AQ109:AT109)&gt;0,"",ROUND(AVERAGE(INDEX('SCORING MASTER'!$D$80:$D$82,MATCH(AQ109,'SCORING MASTER'!$C$80:$C$82,0)),INDEX('SCORING MASTER'!$D$84:$D$86,MATCH(AR109,'SCORING MASTER'!$C$84:$C$86,0)),INDEX('SCORING MASTER'!$D$88:$D$90,MATCH(AS109,'SCORING MASTER'!$C$88:$C$90,0)),INDEX('SCORING MASTER'!$D$92:$D$93,MATCH(AT109,'SCORING MASTER'!$C$92:$C$93,0)))*20,0))</f>
        <v/>
      </c>
      <c r="BL109" s="35" t="str">
        <f aca="false">IF(COUNTBLANK(BA109:BE109)&gt;0,"",ROUND(AVERAGE(INDEX('SCORING MASTER'!$D$113:$D$115,MATCH(BA109,'SCORING MASTER'!$C$113:$C$115,0)),INDEX('SCORING MASTER'!$D$117:$D$119,MATCH(BB109,'SCORING MASTER'!$C$117:$C$119,0)),INDEX('SCORING MASTER'!$D$121:$D$123,MATCH(BC109,'SCORING MASTER'!$C$121:$C$123,0)),INDEX('SCORING MASTER'!$D$125:$D$126,MATCH(BD109,'SCORING MASTER'!$C$125:$C$126,0)),INDEX('SCORING MASTER'!$D$128:$D$129,MATCH(BE109,'SCORING MASTER'!$C$128:$C$129,0)))*20,0))</f>
        <v/>
      </c>
      <c r="BM109" s="35" t="str">
        <f aca="false">IF(OR(BF109="",BG109="",BH109="",BI109="",BJ109="",BK109="",BL109=""),"",ROUND(BF109*0.25+BG109*0.2+BH109*0.15+BI109*0.15+BJ109*0.1+BK109*0.1+BL109*0.05,0))</f>
        <v/>
      </c>
      <c r="BN109" s="35" t="str">
        <f aca="false">IF(OR(BF109="",BG109=""),"",ROUND(BF109*0.5+BG109*0.5,0))</f>
        <v/>
      </c>
      <c r="BO109" s="35" t="str">
        <f aca="false">IF(BN109="","",ROUND(MIN(100,MAX(0,(100-BN109)+IF(AL109="Yes",15,0)+IF(AM109="Yes",15,0)+IF(AND(U109&lt;&gt;"",U109&lt;18.5),20,0))),0))</f>
        <v/>
      </c>
      <c r="BP109" s="32" t="str">
        <f aca="false">IF(BM109="","",IF(BM109&gt;=90,"Green - Healthy",IF(BM109&gt;=75,"Light Green - Mild Watch",IF(BM109&gt;=60,"Yellow - Mild Risk",IF(BM109&gt;=40,"Orange - Moderate Risk","Red - High Risk")))))</f>
        <v/>
      </c>
      <c r="BQ109" s="32" t="str">
        <f aca="false">IF(BM109="","",IF(OR(BM109&lt;60,BO109&gt;=60,AJ109="Yes"),"Yes","No"))</f>
        <v/>
      </c>
      <c r="BR109" s="32" t="str">
        <f aca="false">IF(BM109="","",IF(OR(BP109="Orange - Moderate Risk",BP109="Red - High Risk",BQ109="Yes"),"Yes","No"))</f>
        <v/>
      </c>
    </row>
    <row r="110" customFormat="false" ht="15" hidden="false" customHeight="false" outlineLevel="0" collapsed="false">
      <c r="A110" s="28" t="str">
        <f aca="false">IF(I110="","","STU"&amp;TEXT(ROW()-3,"000000"))</f>
        <v/>
      </c>
      <c r="B110" s="28"/>
      <c r="C110" s="28"/>
      <c r="D110" s="28"/>
      <c r="E110" s="28"/>
      <c r="F110" s="28"/>
      <c r="G110" s="28"/>
      <c r="H110" s="28"/>
      <c r="I110" s="28"/>
      <c r="J110" s="30"/>
      <c r="K110" s="28"/>
      <c r="L110" s="28"/>
      <c r="M110" s="28"/>
      <c r="N110" s="28"/>
      <c r="O110" s="28"/>
      <c r="P110" s="28"/>
      <c r="Q110" s="30"/>
      <c r="R110" s="30"/>
      <c r="S110" s="31" t="str">
        <f aca="false">IF(OR(Q110="",R110=""),"",ROUND(R110/((Q110/100)^2),1))</f>
        <v/>
      </c>
      <c r="T110" s="28" t="str">
        <f aca="false">IF(S110="","",IF(S110&lt;18.5,"Underweight",IF(S110&lt;25,"Normal",IF(S110&lt;30,"Overweight","Obese"))))</f>
        <v/>
      </c>
      <c r="U110" s="30"/>
      <c r="V110" s="30"/>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31" t="str">
        <f aca="false">IF(T110="","",IF(T110="Normal",100,IF(T110="Overweight",65,IF(T110="Obese",50,IF(AND(U110&lt;&gt;"",U110&lt;18.5),30,45)))))</f>
        <v/>
      </c>
      <c r="BG110" s="31" t="str">
        <f aca="false">IF(COUNTBLANK(W110:AC110)&gt;0,"",ROUND(AVERAGE(INDEX('SCORING MASTER'!$D$5:$D$7,MATCH(W110,'SCORING MASTER'!$C$5:$C$7,0)),INDEX('SCORING MASTER'!$D$9:$D$11,MATCH(X110,'SCORING MASTER'!$C$9:$C$11,0)),INDEX('SCORING MASTER'!$D$13:$D$15,MATCH(Y110,'SCORING MASTER'!$C$13:$C$15,0)),INDEX('SCORING MASTER'!$D$17:$D$19,MATCH(Z110,'SCORING MASTER'!$C$17:$C$19,0)),INDEX('SCORING MASTER'!$D$21:$D$23,MATCH(AA110,'SCORING MASTER'!$C$21:$C$23,0)),INDEX('SCORING MASTER'!$D$25:$D$27,MATCH(AB110,'SCORING MASTER'!$C$25:$C$27,0)),INDEX('SCORING MASTER'!$D$29:$D$31,MATCH(AC110,'SCORING MASTER'!$C$29:$C$31,0)))*20,0))</f>
        <v/>
      </c>
      <c r="BH110" s="31" t="str">
        <f aca="false">IF(COUNTBLANK(AD110:AI110)&gt;0,"",ROUND(AVERAGE(INDEX('SCORING MASTER'!$D$33:$D$35,MATCH(AD110,'SCORING MASTER'!$C$33:$C$35,0)),INDEX('SCORING MASTER'!$D$37:$D$39,MATCH(AE110,'SCORING MASTER'!$C$37:$C$39,0)),INDEX('SCORING MASTER'!$D$41:$D$43,MATCH(AF110,'SCORING MASTER'!$C$41:$C$43,0)),INDEX('SCORING MASTER'!$D$45:$D$47,MATCH(AG110,'SCORING MASTER'!$C$45:$C$47,0)),INDEX('SCORING MASTER'!$D$49:$D$52,MATCH(AH110,'SCORING MASTER'!$C$49:$C$52,0)),INDEX('SCORING MASTER'!$D$54:$D$57,MATCH(AI110,'SCORING MASTER'!$C$54:$C$57,0)))*20,0))</f>
        <v/>
      </c>
      <c r="BI110" s="31" t="str">
        <f aca="false">IF(COUNTBLANK(AJ110:AP110)&gt;0,"",ROUND(AVERAGE(INDEX('SCORING MASTER'!$D$59:$D$60,MATCH(AJ110,'SCORING MASTER'!$C$59:$C$60,0)),INDEX('SCORING MASTER'!$D$62:$D$63,MATCH(AK110,'SCORING MASTER'!$C$62:$C$63,0)),INDEX('SCORING MASTER'!$D$65:$D$66,MATCH(AL110,'SCORING MASTER'!$C$65:$C$66,0)),INDEX('SCORING MASTER'!$D$68:$D$69,MATCH(AM110,'SCORING MASTER'!$C$68:$C$69,0)),INDEX('SCORING MASTER'!$D$71:$D$72,MATCH(AN110,'SCORING MASTER'!$C$71:$C$72,0)),INDEX('SCORING MASTER'!$D$74:$D$75,MATCH(AO110,'SCORING MASTER'!$C$74:$C$75,0)),INDEX('SCORING MASTER'!$D$77:$D$78,MATCH(AP110,'SCORING MASTER'!$C$77:$C$78,0)))*20,0))</f>
        <v/>
      </c>
      <c r="BJ110" s="31" t="str">
        <f aca="false">IF(COUNTBLANK(AU110:AZ110)&gt;0,"",ROUND(AVERAGE(INDEX('SCORING MASTER'!$D$95:$D$96,MATCH(AU110,'SCORING MASTER'!$C$95:$C$96,0)),INDEX('SCORING MASTER'!$D$98:$D$99,MATCH(AV110,'SCORING MASTER'!$C$98:$C$99,0)),INDEX('SCORING MASTER'!$D$101:$D$102,MATCH(AW110,'SCORING MASTER'!$C$101:$C$102,0)),INDEX('SCORING MASTER'!$D$104:$D$105,MATCH(AX110,'SCORING MASTER'!$C$104:$C$105,0)),INDEX('SCORING MASTER'!$D$107:$D$108,MATCH(AY110,'SCORING MASTER'!$C$107:$C$108,0)),INDEX('SCORING MASTER'!$D$110:$D$111,MATCH(AZ110,'SCORING MASTER'!$C$110:$C$111,0)))*20,0))</f>
        <v/>
      </c>
      <c r="BK110" s="31" t="str">
        <f aca="false">IF(COUNTBLANK(AQ110:AT110)&gt;0,"",ROUND(AVERAGE(INDEX('SCORING MASTER'!$D$80:$D$82,MATCH(AQ110,'SCORING MASTER'!$C$80:$C$82,0)),INDEX('SCORING MASTER'!$D$84:$D$86,MATCH(AR110,'SCORING MASTER'!$C$84:$C$86,0)),INDEX('SCORING MASTER'!$D$88:$D$90,MATCH(AS110,'SCORING MASTER'!$C$88:$C$90,0)),INDEX('SCORING MASTER'!$D$92:$D$93,MATCH(AT110,'SCORING MASTER'!$C$92:$C$93,0)))*20,0))</f>
        <v/>
      </c>
      <c r="BL110" s="31" t="str">
        <f aca="false">IF(COUNTBLANK(BA110:BE110)&gt;0,"",ROUND(AVERAGE(INDEX('SCORING MASTER'!$D$113:$D$115,MATCH(BA110,'SCORING MASTER'!$C$113:$C$115,0)),INDEX('SCORING MASTER'!$D$117:$D$119,MATCH(BB110,'SCORING MASTER'!$C$117:$C$119,0)),INDEX('SCORING MASTER'!$D$121:$D$123,MATCH(BC110,'SCORING MASTER'!$C$121:$C$123,0)),INDEX('SCORING MASTER'!$D$125:$D$126,MATCH(BD110,'SCORING MASTER'!$C$125:$C$126,0)),INDEX('SCORING MASTER'!$D$128:$D$129,MATCH(BE110,'SCORING MASTER'!$C$128:$C$129,0)))*20,0))</f>
        <v/>
      </c>
      <c r="BM110" s="31" t="str">
        <f aca="false">IF(OR(BF110="",BG110="",BH110="",BI110="",BJ110="",BK110="",BL110=""),"",ROUND(BF110*0.25+BG110*0.2+BH110*0.15+BI110*0.15+BJ110*0.1+BK110*0.1+BL110*0.05,0))</f>
        <v/>
      </c>
      <c r="BN110" s="31" t="str">
        <f aca="false">IF(OR(BF110="",BG110=""),"",ROUND(BF110*0.5+BG110*0.5,0))</f>
        <v/>
      </c>
      <c r="BO110" s="31" t="str">
        <f aca="false">IF(BN110="","",ROUND(MIN(100,MAX(0,(100-BN110)+IF(AL110="Yes",15,0)+IF(AM110="Yes",15,0)+IF(AND(U110&lt;&gt;"",U110&lt;18.5),20,0))),0))</f>
        <v/>
      </c>
      <c r="BP110" s="28" t="str">
        <f aca="false">IF(BM110="","",IF(BM110&gt;=90,"Green - Healthy",IF(BM110&gt;=75,"Light Green - Mild Watch",IF(BM110&gt;=60,"Yellow - Mild Risk",IF(BM110&gt;=40,"Orange - Moderate Risk","Red - High Risk")))))</f>
        <v/>
      </c>
      <c r="BQ110" s="28" t="str">
        <f aca="false">IF(BM110="","",IF(OR(BM110&lt;60,BO110&gt;=60,AJ110="Yes"),"Yes","No"))</f>
        <v/>
      </c>
      <c r="BR110" s="28" t="str">
        <f aca="false">IF(BM110="","",IF(OR(BP110="Orange - Moderate Risk",BP110="Red - High Risk",BQ110="Yes"),"Yes","No"))</f>
        <v/>
      </c>
    </row>
    <row r="111" customFormat="false" ht="15" hidden="false" customHeight="false" outlineLevel="0" collapsed="false">
      <c r="A111" s="32" t="str">
        <f aca="false">IF(I111="","","STU"&amp;TEXT(ROW()-3,"000000"))</f>
        <v/>
      </c>
      <c r="B111" s="32"/>
      <c r="C111" s="32"/>
      <c r="D111" s="32"/>
      <c r="E111" s="32"/>
      <c r="F111" s="32"/>
      <c r="G111" s="32"/>
      <c r="H111" s="32"/>
      <c r="I111" s="32"/>
      <c r="J111" s="34"/>
      <c r="K111" s="32"/>
      <c r="L111" s="32"/>
      <c r="M111" s="32"/>
      <c r="N111" s="32"/>
      <c r="O111" s="32"/>
      <c r="P111" s="32"/>
      <c r="Q111" s="34"/>
      <c r="R111" s="34"/>
      <c r="S111" s="35" t="str">
        <f aca="false">IF(OR(Q111="",R111=""),"",ROUND(R111/((Q111/100)^2),1))</f>
        <v/>
      </c>
      <c r="T111" s="32" t="str">
        <f aca="false">IF(S111="","",IF(S111&lt;18.5,"Underweight",IF(S111&lt;25,"Normal",IF(S111&lt;30,"Overweight","Obese"))))</f>
        <v/>
      </c>
      <c r="U111" s="34"/>
      <c r="V111" s="34"/>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5" t="str">
        <f aca="false">IF(T111="","",IF(T111="Normal",100,IF(T111="Overweight",65,IF(T111="Obese",50,IF(AND(U111&lt;&gt;"",U111&lt;18.5),30,45)))))</f>
        <v/>
      </c>
      <c r="BG111" s="35" t="str">
        <f aca="false">IF(COUNTBLANK(W111:AC111)&gt;0,"",ROUND(AVERAGE(INDEX('SCORING MASTER'!$D$5:$D$7,MATCH(W111,'SCORING MASTER'!$C$5:$C$7,0)),INDEX('SCORING MASTER'!$D$9:$D$11,MATCH(X111,'SCORING MASTER'!$C$9:$C$11,0)),INDEX('SCORING MASTER'!$D$13:$D$15,MATCH(Y111,'SCORING MASTER'!$C$13:$C$15,0)),INDEX('SCORING MASTER'!$D$17:$D$19,MATCH(Z111,'SCORING MASTER'!$C$17:$C$19,0)),INDEX('SCORING MASTER'!$D$21:$D$23,MATCH(AA111,'SCORING MASTER'!$C$21:$C$23,0)),INDEX('SCORING MASTER'!$D$25:$D$27,MATCH(AB111,'SCORING MASTER'!$C$25:$C$27,0)),INDEX('SCORING MASTER'!$D$29:$D$31,MATCH(AC111,'SCORING MASTER'!$C$29:$C$31,0)))*20,0))</f>
        <v/>
      </c>
      <c r="BH111" s="35" t="str">
        <f aca="false">IF(COUNTBLANK(AD111:AI111)&gt;0,"",ROUND(AVERAGE(INDEX('SCORING MASTER'!$D$33:$D$35,MATCH(AD111,'SCORING MASTER'!$C$33:$C$35,0)),INDEX('SCORING MASTER'!$D$37:$D$39,MATCH(AE111,'SCORING MASTER'!$C$37:$C$39,0)),INDEX('SCORING MASTER'!$D$41:$D$43,MATCH(AF111,'SCORING MASTER'!$C$41:$C$43,0)),INDEX('SCORING MASTER'!$D$45:$D$47,MATCH(AG111,'SCORING MASTER'!$C$45:$C$47,0)),INDEX('SCORING MASTER'!$D$49:$D$52,MATCH(AH111,'SCORING MASTER'!$C$49:$C$52,0)),INDEX('SCORING MASTER'!$D$54:$D$57,MATCH(AI111,'SCORING MASTER'!$C$54:$C$57,0)))*20,0))</f>
        <v/>
      </c>
      <c r="BI111" s="35" t="str">
        <f aca="false">IF(COUNTBLANK(AJ111:AP111)&gt;0,"",ROUND(AVERAGE(INDEX('SCORING MASTER'!$D$59:$D$60,MATCH(AJ111,'SCORING MASTER'!$C$59:$C$60,0)),INDEX('SCORING MASTER'!$D$62:$D$63,MATCH(AK111,'SCORING MASTER'!$C$62:$C$63,0)),INDEX('SCORING MASTER'!$D$65:$D$66,MATCH(AL111,'SCORING MASTER'!$C$65:$C$66,0)),INDEX('SCORING MASTER'!$D$68:$D$69,MATCH(AM111,'SCORING MASTER'!$C$68:$C$69,0)),INDEX('SCORING MASTER'!$D$71:$D$72,MATCH(AN111,'SCORING MASTER'!$C$71:$C$72,0)),INDEX('SCORING MASTER'!$D$74:$D$75,MATCH(AO111,'SCORING MASTER'!$C$74:$C$75,0)),INDEX('SCORING MASTER'!$D$77:$D$78,MATCH(AP111,'SCORING MASTER'!$C$77:$C$78,0)))*20,0))</f>
        <v/>
      </c>
      <c r="BJ111" s="35" t="str">
        <f aca="false">IF(COUNTBLANK(AU111:AZ111)&gt;0,"",ROUND(AVERAGE(INDEX('SCORING MASTER'!$D$95:$D$96,MATCH(AU111,'SCORING MASTER'!$C$95:$C$96,0)),INDEX('SCORING MASTER'!$D$98:$D$99,MATCH(AV111,'SCORING MASTER'!$C$98:$C$99,0)),INDEX('SCORING MASTER'!$D$101:$D$102,MATCH(AW111,'SCORING MASTER'!$C$101:$C$102,0)),INDEX('SCORING MASTER'!$D$104:$D$105,MATCH(AX111,'SCORING MASTER'!$C$104:$C$105,0)),INDEX('SCORING MASTER'!$D$107:$D$108,MATCH(AY111,'SCORING MASTER'!$C$107:$C$108,0)),INDEX('SCORING MASTER'!$D$110:$D$111,MATCH(AZ111,'SCORING MASTER'!$C$110:$C$111,0)))*20,0))</f>
        <v/>
      </c>
      <c r="BK111" s="35" t="str">
        <f aca="false">IF(COUNTBLANK(AQ111:AT111)&gt;0,"",ROUND(AVERAGE(INDEX('SCORING MASTER'!$D$80:$D$82,MATCH(AQ111,'SCORING MASTER'!$C$80:$C$82,0)),INDEX('SCORING MASTER'!$D$84:$D$86,MATCH(AR111,'SCORING MASTER'!$C$84:$C$86,0)),INDEX('SCORING MASTER'!$D$88:$D$90,MATCH(AS111,'SCORING MASTER'!$C$88:$C$90,0)),INDEX('SCORING MASTER'!$D$92:$D$93,MATCH(AT111,'SCORING MASTER'!$C$92:$C$93,0)))*20,0))</f>
        <v/>
      </c>
      <c r="BL111" s="35" t="str">
        <f aca="false">IF(COUNTBLANK(BA111:BE111)&gt;0,"",ROUND(AVERAGE(INDEX('SCORING MASTER'!$D$113:$D$115,MATCH(BA111,'SCORING MASTER'!$C$113:$C$115,0)),INDEX('SCORING MASTER'!$D$117:$D$119,MATCH(BB111,'SCORING MASTER'!$C$117:$C$119,0)),INDEX('SCORING MASTER'!$D$121:$D$123,MATCH(BC111,'SCORING MASTER'!$C$121:$C$123,0)),INDEX('SCORING MASTER'!$D$125:$D$126,MATCH(BD111,'SCORING MASTER'!$C$125:$C$126,0)),INDEX('SCORING MASTER'!$D$128:$D$129,MATCH(BE111,'SCORING MASTER'!$C$128:$C$129,0)))*20,0))</f>
        <v/>
      </c>
      <c r="BM111" s="35" t="str">
        <f aca="false">IF(OR(BF111="",BG111="",BH111="",BI111="",BJ111="",BK111="",BL111=""),"",ROUND(BF111*0.25+BG111*0.2+BH111*0.15+BI111*0.15+BJ111*0.1+BK111*0.1+BL111*0.05,0))</f>
        <v/>
      </c>
      <c r="BN111" s="35" t="str">
        <f aca="false">IF(OR(BF111="",BG111=""),"",ROUND(BF111*0.5+BG111*0.5,0))</f>
        <v/>
      </c>
      <c r="BO111" s="35" t="str">
        <f aca="false">IF(BN111="","",ROUND(MIN(100,MAX(0,(100-BN111)+IF(AL111="Yes",15,0)+IF(AM111="Yes",15,0)+IF(AND(U111&lt;&gt;"",U111&lt;18.5),20,0))),0))</f>
        <v/>
      </c>
      <c r="BP111" s="32" t="str">
        <f aca="false">IF(BM111="","",IF(BM111&gt;=90,"Green - Healthy",IF(BM111&gt;=75,"Light Green - Mild Watch",IF(BM111&gt;=60,"Yellow - Mild Risk",IF(BM111&gt;=40,"Orange - Moderate Risk","Red - High Risk")))))</f>
        <v/>
      </c>
      <c r="BQ111" s="32" t="str">
        <f aca="false">IF(BM111="","",IF(OR(BM111&lt;60,BO111&gt;=60,AJ111="Yes"),"Yes","No"))</f>
        <v/>
      </c>
      <c r="BR111" s="32" t="str">
        <f aca="false">IF(BM111="","",IF(OR(BP111="Orange - Moderate Risk",BP111="Red - High Risk",BQ111="Yes"),"Yes","No"))</f>
        <v/>
      </c>
    </row>
    <row r="112" customFormat="false" ht="15" hidden="false" customHeight="false" outlineLevel="0" collapsed="false">
      <c r="A112" s="28" t="str">
        <f aca="false">IF(I112="","","STU"&amp;TEXT(ROW()-3,"000000"))</f>
        <v/>
      </c>
      <c r="B112" s="28"/>
      <c r="C112" s="28"/>
      <c r="D112" s="28"/>
      <c r="E112" s="28"/>
      <c r="F112" s="28"/>
      <c r="G112" s="28"/>
      <c r="H112" s="28"/>
      <c r="I112" s="28"/>
      <c r="J112" s="30"/>
      <c r="K112" s="28"/>
      <c r="L112" s="28"/>
      <c r="M112" s="28"/>
      <c r="N112" s="28"/>
      <c r="O112" s="28"/>
      <c r="P112" s="28"/>
      <c r="Q112" s="30"/>
      <c r="R112" s="30"/>
      <c r="S112" s="31" t="str">
        <f aca="false">IF(OR(Q112="",R112=""),"",ROUND(R112/((Q112/100)^2),1))</f>
        <v/>
      </c>
      <c r="T112" s="28" t="str">
        <f aca="false">IF(S112="","",IF(S112&lt;18.5,"Underweight",IF(S112&lt;25,"Normal",IF(S112&lt;30,"Overweight","Obese"))))</f>
        <v/>
      </c>
      <c r="U112" s="30"/>
      <c r="V112" s="30"/>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31" t="str">
        <f aca="false">IF(T112="","",IF(T112="Normal",100,IF(T112="Overweight",65,IF(T112="Obese",50,IF(AND(U112&lt;&gt;"",U112&lt;18.5),30,45)))))</f>
        <v/>
      </c>
      <c r="BG112" s="31" t="str">
        <f aca="false">IF(COUNTBLANK(W112:AC112)&gt;0,"",ROUND(AVERAGE(INDEX('SCORING MASTER'!$D$5:$D$7,MATCH(W112,'SCORING MASTER'!$C$5:$C$7,0)),INDEX('SCORING MASTER'!$D$9:$D$11,MATCH(X112,'SCORING MASTER'!$C$9:$C$11,0)),INDEX('SCORING MASTER'!$D$13:$D$15,MATCH(Y112,'SCORING MASTER'!$C$13:$C$15,0)),INDEX('SCORING MASTER'!$D$17:$D$19,MATCH(Z112,'SCORING MASTER'!$C$17:$C$19,0)),INDEX('SCORING MASTER'!$D$21:$D$23,MATCH(AA112,'SCORING MASTER'!$C$21:$C$23,0)),INDEX('SCORING MASTER'!$D$25:$D$27,MATCH(AB112,'SCORING MASTER'!$C$25:$C$27,0)),INDEX('SCORING MASTER'!$D$29:$D$31,MATCH(AC112,'SCORING MASTER'!$C$29:$C$31,0)))*20,0))</f>
        <v/>
      </c>
      <c r="BH112" s="31" t="str">
        <f aca="false">IF(COUNTBLANK(AD112:AI112)&gt;0,"",ROUND(AVERAGE(INDEX('SCORING MASTER'!$D$33:$D$35,MATCH(AD112,'SCORING MASTER'!$C$33:$C$35,0)),INDEX('SCORING MASTER'!$D$37:$D$39,MATCH(AE112,'SCORING MASTER'!$C$37:$C$39,0)),INDEX('SCORING MASTER'!$D$41:$D$43,MATCH(AF112,'SCORING MASTER'!$C$41:$C$43,0)),INDEX('SCORING MASTER'!$D$45:$D$47,MATCH(AG112,'SCORING MASTER'!$C$45:$C$47,0)),INDEX('SCORING MASTER'!$D$49:$D$52,MATCH(AH112,'SCORING MASTER'!$C$49:$C$52,0)),INDEX('SCORING MASTER'!$D$54:$D$57,MATCH(AI112,'SCORING MASTER'!$C$54:$C$57,0)))*20,0))</f>
        <v/>
      </c>
      <c r="BI112" s="31" t="str">
        <f aca="false">IF(COUNTBLANK(AJ112:AP112)&gt;0,"",ROUND(AVERAGE(INDEX('SCORING MASTER'!$D$59:$D$60,MATCH(AJ112,'SCORING MASTER'!$C$59:$C$60,0)),INDEX('SCORING MASTER'!$D$62:$D$63,MATCH(AK112,'SCORING MASTER'!$C$62:$C$63,0)),INDEX('SCORING MASTER'!$D$65:$D$66,MATCH(AL112,'SCORING MASTER'!$C$65:$C$66,0)),INDEX('SCORING MASTER'!$D$68:$D$69,MATCH(AM112,'SCORING MASTER'!$C$68:$C$69,0)),INDEX('SCORING MASTER'!$D$71:$D$72,MATCH(AN112,'SCORING MASTER'!$C$71:$C$72,0)),INDEX('SCORING MASTER'!$D$74:$D$75,MATCH(AO112,'SCORING MASTER'!$C$74:$C$75,0)),INDEX('SCORING MASTER'!$D$77:$D$78,MATCH(AP112,'SCORING MASTER'!$C$77:$C$78,0)))*20,0))</f>
        <v/>
      </c>
      <c r="BJ112" s="31" t="str">
        <f aca="false">IF(COUNTBLANK(AU112:AZ112)&gt;0,"",ROUND(AVERAGE(INDEX('SCORING MASTER'!$D$95:$D$96,MATCH(AU112,'SCORING MASTER'!$C$95:$C$96,0)),INDEX('SCORING MASTER'!$D$98:$D$99,MATCH(AV112,'SCORING MASTER'!$C$98:$C$99,0)),INDEX('SCORING MASTER'!$D$101:$D$102,MATCH(AW112,'SCORING MASTER'!$C$101:$C$102,0)),INDEX('SCORING MASTER'!$D$104:$D$105,MATCH(AX112,'SCORING MASTER'!$C$104:$C$105,0)),INDEX('SCORING MASTER'!$D$107:$D$108,MATCH(AY112,'SCORING MASTER'!$C$107:$C$108,0)),INDEX('SCORING MASTER'!$D$110:$D$111,MATCH(AZ112,'SCORING MASTER'!$C$110:$C$111,0)))*20,0))</f>
        <v/>
      </c>
      <c r="BK112" s="31" t="str">
        <f aca="false">IF(COUNTBLANK(AQ112:AT112)&gt;0,"",ROUND(AVERAGE(INDEX('SCORING MASTER'!$D$80:$D$82,MATCH(AQ112,'SCORING MASTER'!$C$80:$C$82,0)),INDEX('SCORING MASTER'!$D$84:$D$86,MATCH(AR112,'SCORING MASTER'!$C$84:$C$86,0)),INDEX('SCORING MASTER'!$D$88:$D$90,MATCH(AS112,'SCORING MASTER'!$C$88:$C$90,0)),INDEX('SCORING MASTER'!$D$92:$D$93,MATCH(AT112,'SCORING MASTER'!$C$92:$C$93,0)))*20,0))</f>
        <v/>
      </c>
      <c r="BL112" s="31" t="str">
        <f aca="false">IF(COUNTBLANK(BA112:BE112)&gt;0,"",ROUND(AVERAGE(INDEX('SCORING MASTER'!$D$113:$D$115,MATCH(BA112,'SCORING MASTER'!$C$113:$C$115,0)),INDEX('SCORING MASTER'!$D$117:$D$119,MATCH(BB112,'SCORING MASTER'!$C$117:$C$119,0)),INDEX('SCORING MASTER'!$D$121:$D$123,MATCH(BC112,'SCORING MASTER'!$C$121:$C$123,0)),INDEX('SCORING MASTER'!$D$125:$D$126,MATCH(BD112,'SCORING MASTER'!$C$125:$C$126,0)),INDEX('SCORING MASTER'!$D$128:$D$129,MATCH(BE112,'SCORING MASTER'!$C$128:$C$129,0)))*20,0))</f>
        <v/>
      </c>
      <c r="BM112" s="31" t="str">
        <f aca="false">IF(OR(BF112="",BG112="",BH112="",BI112="",BJ112="",BK112="",BL112=""),"",ROUND(BF112*0.25+BG112*0.2+BH112*0.15+BI112*0.15+BJ112*0.1+BK112*0.1+BL112*0.05,0))</f>
        <v/>
      </c>
      <c r="BN112" s="31" t="str">
        <f aca="false">IF(OR(BF112="",BG112=""),"",ROUND(BF112*0.5+BG112*0.5,0))</f>
        <v/>
      </c>
      <c r="BO112" s="31" t="str">
        <f aca="false">IF(BN112="","",ROUND(MIN(100,MAX(0,(100-BN112)+IF(AL112="Yes",15,0)+IF(AM112="Yes",15,0)+IF(AND(U112&lt;&gt;"",U112&lt;18.5),20,0))),0))</f>
        <v/>
      </c>
      <c r="BP112" s="28" t="str">
        <f aca="false">IF(BM112="","",IF(BM112&gt;=90,"Green - Healthy",IF(BM112&gt;=75,"Light Green - Mild Watch",IF(BM112&gt;=60,"Yellow - Mild Risk",IF(BM112&gt;=40,"Orange - Moderate Risk","Red - High Risk")))))</f>
        <v/>
      </c>
      <c r="BQ112" s="28" t="str">
        <f aca="false">IF(BM112="","",IF(OR(BM112&lt;60,BO112&gt;=60,AJ112="Yes"),"Yes","No"))</f>
        <v/>
      </c>
      <c r="BR112" s="28" t="str">
        <f aca="false">IF(BM112="","",IF(OR(BP112="Orange - Moderate Risk",BP112="Red - High Risk",BQ112="Yes"),"Yes","No"))</f>
        <v/>
      </c>
    </row>
    <row r="113" customFormat="false" ht="15" hidden="false" customHeight="false" outlineLevel="0" collapsed="false">
      <c r="A113" s="32" t="str">
        <f aca="false">IF(I113="","","STU"&amp;TEXT(ROW()-3,"000000"))</f>
        <v/>
      </c>
      <c r="B113" s="32"/>
      <c r="C113" s="32"/>
      <c r="D113" s="32"/>
      <c r="E113" s="32"/>
      <c r="F113" s="32"/>
      <c r="G113" s="32"/>
      <c r="H113" s="32"/>
      <c r="I113" s="32"/>
      <c r="J113" s="34"/>
      <c r="K113" s="32"/>
      <c r="L113" s="32"/>
      <c r="M113" s="32"/>
      <c r="N113" s="32"/>
      <c r="O113" s="32"/>
      <c r="P113" s="32"/>
      <c r="Q113" s="34"/>
      <c r="R113" s="34"/>
      <c r="S113" s="35" t="str">
        <f aca="false">IF(OR(Q113="",R113=""),"",ROUND(R113/((Q113/100)^2),1))</f>
        <v/>
      </c>
      <c r="T113" s="32" t="str">
        <f aca="false">IF(S113="","",IF(S113&lt;18.5,"Underweight",IF(S113&lt;25,"Normal",IF(S113&lt;30,"Overweight","Obese"))))</f>
        <v/>
      </c>
      <c r="U113" s="34"/>
      <c r="V113" s="34"/>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5" t="str">
        <f aca="false">IF(T113="","",IF(T113="Normal",100,IF(T113="Overweight",65,IF(T113="Obese",50,IF(AND(U113&lt;&gt;"",U113&lt;18.5),30,45)))))</f>
        <v/>
      </c>
      <c r="BG113" s="35" t="str">
        <f aca="false">IF(COUNTBLANK(W113:AC113)&gt;0,"",ROUND(AVERAGE(INDEX('SCORING MASTER'!$D$5:$D$7,MATCH(W113,'SCORING MASTER'!$C$5:$C$7,0)),INDEX('SCORING MASTER'!$D$9:$D$11,MATCH(X113,'SCORING MASTER'!$C$9:$C$11,0)),INDEX('SCORING MASTER'!$D$13:$D$15,MATCH(Y113,'SCORING MASTER'!$C$13:$C$15,0)),INDEX('SCORING MASTER'!$D$17:$D$19,MATCH(Z113,'SCORING MASTER'!$C$17:$C$19,0)),INDEX('SCORING MASTER'!$D$21:$D$23,MATCH(AA113,'SCORING MASTER'!$C$21:$C$23,0)),INDEX('SCORING MASTER'!$D$25:$D$27,MATCH(AB113,'SCORING MASTER'!$C$25:$C$27,0)),INDEX('SCORING MASTER'!$D$29:$D$31,MATCH(AC113,'SCORING MASTER'!$C$29:$C$31,0)))*20,0))</f>
        <v/>
      </c>
      <c r="BH113" s="35" t="str">
        <f aca="false">IF(COUNTBLANK(AD113:AI113)&gt;0,"",ROUND(AVERAGE(INDEX('SCORING MASTER'!$D$33:$D$35,MATCH(AD113,'SCORING MASTER'!$C$33:$C$35,0)),INDEX('SCORING MASTER'!$D$37:$D$39,MATCH(AE113,'SCORING MASTER'!$C$37:$C$39,0)),INDEX('SCORING MASTER'!$D$41:$D$43,MATCH(AF113,'SCORING MASTER'!$C$41:$C$43,0)),INDEX('SCORING MASTER'!$D$45:$D$47,MATCH(AG113,'SCORING MASTER'!$C$45:$C$47,0)),INDEX('SCORING MASTER'!$D$49:$D$52,MATCH(AH113,'SCORING MASTER'!$C$49:$C$52,0)),INDEX('SCORING MASTER'!$D$54:$D$57,MATCH(AI113,'SCORING MASTER'!$C$54:$C$57,0)))*20,0))</f>
        <v/>
      </c>
      <c r="BI113" s="35" t="str">
        <f aca="false">IF(COUNTBLANK(AJ113:AP113)&gt;0,"",ROUND(AVERAGE(INDEX('SCORING MASTER'!$D$59:$D$60,MATCH(AJ113,'SCORING MASTER'!$C$59:$C$60,0)),INDEX('SCORING MASTER'!$D$62:$D$63,MATCH(AK113,'SCORING MASTER'!$C$62:$C$63,0)),INDEX('SCORING MASTER'!$D$65:$D$66,MATCH(AL113,'SCORING MASTER'!$C$65:$C$66,0)),INDEX('SCORING MASTER'!$D$68:$D$69,MATCH(AM113,'SCORING MASTER'!$C$68:$C$69,0)),INDEX('SCORING MASTER'!$D$71:$D$72,MATCH(AN113,'SCORING MASTER'!$C$71:$C$72,0)),INDEX('SCORING MASTER'!$D$74:$D$75,MATCH(AO113,'SCORING MASTER'!$C$74:$C$75,0)),INDEX('SCORING MASTER'!$D$77:$D$78,MATCH(AP113,'SCORING MASTER'!$C$77:$C$78,0)))*20,0))</f>
        <v/>
      </c>
      <c r="BJ113" s="35" t="str">
        <f aca="false">IF(COUNTBLANK(AU113:AZ113)&gt;0,"",ROUND(AVERAGE(INDEX('SCORING MASTER'!$D$95:$D$96,MATCH(AU113,'SCORING MASTER'!$C$95:$C$96,0)),INDEX('SCORING MASTER'!$D$98:$D$99,MATCH(AV113,'SCORING MASTER'!$C$98:$C$99,0)),INDEX('SCORING MASTER'!$D$101:$D$102,MATCH(AW113,'SCORING MASTER'!$C$101:$C$102,0)),INDEX('SCORING MASTER'!$D$104:$D$105,MATCH(AX113,'SCORING MASTER'!$C$104:$C$105,0)),INDEX('SCORING MASTER'!$D$107:$D$108,MATCH(AY113,'SCORING MASTER'!$C$107:$C$108,0)),INDEX('SCORING MASTER'!$D$110:$D$111,MATCH(AZ113,'SCORING MASTER'!$C$110:$C$111,0)))*20,0))</f>
        <v/>
      </c>
      <c r="BK113" s="35" t="str">
        <f aca="false">IF(COUNTBLANK(AQ113:AT113)&gt;0,"",ROUND(AVERAGE(INDEX('SCORING MASTER'!$D$80:$D$82,MATCH(AQ113,'SCORING MASTER'!$C$80:$C$82,0)),INDEX('SCORING MASTER'!$D$84:$D$86,MATCH(AR113,'SCORING MASTER'!$C$84:$C$86,0)),INDEX('SCORING MASTER'!$D$88:$D$90,MATCH(AS113,'SCORING MASTER'!$C$88:$C$90,0)),INDEX('SCORING MASTER'!$D$92:$D$93,MATCH(AT113,'SCORING MASTER'!$C$92:$C$93,0)))*20,0))</f>
        <v/>
      </c>
      <c r="BL113" s="35" t="str">
        <f aca="false">IF(COUNTBLANK(BA113:BE113)&gt;0,"",ROUND(AVERAGE(INDEX('SCORING MASTER'!$D$113:$D$115,MATCH(BA113,'SCORING MASTER'!$C$113:$C$115,0)),INDEX('SCORING MASTER'!$D$117:$D$119,MATCH(BB113,'SCORING MASTER'!$C$117:$C$119,0)),INDEX('SCORING MASTER'!$D$121:$D$123,MATCH(BC113,'SCORING MASTER'!$C$121:$C$123,0)),INDEX('SCORING MASTER'!$D$125:$D$126,MATCH(BD113,'SCORING MASTER'!$C$125:$C$126,0)),INDEX('SCORING MASTER'!$D$128:$D$129,MATCH(BE113,'SCORING MASTER'!$C$128:$C$129,0)))*20,0))</f>
        <v/>
      </c>
      <c r="BM113" s="35" t="str">
        <f aca="false">IF(OR(BF113="",BG113="",BH113="",BI113="",BJ113="",BK113="",BL113=""),"",ROUND(BF113*0.25+BG113*0.2+BH113*0.15+BI113*0.15+BJ113*0.1+BK113*0.1+BL113*0.05,0))</f>
        <v/>
      </c>
      <c r="BN113" s="35" t="str">
        <f aca="false">IF(OR(BF113="",BG113=""),"",ROUND(BF113*0.5+BG113*0.5,0))</f>
        <v/>
      </c>
      <c r="BO113" s="35" t="str">
        <f aca="false">IF(BN113="","",ROUND(MIN(100,MAX(0,(100-BN113)+IF(AL113="Yes",15,0)+IF(AM113="Yes",15,0)+IF(AND(U113&lt;&gt;"",U113&lt;18.5),20,0))),0))</f>
        <v/>
      </c>
      <c r="BP113" s="32" t="str">
        <f aca="false">IF(BM113="","",IF(BM113&gt;=90,"Green - Healthy",IF(BM113&gt;=75,"Light Green - Mild Watch",IF(BM113&gt;=60,"Yellow - Mild Risk",IF(BM113&gt;=40,"Orange - Moderate Risk","Red - High Risk")))))</f>
        <v/>
      </c>
      <c r="BQ113" s="32" t="str">
        <f aca="false">IF(BM113="","",IF(OR(BM113&lt;60,BO113&gt;=60,AJ113="Yes"),"Yes","No"))</f>
        <v/>
      </c>
      <c r="BR113" s="32" t="str">
        <f aca="false">IF(BM113="","",IF(OR(BP113="Orange - Moderate Risk",BP113="Red - High Risk",BQ113="Yes"),"Yes","No"))</f>
        <v/>
      </c>
    </row>
    <row r="114" customFormat="false" ht="15" hidden="false" customHeight="false" outlineLevel="0" collapsed="false">
      <c r="A114" s="28" t="str">
        <f aca="false">IF(I114="","","STU"&amp;TEXT(ROW()-3,"000000"))</f>
        <v/>
      </c>
      <c r="B114" s="28"/>
      <c r="C114" s="28"/>
      <c r="D114" s="28"/>
      <c r="E114" s="28"/>
      <c r="F114" s="28"/>
      <c r="G114" s="28"/>
      <c r="H114" s="28"/>
      <c r="I114" s="28"/>
      <c r="J114" s="30"/>
      <c r="K114" s="28"/>
      <c r="L114" s="28"/>
      <c r="M114" s="28"/>
      <c r="N114" s="28"/>
      <c r="O114" s="28"/>
      <c r="P114" s="28"/>
      <c r="Q114" s="30"/>
      <c r="R114" s="30"/>
      <c r="S114" s="31" t="str">
        <f aca="false">IF(OR(Q114="",R114=""),"",ROUND(R114/((Q114/100)^2),1))</f>
        <v/>
      </c>
      <c r="T114" s="28" t="str">
        <f aca="false">IF(S114="","",IF(S114&lt;18.5,"Underweight",IF(S114&lt;25,"Normal",IF(S114&lt;30,"Overweight","Obese"))))</f>
        <v/>
      </c>
      <c r="U114" s="30"/>
      <c r="V114" s="30"/>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31" t="str">
        <f aca="false">IF(T114="","",IF(T114="Normal",100,IF(T114="Overweight",65,IF(T114="Obese",50,IF(AND(U114&lt;&gt;"",U114&lt;18.5),30,45)))))</f>
        <v/>
      </c>
      <c r="BG114" s="31" t="str">
        <f aca="false">IF(COUNTBLANK(W114:AC114)&gt;0,"",ROUND(AVERAGE(INDEX('SCORING MASTER'!$D$5:$D$7,MATCH(W114,'SCORING MASTER'!$C$5:$C$7,0)),INDEX('SCORING MASTER'!$D$9:$D$11,MATCH(X114,'SCORING MASTER'!$C$9:$C$11,0)),INDEX('SCORING MASTER'!$D$13:$D$15,MATCH(Y114,'SCORING MASTER'!$C$13:$C$15,0)),INDEX('SCORING MASTER'!$D$17:$D$19,MATCH(Z114,'SCORING MASTER'!$C$17:$C$19,0)),INDEX('SCORING MASTER'!$D$21:$D$23,MATCH(AA114,'SCORING MASTER'!$C$21:$C$23,0)),INDEX('SCORING MASTER'!$D$25:$D$27,MATCH(AB114,'SCORING MASTER'!$C$25:$C$27,0)),INDEX('SCORING MASTER'!$D$29:$D$31,MATCH(AC114,'SCORING MASTER'!$C$29:$C$31,0)))*20,0))</f>
        <v/>
      </c>
      <c r="BH114" s="31" t="str">
        <f aca="false">IF(COUNTBLANK(AD114:AI114)&gt;0,"",ROUND(AVERAGE(INDEX('SCORING MASTER'!$D$33:$D$35,MATCH(AD114,'SCORING MASTER'!$C$33:$C$35,0)),INDEX('SCORING MASTER'!$D$37:$D$39,MATCH(AE114,'SCORING MASTER'!$C$37:$C$39,0)),INDEX('SCORING MASTER'!$D$41:$D$43,MATCH(AF114,'SCORING MASTER'!$C$41:$C$43,0)),INDEX('SCORING MASTER'!$D$45:$D$47,MATCH(AG114,'SCORING MASTER'!$C$45:$C$47,0)),INDEX('SCORING MASTER'!$D$49:$D$52,MATCH(AH114,'SCORING MASTER'!$C$49:$C$52,0)),INDEX('SCORING MASTER'!$D$54:$D$57,MATCH(AI114,'SCORING MASTER'!$C$54:$C$57,0)))*20,0))</f>
        <v/>
      </c>
      <c r="BI114" s="31" t="str">
        <f aca="false">IF(COUNTBLANK(AJ114:AP114)&gt;0,"",ROUND(AVERAGE(INDEX('SCORING MASTER'!$D$59:$D$60,MATCH(AJ114,'SCORING MASTER'!$C$59:$C$60,0)),INDEX('SCORING MASTER'!$D$62:$D$63,MATCH(AK114,'SCORING MASTER'!$C$62:$C$63,0)),INDEX('SCORING MASTER'!$D$65:$D$66,MATCH(AL114,'SCORING MASTER'!$C$65:$C$66,0)),INDEX('SCORING MASTER'!$D$68:$D$69,MATCH(AM114,'SCORING MASTER'!$C$68:$C$69,0)),INDEX('SCORING MASTER'!$D$71:$D$72,MATCH(AN114,'SCORING MASTER'!$C$71:$C$72,0)),INDEX('SCORING MASTER'!$D$74:$D$75,MATCH(AO114,'SCORING MASTER'!$C$74:$C$75,0)),INDEX('SCORING MASTER'!$D$77:$D$78,MATCH(AP114,'SCORING MASTER'!$C$77:$C$78,0)))*20,0))</f>
        <v/>
      </c>
      <c r="BJ114" s="31" t="str">
        <f aca="false">IF(COUNTBLANK(AU114:AZ114)&gt;0,"",ROUND(AVERAGE(INDEX('SCORING MASTER'!$D$95:$D$96,MATCH(AU114,'SCORING MASTER'!$C$95:$C$96,0)),INDEX('SCORING MASTER'!$D$98:$D$99,MATCH(AV114,'SCORING MASTER'!$C$98:$C$99,0)),INDEX('SCORING MASTER'!$D$101:$D$102,MATCH(AW114,'SCORING MASTER'!$C$101:$C$102,0)),INDEX('SCORING MASTER'!$D$104:$D$105,MATCH(AX114,'SCORING MASTER'!$C$104:$C$105,0)),INDEX('SCORING MASTER'!$D$107:$D$108,MATCH(AY114,'SCORING MASTER'!$C$107:$C$108,0)),INDEX('SCORING MASTER'!$D$110:$D$111,MATCH(AZ114,'SCORING MASTER'!$C$110:$C$111,0)))*20,0))</f>
        <v/>
      </c>
      <c r="BK114" s="31" t="str">
        <f aca="false">IF(COUNTBLANK(AQ114:AT114)&gt;0,"",ROUND(AVERAGE(INDEX('SCORING MASTER'!$D$80:$D$82,MATCH(AQ114,'SCORING MASTER'!$C$80:$C$82,0)),INDEX('SCORING MASTER'!$D$84:$D$86,MATCH(AR114,'SCORING MASTER'!$C$84:$C$86,0)),INDEX('SCORING MASTER'!$D$88:$D$90,MATCH(AS114,'SCORING MASTER'!$C$88:$C$90,0)),INDEX('SCORING MASTER'!$D$92:$D$93,MATCH(AT114,'SCORING MASTER'!$C$92:$C$93,0)))*20,0))</f>
        <v/>
      </c>
      <c r="BL114" s="31" t="str">
        <f aca="false">IF(COUNTBLANK(BA114:BE114)&gt;0,"",ROUND(AVERAGE(INDEX('SCORING MASTER'!$D$113:$D$115,MATCH(BA114,'SCORING MASTER'!$C$113:$C$115,0)),INDEX('SCORING MASTER'!$D$117:$D$119,MATCH(BB114,'SCORING MASTER'!$C$117:$C$119,0)),INDEX('SCORING MASTER'!$D$121:$D$123,MATCH(BC114,'SCORING MASTER'!$C$121:$C$123,0)),INDEX('SCORING MASTER'!$D$125:$D$126,MATCH(BD114,'SCORING MASTER'!$C$125:$C$126,0)),INDEX('SCORING MASTER'!$D$128:$D$129,MATCH(BE114,'SCORING MASTER'!$C$128:$C$129,0)))*20,0))</f>
        <v/>
      </c>
      <c r="BM114" s="31" t="str">
        <f aca="false">IF(OR(BF114="",BG114="",BH114="",BI114="",BJ114="",BK114="",BL114=""),"",ROUND(BF114*0.25+BG114*0.2+BH114*0.15+BI114*0.15+BJ114*0.1+BK114*0.1+BL114*0.05,0))</f>
        <v/>
      </c>
      <c r="BN114" s="31" t="str">
        <f aca="false">IF(OR(BF114="",BG114=""),"",ROUND(BF114*0.5+BG114*0.5,0))</f>
        <v/>
      </c>
      <c r="BO114" s="31" t="str">
        <f aca="false">IF(BN114="","",ROUND(MIN(100,MAX(0,(100-BN114)+IF(AL114="Yes",15,0)+IF(AM114="Yes",15,0)+IF(AND(U114&lt;&gt;"",U114&lt;18.5),20,0))),0))</f>
        <v/>
      </c>
      <c r="BP114" s="28" t="str">
        <f aca="false">IF(BM114="","",IF(BM114&gt;=90,"Green - Healthy",IF(BM114&gt;=75,"Light Green - Mild Watch",IF(BM114&gt;=60,"Yellow - Mild Risk",IF(BM114&gt;=40,"Orange - Moderate Risk","Red - High Risk")))))</f>
        <v/>
      </c>
      <c r="BQ114" s="28" t="str">
        <f aca="false">IF(BM114="","",IF(OR(BM114&lt;60,BO114&gt;=60,AJ114="Yes"),"Yes","No"))</f>
        <v/>
      </c>
      <c r="BR114" s="28" t="str">
        <f aca="false">IF(BM114="","",IF(OR(BP114="Orange - Moderate Risk",BP114="Red - High Risk",BQ114="Yes"),"Yes","No"))</f>
        <v/>
      </c>
    </row>
    <row r="115" customFormat="false" ht="15" hidden="false" customHeight="false" outlineLevel="0" collapsed="false">
      <c r="A115" s="32" t="str">
        <f aca="false">IF(I115="","","STU"&amp;TEXT(ROW()-3,"000000"))</f>
        <v/>
      </c>
      <c r="B115" s="32"/>
      <c r="C115" s="32"/>
      <c r="D115" s="32"/>
      <c r="E115" s="32"/>
      <c r="F115" s="32"/>
      <c r="G115" s="32"/>
      <c r="H115" s="32"/>
      <c r="I115" s="32"/>
      <c r="J115" s="34"/>
      <c r="K115" s="32"/>
      <c r="L115" s="32"/>
      <c r="M115" s="32"/>
      <c r="N115" s="32"/>
      <c r="O115" s="32"/>
      <c r="P115" s="32"/>
      <c r="Q115" s="34"/>
      <c r="R115" s="34"/>
      <c r="S115" s="35" t="str">
        <f aca="false">IF(OR(Q115="",R115=""),"",ROUND(R115/((Q115/100)^2),1))</f>
        <v/>
      </c>
      <c r="T115" s="32" t="str">
        <f aca="false">IF(S115="","",IF(S115&lt;18.5,"Underweight",IF(S115&lt;25,"Normal",IF(S115&lt;30,"Overweight","Obese"))))</f>
        <v/>
      </c>
      <c r="U115" s="34"/>
      <c r="V115" s="34"/>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5" t="str">
        <f aca="false">IF(T115="","",IF(T115="Normal",100,IF(T115="Overweight",65,IF(T115="Obese",50,IF(AND(U115&lt;&gt;"",U115&lt;18.5),30,45)))))</f>
        <v/>
      </c>
      <c r="BG115" s="35" t="str">
        <f aca="false">IF(COUNTBLANK(W115:AC115)&gt;0,"",ROUND(AVERAGE(INDEX('SCORING MASTER'!$D$5:$D$7,MATCH(W115,'SCORING MASTER'!$C$5:$C$7,0)),INDEX('SCORING MASTER'!$D$9:$D$11,MATCH(X115,'SCORING MASTER'!$C$9:$C$11,0)),INDEX('SCORING MASTER'!$D$13:$D$15,MATCH(Y115,'SCORING MASTER'!$C$13:$C$15,0)),INDEX('SCORING MASTER'!$D$17:$D$19,MATCH(Z115,'SCORING MASTER'!$C$17:$C$19,0)),INDEX('SCORING MASTER'!$D$21:$D$23,MATCH(AA115,'SCORING MASTER'!$C$21:$C$23,0)),INDEX('SCORING MASTER'!$D$25:$D$27,MATCH(AB115,'SCORING MASTER'!$C$25:$C$27,0)),INDEX('SCORING MASTER'!$D$29:$D$31,MATCH(AC115,'SCORING MASTER'!$C$29:$C$31,0)))*20,0))</f>
        <v/>
      </c>
      <c r="BH115" s="35" t="str">
        <f aca="false">IF(COUNTBLANK(AD115:AI115)&gt;0,"",ROUND(AVERAGE(INDEX('SCORING MASTER'!$D$33:$D$35,MATCH(AD115,'SCORING MASTER'!$C$33:$C$35,0)),INDEX('SCORING MASTER'!$D$37:$D$39,MATCH(AE115,'SCORING MASTER'!$C$37:$C$39,0)),INDEX('SCORING MASTER'!$D$41:$D$43,MATCH(AF115,'SCORING MASTER'!$C$41:$C$43,0)),INDEX('SCORING MASTER'!$D$45:$D$47,MATCH(AG115,'SCORING MASTER'!$C$45:$C$47,0)),INDEX('SCORING MASTER'!$D$49:$D$52,MATCH(AH115,'SCORING MASTER'!$C$49:$C$52,0)),INDEX('SCORING MASTER'!$D$54:$D$57,MATCH(AI115,'SCORING MASTER'!$C$54:$C$57,0)))*20,0))</f>
        <v/>
      </c>
      <c r="BI115" s="35" t="str">
        <f aca="false">IF(COUNTBLANK(AJ115:AP115)&gt;0,"",ROUND(AVERAGE(INDEX('SCORING MASTER'!$D$59:$D$60,MATCH(AJ115,'SCORING MASTER'!$C$59:$C$60,0)),INDEX('SCORING MASTER'!$D$62:$D$63,MATCH(AK115,'SCORING MASTER'!$C$62:$C$63,0)),INDEX('SCORING MASTER'!$D$65:$D$66,MATCH(AL115,'SCORING MASTER'!$C$65:$C$66,0)),INDEX('SCORING MASTER'!$D$68:$D$69,MATCH(AM115,'SCORING MASTER'!$C$68:$C$69,0)),INDEX('SCORING MASTER'!$D$71:$D$72,MATCH(AN115,'SCORING MASTER'!$C$71:$C$72,0)),INDEX('SCORING MASTER'!$D$74:$D$75,MATCH(AO115,'SCORING MASTER'!$C$74:$C$75,0)),INDEX('SCORING MASTER'!$D$77:$D$78,MATCH(AP115,'SCORING MASTER'!$C$77:$C$78,0)))*20,0))</f>
        <v/>
      </c>
      <c r="BJ115" s="35" t="str">
        <f aca="false">IF(COUNTBLANK(AU115:AZ115)&gt;0,"",ROUND(AVERAGE(INDEX('SCORING MASTER'!$D$95:$D$96,MATCH(AU115,'SCORING MASTER'!$C$95:$C$96,0)),INDEX('SCORING MASTER'!$D$98:$D$99,MATCH(AV115,'SCORING MASTER'!$C$98:$C$99,0)),INDEX('SCORING MASTER'!$D$101:$D$102,MATCH(AW115,'SCORING MASTER'!$C$101:$C$102,0)),INDEX('SCORING MASTER'!$D$104:$D$105,MATCH(AX115,'SCORING MASTER'!$C$104:$C$105,0)),INDEX('SCORING MASTER'!$D$107:$D$108,MATCH(AY115,'SCORING MASTER'!$C$107:$C$108,0)),INDEX('SCORING MASTER'!$D$110:$D$111,MATCH(AZ115,'SCORING MASTER'!$C$110:$C$111,0)))*20,0))</f>
        <v/>
      </c>
      <c r="BK115" s="35" t="str">
        <f aca="false">IF(COUNTBLANK(AQ115:AT115)&gt;0,"",ROUND(AVERAGE(INDEX('SCORING MASTER'!$D$80:$D$82,MATCH(AQ115,'SCORING MASTER'!$C$80:$C$82,0)),INDEX('SCORING MASTER'!$D$84:$D$86,MATCH(AR115,'SCORING MASTER'!$C$84:$C$86,0)),INDEX('SCORING MASTER'!$D$88:$D$90,MATCH(AS115,'SCORING MASTER'!$C$88:$C$90,0)),INDEX('SCORING MASTER'!$D$92:$D$93,MATCH(AT115,'SCORING MASTER'!$C$92:$C$93,0)))*20,0))</f>
        <v/>
      </c>
      <c r="BL115" s="35" t="str">
        <f aca="false">IF(COUNTBLANK(BA115:BE115)&gt;0,"",ROUND(AVERAGE(INDEX('SCORING MASTER'!$D$113:$D$115,MATCH(BA115,'SCORING MASTER'!$C$113:$C$115,0)),INDEX('SCORING MASTER'!$D$117:$D$119,MATCH(BB115,'SCORING MASTER'!$C$117:$C$119,0)),INDEX('SCORING MASTER'!$D$121:$D$123,MATCH(BC115,'SCORING MASTER'!$C$121:$C$123,0)),INDEX('SCORING MASTER'!$D$125:$D$126,MATCH(BD115,'SCORING MASTER'!$C$125:$C$126,0)),INDEX('SCORING MASTER'!$D$128:$D$129,MATCH(BE115,'SCORING MASTER'!$C$128:$C$129,0)))*20,0))</f>
        <v/>
      </c>
      <c r="BM115" s="35" t="str">
        <f aca="false">IF(OR(BF115="",BG115="",BH115="",BI115="",BJ115="",BK115="",BL115=""),"",ROUND(BF115*0.25+BG115*0.2+BH115*0.15+BI115*0.15+BJ115*0.1+BK115*0.1+BL115*0.05,0))</f>
        <v/>
      </c>
      <c r="BN115" s="35" t="str">
        <f aca="false">IF(OR(BF115="",BG115=""),"",ROUND(BF115*0.5+BG115*0.5,0))</f>
        <v/>
      </c>
      <c r="BO115" s="35" t="str">
        <f aca="false">IF(BN115="","",ROUND(MIN(100,MAX(0,(100-BN115)+IF(AL115="Yes",15,0)+IF(AM115="Yes",15,0)+IF(AND(U115&lt;&gt;"",U115&lt;18.5),20,0))),0))</f>
        <v/>
      </c>
      <c r="BP115" s="32" t="str">
        <f aca="false">IF(BM115="","",IF(BM115&gt;=90,"Green - Healthy",IF(BM115&gt;=75,"Light Green - Mild Watch",IF(BM115&gt;=60,"Yellow - Mild Risk",IF(BM115&gt;=40,"Orange - Moderate Risk","Red - High Risk")))))</f>
        <v/>
      </c>
      <c r="BQ115" s="32" t="str">
        <f aca="false">IF(BM115="","",IF(OR(BM115&lt;60,BO115&gt;=60,AJ115="Yes"),"Yes","No"))</f>
        <v/>
      </c>
      <c r="BR115" s="32" t="str">
        <f aca="false">IF(BM115="","",IF(OR(BP115="Orange - Moderate Risk",BP115="Red - High Risk",BQ115="Yes"),"Yes","No"))</f>
        <v/>
      </c>
    </row>
    <row r="116" customFormat="false" ht="15" hidden="false" customHeight="false" outlineLevel="0" collapsed="false">
      <c r="A116" s="28" t="str">
        <f aca="false">IF(I116="","","STU"&amp;TEXT(ROW()-3,"000000"))</f>
        <v/>
      </c>
      <c r="B116" s="28"/>
      <c r="C116" s="28"/>
      <c r="D116" s="28"/>
      <c r="E116" s="28"/>
      <c r="F116" s="28"/>
      <c r="G116" s="28"/>
      <c r="H116" s="28"/>
      <c r="I116" s="28"/>
      <c r="J116" s="30"/>
      <c r="K116" s="28"/>
      <c r="L116" s="28"/>
      <c r="M116" s="28"/>
      <c r="N116" s="28"/>
      <c r="O116" s="28"/>
      <c r="P116" s="28"/>
      <c r="Q116" s="30"/>
      <c r="R116" s="30"/>
      <c r="S116" s="31" t="str">
        <f aca="false">IF(OR(Q116="",R116=""),"",ROUND(R116/((Q116/100)^2),1))</f>
        <v/>
      </c>
      <c r="T116" s="28" t="str">
        <f aca="false">IF(S116="","",IF(S116&lt;18.5,"Underweight",IF(S116&lt;25,"Normal",IF(S116&lt;30,"Overweight","Obese"))))</f>
        <v/>
      </c>
      <c r="U116" s="30"/>
      <c r="V116" s="30"/>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31" t="str">
        <f aca="false">IF(T116="","",IF(T116="Normal",100,IF(T116="Overweight",65,IF(T116="Obese",50,IF(AND(U116&lt;&gt;"",U116&lt;18.5),30,45)))))</f>
        <v/>
      </c>
      <c r="BG116" s="31" t="str">
        <f aca="false">IF(COUNTBLANK(W116:AC116)&gt;0,"",ROUND(AVERAGE(INDEX('SCORING MASTER'!$D$5:$D$7,MATCH(W116,'SCORING MASTER'!$C$5:$C$7,0)),INDEX('SCORING MASTER'!$D$9:$D$11,MATCH(X116,'SCORING MASTER'!$C$9:$C$11,0)),INDEX('SCORING MASTER'!$D$13:$D$15,MATCH(Y116,'SCORING MASTER'!$C$13:$C$15,0)),INDEX('SCORING MASTER'!$D$17:$D$19,MATCH(Z116,'SCORING MASTER'!$C$17:$C$19,0)),INDEX('SCORING MASTER'!$D$21:$D$23,MATCH(AA116,'SCORING MASTER'!$C$21:$C$23,0)),INDEX('SCORING MASTER'!$D$25:$D$27,MATCH(AB116,'SCORING MASTER'!$C$25:$C$27,0)),INDEX('SCORING MASTER'!$D$29:$D$31,MATCH(AC116,'SCORING MASTER'!$C$29:$C$31,0)))*20,0))</f>
        <v/>
      </c>
      <c r="BH116" s="31" t="str">
        <f aca="false">IF(COUNTBLANK(AD116:AI116)&gt;0,"",ROUND(AVERAGE(INDEX('SCORING MASTER'!$D$33:$D$35,MATCH(AD116,'SCORING MASTER'!$C$33:$C$35,0)),INDEX('SCORING MASTER'!$D$37:$D$39,MATCH(AE116,'SCORING MASTER'!$C$37:$C$39,0)),INDEX('SCORING MASTER'!$D$41:$D$43,MATCH(AF116,'SCORING MASTER'!$C$41:$C$43,0)),INDEX('SCORING MASTER'!$D$45:$D$47,MATCH(AG116,'SCORING MASTER'!$C$45:$C$47,0)),INDEX('SCORING MASTER'!$D$49:$D$52,MATCH(AH116,'SCORING MASTER'!$C$49:$C$52,0)),INDEX('SCORING MASTER'!$D$54:$D$57,MATCH(AI116,'SCORING MASTER'!$C$54:$C$57,0)))*20,0))</f>
        <v/>
      </c>
      <c r="BI116" s="31" t="str">
        <f aca="false">IF(COUNTBLANK(AJ116:AP116)&gt;0,"",ROUND(AVERAGE(INDEX('SCORING MASTER'!$D$59:$D$60,MATCH(AJ116,'SCORING MASTER'!$C$59:$C$60,0)),INDEX('SCORING MASTER'!$D$62:$D$63,MATCH(AK116,'SCORING MASTER'!$C$62:$C$63,0)),INDEX('SCORING MASTER'!$D$65:$D$66,MATCH(AL116,'SCORING MASTER'!$C$65:$C$66,0)),INDEX('SCORING MASTER'!$D$68:$D$69,MATCH(AM116,'SCORING MASTER'!$C$68:$C$69,0)),INDEX('SCORING MASTER'!$D$71:$D$72,MATCH(AN116,'SCORING MASTER'!$C$71:$C$72,0)),INDEX('SCORING MASTER'!$D$74:$D$75,MATCH(AO116,'SCORING MASTER'!$C$74:$C$75,0)),INDEX('SCORING MASTER'!$D$77:$D$78,MATCH(AP116,'SCORING MASTER'!$C$77:$C$78,0)))*20,0))</f>
        <v/>
      </c>
      <c r="BJ116" s="31" t="str">
        <f aca="false">IF(COUNTBLANK(AU116:AZ116)&gt;0,"",ROUND(AVERAGE(INDEX('SCORING MASTER'!$D$95:$D$96,MATCH(AU116,'SCORING MASTER'!$C$95:$C$96,0)),INDEX('SCORING MASTER'!$D$98:$D$99,MATCH(AV116,'SCORING MASTER'!$C$98:$C$99,0)),INDEX('SCORING MASTER'!$D$101:$D$102,MATCH(AW116,'SCORING MASTER'!$C$101:$C$102,0)),INDEX('SCORING MASTER'!$D$104:$D$105,MATCH(AX116,'SCORING MASTER'!$C$104:$C$105,0)),INDEX('SCORING MASTER'!$D$107:$D$108,MATCH(AY116,'SCORING MASTER'!$C$107:$C$108,0)),INDEX('SCORING MASTER'!$D$110:$D$111,MATCH(AZ116,'SCORING MASTER'!$C$110:$C$111,0)))*20,0))</f>
        <v/>
      </c>
      <c r="BK116" s="31" t="str">
        <f aca="false">IF(COUNTBLANK(AQ116:AT116)&gt;0,"",ROUND(AVERAGE(INDEX('SCORING MASTER'!$D$80:$D$82,MATCH(AQ116,'SCORING MASTER'!$C$80:$C$82,0)),INDEX('SCORING MASTER'!$D$84:$D$86,MATCH(AR116,'SCORING MASTER'!$C$84:$C$86,0)),INDEX('SCORING MASTER'!$D$88:$D$90,MATCH(AS116,'SCORING MASTER'!$C$88:$C$90,0)),INDEX('SCORING MASTER'!$D$92:$D$93,MATCH(AT116,'SCORING MASTER'!$C$92:$C$93,0)))*20,0))</f>
        <v/>
      </c>
      <c r="BL116" s="31" t="str">
        <f aca="false">IF(COUNTBLANK(BA116:BE116)&gt;0,"",ROUND(AVERAGE(INDEX('SCORING MASTER'!$D$113:$D$115,MATCH(BA116,'SCORING MASTER'!$C$113:$C$115,0)),INDEX('SCORING MASTER'!$D$117:$D$119,MATCH(BB116,'SCORING MASTER'!$C$117:$C$119,0)),INDEX('SCORING MASTER'!$D$121:$D$123,MATCH(BC116,'SCORING MASTER'!$C$121:$C$123,0)),INDEX('SCORING MASTER'!$D$125:$D$126,MATCH(BD116,'SCORING MASTER'!$C$125:$C$126,0)),INDEX('SCORING MASTER'!$D$128:$D$129,MATCH(BE116,'SCORING MASTER'!$C$128:$C$129,0)))*20,0))</f>
        <v/>
      </c>
      <c r="BM116" s="31" t="str">
        <f aca="false">IF(OR(BF116="",BG116="",BH116="",BI116="",BJ116="",BK116="",BL116=""),"",ROUND(BF116*0.25+BG116*0.2+BH116*0.15+BI116*0.15+BJ116*0.1+BK116*0.1+BL116*0.05,0))</f>
        <v/>
      </c>
      <c r="BN116" s="31" t="str">
        <f aca="false">IF(OR(BF116="",BG116=""),"",ROUND(BF116*0.5+BG116*0.5,0))</f>
        <v/>
      </c>
      <c r="BO116" s="31" t="str">
        <f aca="false">IF(BN116="","",ROUND(MIN(100,MAX(0,(100-BN116)+IF(AL116="Yes",15,0)+IF(AM116="Yes",15,0)+IF(AND(U116&lt;&gt;"",U116&lt;18.5),20,0))),0))</f>
        <v/>
      </c>
      <c r="BP116" s="28" t="str">
        <f aca="false">IF(BM116="","",IF(BM116&gt;=90,"Green - Healthy",IF(BM116&gt;=75,"Light Green - Mild Watch",IF(BM116&gt;=60,"Yellow - Mild Risk",IF(BM116&gt;=40,"Orange - Moderate Risk","Red - High Risk")))))</f>
        <v/>
      </c>
      <c r="BQ116" s="28" t="str">
        <f aca="false">IF(BM116="","",IF(OR(BM116&lt;60,BO116&gt;=60,AJ116="Yes"),"Yes","No"))</f>
        <v/>
      </c>
      <c r="BR116" s="28" t="str">
        <f aca="false">IF(BM116="","",IF(OR(BP116="Orange - Moderate Risk",BP116="Red - High Risk",BQ116="Yes"),"Yes","No"))</f>
        <v/>
      </c>
    </row>
    <row r="117" customFormat="false" ht="15" hidden="false" customHeight="false" outlineLevel="0" collapsed="false">
      <c r="A117" s="32" t="str">
        <f aca="false">IF(I117="","","STU"&amp;TEXT(ROW()-3,"000000"))</f>
        <v/>
      </c>
      <c r="B117" s="32"/>
      <c r="C117" s="32"/>
      <c r="D117" s="32"/>
      <c r="E117" s="32"/>
      <c r="F117" s="32"/>
      <c r="G117" s="32"/>
      <c r="H117" s="32"/>
      <c r="I117" s="32"/>
      <c r="J117" s="34"/>
      <c r="K117" s="32"/>
      <c r="L117" s="32"/>
      <c r="M117" s="32"/>
      <c r="N117" s="32"/>
      <c r="O117" s="32"/>
      <c r="P117" s="32"/>
      <c r="Q117" s="34"/>
      <c r="R117" s="34"/>
      <c r="S117" s="35" t="str">
        <f aca="false">IF(OR(Q117="",R117=""),"",ROUND(R117/((Q117/100)^2),1))</f>
        <v/>
      </c>
      <c r="T117" s="32" t="str">
        <f aca="false">IF(S117="","",IF(S117&lt;18.5,"Underweight",IF(S117&lt;25,"Normal",IF(S117&lt;30,"Overweight","Obese"))))</f>
        <v/>
      </c>
      <c r="U117" s="34"/>
      <c r="V117" s="34"/>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5" t="str">
        <f aca="false">IF(T117="","",IF(T117="Normal",100,IF(T117="Overweight",65,IF(T117="Obese",50,IF(AND(U117&lt;&gt;"",U117&lt;18.5),30,45)))))</f>
        <v/>
      </c>
      <c r="BG117" s="35" t="str">
        <f aca="false">IF(COUNTBLANK(W117:AC117)&gt;0,"",ROUND(AVERAGE(INDEX('SCORING MASTER'!$D$5:$D$7,MATCH(W117,'SCORING MASTER'!$C$5:$C$7,0)),INDEX('SCORING MASTER'!$D$9:$D$11,MATCH(X117,'SCORING MASTER'!$C$9:$C$11,0)),INDEX('SCORING MASTER'!$D$13:$D$15,MATCH(Y117,'SCORING MASTER'!$C$13:$C$15,0)),INDEX('SCORING MASTER'!$D$17:$D$19,MATCH(Z117,'SCORING MASTER'!$C$17:$C$19,0)),INDEX('SCORING MASTER'!$D$21:$D$23,MATCH(AA117,'SCORING MASTER'!$C$21:$C$23,0)),INDEX('SCORING MASTER'!$D$25:$D$27,MATCH(AB117,'SCORING MASTER'!$C$25:$C$27,0)),INDEX('SCORING MASTER'!$D$29:$D$31,MATCH(AC117,'SCORING MASTER'!$C$29:$C$31,0)))*20,0))</f>
        <v/>
      </c>
      <c r="BH117" s="35" t="str">
        <f aca="false">IF(COUNTBLANK(AD117:AI117)&gt;0,"",ROUND(AVERAGE(INDEX('SCORING MASTER'!$D$33:$D$35,MATCH(AD117,'SCORING MASTER'!$C$33:$C$35,0)),INDEX('SCORING MASTER'!$D$37:$D$39,MATCH(AE117,'SCORING MASTER'!$C$37:$C$39,0)),INDEX('SCORING MASTER'!$D$41:$D$43,MATCH(AF117,'SCORING MASTER'!$C$41:$C$43,0)),INDEX('SCORING MASTER'!$D$45:$D$47,MATCH(AG117,'SCORING MASTER'!$C$45:$C$47,0)),INDEX('SCORING MASTER'!$D$49:$D$52,MATCH(AH117,'SCORING MASTER'!$C$49:$C$52,0)),INDEX('SCORING MASTER'!$D$54:$D$57,MATCH(AI117,'SCORING MASTER'!$C$54:$C$57,0)))*20,0))</f>
        <v/>
      </c>
      <c r="BI117" s="35" t="str">
        <f aca="false">IF(COUNTBLANK(AJ117:AP117)&gt;0,"",ROUND(AVERAGE(INDEX('SCORING MASTER'!$D$59:$D$60,MATCH(AJ117,'SCORING MASTER'!$C$59:$C$60,0)),INDEX('SCORING MASTER'!$D$62:$D$63,MATCH(AK117,'SCORING MASTER'!$C$62:$C$63,0)),INDEX('SCORING MASTER'!$D$65:$D$66,MATCH(AL117,'SCORING MASTER'!$C$65:$C$66,0)),INDEX('SCORING MASTER'!$D$68:$D$69,MATCH(AM117,'SCORING MASTER'!$C$68:$C$69,0)),INDEX('SCORING MASTER'!$D$71:$D$72,MATCH(AN117,'SCORING MASTER'!$C$71:$C$72,0)),INDEX('SCORING MASTER'!$D$74:$D$75,MATCH(AO117,'SCORING MASTER'!$C$74:$C$75,0)),INDEX('SCORING MASTER'!$D$77:$D$78,MATCH(AP117,'SCORING MASTER'!$C$77:$C$78,0)))*20,0))</f>
        <v/>
      </c>
      <c r="BJ117" s="35" t="str">
        <f aca="false">IF(COUNTBLANK(AU117:AZ117)&gt;0,"",ROUND(AVERAGE(INDEX('SCORING MASTER'!$D$95:$D$96,MATCH(AU117,'SCORING MASTER'!$C$95:$C$96,0)),INDEX('SCORING MASTER'!$D$98:$D$99,MATCH(AV117,'SCORING MASTER'!$C$98:$C$99,0)),INDEX('SCORING MASTER'!$D$101:$D$102,MATCH(AW117,'SCORING MASTER'!$C$101:$C$102,0)),INDEX('SCORING MASTER'!$D$104:$D$105,MATCH(AX117,'SCORING MASTER'!$C$104:$C$105,0)),INDEX('SCORING MASTER'!$D$107:$D$108,MATCH(AY117,'SCORING MASTER'!$C$107:$C$108,0)),INDEX('SCORING MASTER'!$D$110:$D$111,MATCH(AZ117,'SCORING MASTER'!$C$110:$C$111,0)))*20,0))</f>
        <v/>
      </c>
      <c r="BK117" s="35" t="str">
        <f aca="false">IF(COUNTBLANK(AQ117:AT117)&gt;0,"",ROUND(AVERAGE(INDEX('SCORING MASTER'!$D$80:$D$82,MATCH(AQ117,'SCORING MASTER'!$C$80:$C$82,0)),INDEX('SCORING MASTER'!$D$84:$D$86,MATCH(AR117,'SCORING MASTER'!$C$84:$C$86,0)),INDEX('SCORING MASTER'!$D$88:$D$90,MATCH(AS117,'SCORING MASTER'!$C$88:$C$90,0)),INDEX('SCORING MASTER'!$D$92:$D$93,MATCH(AT117,'SCORING MASTER'!$C$92:$C$93,0)))*20,0))</f>
        <v/>
      </c>
      <c r="BL117" s="35" t="str">
        <f aca="false">IF(COUNTBLANK(BA117:BE117)&gt;0,"",ROUND(AVERAGE(INDEX('SCORING MASTER'!$D$113:$D$115,MATCH(BA117,'SCORING MASTER'!$C$113:$C$115,0)),INDEX('SCORING MASTER'!$D$117:$D$119,MATCH(BB117,'SCORING MASTER'!$C$117:$C$119,0)),INDEX('SCORING MASTER'!$D$121:$D$123,MATCH(BC117,'SCORING MASTER'!$C$121:$C$123,0)),INDEX('SCORING MASTER'!$D$125:$D$126,MATCH(BD117,'SCORING MASTER'!$C$125:$C$126,0)),INDEX('SCORING MASTER'!$D$128:$D$129,MATCH(BE117,'SCORING MASTER'!$C$128:$C$129,0)))*20,0))</f>
        <v/>
      </c>
      <c r="BM117" s="35" t="str">
        <f aca="false">IF(OR(BF117="",BG117="",BH117="",BI117="",BJ117="",BK117="",BL117=""),"",ROUND(BF117*0.25+BG117*0.2+BH117*0.15+BI117*0.15+BJ117*0.1+BK117*0.1+BL117*0.05,0))</f>
        <v/>
      </c>
      <c r="BN117" s="35" t="str">
        <f aca="false">IF(OR(BF117="",BG117=""),"",ROUND(BF117*0.5+BG117*0.5,0))</f>
        <v/>
      </c>
      <c r="BO117" s="35" t="str">
        <f aca="false">IF(BN117="","",ROUND(MIN(100,MAX(0,(100-BN117)+IF(AL117="Yes",15,0)+IF(AM117="Yes",15,0)+IF(AND(U117&lt;&gt;"",U117&lt;18.5),20,0))),0))</f>
        <v/>
      </c>
      <c r="BP117" s="32" t="str">
        <f aca="false">IF(BM117="","",IF(BM117&gt;=90,"Green - Healthy",IF(BM117&gt;=75,"Light Green - Mild Watch",IF(BM117&gt;=60,"Yellow - Mild Risk",IF(BM117&gt;=40,"Orange - Moderate Risk","Red - High Risk")))))</f>
        <v/>
      </c>
      <c r="BQ117" s="32" t="str">
        <f aca="false">IF(BM117="","",IF(OR(BM117&lt;60,BO117&gt;=60,AJ117="Yes"),"Yes","No"))</f>
        <v/>
      </c>
      <c r="BR117" s="32" t="str">
        <f aca="false">IF(BM117="","",IF(OR(BP117="Orange - Moderate Risk",BP117="Red - High Risk",BQ117="Yes"),"Yes","No"))</f>
        <v/>
      </c>
    </row>
    <row r="118" customFormat="false" ht="15" hidden="false" customHeight="false" outlineLevel="0" collapsed="false">
      <c r="A118" s="28" t="str">
        <f aca="false">IF(I118="","","STU"&amp;TEXT(ROW()-3,"000000"))</f>
        <v/>
      </c>
      <c r="B118" s="28"/>
      <c r="C118" s="28"/>
      <c r="D118" s="28"/>
      <c r="E118" s="28"/>
      <c r="F118" s="28"/>
      <c r="G118" s="28"/>
      <c r="H118" s="28"/>
      <c r="I118" s="28"/>
      <c r="J118" s="30"/>
      <c r="K118" s="28"/>
      <c r="L118" s="28"/>
      <c r="M118" s="28"/>
      <c r="N118" s="28"/>
      <c r="O118" s="28"/>
      <c r="P118" s="28"/>
      <c r="Q118" s="30"/>
      <c r="R118" s="30"/>
      <c r="S118" s="31" t="str">
        <f aca="false">IF(OR(Q118="",R118=""),"",ROUND(R118/((Q118/100)^2),1))</f>
        <v/>
      </c>
      <c r="T118" s="28" t="str">
        <f aca="false">IF(S118="","",IF(S118&lt;18.5,"Underweight",IF(S118&lt;25,"Normal",IF(S118&lt;30,"Overweight","Obese"))))</f>
        <v/>
      </c>
      <c r="U118" s="30"/>
      <c r="V118" s="30"/>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31" t="str">
        <f aca="false">IF(T118="","",IF(T118="Normal",100,IF(T118="Overweight",65,IF(T118="Obese",50,IF(AND(U118&lt;&gt;"",U118&lt;18.5),30,45)))))</f>
        <v/>
      </c>
      <c r="BG118" s="31" t="str">
        <f aca="false">IF(COUNTBLANK(W118:AC118)&gt;0,"",ROUND(AVERAGE(INDEX('SCORING MASTER'!$D$5:$D$7,MATCH(W118,'SCORING MASTER'!$C$5:$C$7,0)),INDEX('SCORING MASTER'!$D$9:$D$11,MATCH(X118,'SCORING MASTER'!$C$9:$C$11,0)),INDEX('SCORING MASTER'!$D$13:$D$15,MATCH(Y118,'SCORING MASTER'!$C$13:$C$15,0)),INDEX('SCORING MASTER'!$D$17:$D$19,MATCH(Z118,'SCORING MASTER'!$C$17:$C$19,0)),INDEX('SCORING MASTER'!$D$21:$D$23,MATCH(AA118,'SCORING MASTER'!$C$21:$C$23,0)),INDEX('SCORING MASTER'!$D$25:$D$27,MATCH(AB118,'SCORING MASTER'!$C$25:$C$27,0)),INDEX('SCORING MASTER'!$D$29:$D$31,MATCH(AC118,'SCORING MASTER'!$C$29:$C$31,0)))*20,0))</f>
        <v/>
      </c>
      <c r="BH118" s="31" t="str">
        <f aca="false">IF(COUNTBLANK(AD118:AI118)&gt;0,"",ROUND(AVERAGE(INDEX('SCORING MASTER'!$D$33:$D$35,MATCH(AD118,'SCORING MASTER'!$C$33:$C$35,0)),INDEX('SCORING MASTER'!$D$37:$D$39,MATCH(AE118,'SCORING MASTER'!$C$37:$C$39,0)),INDEX('SCORING MASTER'!$D$41:$D$43,MATCH(AF118,'SCORING MASTER'!$C$41:$C$43,0)),INDEX('SCORING MASTER'!$D$45:$D$47,MATCH(AG118,'SCORING MASTER'!$C$45:$C$47,0)),INDEX('SCORING MASTER'!$D$49:$D$52,MATCH(AH118,'SCORING MASTER'!$C$49:$C$52,0)),INDEX('SCORING MASTER'!$D$54:$D$57,MATCH(AI118,'SCORING MASTER'!$C$54:$C$57,0)))*20,0))</f>
        <v/>
      </c>
      <c r="BI118" s="31" t="str">
        <f aca="false">IF(COUNTBLANK(AJ118:AP118)&gt;0,"",ROUND(AVERAGE(INDEX('SCORING MASTER'!$D$59:$D$60,MATCH(AJ118,'SCORING MASTER'!$C$59:$C$60,0)),INDEX('SCORING MASTER'!$D$62:$D$63,MATCH(AK118,'SCORING MASTER'!$C$62:$C$63,0)),INDEX('SCORING MASTER'!$D$65:$D$66,MATCH(AL118,'SCORING MASTER'!$C$65:$C$66,0)),INDEX('SCORING MASTER'!$D$68:$D$69,MATCH(AM118,'SCORING MASTER'!$C$68:$C$69,0)),INDEX('SCORING MASTER'!$D$71:$D$72,MATCH(AN118,'SCORING MASTER'!$C$71:$C$72,0)),INDEX('SCORING MASTER'!$D$74:$D$75,MATCH(AO118,'SCORING MASTER'!$C$74:$C$75,0)),INDEX('SCORING MASTER'!$D$77:$D$78,MATCH(AP118,'SCORING MASTER'!$C$77:$C$78,0)))*20,0))</f>
        <v/>
      </c>
      <c r="BJ118" s="31" t="str">
        <f aca="false">IF(COUNTBLANK(AU118:AZ118)&gt;0,"",ROUND(AVERAGE(INDEX('SCORING MASTER'!$D$95:$D$96,MATCH(AU118,'SCORING MASTER'!$C$95:$C$96,0)),INDEX('SCORING MASTER'!$D$98:$D$99,MATCH(AV118,'SCORING MASTER'!$C$98:$C$99,0)),INDEX('SCORING MASTER'!$D$101:$D$102,MATCH(AW118,'SCORING MASTER'!$C$101:$C$102,0)),INDEX('SCORING MASTER'!$D$104:$D$105,MATCH(AX118,'SCORING MASTER'!$C$104:$C$105,0)),INDEX('SCORING MASTER'!$D$107:$D$108,MATCH(AY118,'SCORING MASTER'!$C$107:$C$108,0)),INDEX('SCORING MASTER'!$D$110:$D$111,MATCH(AZ118,'SCORING MASTER'!$C$110:$C$111,0)))*20,0))</f>
        <v/>
      </c>
      <c r="BK118" s="31" t="str">
        <f aca="false">IF(COUNTBLANK(AQ118:AT118)&gt;0,"",ROUND(AVERAGE(INDEX('SCORING MASTER'!$D$80:$D$82,MATCH(AQ118,'SCORING MASTER'!$C$80:$C$82,0)),INDEX('SCORING MASTER'!$D$84:$D$86,MATCH(AR118,'SCORING MASTER'!$C$84:$C$86,0)),INDEX('SCORING MASTER'!$D$88:$D$90,MATCH(AS118,'SCORING MASTER'!$C$88:$C$90,0)),INDEX('SCORING MASTER'!$D$92:$D$93,MATCH(AT118,'SCORING MASTER'!$C$92:$C$93,0)))*20,0))</f>
        <v/>
      </c>
      <c r="BL118" s="31" t="str">
        <f aca="false">IF(COUNTBLANK(BA118:BE118)&gt;0,"",ROUND(AVERAGE(INDEX('SCORING MASTER'!$D$113:$D$115,MATCH(BA118,'SCORING MASTER'!$C$113:$C$115,0)),INDEX('SCORING MASTER'!$D$117:$D$119,MATCH(BB118,'SCORING MASTER'!$C$117:$C$119,0)),INDEX('SCORING MASTER'!$D$121:$D$123,MATCH(BC118,'SCORING MASTER'!$C$121:$C$123,0)),INDEX('SCORING MASTER'!$D$125:$D$126,MATCH(BD118,'SCORING MASTER'!$C$125:$C$126,0)),INDEX('SCORING MASTER'!$D$128:$D$129,MATCH(BE118,'SCORING MASTER'!$C$128:$C$129,0)))*20,0))</f>
        <v/>
      </c>
      <c r="BM118" s="31" t="str">
        <f aca="false">IF(OR(BF118="",BG118="",BH118="",BI118="",BJ118="",BK118="",BL118=""),"",ROUND(BF118*0.25+BG118*0.2+BH118*0.15+BI118*0.15+BJ118*0.1+BK118*0.1+BL118*0.05,0))</f>
        <v/>
      </c>
      <c r="BN118" s="31" t="str">
        <f aca="false">IF(OR(BF118="",BG118=""),"",ROUND(BF118*0.5+BG118*0.5,0))</f>
        <v/>
      </c>
      <c r="BO118" s="31" t="str">
        <f aca="false">IF(BN118="","",ROUND(MIN(100,MAX(0,(100-BN118)+IF(AL118="Yes",15,0)+IF(AM118="Yes",15,0)+IF(AND(U118&lt;&gt;"",U118&lt;18.5),20,0))),0))</f>
        <v/>
      </c>
      <c r="BP118" s="28" t="str">
        <f aca="false">IF(BM118="","",IF(BM118&gt;=90,"Green - Healthy",IF(BM118&gt;=75,"Light Green - Mild Watch",IF(BM118&gt;=60,"Yellow - Mild Risk",IF(BM118&gt;=40,"Orange - Moderate Risk","Red - High Risk")))))</f>
        <v/>
      </c>
      <c r="BQ118" s="28" t="str">
        <f aca="false">IF(BM118="","",IF(OR(BM118&lt;60,BO118&gt;=60,AJ118="Yes"),"Yes","No"))</f>
        <v/>
      </c>
      <c r="BR118" s="28" t="str">
        <f aca="false">IF(BM118="","",IF(OR(BP118="Orange - Moderate Risk",BP118="Red - High Risk",BQ118="Yes"),"Yes","No"))</f>
        <v/>
      </c>
    </row>
    <row r="119" customFormat="false" ht="15" hidden="false" customHeight="false" outlineLevel="0" collapsed="false">
      <c r="A119" s="32" t="str">
        <f aca="false">IF(I119="","","STU"&amp;TEXT(ROW()-3,"000000"))</f>
        <v/>
      </c>
      <c r="B119" s="32"/>
      <c r="C119" s="32"/>
      <c r="D119" s="32"/>
      <c r="E119" s="32"/>
      <c r="F119" s="32"/>
      <c r="G119" s="32"/>
      <c r="H119" s="32"/>
      <c r="I119" s="32"/>
      <c r="J119" s="34"/>
      <c r="K119" s="32"/>
      <c r="L119" s="32"/>
      <c r="M119" s="32"/>
      <c r="N119" s="32"/>
      <c r="O119" s="32"/>
      <c r="P119" s="32"/>
      <c r="Q119" s="34"/>
      <c r="R119" s="34"/>
      <c r="S119" s="35" t="str">
        <f aca="false">IF(OR(Q119="",R119=""),"",ROUND(R119/((Q119/100)^2),1))</f>
        <v/>
      </c>
      <c r="T119" s="32" t="str">
        <f aca="false">IF(S119="","",IF(S119&lt;18.5,"Underweight",IF(S119&lt;25,"Normal",IF(S119&lt;30,"Overweight","Obese"))))</f>
        <v/>
      </c>
      <c r="U119" s="34"/>
      <c r="V119" s="34"/>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5" t="str">
        <f aca="false">IF(T119="","",IF(T119="Normal",100,IF(T119="Overweight",65,IF(T119="Obese",50,IF(AND(U119&lt;&gt;"",U119&lt;18.5),30,45)))))</f>
        <v/>
      </c>
      <c r="BG119" s="35" t="str">
        <f aca="false">IF(COUNTBLANK(W119:AC119)&gt;0,"",ROUND(AVERAGE(INDEX('SCORING MASTER'!$D$5:$D$7,MATCH(W119,'SCORING MASTER'!$C$5:$C$7,0)),INDEX('SCORING MASTER'!$D$9:$D$11,MATCH(X119,'SCORING MASTER'!$C$9:$C$11,0)),INDEX('SCORING MASTER'!$D$13:$D$15,MATCH(Y119,'SCORING MASTER'!$C$13:$C$15,0)),INDEX('SCORING MASTER'!$D$17:$D$19,MATCH(Z119,'SCORING MASTER'!$C$17:$C$19,0)),INDEX('SCORING MASTER'!$D$21:$D$23,MATCH(AA119,'SCORING MASTER'!$C$21:$C$23,0)),INDEX('SCORING MASTER'!$D$25:$D$27,MATCH(AB119,'SCORING MASTER'!$C$25:$C$27,0)),INDEX('SCORING MASTER'!$D$29:$D$31,MATCH(AC119,'SCORING MASTER'!$C$29:$C$31,0)))*20,0))</f>
        <v/>
      </c>
      <c r="BH119" s="35" t="str">
        <f aca="false">IF(COUNTBLANK(AD119:AI119)&gt;0,"",ROUND(AVERAGE(INDEX('SCORING MASTER'!$D$33:$D$35,MATCH(AD119,'SCORING MASTER'!$C$33:$C$35,0)),INDEX('SCORING MASTER'!$D$37:$D$39,MATCH(AE119,'SCORING MASTER'!$C$37:$C$39,0)),INDEX('SCORING MASTER'!$D$41:$D$43,MATCH(AF119,'SCORING MASTER'!$C$41:$C$43,0)),INDEX('SCORING MASTER'!$D$45:$D$47,MATCH(AG119,'SCORING MASTER'!$C$45:$C$47,0)),INDEX('SCORING MASTER'!$D$49:$D$52,MATCH(AH119,'SCORING MASTER'!$C$49:$C$52,0)),INDEX('SCORING MASTER'!$D$54:$D$57,MATCH(AI119,'SCORING MASTER'!$C$54:$C$57,0)))*20,0))</f>
        <v/>
      </c>
      <c r="BI119" s="35" t="str">
        <f aca="false">IF(COUNTBLANK(AJ119:AP119)&gt;0,"",ROUND(AVERAGE(INDEX('SCORING MASTER'!$D$59:$D$60,MATCH(AJ119,'SCORING MASTER'!$C$59:$C$60,0)),INDEX('SCORING MASTER'!$D$62:$D$63,MATCH(AK119,'SCORING MASTER'!$C$62:$C$63,0)),INDEX('SCORING MASTER'!$D$65:$D$66,MATCH(AL119,'SCORING MASTER'!$C$65:$C$66,0)),INDEX('SCORING MASTER'!$D$68:$D$69,MATCH(AM119,'SCORING MASTER'!$C$68:$C$69,0)),INDEX('SCORING MASTER'!$D$71:$D$72,MATCH(AN119,'SCORING MASTER'!$C$71:$C$72,0)),INDEX('SCORING MASTER'!$D$74:$D$75,MATCH(AO119,'SCORING MASTER'!$C$74:$C$75,0)),INDEX('SCORING MASTER'!$D$77:$D$78,MATCH(AP119,'SCORING MASTER'!$C$77:$C$78,0)))*20,0))</f>
        <v/>
      </c>
      <c r="BJ119" s="35" t="str">
        <f aca="false">IF(COUNTBLANK(AU119:AZ119)&gt;0,"",ROUND(AVERAGE(INDEX('SCORING MASTER'!$D$95:$D$96,MATCH(AU119,'SCORING MASTER'!$C$95:$C$96,0)),INDEX('SCORING MASTER'!$D$98:$D$99,MATCH(AV119,'SCORING MASTER'!$C$98:$C$99,0)),INDEX('SCORING MASTER'!$D$101:$D$102,MATCH(AW119,'SCORING MASTER'!$C$101:$C$102,0)),INDEX('SCORING MASTER'!$D$104:$D$105,MATCH(AX119,'SCORING MASTER'!$C$104:$C$105,0)),INDEX('SCORING MASTER'!$D$107:$D$108,MATCH(AY119,'SCORING MASTER'!$C$107:$C$108,0)),INDEX('SCORING MASTER'!$D$110:$D$111,MATCH(AZ119,'SCORING MASTER'!$C$110:$C$111,0)))*20,0))</f>
        <v/>
      </c>
      <c r="BK119" s="35" t="str">
        <f aca="false">IF(COUNTBLANK(AQ119:AT119)&gt;0,"",ROUND(AVERAGE(INDEX('SCORING MASTER'!$D$80:$D$82,MATCH(AQ119,'SCORING MASTER'!$C$80:$C$82,0)),INDEX('SCORING MASTER'!$D$84:$D$86,MATCH(AR119,'SCORING MASTER'!$C$84:$C$86,0)),INDEX('SCORING MASTER'!$D$88:$D$90,MATCH(AS119,'SCORING MASTER'!$C$88:$C$90,0)),INDEX('SCORING MASTER'!$D$92:$D$93,MATCH(AT119,'SCORING MASTER'!$C$92:$C$93,0)))*20,0))</f>
        <v/>
      </c>
      <c r="BL119" s="35" t="str">
        <f aca="false">IF(COUNTBLANK(BA119:BE119)&gt;0,"",ROUND(AVERAGE(INDEX('SCORING MASTER'!$D$113:$D$115,MATCH(BA119,'SCORING MASTER'!$C$113:$C$115,0)),INDEX('SCORING MASTER'!$D$117:$D$119,MATCH(BB119,'SCORING MASTER'!$C$117:$C$119,0)),INDEX('SCORING MASTER'!$D$121:$D$123,MATCH(BC119,'SCORING MASTER'!$C$121:$C$123,0)),INDEX('SCORING MASTER'!$D$125:$D$126,MATCH(BD119,'SCORING MASTER'!$C$125:$C$126,0)),INDEX('SCORING MASTER'!$D$128:$D$129,MATCH(BE119,'SCORING MASTER'!$C$128:$C$129,0)))*20,0))</f>
        <v/>
      </c>
      <c r="BM119" s="35" t="str">
        <f aca="false">IF(OR(BF119="",BG119="",BH119="",BI119="",BJ119="",BK119="",BL119=""),"",ROUND(BF119*0.25+BG119*0.2+BH119*0.15+BI119*0.15+BJ119*0.1+BK119*0.1+BL119*0.05,0))</f>
        <v/>
      </c>
      <c r="BN119" s="35" t="str">
        <f aca="false">IF(OR(BF119="",BG119=""),"",ROUND(BF119*0.5+BG119*0.5,0))</f>
        <v/>
      </c>
      <c r="BO119" s="35" t="str">
        <f aca="false">IF(BN119="","",ROUND(MIN(100,MAX(0,(100-BN119)+IF(AL119="Yes",15,0)+IF(AM119="Yes",15,0)+IF(AND(U119&lt;&gt;"",U119&lt;18.5),20,0))),0))</f>
        <v/>
      </c>
      <c r="BP119" s="32" t="str">
        <f aca="false">IF(BM119="","",IF(BM119&gt;=90,"Green - Healthy",IF(BM119&gt;=75,"Light Green - Mild Watch",IF(BM119&gt;=60,"Yellow - Mild Risk",IF(BM119&gt;=40,"Orange - Moderate Risk","Red - High Risk")))))</f>
        <v/>
      </c>
      <c r="BQ119" s="32" t="str">
        <f aca="false">IF(BM119="","",IF(OR(BM119&lt;60,BO119&gt;=60,AJ119="Yes"),"Yes","No"))</f>
        <v/>
      </c>
      <c r="BR119" s="32" t="str">
        <f aca="false">IF(BM119="","",IF(OR(BP119="Orange - Moderate Risk",BP119="Red - High Risk",BQ119="Yes"),"Yes","No"))</f>
        <v/>
      </c>
    </row>
    <row r="120" customFormat="false" ht="15" hidden="false" customHeight="false" outlineLevel="0" collapsed="false">
      <c r="A120" s="28" t="str">
        <f aca="false">IF(I120="","","STU"&amp;TEXT(ROW()-3,"000000"))</f>
        <v/>
      </c>
      <c r="B120" s="28"/>
      <c r="C120" s="28"/>
      <c r="D120" s="28"/>
      <c r="E120" s="28"/>
      <c r="F120" s="28"/>
      <c r="G120" s="28"/>
      <c r="H120" s="28"/>
      <c r="I120" s="28"/>
      <c r="J120" s="30"/>
      <c r="K120" s="28"/>
      <c r="L120" s="28"/>
      <c r="M120" s="28"/>
      <c r="N120" s="28"/>
      <c r="O120" s="28"/>
      <c r="P120" s="28"/>
      <c r="Q120" s="30"/>
      <c r="R120" s="30"/>
      <c r="S120" s="31" t="str">
        <f aca="false">IF(OR(Q120="",R120=""),"",ROUND(R120/((Q120/100)^2),1))</f>
        <v/>
      </c>
      <c r="T120" s="28" t="str">
        <f aca="false">IF(S120="","",IF(S120&lt;18.5,"Underweight",IF(S120&lt;25,"Normal",IF(S120&lt;30,"Overweight","Obese"))))</f>
        <v/>
      </c>
      <c r="U120" s="30"/>
      <c r="V120" s="30"/>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31" t="str">
        <f aca="false">IF(T120="","",IF(T120="Normal",100,IF(T120="Overweight",65,IF(T120="Obese",50,IF(AND(U120&lt;&gt;"",U120&lt;18.5),30,45)))))</f>
        <v/>
      </c>
      <c r="BG120" s="31" t="str">
        <f aca="false">IF(COUNTBLANK(W120:AC120)&gt;0,"",ROUND(AVERAGE(INDEX('SCORING MASTER'!$D$5:$D$7,MATCH(W120,'SCORING MASTER'!$C$5:$C$7,0)),INDEX('SCORING MASTER'!$D$9:$D$11,MATCH(X120,'SCORING MASTER'!$C$9:$C$11,0)),INDEX('SCORING MASTER'!$D$13:$D$15,MATCH(Y120,'SCORING MASTER'!$C$13:$C$15,0)),INDEX('SCORING MASTER'!$D$17:$D$19,MATCH(Z120,'SCORING MASTER'!$C$17:$C$19,0)),INDEX('SCORING MASTER'!$D$21:$D$23,MATCH(AA120,'SCORING MASTER'!$C$21:$C$23,0)),INDEX('SCORING MASTER'!$D$25:$D$27,MATCH(AB120,'SCORING MASTER'!$C$25:$C$27,0)),INDEX('SCORING MASTER'!$D$29:$D$31,MATCH(AC120,'SCORING MASTER'!$C$29:$C$31,0)))*20,0))</f>
        <v/>
      </c>
      <c r="BH120" s="31" t="str">
        <f aca="false">IF(COUNTBLANK(AD120:AI120)&gt;0,"",ROUND(AVERAGE(INDEX('SCORING MASTER'!$D$33:$D$35,MATCH(AD120,'SCORING MASTER'!$C$33:$C$35,0)),INDEX('SCORING MASTER'!$D$37:$D$39,MATCH(AE120,'SCORING MASTER'!$C$37:$C$39,0)),INDEX('SCORING MASTER'!$D$41:$D$43,MATCH(AF120,'SCORING MASTER'!$C$41:$C$43,0)),INDEX('SCORING MASTER'!$D$45:$D$47,MATCH(AG120,'SCORING MASTER'!$C$45:$C$47,0)),INDEX('SCORING MASTER'!$D$49:$D$52,MATCH(AH120,'SCORING MASTER'!$C$49:$C$52,0)),INDEX('SCORING MASTER'!$D$54:$D$57,MATCH(AI120,'SCORING MASTER'!$C$54:$C$57,0)))*20,0))</f>
        <v/>
      </c>
      <c r="BI120" s="31" t="str">
        <f aca="false">IF(COUNTBLANK(AJ120:AP120)&gt;0,"",ROUND(AVERAGE(INDEX('SCORING MASTER'!$D$59:$D$60,MATCH(AJ120,'SCORING MASTER'!$C$59:$C$60,0)),INDEX('SCORING MASTER'!$D$62:$D$63,MATCH(AK120,'SCORING MASTER'!$C$62:$C$63,0)),INDEX('SCORING MASTER'!$D$65:$D$66,MATCH(AL120,'SCORING MASTER'!$C$65:$C$66,0)),INDEX('SCORING MASTER'!$D$68:$D$69,MATCH(AM120,'SCORING MASTER'!$C$68:$C$69,0)),INDEX('SCORING MASTER'!$D$71:$D$72,MATCH(AN120,'SCORING MASTER'!$C$71:$C$72,0)),INDEX('SCORING MASTER'!$D$74:$D$75,MATCH(AO120,'SCORING MASTER'!$C$74:$C$75,0)),INDEX('SCORING MASTER'!$D$77:$D$78,MATCH(AP120,'SCORING MASTER'!$C$77:$C$78,0)))*20,0))</f>
        <v/>
      </c>
      <c r="BJ120" s="31" t="str">
        <f aca="false">IF(COUNTBLANK(AU120:AZ120)&gt;0,"",ROUND(AVERAGE(INDEX('SCORING MASTER'!$D$95:$D$96,MATCH(AU120,'SCORING MASTER'!$C$95:$C$96,0)),INDEX('SCORING MASTER'!$D$98:$D$99,MATCH(AV120,'SCORING MASTER'!$C$98:$C$99,0)),INDEX('SCORING MASTER'!$D$101:$D$102,MATCH(AW120,'SCORING MASTER'!$C$101:$C$102,0)),INDEX('SCORING MASTER'!$D$104:$D$105,MATCH(AX120,'SCORING MASTER'!$C$104:$C$105,0)),INDEX('SCORING MASTER'!$D$107:$D$108,MATCH(AY120,'SCORING MASTER'!$C$107:$C$108,0)),INDEX('SCORING MASTER'!$D$110:$D$111,MATCH(AZ120,'SCORING MASTER'!$C$110:$C$111,0)))*20,0))</f>
        <v/>
      </c>
      <c r="BK120" s="31" t="str">
        <f aca="false">IF(COUNTBLANK(AQ120:AT120)&gt;0,"",ROUND(AVERAGE(INDEX('SCORING MASTER'!$D$80:$D$82,MATCH(AQ120,'SCORING MASTER'!$C$80:$C$82,0)),INDEX('SCORING MASTER'!$D$84:$D$86,MATCH(AR120,'SCORING MASTER'!$C$84:$C$86,0)),INDEX('SCORING MASTER'!$D$88:$D$90,MATCH(AS120,'SCORING MASTER'!$C$88:$C$90,0)),INDEX('SCORING MASTER'!$D$92:$D$93,MATCH(AT120,'SCORING MASTER'!$C$92:$C$93,0)))*20,0))</f>
        <v/>
      </c>
      <c r="BL120" s="31" t="str">
        <f aca="false">IF(COUNTBLANK(BA120:BE120)&gt;0,"",ROUND(AVERAGE(INDEX('SCORING MASTER'!$D$113:$D$115,MATCH(BA120,'SCORING MASTER'!$C$113:$C$115,0)),INDEX('SCORING MASTER'!$D$117:$D$119,MATCH(BB120,'SCORING MASTER'!$C$117:$C$119,0)),INDEX('SCORING MASTER'!$D$121:$D$123,MATCH(BC120,'SCORING MASTER'!$C$121:$C$123,0)),INDEX('SCORING MASTER'!$D$125:$D$126,MATCH(BD120,'SCORING MASTER'!$C$125:$C$126,0)),INDEX('SCORING MASTER'!$D$128:$D$129,MATCH(BE120,'SCORING MASTER'!$C$128:$C$129,0)))*20,0))</f>
        <v/>
      </c>
      <c r="BM120" s="31" t="str">
        <f aca="false">IF(OR(BF120="",BG120="",BH120="",BI120="",BJ120="",BK120="",BL120=""),"",ROUND(BF120*0.25+BG120*0.2+BH120*0.15+BI120*0.15+BJ120*0.1+BK120*0.1+BL120*0.05,0))</f>
        <v/>
      </c>
      <c r="BN120" s="31" t="str">
        <f aca="false">IF(OR(BF120="",BG120=""),"",ROUND(BF120*0.5+BG120*0.5,0))</f>
        <v/>
      </c>
      <c r="BO120" s="31" t="str">
        <f aca="false">IF(BN120="","",ROUND(MIN(100,MAX(0,(100-BN120)+IF(AL120="Yes",15,0)+IF(AM120="Yes",15,0)+IF(AND(U120&lt;&gt;"",U120&lt;18.5),20,0))),0))</f>
        <v/>
      </c>
      <c r="BP120" s="28" t="str">
        <f aca="false">IF(BM120="","",IF(BM120&gt;=90,"Green - Healthy",IF(BM120&gt;=75,"Light Green - Mild Watch",IF(BM120&gt;=60,"Yellow - Mild Risk",IF(BM120&gt;=40,"Orange - Moderate Risk","Red - High Risk")))))</f>
        <v/>
      </c>
      <c r="BQ120" s="28" t="str">
        <f aca="false">IF(BM120="","",IF(OR(BM120&lt;60,BO120&gt;=60,AJ120="Yes"),"Yes","No"))</f>
        <v/>
      </c>
      <c r="BR120" s="28" t="str">
        <f aca="false">IF(BM120="","",IF(OR(BP120="Orange - Moderate Risk",BP120="Red - High Risk",BQ120="Yes"),"Yes","No"))</f>
        <v/>
      </c>
    </row>
    <row r="121" customFormat="false" ht="15" hidden="false" customHeight="false" outlineLevel="0" collapsed="false">
      <c r="A121" s="32" t="str">
        <f aca="false">IF(I121="","","STU"&amp;TEXT(ROW()-3,"000000"))</f>
        <v/>
      </c>
      <c r="B121" s="32"/>
      <c r="C121" s="32"/>
      <c r="D121" s="32"/>
      <c r="E121" s="32"/>
      <c r="F121" s="32"/>
      <c r="G121" s="32"/>
      <c r="H121" s="32"/>
      <c r="I121" s="32"/>
      <c r="J121" s="34"/>
      <c r="K121" s="32"/>
      <c r="L121" s="32"/>
      <c r="M121" s="32"/>
      <c r="N121" s="32"/>
      <c r="O121" s="32"/>
      <c r="P121" s="32"/>
      <c r="Q121" s="34"/>
      <c r="R121" s="34"/>
      <c r="S121" s="35" t="str">
        <f aca="false">IF(OR(Q121="",R121=""),"",ROUND(R121/((Q121/100)^2),1))</f>
        <v/>
      </c>
      <c r="T121" s="32" t="str">
        <f aca="false">IF(S121="","",IF(S121&lt;18.5,"Underweight",IF(S121&lt;25,"Normal",IF(S121&lt;30,"Overweight","Obese"))))</f>
        <v/>
      </c>
      <c r="U121" s="34"/>
      <c r="V121" s="34"/>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5" t="str">
        <f aca="false">IF(T121="","",IF(T121="Normal",100,IF(T121="Overweight",65,IF(T121="Obese",50,IF(AND(U121&lt;&gt;"",U121&lt;18.5),30,45)))))</f>
        <v/>
      </c>
      <c r="BG121" s="35" t="str">
        <f aca="false">IF(COUNTBLANK(W121:AC121)&gt;0,"",ROUND(AVERAGE(INDEX('SCORING MASTER'!$D$5:$D$7,MATCH(W121,'SCORING MASTER'!$C$5:$C$7,0)),INDEX('SCORING MASTER'!$D$9:$D$11,MATCH(X121,'SCORING MASTER'!$C$9:$C$11,0)),INDEX('SCORING MASTER'!$D$13:$D$15,MATCH(Y121,'SCORING MASTER'!$C$13:$C$15,0)),INDEX('SCORING MASTER'!$D$17:$D$19,MATCH(Z121,'SCORING MASTER'!$C$17:$C$19,0)),INDEX('SCORING MASTER'!$D$21:$D$23,MATCH(AA121,'SCORING MASTER'!$C$21:$C$23,0)),INDEX('SCORING MASTER'!$D$25:$D$27,MATCH(AB121,'SCORING MASTER'!$C$25:$C$27,0)),INDEX('SCORING MASTER'!$D$29:$D$31,MATCH(AC121,'SCORING MASTER'!$C$29:$C$31,0)))*20,0))</f>
        <v/>
      </c>
      <c r="BH121" s="35" t="str">
        <f aca="false">IF(COUNTBLANK(AD121:AI121)&gt;0,"",ROUND(AVERAGE(INDEX('SCORING MASTER'!$D$33:$D$35,MATCH(AD121,'SCORING MASTER'!$C$33:$C$35,0)),INDEX('SCORING MASTER'!$D$37:$D$39,MATCH(AE121,'SCORING MASTER'!$C$37:$C$39,0)),INDEX('SCORING MASTER'!$D$41:$D$43,MATCH(AF121,'SCORING MASTER'!$C$41:$C$43,0)),INDEX('SCORING MASTER'!$D$45:$D$47,MATCH(AG121,'SCORING MASTER'!$C$45:$C$47,0)),INDEX('SCORING MASTER'!$D$49:$D$52,MATCH(AH121,'SCORING MASTER'!$C$49:$C$52,0)),INDEX('SCORING MASTER'!$D$54:$D$57,MATCH(AI121,'SCORING MASTER'!$C$54:$C$57,0)))*20,0))</f>
        <v/>
      </c>
      <c r="BI121" s="35" t="str">
        <f aca="false">IF(COUNTBLANK(AJ121:AP121)&gt;0,"",ROUND(AVERAGE(INDEX('SCORING MASTER'!$D$59:$D$60,MATCH(AJ121,'SCORING MASTER'!$C$59:$C$60,0)),INDEX('SCORING MASTER'!$D$62:$D$63,MATCH(AK121,'SCORING MASTER'!$C$62:$C$63,0)),INDEX('SCORING MASTER'!$D$65:$D$66,MATCH(AL121,'SCORING MASTER'!$C$65:$C$66,0)),INDEX('SCORING MASTER'!$D$68:$D$69,MATCH(AM121,'SCORING MASTER'!$C$68:$C$69,0)),INDEX('SCORING MASTER'!$D$71:$D$72,MATCH(AN121,'SCORING MASTER'!$C$71:$C$72,0)),INDEX('SCORING MASTER'!$D$74:$D$75,MATCH(AO121,'SCORING MASTER'!$C$74:$C$75,0)),INDEX('SCORING MASTER'!$D$77:$D$78,MATCH(AP121,'SCORING MASTER'!$C$77:$C$78,0)))*20,0))</f>
        <v/>
      </c>
      <c r="BJ121" s="35" t="str">
        <f aca="false">IF(COUNTBLANK(AU121:AZ121)&gt;0,"",ROUND(AVERAGE(INDEX('SCORING MASTER'!$D$95:$D$96,MATCH(AU121,'SCORING MASTER'!$C$95:$C$96,0)),INDEX('SCORING MASTER'!$D$98:$D$99,MATCH(AV121,'SCORING MASTER'!$C$98:$C$99,0)),INDEX('SCORING MASTER'!$D$101:$D$102,MATCH(AW121,'SCORING MASTER'!$C$101:$C$102,0)),INDEX('SCORING MASTER'!$D$104:$D$105,MATCH(AX121,'SCORING MASTER'!$C$104:$C$105,0)),INDEX('SCORING MASTER'!$D$107:$D$108,MATCH(AY121,'SCORING MASTER'!$C$107:$C$108,0)),INDEX('SCORING MASTER'!$D$110:$D$111,MATCH(AZ121,'SCORING MASTER'!$C$110:$C$111,0)))*20,0))</f>
        <v/>
      </c>
      <c r="BK121" s="35" t="str">
        <f aca="false">IF(COUNTBLANK(AQ121:AT121)&gt;0,"",ROUND(AVERAGE(INDEX('SCORING MASTER'!$D$80:$D$82,MATCH(AQ121,'SCORING MASTER'!$C$80:$C$82,0)),INDEX('SCORING MASTER'!$D$84:$D$86,MATCH(AR121,'SCORING MASTER'!$C$84:$C$86,0)),INDEX('SCORING MASTER'!$D$88:$D$90,MATCH(AS121,'SCORING MASTER'!$C$88:$C$90,0)),INDEX('SCORING MASTER'!$D$92:$D$93,MATCH(AT121,'SCORING MASTER'!$C$92:$C$93,0)))*20,0))</f>
        <v/>
      </c>
      <c r="BL121" s="35" t="str">
        <f aca="false">IF(COUNTBLANK(BA121:BE121)&gt;0,"",ROUND(AVERAGE(INDEX('SCORING MASTER'!$D$113:$D$115,MATCH(BA121,'SCORING MASTER'!$C$113:$C$115,0)),INDEX('SCORING MASTER'!$D$117:$D$119,MATCH(BB121,'SCORING MASTER'!$C$117:$C$119,0)),INDEX('SCORING MASTER'!$D$121:$D$123,MATCH(BC121,'SCORING MASTER'!$C$121:$C$123,0)),INDEX('SCORING MASTER'!$D$125:$D$126,MATCH(BD121,'SCORING MASTER'!$C$125:$C$126,0)),INDEX('SCORING MASTER'!$D$128:$D$129,MATCH(BE121,'SCORING MASTER'!$C$128:$C$129,0)))*20,0))</f>
        <v/>
      </c>
      <c r="BM121" s="35" t="str">
        <f aca="false">IF(OR(BF121="",BG121="",BH121="",BI121="",BJ121="",BK121="",BL121=""),"",ROUND(BF121*0.25+BG121*0.2+BH121*0.15+BI121*0.15+BJ121*0.1+BK121*0.1+BL121*0.05,0))</f>
        <v/>
      </c>
      <c r="BN121" s="35" t="str">
        <f aca="false">IF(OR(BF121="",BG121=""),"",ROUND(BF121*0.5+BG121*0.5,0))</f>
        <v/>
      </c>
      <c r="BO121" s="35" t="str">
        <f aca="false">IF(BN121="","",ROUND(MIN(100,MAX(0,(100-BN121)+IF(AL121="Yes",15,0)+IF(AM121="Yes",15,0)+IF(AND(U121&lt;&gt;"",U121&lt;18.5),20,0))),0))</f>
        <v/>
      </c>
      <c r="BP121" s="32" t="str">
        <f aca="false">IF(BM121="","",IF(BM121&gt;=90,"Green - Healthy",IF(BM121&gt;=75,"Light Green - Mild Watch",IF(BM121&gt;=60,"Yellow - Mild Risk",IF(BM121&gt;=40,"Orange - Moderate Risk","Red - High Risk")))))</f>
        <v/>
      </c>
      <c r="BQ121" s="32" t="str">
        <f aca="false">IF(BM121="","",IF(OR(BM121&lt;60,BO121&gt;=60,AJ121="Yes"),"Yes","No"))</f>
        <v/>
      </c>
      <c r="BR121" s="32" t="str">
        <f aca="false">IF(BM121="","",IF(OR(BP121="Orange - Moderate Risk",BP121="Red - High Risk",BQ121="Yes"),"Yes","No"))</f>
        <v/>
      </c>
    </row>
    <row r="122" customFormat="false" ht="15" hidden="false" customHeight="false" outlineLevel="0" collapsed="false">
      <c r="A122" s="28" t="str">
        <f aca="false">IF(I122="","","STU"&amp;TEXT(ROW()-3,"000000"))</f>
        <v/>
      </c>
      <c r="B122" s="28"/>
      <c r="C122" s="28"/>
      <c r="D122" s="28"/>
      <c r="E122" s="28"/>
      <c r="F122" s="28"/>
      <c r="G122" s="28"/>
      <c r="H122" s="28"/>
      <c r="I122" s="28"/>
      <c r="J122" s="30"/>
      <c r="K122" s="28"/>
      <c r="L122" s="28"/>
      <c r="M122" s="28"/>
      <c r="N122" s="28"/>
      <c r="O122" s="28"/>
      <c r="P122" s="28"/>
      <c r="Q122" s="30"/>
      <c r="R122" s="30"/>
      <c r="S122" s="31" t="str">
        <f aca="false">IF(OR(Q122="",R122=""),"",ROUND(R122/((Q122/100)^2),1))</f>
        <v/>
      </c>
      <c r="T122" s="28" t="str">
        <f aca="false">IF(S122="","",IF(S122&lt;18.5,"Underweight",IF(S122&lt;25,"Normal",IF(S122&lt;30,"Overweight","Obese"))))</f>
        <v/>
      </c>
      <c r="U122" s="30"/>
      <c r="V122" s="30"/>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31" t="str">
        <f aca="false">IF(T122="","",IF(T122="Normal",100,IF(T122="Overweight",65,IF(T122="Obese",50,IF(AND(U122&lt;&gt;"",U122&lt;18.5),30,45)))))</f>
        <v/>
      </c>
      <c r="BG122" s="31" t="str">
        <f aca="false">IF(COUNTBLANK(W122:AC122)&gt;0,"",ROUND(AVERAGE(INDEX('SCORING MASTER'!$D$5:$D$7,MATCH(W122,'SCORING MASTER'!$C$5:$C$7,0)),INDEX('SCORING MASTER'!$D$9:$D$11,MATCH(X122,'SCORING MASTER'!$C$9:$C$11,0)),INDEX('SCORING MASTER'!$D$13:$D$15,MATCH(Y122,'SCORING MASTER'!$C$13:$C$15,0)),INDEX('SCORING MASTER'!$D$17:$D$19,MATCH(Z122,'SCORING MASTER'!$C$17:$C$19,0)),INDEX('SCORING MASTER'!$D$21:$D$23,MATCH(AA122,'SCORING MASTER'!$C$21:$C$23,0)),INDEX('SCORING MASTER'!$D$25:$D$27,MATCH(AB122,'SCORING MASTER'!$C$25:$C$27,0)),INDEX('SCORING MASTER'!$D$29:$D$31,MATCH(AC122,'SCORING MASTER'!$C$29:$C$31,0)))*20,0))</f>
        <v/>
      </c>
      <c r="BH122" s="31" t="str">
        <f aca="false">IF(COUNTBLANK(AD122:AI122)&gt;0,"",ROUND(AVERAGE(INDEX('SCORING MASTER'!$D$33:$D$35,MATCH(AD122,'SCORING MASTER'!$C$33:$C$35,0)),INDEX('SCORING MASTER'!$D$37:$D$39,MATCH(AE122,'SCORING MASTER'!$C$37:$C$39,0)),INDEX('SCORING MASTER'!$D$41:$D$43,MATCH(AF122,'SCORING MASTER'!$C$41:$C$43,0)),INDEX('SCORING MASTER'!$D$45:$D$47,MATCH(AG122,'SCORING MASTER'!$C$45:$C$47,0)),INDEX('SCORING MASTER'!$D$49:$D$52,MATCH(AH122,'SCORING MASTER'!$C$49:$C$52,0)),INDEX('SCORING MASTER'!$D$54:$D$57,MATCH(AI122,'SCORING MASTER'!$C$54:$C$57,0)))*20,0))</f>
        <v/>
      </c>
      <c r="BI122" s="31" t="str">
        <f aca="false">IF(COUNTBLANK(AJ122:AP122)&gt;0,"",ROUND(AVERAGE(INDEX('SCORING MASTER'!$D$59:$D$60,MATCH(AJ122,'SCORING MASTER'!$C$59:$C$60,0)),INDEX('SCORING MASTER'!$D$62:$D$63,MATCH(AK122,'SCORING MASTER'!$C$62:$C$63,0)),INDEX('SCORING MASTER'!$D$65:$D$66,MATCH(AL122,'SCORING MASTER'!$C$65:$C$66,0)),INDEX('SCORING MASTER'!$D$68:$D$69,MATCH(AM122,'SCORING MASTER'!$C$68:$C$69,0)),INDEX('SCORING MASTER'!$D$71:$D$72,MATCH(AN122,'SCORING MASTER'!$C$71:$C$72,0)),INDEX('SCORING MASTER'!$D$74:$D$75,MATCH(AO122,'SCORING MASTER'!$C$74:$C$75,0)),INDEX('SCORING MASTER'!$D$77:$D$78,MATCH(AP122,'SCORING MASTER'!$C$77:$C$78,0)))*20,0))</f>
        <v/>
      </c>
      <c r="BJ122" s="31" t="str">
        <f aca="false">IF(COUNTBLANK(AU122:AZ122)&gt;0,"",ROUND(AVERAGE(INDEX('SCORING MASTER'!$D$95:$D$96,MATCH(AU122,'SCORING MASTER'!$C$95:$C$96,0)),INDEX('SCORING MASTER'!$D$98:$D$99,MATCH(AV122,'SCORING MASTER'!$C$98:$C$99,0)),INDEX('SCORING MASTER'!$D$101:$D$102,MATCH(AW122,'SCORING MASTER'!$C$101:$C$102,0)),INDEX('SCORING MASTER'!$D$104:$D$105,MATCH(AX122,'SCORING MASTER'!$C$104:$C$105,0)),INDEX('SCORING MASTER'!$D$107:$D$108,MATCH(AY122,'SCORING MASTER'!$C$107:$C$108,0)),INDEX('SCORING MASTER'!$D$110:$D$111,MATCH(AZ122,'SCORING MASTER'!$C$110:$C$111,0)))*20,0))</f>
        <v/>
      </c>
      <c r="BK122" s="31" t="str">
        <f aca="false">IF(COUNTBLANK(AQ122:AT122)&gt;0,"",ROUND(AVERAGE(INDEX('SCORING MASTER'!$D$80:$D$82,MATCH(AQ122,'SCORING MASTER'!$C$80:$C$82,0)),INDEX('SCORING MASTER'!$D$84:$D$86,MATCH(AR122,'SCORING MASTER'!$C$84:$C$86,0)),INDEX('SCORING MASTER'!$D$88:$D$90,MATCH(AS122,'SCORING MASTER'!$C$88:$C$90,0)),INDEX('SCORING MASTER'!$D$92:$D$93,MATCH(AT122,'SCORING MASTER'!$C$92:$C$93,0)))*20,0))</f>
        <v/>
      </c>
      <c r="BL122" s="31" t="str">
        <f aca="false">IF(COUNTBLANK(BA122:BE122)&gt;0,"",ROUND(AVERAGE(INDEX('SCORING MASTER'!$D$113:$D$115,MATCH(BA122,'SCORING MASTER'!$C$113:$C$115,0)),INDEX('SCORING MASTER'!$D$117:$D$119,MATCH(BB122,'SCORING MASTER'!$C$117:$C$119,0)),INDEX('SCORING MASTER'!$D$121:$D$123,MATCH(BC122,'SCORING MASTER'!$C$121:$C$123,0)),INDEX('SCORING MASTER'!$D$125:$D$126,MATCH(BD122,'SCORING MASTER'!$C$125:$C$126,0)),INDEX('SCORING MASTER'!$D$128:$D$129,MATCH(BE122,'SCORING MASTER'!$C$128:$C$129,0)))*20,0))</f>
        <v/>
      </c>
      <c r="BM122" s="31" t="str">
        <f aca="false">IF(OR(BF122="",BG122="",BH122="",BI122="",BJ122="",BK122="",BL122=""),"",ROUND(BF122*0.25+BG122*0.2+BH122*0.15+BI122*0.15+BJ122*0.1+BK122*0.1+BL122*0.05,0))</f>
        <v/>
      </c>
      <c r="BN122" s="31" t="str">
        <f aca="false">IF(OR(BF122="",BG122=""),"",ROUND(BF122*0.5+BG122*0.5,0))</f>
        <v/>
      </c>
      <c r="BO122" s="31" t="str">
        <f aca="false">IF(BN122="","",ROUND(MIN(100,MAX(0,(100-BN122)+IF(AL122="Yes",15,0)+IF(AM122="Yes",15,0)+IF(AND(U122&lt;&gt;"",U122&lt;18.5),20,0))),0))</f>
        <v/>
      </c>
      <c r="BP122" s="28" t="str">
        <f aca="false">IF(BM122="","",IF(BM122&gt;=90,"Green - Healthy",IF(BM122&gt;=75,"Light Green - Mild Watch",IF(BM122&gt;=60,"Yellow - Mild Risk",IF(BM122&gt;=40,"Orange - Moderate Risk","Red - High Risk")))))</f>
        <v/>
      </c>
      <c r="BQ122" s="28" t="str">
        <f aca="false">IF(BM122="","",IF(OR(BM122&lt;60,BO122&gt;=60,AJ122="Yes"),"Yes","No"))</f>
        <v/>
      </c>
      <c r="BR122" s="28" t="str">
        <f aca="false">IF(BM122="","",IF(OR(BP122="Orange - Moderate Risk",BP122="Red - High Risk",BQ122="Yes"),"Yes","No"))</f>
        <v/>
      </c>
    </row>
    <row r="123" customFormat="false" ht="15" hidden="false" customHeight="false" outlineLevel="0" collapsed="false">
      <c r="A123" s="32" t="str">
        <f aca="false">IF(I123="","","STU"&amp;TEXT(ROW()-3,"000000"))</f>
        <v/>
      </c>
      <c r="B123" s="32"/>
      <c r="C123" s="32"/>
      <c r="D123" s="32"/>
      <c r="E123" s="32"/>
      <c r="F123" s="32"/>
      <c r="G123" s="32"/>
      <c r="H123" s="32"/>
      <c r="I123" s="32"/>
      <c r="J123" s="34"/>
      <c r="K123" s="32"/>
      <c r="L123" s="32"/>
      <c r="M123" s="32"/>
      <c r="N123" s="32"/>
      <c r="O123" s="32"/>
      <c r="P123" s="32"/>
      <c r="Q123" s="34"/>
      <c r="R123" s="34"/>
      <c r="S123" s="35" t="str">
        <f aca="false">IF(OR(Q123="",R123=""),"",ROUND(R123/((Q123/100)^2),1))</f>
        <v/>
      </c>
      <c r="T123" s="32" t="str">
        <f aca="false">IF(S123="","",IF(S123&lt;18.5,"Underweight",IF(S123&lt;25,"Normal",IF(S123&lt;30,"Overweight","Obese"))))</f>
        <v/>
      </c>
      <c r="U123" s="34"/>
      <c r="V123" s="34"/>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5" t="str">
        <f aca="false">IF(T123="","",IF(T123="Normal",100,IF(T123="Overweight",65,IF(T123="Obese",50,IF(AND(U123&lt;&gt;"",U123&lt;18.5),30,45)))))</f>
        <v/>
      </c>
      <c r="BG123" s="35" t="str">
        <f aca="false">IF(COUNTBLANK(W123:AC123)&gt;0,"",ROUND(AVERAGE(INDEX('SCORING MASTER'!$D$5:$D$7,MATCH(W123,'SCORING MASTER'!$C$5:$C$7,0)),INDEX('SCORING MASTER'!$D$9:$D$11,MATCH(X123,'SCORING MASTER'!$C$9:$C$11,0)),INDEX('SCORING MASTER'!$D$13:$D$15,MATCH(Y123,'SCORING MASTER'!$C$13:$C$15,0)),INDEX('SCORING MASTER'!$D$17:$D$19,MATCH(Z123,'SCORING MASTER'!$C$17:$C$19,0)),INDEX('SCORING MASTER'!$D$21:$D$23,MATCH(AA123,'SCORING MASTER'!$C$21:$C$23,0)),INDEX('SCORING MASTER'!$D$25:$D$27,MATCH(AB123,'SCORING MASTER'!$C$25:$C$27,0)),INDEX('SCORING MASTER'!$D$29:$D$31,MATCH(AC123,'SCORING MASTER'!$C$29:$C$31,0)))*20,0))</f>
        <v/>
      </c>
      <c r="BH123" s="35" t="str">
        <f aca="false">IF(COUNTBLANK(AD123:AI123)&gt;0,"",ROUND(AVERAGE(INDEX('SCORING MASTER'!$D$33:$D$35,MATCH(AD123,'SCORING MASTER'!$C$33:$C$35,0)),INDEX('SCORING MASTER'!$D$37:$D$39,MATCH(AE123,'SCORING MASTER'!$C$37:$C$39,0)),INDEX('SCORING MASTER'!$D$41:$D$43,MATCH(AF123,'SCORING MASTER'!$C$41:$C$43,0)),INDEX('SCORING MASTER'!$D$45:$D$47,MATCH(AG123,'SCORING MASTER'!$C$45:$C$47,0)),INDEX('SCORING MASTER'!$D$49:$D$52,MATCH(AH123,'SCORING MASTER'!$C$49:$C$52,0)),INDEX('SCORING MASTER'!$D$54:$D$57,MATCH(AI123,'SCORING MASTER'!$C$54:$C$57,0)))*20,0))</f>
        <v/>
      </c>
      <c r="BI123" s="35" t="str">
        <f aca="false">IF(COUNTBLANK(AJ123:AP123)&gt;0,"",ROUND(AVERAGE(INDEX('SCORING MASTER'!$D$59:$D$60,MATCH(AJ123,'SCORING MASTER'!$C$59:$C$60,0)),INDEX('SCORING MASTER'!$D$62:$D$63,MATCH(AK123,'SCORING MASTER'!$C$62:$C$63,0)),INDEX('SCORING MASTER'!$D$65:$D$66,MATCH(AL123,'SCORING MASTER'!$C$65:$C$66,0)),INDEX('SCORING MASTER'!$D$68:$D$69,MATCH(AM123,'SCORING MASTER'!$C$68:$C$69,0)),INDEX('SCORING MASTER'!$D$71:$D$72,MATCH(AN123,'SCORING MASTER'!$C$71:$C$72,0)),INDEX('SCORING MASTER'!$D$74:$D$75,MATCH(AO123,'SCORING MASTER'!$C$74:$C$75,0)),INDEX('SCORING MASTER'!$D$77:$D$78,MATCH(AP123,'SCORING MASTER'!$C$77:$C$78,0)))*20,0))</f>
        <v/>
      </c>
      <c r="BJ123" s="35" t="str">
        <f aca="false">IF(COUNTBLANK(AU123:AZ123)&gt;0,"",ROUND(AVERAGE(INDEX('SCORING MASTER'!$D$95:$D$96,MATCH(AU123,'SCORING MASTER'!$C$95:$C$96,0)),INDEX('SCORING MASTER'!$D$98:$D$99,MATCH(AV123,'SCORING MASTER'!$C$98:$C$99,0)),INDEX('SCORING MASTER'!$D$101:$D$102,MATCH(AW123,'SCORING MASTER'!$C$101:$C$102,0)),INDEX('SCORING MASTER'!$D$104:$D$105,MATCH(AX123,'SCORING MASTER'!$C$104:$C$105,0)),INDEX('SCORING MASTER'!$D$107:$D$108,MATCH(AY123,'SCORING MASTER'!$C$107:$C$108,0)),INDEX('SCORING MASTER'!$D$110:$D$111,MATCH(AZ123,'SCORING MASTER'!$C$110:$C$111,0)))*20,0))</f>
        <v/>
      </c>
      <c r="BK123" s="35" t="str">
        <f aca="false">IF(COUNTBLANK(AQ123:AT123)&gt;0,"",ROUND(AVERAGE(INDEX('SCORING MASTER'!$D$80:$D$82,MATCH(AQ123,'SCORING MASTER'!$C$80:$C$82,0)),INDEX('SCORING MASTER'!$D$84:$D$86,MATCH(AR123,'SCORING MASTER'!$C$84:$C$86,0)),INDEX('SCORING MASTER'!$D$88:$D$90,MATCH(AS123,'SCORING MASTER'!$C$88:$C$90,0)),INDEX('SCORING MASTER'!$D$92:$D$93,MATCH(AT123,'SCORING MASTER'!$C$92:$C$93,0)))*20,0))</f>
        <v/>
      </c>
      <c r="BL123" s="35" t="str">
        <f aca="false">IF(COUNTBLANK(BA123:BE123)&gt;0,"",ROUND(AVERAGE(INDEX('SCORING MASTER'!$D$113:$D$115,MATCH(BA123,'SCORING MASTER'!$C$113:$C$115,0)),INDEX('SCORING MASTER'!$D$117:$D$119,MATCH(BB123,'SCORING MASTER'!$C$117:$C$119,0)),INDEX('SCORING MASTER'!$D$121:$D$123,MATCH(BC123,'SCORING MASTER'!$C$121:$C$123,0)),INDEX('SCORING MASTER'!$D$125:$D$126,MATCH(BD123,'SCORING MASTER'!$C$125:$C$126,0)),INDEX('SCORING MASTER'!$D$128:$D$129,MATCH(BE123,'SCORING MASTER'!$C$128:$C$129,0)))*20,0))</f>
        <v/>
      </c>
      <c r="BM123" s="35" t="str">
        <f aca="false">IF(OR(BF123="",BG123="",BH123="",BI123="",BJ123="",BK123="",BL123=""),"",ROUND(BF123*0.25+BG123*0.2+BH123*0.15+BI123*0.15+BJ123*0.1+BK123*0.1+BL123*0.05,0))</f>
        <v/>
      </c>
      <c r="BN123" s="35" t="str">
        <f aca="false">IF(OR(BF123="",BG123=""),"",ROUND(BF123*0.5+BG123*0.5,0))</f>
        <v/>
      </c>
      <c r="BO123" s="35" t="str">
        <f aca="false">IF(BN123="","",ROUND(MIN(100,MAX(0,(100-BN123)+IF(AL123="Yes",15,0)+IF(AM123="Yes",15,0)+IF(AND(U123&lt;&gt;"",U123&lt;18.5),20,0))),0))</f>
        <v/>
      </c>
      <c r="BP123" s="32" t="str">
        <f aca="false">IF(BM123="","",IF(BM123&gt;=90,"Green - Healthy",IF(BM123&gt;=75,"Light Green - Mild Watch",IF(BM123&gt;=60,"Yellow - Mild Risk",IF(BM123&gt;=40,"Orange - Moderate Risk","Red - High Risk")))))</f>
        <v/>
      </c>
      <c r="BQ123" s="32" t="str">
        <f aca="false">IF(BM123="","",IF(OR(BM123&lt;60,BO123&gt;=60,AJ123="Yes"),"Yes","No"))</f>
        <v/>
      </c>
      <c r="BR123" s="32" t="str">
        <f aca="false">IF(BM123="","",IF(OR(BP123="Orange - Moderate Risk",BP123="Red - High Risk",BQ123="Yes"),"Yes","No"))</f>
        <v/>
      </c>
    </row>
    <row r="124" customFormat="false" ht="15" hidden="false" customHeight="false" outlineLevel="0" collapsed="false">
      <c r="A124" s="28" t="str">
        <f aca="false">IF(I124="","","STU"&amp;TEXT(ROW()-3,"000000"))</f>
        <v/>
      </c>
      <c r="B124" s="28"/>
      <c r="C124" s="28"/>
      <c r="D124" s="28"/>
      <c r="E124" s="28"/>
      <c r="F124" s="28"/>
      <c r="G124" s="28"/>
      <c r="H124" s="28"/>
      <c r="I124" s="28"/>
      <c r="J124" s="30"/>
      <c r="K124" s="28"/>
      <c r="L124" s="28"/>
      <c r="M124" s="28"/>
      <c r="N124" s="28"/>
      <c r="O124" s="28"/>
      <c r="P124" s="28"/>
      <c r="Q124" s="30"/>
      <c r="R124" s="30"/>
      <c r="S124" s="31" t="str">
        <f aca="false">IF(OR(Q124="",R124=""),"",ROUND(R124/((Q124/100)^2),1))</f>
        <v/>
      </c>
      <c r="T124" s="28" t="str">
        <f aca="false">IF(S124="","",IF(S124&lt;18.5,"Underweight",IF(S124&lt;25,"Normal",IF(S124&lt;30,"Overweight","Obese"))))</f>
        <v/>
      </c>
      <c r="U124" s="30"/>
      <c r="V124" s="30"/>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31" t="str">
        <f aca="false">IF(T124="","",IF(T124="Normal",100,IF(T124="Overweight",65,IF(T124="Obese",50,IF(AND(U124&lt;&gt;"",U124&lt;18.5),30,45)))))</f>
        <v/>
      </c>
      <c r="BG124" s="31" t="str">
        <f aca="false">IF(COUNTBLANK(W124:AC124)&gt;0,"",ROUND(AVERAGE(INDEX('SCORING MASTER'!$D$5:$D$7,MATCH(W124,'SCORING MASTER'!$C$5:$C$7,0)),INDEX('SCORING MASTER'!$D$9:$D$11,MATCH(X124,'SCORING MASTER'!$C$9:$C$11,0)),INDEX('SCORING MASTER'!$D$13:$D$15,MATCH(Y124,'SCORING MASTER'!$C$13:$C$15,0)),INDEX('SCORING MASTER'!$D$17:$D$19,MATCH(Z124,'SCORING MASTER'!$C$17:$C$19,0)),INDEX('SCORING MASTER'!$D$21:$D$23,MATCH(AA124,'SCORING MASTER'!$C$21:$C$23,0)),INDEX('SCORING MASTER'!$D$25:$D$27,MATCH(AB124,'SCORING MASTER'!$C$25:$C$27,0)),INDEX('SCORING MASTER'!$D$29:$D$31,MATCH(AC124,'SCORING MASTER'!$C$29:$C$31,0)))*20,0))</f>
        <v/>
      </c>
      <c r="BH124" s="31" t="str">
        <f aca="false">IF(COUNTBLANK(AD124:AI124)&gt;0,"",ROUND(AVERAGE(INDEX('SCORING MASTER'!$D$33:$D$35,MATCH(AD124,'SCORING MASTER'!$C$33:$C$35,0)),INDEX('SCORING MASTER'!$D$37:$D$39,MATCH(AE124,'SCORING MASTER'!$C$37:$C$39,0)),INDEX('SCORING MASTER'!$D$41:$D$43,MATCH(AF124,'SCORING MASTER'!$C$41:$C$43,0)),INDEX('SCORING MASTER'!$D$45:$D$47,MATCH(AG124,'SCORING MASTER'!$C$45:$C$47,0)),INDEX('SCORING MASTER'!$D$49:$D$52,MATCH(AH124,'SCORING MASTER'!$C$49:$C$52,0)),INDEX('SCORING MASTER'!$D$54:$D$57,MATCH(AI124,'SCORING MASTER'!$C$54:$C$57,0)))*20,0))</f>
        <v/>
      </c>
      <c r="BI124" s="31" t="str">
        <f aca="false">IF(COUNTBLANK(AJ124:AP124)&gt;0,"",ROUND(AVERAGE(INDEX('SCORING MASTER'!$D$59:$D$60,MATCH(AJ124,'SCORING MASTER'!$C$59:$C$60,0)),INDEX('SCORING MASTER'!$D$62:$D$63,MATCH(AK124,'SCORING MASTER'!$C$62:$C$63,0)),INDEX('SCORING MASTER'!$D$65:$D$66,MATCH(AL124,'SCORING MASTER'!$C$65:$C$66,0)),INDEX('SCORING MASTER'!$D$68:$D$69,MATCH(AM124,'SCORING MASTER'!$C$68:$C$69,0)),INDEX('SCORING MASTER'!$D$71:$D$72,MATCH(AN124,'SCORING MASTER'!$C$71:$C$72,0)),INDEX('SCORING MASTER'!$D$74:$D$75,MATCH(AO124,'SCORING MASTER'!$C$74:$C$75,0)),INDEX('SCORING MASTER'!$D$77:$D$78,MATCH(AP124,'SCORING MASTER'!$C$77:$C$78,0)))*20,0))</f>
        <v/>
      </c>
      <c r="BJ124" s="31" t="str">
        <f aca="false">IF(COUNTBLANK(AU124:AZ124)&gt;0,"",ROUND(AVERAGE(INDEX('SCORING MASTER'!$D$95:$D$96,MATCH(AU124,'SCORING MASTER'!$C$95:$C$96,0)),INDEX('SCORING MASTER'!$D$98:$D$99,MATCH(AV124,'SCORING MASTER'!$C$98:$C$99,0)),INDEX('SCORING MASTER'!$D$101:$D$102,MATCH(AW124,'SCORING MASTER'!$C$101:$C$102,0)),INDEX('SCORING MASTER'!$D$104:$D$105,MATCH(AX124,'SCORING MASTER'!$C$104:$C$105,0)),INDEX('SCORING MASTER'!$D$107:$D$108,MATCH(AY124,'SCORING MASTER'!$C$107:$C$108,0)),INDEX('SCORING MASTER'!$D$110:$D$111,MATCH(AZ124,'SCORING MASTER'!$C$110:$C$111,0)))*20,0))</f>
        <v/>
      </c>
      <c r="BK124" s="31" t="str">
        <f aca="false">IF(COUNTBLANK(AQ124:AT124)&gt;0,"",ROUND(AVERAGE(INDEX('SCORING MASTER'!$D$80:$D$82,MATCH(AQ124,'SCORING MASTER'!$C$80:$C$82,0)),INDEX('SCORING MASTER'!$D$84:$D$86,MATCH(AR124,'SCORING MASTER'!$C$84:$C$86,0)),INDEX('SCORING MASTER'!$D$88:$D$90,MATCH(AS124,'SCORING MASTER'!$C$88:$C$90,0)),INDEX('SCORING MASTER'!$D$92:$D$93,MATCH(AT124,'SCORING MASTER'!$C$92:$C$93,0)))*20,0))</f>
        <v/>
      </c>
      <c r="BL124" s="31" t="str">
        <f aca="false">IF(COUNTBLANK(BA124:BE124)&gt;0,"",ROUND(AVERAGE(INDEX('SCORING MASTER'!$D$113:$D$115,MATCH(BA124,'SCORING MASTER'!$C$113:$C$115,0)),INDEX('SCORING MASTER'!$D$117:$D$119,MATCH(BB124,'SCORING MASTER'!$C$117:$C$119,0)),INDEX('SCORING MASTER'!$D$121:$D$123,MATCH(BC124,'SCORING MASTER'!$C$121:$C$123,0)),INDEX('SCORING MASTER'!$D$125:$D$126,MATCH(BD124,'SCORING MASTER'!$C$125:$C$126,0)),INDEX('SCORING MASTER'!$D$128:$D$129,MATCH(BE124,'SCORING MASTER'!$C$128:$C$129,0)))*20,0))</f>
        <v/>
      </c>
      <c r="BM124" s="31" t="str">
        <f aca="false">IF(OR(BF124="",BG124="",BH124="",BI124="",BJ124="",BK124="",BL124=""),"",ROUND(BF124*0.25+BG124*0.2+BH124*0.15+BI124*0.15+BJ124*0.1+BK124*0.1+BL124*0.05,0))</f>
        <v/>
      </c>
      <c r="BN124" s="31" t="str">
        <f aca="false">IF(OR(BF124="",BG124=""),"",ROUND(BF124*0.5+BG124*0.5,0))</f>
        <v/>
      </c>
      <c r="BO124" s="31" t="str">
        <f aca="false">IF(BN124="","",ROUND(MIN(100,MAX(0,(100-BN124)+IF(AL124="Yes",15,0)+IF(AM124="Yes",15,0)+IF(AND(U124&lt;&gt;"",U124&lt;18.5),20,0))),0))</f>
        <v/>
      </c>
      <c r="BP124" s="28" t="str">
        <f aca="false">IF(BM124="","",IF(BM124&gt;=90,"Green - Healthy",IF(BM124&gt;=75,"Light Green - Mild Watch",IF(BM124&gt;=60,"Yellow - Mild Risk",IF(BM124&gt;=40,"Orange - Moderate Risk","Red - High Risk")))))</f>
        <v/>
      </c>
      <c r="BQ124" s="28" t="str">
        <f aca="false">IF(BM124="","",IF(OR(BM124&lt;60,BO124&gt;=60,AJ124="Yes"),"Yes","No"))</f>
        <v/>
      </c>
      <c r="BR124" s="28" t="str">
        <f aca="false">IF(BM124="","",IF(OR(BP124="Orange - Moderate Risk",BP124="Red - High Risk",BQ124="Yes"),"Yes","No"))</f>
        <v/>
      </c>
    </row>
    <row r="125" customFormat="false" ht="15" hidden="false" customHeight="false" outlineLevel="0" collapsed="false">
      <c r="A125" s="32" t="str">
        <f aca="false">IF(I125="","","STU"&amp;TEXT(ROW()-3,"000000"))</f>
        <v/>
      </c>
      <c r="B125" s="32"/>
      <c r="C125" s="32"/>
      <c r="D125" s="32"/>
      <c r="E125" s="32"/>
      <c r="F125" s="32"/>
      <c r="G125" s="32"/>
      <c r="H125" s="32"/>
      <c r="I125" s="32"/>
      <c r="J125" s="34"/>
      <c r="K125" s="32"/>
      <c r="L125" s="32"/>
      <c r="M125" s="32"/>
      <c r="N125" s="32"/>
      <c r="O125" s="32"/>
      <c r="P125" s="32"/>
      <c r="Q125" s="34"/>
      <c r="R125" s="34"/>
      <c r="S125" s="35" t="str">
        <f aca="false">IF(OR(Q125="",R125=""),"",ROUND(R125/((Q125/100)^2),1))</f>
        <v/>
      </c>
      <c r="T125" s="32" t="str">
        <f aca="false">IF(S125="","",IF(S125&lt;18.5,"Underweight",IF(S125&lt;25,"Normal",IF(S125&lt;30,"Overweight","Obese"))))</f>
        <v/>
      </c>
      <c r="U125" s="34"/>
      <c r="V125" s="34"/>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5" t="str">
        <f aca="false">IF(T125="","",IF(T125="Normal",100,IF(T125="Overweight",65,IF(T125="Obese",50,IF(AND(U125&lt;&gt;"",U125&lt;18.5),30,45)))))</f>
        <v/>
      </c>
      <c r="BG125" s="35" t="str">
        <f aca="false">IF(COUNTBLANK(W125:AC125)&gt;0,"",ROUND(AVERAGE(INDEX('SCORING MASTER'!$D$5:$D$7,MATCH(W125,'SCORING MASTER'!$C$5:$C$7,0)),INDEX('SCORING MASTER'!$D$9:$D$11,MATCH(X125,'SCORING MASTER'!$C$9:$C$11,0)),INDEX('SCORING MASTER'!$D$13:$D$15,MATCH(Y125,'SCORING MASTER'!$C$13:$C$15,0)),INDEX('SCORING MASTER'!$D$17:$D$19,MATCH(Z125,'SCORING MASTER'!$C$17:$C$19,0)),INDEX('SCORING MASTER'!$D$21:$D$23,MATCH(AA125,'SCORING MASTER'!$C$21:$C$23,0)),INDEX('SCORING MASTER'!$D$25:$D$27,MATCH(AB125,'SCORING MASTER'!$C$25:$C$27,0)),INDEX('SCORING MASTER'!$D$29:$D$31,MATCH(AC125,'SCORING MASTER'!$C$29:$C$31,0)))*20,0))</f>
        <v/>
      </c>
      <c r="BH125" s="35" t="str">
        <f aca="false">IF(COUNTBLANK(AD125:AI125)&gt;0,"",ROUND(AVERAGE(INDEX('SCORING MASTER'!$D$33:$D$35,MATCH(AD125,'SCORING MASTER'!$C$33:$C$35,0)),INDEX('SCORING MASTER'!$D$37:$D$39,MATCH(AE125,'SCORING MASTER'!$C$37:$C$39,0)),INDEX('SCORING MASTER'!$D$41:$D$43,MATCH(AF125,'SCORING MASTER'!$C$41:$C$43,0)),INDEX('SCORING MASTER'!$D$45:$D$47,MATCH(AG125,'SCORING MASTER'!$C$45:$C$47,0)),INDEX('SCORING MASTER'!$D$49:$D$52,MATCH(AH125,'SCORING MASTER'!$C$49:$C$52,0)),INDEX('SCORING MASTER'!$D$54:$D$57,MATCH(AI125,'SCORING MASTER'!$C$54:$C$57,0)))*20,0))</f>
        <v/>
      </c>
      <c r="BI125" s="35" t="str">
        <f aca="false">IF(COUNTBLANK(AJ125:AP125)&gt;0,"",ROUND(AVERAGE(INDEX('SCORING MASTER'!$D$59:$D$60,MATCH(AJ125,'SCORING MASTER'!$C$59:$C$60,0)),INDEX('SCORING MASTER'!$D$62:$D$63,MATCH(AK125,'SCORING MASTER'!$C$62:$C$63,0)),INDEX('SCORING MASTER'!$D$65:$D$66,MATCH(AL125,'SCORING MASTER'!$C$65:$C$66,0)),INDEX('SCORING MASTER'!$D$68:$D$69,MATCH(AM125,'SCORING MASTER'!$C$68:$C$69,0)),INDEX('SCORING MASTER'!$D$71:$D$72,MATCH(AN125,'SCORING MASTER'!$C$71:$C$72,0)),INDEX('SCORING MASTER'!$D$74:$D$75,MATCH(AO125,'SCORING MASTER'!$C$74:$C$75,0)),INDEX('SCORING MASTER'!$D$77:$D$78,MATCH(AP125,'SCORING MASTER'!$C$77:$C$78,0)))*20,0))</f>
        <v/>
      </c>
      <c r="BJ125" s="35" t="str">
        <f aca="false">IF(COUNTBLANK(AU125:AZ125)&gt;0,"",ROUND(AVERAGE(INDEX('SCORING MASTER'!$D$95:$D$96,MATCH(AU125,'SCORING MASTER'!$C$95:$C$96,0)),INDEX('SCORING MASTER'!$D$98:$D$99,MATCH(AV125,'SCORING MASTER'!$C$98:$C$99,0)),INDEX('SCORING MASTER'!$D$101:$D$102,MATCH(AW125,'SCORING MASTER'!$C$101:$C$102,0)),INDEX('SCORING MASTER'!$D$104:$D$105,MATCH(AX125,'SCORING MASTER'!$C$104:$C$105,0)),INDEX('SCORING MASTER'!$D$107:$D$108,MATCH(AY125,'SCORING MASTER'!$C$107:$C$108,0)),INDEX('SCORING MASTER'!$D$110:$D$111,MATCH(AZ125,'SCORING MASTER'!$C$110:$C$111,0)))*20,0))</f>
        <v/>
      </c>
      <c r="BK125" s="35" t="str">
        <f aca="false">IF(COUNTBLANK(AQ125:AT125)&gt;0,"",ROUND(AVERAGE(INDEX('SCORING MASTER'!$D$80:$D$82,MATCH(AQ125,'SCORING MASTER'!$C$80:$C$82,0)),INDEX('SCORING MASTER'!$D$84:$D$86,MATCH(AR125,'SCORING MASTER'!$C$84:$C$86,0)),INDEX('SCORING MASTER'!$D$88:$D$90,MATCH(AS125,'SCORING MASTER'!$C$88:$C$90,0)),INDEX('SCORING MASTER'!$D$92:$D$93,MATCH(AT125,'SCORING MASTER'!$C$92:$C$93,0)))*20,0))</f>
        <v/>
      </c>
      <c r="BL125" s="35" t="str">
        <f aca="false">IF(COUNTBLANK(BA125:BE125)&gt;0,"",ROUND(AVERAGE(INDEX('SCORING MASTER'!$D$113:$D$115,MATCH(BA125,'SCORING MASTER'!$C$113:$C$115,0)),INDEX('SCORING MASTER'!$D$117:$D$119,MATCH(BB125,'SCORING MASTER'!$C$117:$C$119,0)),INDEX('SCORING MASTER'!$D$121:$D$123,MATCH(BC125,'SCORING MASTER'!$C$121:$C$123,0)),INDEX('SCORING MASTER'!$D$125:$D$126,MATCH(BD125,'SCORING MASTER'!$C$125:$C$126,0)),INDEX('SCORING MASTER'!$D$128:$D$129,MATCH(BE125,'SCORING MASTER'!$C$128:$C$129,0)))*20,0))</f>
        <v/>
      </c>
      <c r="BM125" s="35" t="str">
        <f aca="false">IF(OR(BF125="",BG125="",BH125="",BI125="",BJ125="",BK125="",BL125=""),"",ROUND(BF125*0.25+BG125*0.2+BH125*0.15+BI125*0.15+BJ125*0.1+BK125*0.1+BL125*0.05,0))</f>
        <v/>
      </c>
      <c r="BN125" s="35" t="str">
        <f aca="false">IF(OR(BF125="",BG125=""),"",ROUND(BF125*0.5+BG125*0.5,0))</f>
        <v/>
      </c>
      <c r="BO125" s="35" t="str">
        <f aca="false">IF(BN125="","",ROUND(MIN(100,MAX(0,(100-BN125)+IF(AL125="Yes",15,0)+IF(AM125="Yes",15,0)+IF(AND(U125&lt;&gt;"",U125&lt;18.5),20,0))),0))</f>
        <v/>
      </c>
      <c r="BP125" s="32" t="str">
        <f aca="false">IF(BM125="","",IF(BM125&gt;=90,"Green - Healthy",IF(BM125&gt;=75,"Light Green - Mild Watch",IF(BM125&gt;=60,"Yellow - Mild Risk",IF(BM125&gt;=40,"Orange - Moderate Risk","Red - High Risk")))))</f>
        <v/>
      </c>
      <c r="BQ125" s="32" t="str">
        <f aca="false">IF(BM125="","",IF(OR(BM125&lt;60,BO125&gt;=60,AJ125="Yes"),"Yes","No"))</f>
        <v/>
      </c>
      <c r="BR125" s="32" t="str">
        <f aca="false">IF(BM125="","",IF(OR(BP125="Orange - Moderate Risk",BP125="Red - High Risk",BQ125="Yes"),"Yes","No"))</f>
        <v/>
      </c>
    </row>
    <row r="126" customFormat="false" ht="15" hidden="false" customHeight="false" outlineLevel="0" collapsed="false">
      <c r="A126" s="28" t="str">
        <f aca="false">IF(I126="","","STU"&amp;TEXT(ROW()-3,"000000"))</f>
        <v/>
      </c>
      <c r="B126" s="28"/>
      <c r="C126" s="28"/>
      <c r="D126" s="28"/>
      <c r="E126" s="28"/>
      <c r="F126" s="28"/>
      <c r="G126" s="28"/>
      <c r="H126" s="28"/>
      <c r="I126" s="28"/>
      <c r="J126" s="30"/>
      <c r="K126" s="28"/>
      <c r="L126" s="28"/>
      <c r="M126" s="28"/>
      <c r="N126" s="28"/>
      <c r="O126" s="28"/>
      <c r="P126" s="28"/>
      <c r="Q126" s="30"/>
      <c r="R126" s="30"/>
      <c r="S126" s="31" t="str">
        <f aca="false">IF(OR(Q126="",R126=""),"",ROUND(R126/((Q126/100)^2),1))</f>
        <v/>
      </c>
      <c r="T126" s="28" t="str">
        <f aca="false">IF(S126="","",IF(S126&lt;18.5,"Underweight",IF(S126&lt;25,"Normal",IF(S126&lt;30,"Overweight","Obese"))))</f>
        <v/>
      </c>
      <c r="U126" s="30"/>
      <c r="V126" s="30"/>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31" t="str">
        <f aca="false">IF(T126="","",IF(T126="Normal",100,IF(T126="Overweight",65,IF(T126="Obese",50,IF(AND(U126&lt;&gt;"",U126&lt;18.5),30,45)))))</f>
        <v/>
      </c>
      <c r="BG126" s="31" t="str">
        <f aca="false">IF(COUNTBLANK(W126:AC126)&gt;0,"",ROUND(AVERAGE(INDEX('SCORING MASTER'!$D$5:$D$7,MATCH(W126,'SCORING MASTER'!$C$5:$C$7,0)),INDEX('SCORING MASTER'!$D$9:$D$11,MATCH(X126,'SCORING MASTER'!$C$9:$C$11,0)),INDEX('SCORING MASTER'!$D$13:$D$15,MATCH(Y126,'SCORING MASTER'!$C$13:$C$15,0)),INDEX('SCORING MASTER'!$D$17:$D$19,MATCH(Z126,'SCORING MASTER'!$C$17:$C$19,0)),INDEX('SCORING MASTER'!$D$21:$D$23,MATCH(AA126,'SCORING MASTER'!$C$21:$C$23,0)),INDEX('SCORING MASTER'!$D$25:$D$27,MATCH(AB126,'SCORING MASTER'!$C$25:$C$27,0)),INDEX('SCORING MASTER'!$D$29:$D$31,MATCH(AC126,'SCORING MASTER'!$C$29:$C$31,0)))*20,0))</f>
        <v/>
      </c>
      <c r="BH126" s="31" t="str">
        <f aca="false">IF(COUNTBLANK(AD126:AI126)&gt;0,"",ROUND(AVERAGE(INDEX('SCORING MASTER'!$D$33:$D$35,MATCH(AD126,'SCORING MASTER'!$C$33:$C$35,0)),INDEX('SCORING MASTER'!$D$37:$D$39,MATCH(AE126,'SCORING MASTER'!$C$37:$C$39,0)),INDEX('SCORING MASTER'!$D$41:$D$43,MATCH(AF126,'SCORING MASTER'!$C$41:$C$43,0)),INDEX('SCORING MASTER'!$D$45:$D$47,MATCH(AG126,'SCORING MASTER'!$C$45:$C$47,0)),INDEX('SCORING MASTER'!$D$49:$D$52,MATCH(AH126,'SCORING MASTER'!$C$49:$C$52,0)),INDEX('SCORING MASTER'!$D$54:$D$57,MATCH(AI126,'SCORING MASTER'!$C$54:$C$57,0)))*20,0))</f>
        <v/>
      </c>
      <c r="BI126" s="31" t="str">
        <f aca="false">IF(COUNTBLANK(AJ126:AP126)&gt;0,"",ROUND(AVERAGE(INDEX('SCORING MASTER'!$D$59:$D$60,MATCH(AJ126,'SCORING MASTER'!$C$59:$C$60,0)),INDEX('SCORING MASTER'!$D$62:$D$63,MATCH(AK126,'SCORING MASTER'!$C$62:$C$63,0)),INDEX('SCORING MASTER'!$D$65:$D$66,MATCH(AL126,'SCORING MASTER'!$C$65:$C$66,0)),INDEX('SCORING MASTER'!$D$68:$D$69,MATCH(AM126,'SCORING MASTER'!$C$68:$C$69,0)),INDEX('SCORING MASTER'!$D$71:$D$72,MATCH(AN126,'SCORING MASTER'!$C$71:$C$72,0)),INDEX('SCORING MASTER'!$D$74:$D$75,MATCH(AO126,'SCORING MASTER'!$C$74:$C$75,0)),INDEX('SCORING MASTER'!$D$77:$D$78,MATCH(AP126,'SCORING MASTER'!$C$77:$C$78,0)))*20,0))</f>
        <v/>
      </c>
      <c r="BJ126" s="31" t="str">
        <f aca="false">IF(COUNTBLANK(AU126:AZ126)&gt;0,"",ROUND(AVERAGE(INDEX('SCORING MASTER'!$D$95:$D$96,MATCH(AU126,'SCORING MASTER'!$C$95:$C$96,0)),INDEX('SCORING MASTER'!$D$98:$D$99,MATCH(AV126,'SCORING MASTER'!$C$98:$C$99,0)),INDEX('SCORING MASTER'!$D$101:$D$102,MATCH(AW126,'SCORING MASTER'!$C$101:$C$102,0)),INDEX('SCORING MASTER'!$D$104:$D$105,MATCH(AX126,'SCORING MASTER'!$C$104:$C$105,0)),INDEX('SCORING MASTER'!$D$107:$D$108,MATCH(AY126,'SCORING MASTER'!$C$107:$C$108,0)),INDEX('SCORING MASTER'!$D$110:$D$111,MATCH(AZ126,'SCORING MASTER'!$C$110:$C$111,0)))*20,0))</f>
        <v/>
      </c>
      <c r="BK126" s="31" t="str">
        <f aca="false">IF(COUNTBLANK(AQ126:AT126)&gt;0,"",ROUND(AVERAGE(INDEX('SCORING MASTER'!$D$80:$D$82,MATCH(AQ126,'SCORING MASTER'!$C$80:$C$82,0)),INDEX('SCORING MASTER'!$D$84:$D$86,MATCH(AR126,'SCORING MASTER'!$C$84:$C$86,0)),INDEX('SCORING MASTER'!$D$88:$D$90,MATCH(AS126,'SCORING MASTER'!$C$88:$C$90,0)),INDEX('SCORING MASTER'!$D$92:$D$93,MATCH(AT126,'SCORING MASTER'!$C$92:$C$93,0)))*20,0))</f>
        <v/>
      </c>
      <c r="BL126" s="31" t="str">
        <f aca="false">IF(COUNTBLANK(BA126:BE126)&gt;0,"",ROUND(AVERAGE(INDEX('SCORING MASTER'!$D$113:$D$115,MATCH(BA126,'SCORING MASTER'!$C$113:$C$115,0)),INDEX('SCORING MASTER'!$D$117:$D$119,MATCH(BB126,'SCORING MASTER'!$C$117:$C$119,0)),INDEX('SCORING MASTER'!$D$121:$D$123,MATCH(BC126,'SCORING MASTER'!$C$121:$C$123,0)),INDEX('SCORING MASTER'!$D$125:$D$126,MATCH(BD126,'SCORING MASTER'!$C$125:$C$126,0)),INDEX('SCORING MASTER'!$D$128:$D$129,MATCH(BE126,'SCORING MASTER'!$C$128:$C$129,0)))*20,0))</f>
        <v/>
      </c>
      <c r="BM126" s="31" t="str">
        <f aca="false">IF(OR(BF126="",BG126="",BH126="",BI126="",BJ126="",BK126="",BL126=""),"",ROUND(BF126*0.25+BG126*0.2+BH126*0.15+BI126*0.15+BJ126*0.1+BK126*0.1+BL126*0.05,0))</f>
        <v/>
      </c>
      <c r="BN126" s="31" t="str">
        <f aca="false">IF(OR(BF126="",BG126=""),"",ROUND(BF126*0.5+BG126*0.5,0))</f>
        <v/>
      </c>
      <c r="BO126" s="31" t="str">
        <f aca="false">IF(BN126="","",ROUND(MIN(100,MAX(0,(100-BN126)+IF(AL126="Yes",15,0)+IF(AM126="Yes",15,0)+IF(AND(U126&lt;&gt;"",U126&lt;18.5),20,0))),0))</f>
        <v/>
      </c>
      <c r="BP126" s="28" t="str">
        <f aca="false">IF(BM126="","",IF(BM126&gt;=90,"Green - Healthy",IF(BM126&gt;=75,"Light Green - Mild Watch",IF(BM126&gt;=60,"Yellow - Mild Risk",IF(BM126&gt;=40,"Orange - Moderate Risk","Red - High Risk")))))</f>
        <v/>
      </c>
      <c r="BQ126" s="28" t="str">
        <f aca="false">IF(BM126="","",IF(OR(BM126&lt;60,BO126&gt;=60,AJ126="Yes"),"Yes","No"))</f>
        <v/>
      </c>
      <c r="BR126" s="28" t="str">
        <f aca="false">IF(BM126="","",IF(OR(BP126="Orange - Moderate Risk",BP126="Red - High Risk",BQ126="Yes"),"Yes","No"))</f>
        <v/>
      </c>
    </row>
    <row r="127" customFormat="false" ht="15" hidden="false" customHeight="false" outlineLevel="0" collapsed="false">
      <c r="A127" s="32" t="str">
        <f aca="false">IF(I127="","","STU"&amp;TEXT(ROW()-3,"000000"))</f>
        <v/>
      </c>
      <c r="B127" s="32"/>
      <c r="C127" s="32"/>
      <c r="D127" s="32"/>
      <c r="E127" s="32"/>
      <c r="F127" s="32"/>
      <c r="G127" s="32"/>
      <c r="H127" s="32"/>
      <c r="I127" s="32"/>
      <c r="J127" s="34"/>
      <c r="K127" s="32"/>
      <c r="L127" s="32"/>
      <c r="M127" s="32"/>
      <c r="N127" s="32"/>
      <c r="O127" s="32"/>
      <c r="P127" s="32"/>
      <c r="Q127" s="34"/>
      <c r="R127" s="34"/>
      <c r="S127" s="35" t="str">
        <f aca="false">IF(OR(Q127="",R127=""),"",ROUND(R127/((Q127/100)^2),1))</f>
        <v/>
      </c>
      <c r="T127" s="32" t="str">
        <f aca="false">IF(S127="","",IF(S127&lt;18.5,"Underweight",IF(S127&lt;25,"Normal",IF(S127&lt;30,"Overweight","Obese"))))</f>
        <v/>
      </c>
      <c r="U127" s="34"/>
      <c r="V127" s="34"/>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5" t="str">
        <f aca="false">IF(T127="","",IF(T127="Normal",100,IF(T127="Overweight",65,IF(T127="Obese",50,IF(AND(U127&lt;&gt;"",U127&lt;18.5),30,45)))))</f>
        <v/>
      </c>
      <c r="BG127" s="35" t="str">
        <f aca="false">IF(COUNTBLANK(W127:AC127)&gt;0,"",ROUND(AVERAGE(INDEX('SCORING MASTER'!$D$5:$D$7,MATCH(W127,'SCORING MASTER'!$C$5:$C$7,0)),INDEX('SCORING MASTER'!$D$9:$D$11,MATCH(X127,'SCORING MASTER'!$C$9:$C$11,0)),INDEX('SCORING MASTER'!$D$13:$D$15,MATCH(Y127,'SCORING MASTER'!$C$13:$C$15,0)),INDEX('SCORING MASTER'!$D$17:$D$19,MATCH(Z127,'SCORING MASTER'!$C$17:$C$19,0)),INDEX('SCORING MASTER'!$D$21:$D$23,MATCH(AA127,'SCORING MASTER'!$C$21:$C$23,0)),INDEX('SCORING MASTER'!$D$25:$D$27,MATCH(AB127,'SCORING MASTER'!$C$25:$C$27,0)),INDEX('SCORING MASTER'!$D$29:$D$31,MATCH(AC127,'SCORING MASTER'!$C$29:$C$31,0)))*20,0))</f>
        <v/>
      </c>
      <c r="BH127" s="35" t="str">
        <f aca="false">IF(COUNTBLANK(AD127:AI127)&gt;0,"",ROUND(AVERAGE(INDEX('SCORING MASTER'!$D$33:$D$35,MATCH(AD127,'SCORING MASTER'!$C$33:$C$35,0)),INDEX('SCORING MASTER'!$D$37:$D$39,MATCH(AE127,'SCORING MASTER'!$C$37:$C$39,0)),INDEX('SCORING MASTER'!$D$41:$D$43,MATCH(AF127,'SCORING MASTER'!$C$41:$C$43,0)),INDEX('SCORING MASTER'!$D$45:$D$47,MATCH(AG127,'SCORING MASTER'!$C$45:$C$47,0)),INDEX('SCORING MASTER'!$D$49:$D$52,MATCH(AH127,'SCORING MASTER'!$C$49:$C$52,0)),INDEX('SCORING MASTER'!$D$54:$D$57,MATCH(AI127,'SCORING MASTER'!$C$54:$C$57,0)))*20,0))</f>
        <v/>
      </c>
      <c r="BI127" s="35" t="str">
        <f aca="false">IF(COUNTBLANK(AJ127:AP127)&gt;0,"",ROUND(AVERAGE(INDEX('SCORING MASTER'!$D$59:$D$60,MATCH(AJ127,'SCORING MASTER'!$C$59:$C$60,0)),INDEX('SCORING MASTER'!$D$62:$D$63,MATCH(AK127,'SCORING MASTER'!$C$62:$C$63,0)),INDEX('SCORING MASTER'!$D$65:$D$66,MATCH(AL127,'SCORING MASTER'!$C$65:$C$66,0)),INDEX('SCORING MASTER'!$D$68:$D$69,MATCH(AM127,'SCORING MASTER'!$C$68:$C$69,0)),INDEX('SCORING MASTER'!$D$71:$D$72,MATCH(AN127,'SCORING MASTER'!$C$71:$C$72,0)),INDEX('SCORING MASTER'!$D$74:$D$75,MATCH(AO127,'SCORING MASTER'!$C$74:$C$75,0)),INDEX('SCORING MASTER'!$D$77:$D$78,MATCH(AP127,'SCORING MASTER'!$C$77:$C$78,0)))*20,0))</f>
        <v/>
      </c>
      <c r="BJ127" s="35" t="str">
        <f aca="false">IF(COUNTBLANK(AU127:AZ127)&gt;0,"",ROUND(AVERAGE(INDEX('SCORING MASTER'!$D$95:$D$96,MATCH(AU127,'SCORING MASTER'!$C$95:$C$96,0)),INDEX('SCORING MASTER'!$D$98:$D$99,MATCH(AV127,'SCORING MASTER'!$C$98:$C$99,0)),INDEX('SCORING MASTER'!$D$101:$D$102,MATCH(AW127,'SCORING MASTER'!$C$101:$C$102,0)),INDEX('SCORING MASTER'!$D$104:$D$105,MATCH(AX127,'SCORING MASTER'!$C$104:$C$105,0)),INDEX('SCORING MASTER'!$D$107:$D$108,MATCH(AY127,'SCORING MASTER'!$C$107:$C$108,0)),INDEX('SCORING MASTER'!$D$110:$D$111,MATCH(AZ127,'SCORING MASTER'!$C$110:$C$111,0)))*20,0))</f>
        <v/>
      </c>
      <c r="BK127" s="35" t="str">
        <f aca="false">IF(COUNTBLANK(AQ127:AT127)&gt;0,"",ROUND(AVERAGE(INDEX('SCORING MASTER'!$D$80:$D$82,MATCH(AQ127,'SCORING MASTER'!$C$80:$C$82,0)),INDEX('SCORING MASTER'!$D$84:$D$86,MATCH(AR127,'SCORING MASTER'!$C$84:$C$86,0)),INDEX('SCORING MASTER'!$D$88:$D$90,MATCH(AS127,'SCORING MASTER'!$C$88:$C$90,0)),INDEX('SCORING MASTER'!$D$92:$D$93,MATCH(AT127,'SCORING MASTER'!$C$92:$C$93,0)))*20,0))</f>
        <v/>
      </c>
      <c r="BL127" s="35" t="str">
        <f aca="false">IF(COUNTBLANK(BA127:BE127)&gt;0,"",ROUND(AVERAGE(INDEX('SCORING MASTER'!$D$113:$D$115,MATCH(BA127,'SCORING MASTER'!$C$113:$C$115,0)),INDEX('SCORING MASTER'!$D$117:$D$119,MATCH(BB127,'SCORING MASTER'!$C$117:$C$119,0)),INDEX('SCORING MASTER'!$D$121:$D$123,MATCH(BC127,'SCORING MASTER'!$C$121:$C$123,0)),INDEX('SCORING MASTER'!$D$125:$D$126,MATCH(BD127,'SCORING MASTER'!$C$125:$C$126,0)),INDEX('SCORING MASTER'!$D$128:$D$129,MATCH(BE127,'SCORING MASTER'!$C$128:$C$129,0)))*20,0))</f>
        <v/>
      </c>
      <c r="BM127" s="35" t="str">
        <f aca="false">IF(OR(BF127="",BG127="",BH127="",BI127="",BJ127="",BK127="",BL127=""),"",ROUND(BF127*0.25+BG127*0.2+BH127*0.15+BI127*0.15+BJ127*0.1+BK127*0.1+BL127*0.05,0))</f>
        <v/>
      </c>
      <c r="BN127" s="35" t="str">
        <f aca="false">IF(OR(BF127="",BG127=""),"",ROUND(BF127*0.5+BG127*0.5,0))</f>
        <v/>
      </c>
      <c r="BO127" s="35" t="str">
        <f aca="false">IF(BN127="","",ROUND(MIN(100,MAX(0,(100-BN127)+IF(AL127="Yes",15,0)+IF(AM127="Yes",15,0)+IF(AND(U127&lt;&gt;"",U127&lt;18.5),20,0))),0))</f>
        <v/>
      </c>
      <c r="BP127" s="32" t="str">
        <f aca="false">IF(BM127="","",IF(BM127&gt;=90,"Green - Healthy",IF(BM127&gt;=75,"Light Green - Mild Watch",IF(BM127&gt;=60,"Yellow - Mild Risk",IF(BM127&gt;=40,"Orange - Moderate Risk","Red - High Risk")))))</f>
        <v/>
      </c>
      <c r="BQ127" s="32" t="str">
        <f aca="false">IF(BM127="","",IF(OR(BM127&lt;60,BO127&gt;=60,AJ127="Yes"),"Yes","No"))</f>
        <v/>
      </c>
      <c r="BR127" s="32" t="str">
        <f aca="false">IF(BM127="","",IF(OR(BP127="Orange - Moderate Risk",BP127="Red - High Risk",BQ127="Yes"),"Yes","No"))</f>
        <v/>
      </c>
    </row>
    <row r="128" customFormat="false" ht="15" hidden="false" customHeight="false" outlineLevel="0" collapsed="false">
      <c r="A128" s="28" t="str">
        <f aca="false">IF(I128="","","STU"&amp;TEXT(ROW()-3,"000000"))</f>
        <v/>
      </c>
      <c r="B128" s="28"/>
      <c r="C128" s="28"/>
      <c r="D128" s="28"/>
      <c r="E128" s="28"/>
      <c r="F128" s="28"/>
      <c r="G128" s="28"/>
      <c r="H128" s="28"/>
      <c r="I128" s="28"/>
      <c r="J128" s="30"/>
      <c r="K128" s="28"/>
      <c r="L128" s="28"/>
      <c r="M128" s="28"/>
      <c r="N128" s="28"/>
      <c r="O128" s="28"/>
      <c r="P128" s="28"/>
      <c r="Q128" s="30"/>
      <c r="R128" s="30"/>
      <c r="S128" s="31" t="str">
        <f aca="false">IF(OR(Q128="",R128=""),"",ROUND(R128/((Q128/100)^2),1))</f>
        <v/>
      </c>
      <c r="T128" s="28" t="str">
        <f aca="false">IF(S128="","",IF(S128&lt;18.5,"Underweight",IF(S128&lt;25,"Normal",IF(S128&lt;30,"Overweight","Obese"))))</f>
        <v/>
      </c>
      <c r="U128" s="30"/>
      <c r="V128" s="30"/>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31" t="str">
        <f aca="false">IF(T128="","",IF(T128="Normal",100,IF(T128="Overweight",65,IF(T128="Obese",50,IF(AND(U128&lt;&gt;"",U128&lt;18.5),30,45)))))</f>
        <v/>
      </c>
      <c r="BG128" s="31" t="str">
        <f aca="false">IF(COUNTBLANK(W128:AC128)&gt;0,"",ROUND(AVERAGE(INDEX('SCORING MASTER'!$D$5:$D$7,MATCH(W128,'SCORING MASTER'!$C$5:$C$7,0)),INDEX('SCORING MASTER'!$D$9:$D$11,MATCH(X128,'SCORING MASTER'!$C$9:$C$11,0)),INDEX('SCORING MASTER'!$D$13:$D$15,MATCH(Y128,'SCORING MASTER'!$C$13:$C$15,0)),INDEX('SCORING MASTER'!$D$17:$D$19,MATCH(Z128,'SCORING MASTER'!$C$17:$C$19,0)),INDEX('SCORING MASTER'!$D$21:$D$23,MATCH(AA128,'SCORING MASTER'!$C$21:$C$23,0)),INDEX('SCORING MASTER'!$D$25:$D$27,MATCH(AB128,'SCORING MASTER'!$C$25:$C$27,0)),INDEX('SCORING MASTER'!$D$29:$D$31,MATCH(AC128,'SCORING MASTER'!$C$29:$C$31,0)))*20,0))</f>
        <v/>
      </c>
      <c r="BH128" s="31" t="str">
        <f aca="false">IF(COUNTBLANK(AD128:AI128)&gt;0,"",ROUND(AVERAGE(INDEX('SCORING MASTER'!$D$33:$D$35,MATCH(AD128,'SCORING MASTER'!$C$33:$C$35,0)),INDEX('SCORING MASTER'!$D$37:$D$39,MATCH(AE128,'SCORING MASTER'!$C$37:$C$39,0)),INDEX('SCORING MASTER'!$D$41:$D$43,MATCH(AF128,'SCORING MASTER'!$C$41:$C$43,0)),INDEX('SCORING MASTER'!$D$45:$D$47,MATCH(AG128,'SCORING MASTER'!$C$45:$C$47,0)),INDEX('SCORING MASTER'!$D$49:$D$52,MATCH(AH128,'SCORING MASTER'!$C$49:$C$52,0)),INDEX('SCORING MASTER'!$D$54:$D$57,MATCH(AI128,'SCORING MASTER'!$C$54:$C$57,0)))*20,0))</f>
        <v/>
      </c>
      <c r="BI128" s="31" t="str">
        <f aca="false">IF(COUNTBLANK(AJ128:AP128)&gt;0,"",ROUND(AVERAGE(INDEX('SCORING MASTER'!$D$59:$D$60,MATCH(AJ128,'SCORING MASTER'!$C$59:$C$60,0)),INDEX('SCORING MASTER'!$D$62:$D$63,MATCH(AK128,'SCORING MASTER'!$C$62:$C$63,0)),INDEX('SCORING MASTER'!$D$65:$D$66,MATCH(AL128,'SCORING MASTER'!$C$65:$C$66,0)),INDEX('SCORING MASTER'!$D$68:$D$69,MATCH(AM128,'SCORING MASTER'!$C$68:$C$69,0)),INDEX('SCORING MASTER'!$D$71:$D$72,MATCH(AN128,'SCORING MASTER'!$C$71:$C$72,0)),INDEX('SCORING MASTER'!$D$74:$D$75,MATCH(AO128,'SCORING MASTER'!$C$74:$C$75,0)),INDEX('SCORING MASTER'!$D$77:$D$78,MATCH(AP128,'SCORING MASTER'!$C$77:$C$78,0)))*20,0))</f>
        <v/>
      </c>
      <c r="BJ128" s="31" t="str">
        <f aca="false">IF(COUNTBLANK(AU128:AZ128)&gt;0,"",ROUND(AVERAGE(INDEX('SCORING MASTER'!$D$95:$D$96,MATCH(AU128,'SCORING MASTER'!$C$95:$C$96,0)),INDEX('SCORING MASTER'!$D$98:$D$99,MATCH(AV128,'SCORING MASTER'!$C$98:$C$99,0)),INDEX('SCORING MASTER'!$D$101:$D$102,MATCH(AW128,'SCORING MASTER'!$C$101:$C$102,0)),INDEX('SCORING MASTER'!$D$104:$D$105,MATCH(AX128,'SCORING MASTER'!$C$104:$C$105,0)),INDEX('SCORING MASTER'!$D$107:$D$108,MATCH(AY128,'SCORING MASTER'!$C$107:$C$108,0)),INDEX('SCORING MASTER'!$D$110:$D$111,MATCH(AZ128,'SCORING MASTER'!$C$110:$C$111,0)))*20,0))</f>
        <v/>
      </c>
      <c r="BK128" s="31" t="str">
        <f aca="false">IF(COUNTBLANK(AQ128:AT128)&gt;0,"",ROUND(AVERAGE(INDEX('SCORING MASTER'!$D$80:$D$82,MATCH(AQ128,'SCORING MASTER'!$C$80:$C$82,0)),INDEX('SCORING MASTER'!$D$84:$D$86,MATCH(AR128,'SCORING MASTER'!$C$84:$C$86,0)),INDEX('SCORING MASTER'!$D$88:$D$90,MATCH(AS128,'SCORING MASTER'!$C$88:$C$90,0)),INDEX('SCORING MASTER'!$D$92:$D$93,MATCH(AT128,'SCORING MASTER'!$C$92:$C$93,0)))*20,0))</f>
        <v/>
      </c>
      <c r="BL128" s="31" t="str">
        <f aca="false">IF(COUNTBLANK(BA128:BE128)&gt;0,"",ROUND(AVERAGE(INDEX('SCORING MASTER'!$D$113:$D$115,MATCH(BA128,'SCORING MASTER'!$C$113:$C$115,0)),INDEX('SCORING MASTER'!$D$117:$D$119,MATCH(BB128,'SCORING MASTER'!$C$117:$C$119,0)),INDEX('SCORING MASTER'!$D$121:$D$123,MATCH(BC128,'SCORING MASTER'!$C$121:$C$123,0)),INDEX('SCORING MASTER'!$D$125:$D$126,MATCH(BD128,'SCORING MASTER'!$C$125:$C$126,0)),INDEX('SCORING MASTER'!$D$128:$D$129,MATCH(BE128,'SCORING MASTER'!$C$128:$C$129,0)))*20,0))</f>
        <v/>
      </c>
      <c r="BM128" s="31" t="str">
        <f aca="false">IF(OR(BF128="",BG128="",BH128="",BI128="",BJ128="",BK128="",BL128=""),"",ROUND(BF128*0.25+BG128*0.2+BH128*0.15+BI128*0.15+BJ128*0.1+BK128*0.1+BL128*0.05,0))</f>
        <v/>
      </c>
      <c r="BN128" s="31" t="str">
        <f aca="false">IF(OR(BF128="",BG128=""),"",ROUND(BF128*0.5+BG128*0.5,0))</f>
        <v/>
      </c>
      <c r="BO128" s="31" t="str">
        <f aca="false">IF(BN128="","",ROUND(MIN(100,MAX(0,(100-BN128)+IF(AL128="Yes",15,0)+IF(AM128="Yes",15,0)+IF(AND(U128&lt;&gt;"",U128&lt;18.5),20,0))),0))</f>
        <v/>
      </c>
      <c r="BP128" s="28" t="str">
        <f aca="false">IF(BM128="","",IF(BM128&gt;=90,"Green - Healthy",IF(BM128&gt;=75,"Light Green - Mild Watch",IF(BM128&gt;=60,"Yellow - Mild Risk",IF(BM128&gt;=40,"Orange - Moderate Risk","Red - High Risk")))))</f>
        <v/>
      </c>
      <c r="BQ128" s="28" t="str">
        <f aca="false">IF(BM128="","",IF(OR(BM128&lt;60,BO128&gt;=60,AJ128="Yes"),"Yes","No"))</f>
        <v/>
      </c>
      <c r="BR128" s="28" t="str">
        <f aca="false">IF(BM128="","",IF(OR(BP128="Orange - Moderate Risk",BP128="Red - High Risk",BQ128="Yes"),"Yes","No"))</f>
        <v/>
      </c>
    </row>
    <row r="129" customFormat="false" ht="15" hidden="false" customHeight="false" outlineLevel="0" collapsed="false">
      <c r="A129" s="32" t="str">
        <f aca="false">IF(I129="","","STU"&amp;TEXT(ROW()-3,"000000"))</f>
        <v/>
      </c>
      <c r="B129" s="32"/>
      <c r="C129" s="32"/>
      <c r="D129" s="32"/>
      <c r="E129" s="32"/>
      <c r="F129" s="32"/>
      <c r="G129" s="32"/>
      <c r="H129" s="32"/>
      <c r="I129" s="32"/>
      <c r="J129" s="34"/>
      <c r="K129" s="32"/>
      <c r="L129" s="32"/>
      <c r="M129" s="32"/>
      <c r="N129" s="32"/>
      <c r="O129" s="32"/>
      <c r="P129" s="32"/>
      <c r="Q129" s="34"/>
      <c r="R129" s="34"/>
      <c r="S129" s="35" t="str">
        <f aca="false">IF(OR(Q129="",R129=""),"",ROUND(R129/((Q129/100)^2),1))</f>
        <v/>
      </c>
      <c r="T129" s="32" t="str">
        <f aca="false">IF(S129="","",IF(S129&lt;18.5,"Underweight",IF(S129&lt;25,"Normal",IF(S129&lt;30,"Overweight","Obese"))))</f>
        <v/>
      </c>
      <c r="U129" s="34"/>
      <c r="V129" s="34"/>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5" t="str">
        <f aca="false">IF(T129="","",IF(T129="Normal",100,IF(T129="Overweight",65,IF(T129="Obese",50,IF(AND(U129&lt;&gt;"",U129&lt;18.5),30,45)))))</f>
        <v/>
      </c>
      <c r="BG129" s="35" t="str">
        <f aca="false">IF(COUNTBLANK(W129:AC129)&gt;0,"",ROUND(AVERAGE(INDEX('SCORING MASTER'!$D$5:$D$7,MATCH(W129,'SCORING MASTER'!$C$5:$C$7,0)),INDEX('SCORING MASTER'!$D$9:$D$11,MATCH(X129,'SCORING MASTER'!$C$9:$C$11,0)),INDEX('SCORING MASTER'!$D$13:$D$15,MATCH(Y129,'SCORING MASTER'!$C$13:$C$15,0)),INDEX('SCORING MASTER'!$D$17:$D$19,MATCH(Z129,'SCORING MASTER'!$C$17:$C$19,0)),INDEX('SCORING MASTER'!$D$21:$D$23,MATCH(AA129,'SCORING MASTER'!$C$21:$C$23,0)),INDEX('SCORING MASTER'!$D$25:$D$27,MATCH(AB129,'SCORING MASTER'!$C$25:$C$27,0)),INDEX('SCORING MASTER'!$D$29:$D$31,MATCH(AC129,'SCORING MASTER'!$C$29:$C$31,0)))*20,0))</f>
        <v/>
      </c>
      <c r="BH129" s="35" t="str">
        <f aca="false">IF(COUNTBLANK(AD129:AI129)&gt;0,"",ROUND(AVERAGE(INDEX('SCORING MASTER'!$D$33:$D$35,MATCH(AD129,'SCORING MASTER'!$C$33:$C$35,0)),INDEX('SCORING MASTER'!$D$37:$D$39,MATCH(AE129,'SCORING MASTER'!$C$37:$C$39,0)),INDEX('SCORING MASTER'!$D$41:$D$43,MATCH(AF129,'SCORING MASTER'!$C$41:$C$43,0)),INDEX('SCORING MASTER'!$D$45:$D$47,MATCH(AG129,'SCORING MASTER'!$C$45:$C$47,0)),INDEX('SCORING MASTER'!$D$49:$D$52,MATCH(AH129,'SCORING MASTER'!$C$49:$C$52,0)),INDEX('SCORING MASTER'!$D$54:$D$57,MATCH(AI129,'SCORING MASTER'!$C$54:$C$57,0)))*20,0))</f>
        <v/>
      </c>
      <c r="BI129" s="35" t="str">
        <f aca="false">IF(COUNTBLANK(AJ129:AP129)&gt;0,"",ROUND(AVERAGE(INDEX('SCORING MASTER'!$D$59:$D$60,MATCH(AJ129,'SCORING MASTER'!$C$59:$C$60,0)),INDEX('SCORING MASTER'!$D$62:$D$63,MATCH(AK129,'SCORING MASTER'!$C$62:$C$63,0)),INDEX('SCORING MASTER'!$D$65:$D$66,MATCH(AL129,'SCORING MASTER'!$C$65:$C$66,0)),INDEX('SCORING MASTER'!$D$68:$D$69,MATCH(AM129,'SCORING MASTER'!$C$68:$C$69,0)),INDEX('SCORING MASTER'!$D$71:$D$72,MATCH(AN129,'SCORING MASTER'!$C$71:$C$72,0)),INDEX('SCORING MASTER'!$D$74:$D$75,MATCH(AO129,'SCORING MASTER'!$C$74:$C$75,0)),INDEX('SCORING MASTER'!$D$77:$D$78,MATCH(AP129,'SCORING MASTER'!$C$77:$C$78,0)))*20,0))</f>
        <v/>
      </c>
      <c r="BJ129" s="35" t="str">
        <f aca="false">IF(COUNTBLANK(AU129:AZ129)&gt;0,"",ROUND(AVERAGE(INDEX('SCORING MASTER'!$D$95:$D$96,MATCH(AU129,'SCORING MASTER'!$C$95:$C$96,0)),INDEX('SCORING MASTER'!$D$98:$D$99,MATCH(AV129,'SCORING MASTER'!$C$98:$C$99,0)),INDEX('SCORING MASTER'!$D$101:$D$102,MATCH(AW129,'SCORING MASTER'!$C$101:$C$102,0)),INDEX('SCORING MASTER'!$D$104:$D$105,MATCH(AX129,'SCORING MASTER'!$C$104:$C$105,0)),INDEX('SCORING MASTER'!$D$107:$D$108,MATCH(AY129,'SCORING MASTER'!$C$107:$C$108,0)),INDEX('SCORING MASTER'!$D$110:$D$111,MATCH(AZ129,'SCORING MASTER'!$C$110:$C$111,0)))*20,0))</f>
        <v/>
      </c>
      <c r="BK129" s="35" t="str">
        <f aca="false">IF(COUNTBLANK(AQ129:AT129)&gt;0,"",ROUND(AVERAGE(INDEX('SCORING MASTER'!$D$80:$D$82,MATCH(AQ129,'SCORING MASTER'!$C$80:$C$82,0)),INDEX('SCORING MASTER'!$D$84:$D$86,MATCH(AR129,'SCORING MASTER'!$C$84:$C$86,0)),INDEX('SCORING MASTER'!$D$88:$D$90,MATCH(AS129,'SCORING MASTER'!$C$88:$C$90,0)),INDEX('SCORING MASTER'!$D$92:$D$93,MATCH(AT129,'SCORING MASTER'!$C$92:$C$93,0)))*20,0))</f>
        <v/>
      </c>
      <c r="BL129" s="35" t="str">
        <f aca="false">IF(COUNTBLANK(BA129:BE129)&gt;0,"",ROUND(AVERAGE(INDEX('SCORING MASTER'!$D$113:$D$115,MATCH(BA129,'SCORING MASTER'!$C$113:$C$115,0)),INDEX('SCORING MASTER'!$D$117:$D$119,MATCH(BB129,'SCORING MASTER'!$C$117:$C$119,0)),INDEX('SCORING MASTER'!$D$121:$D$123,MATCH(BC129,'SCORING MASTER'!$C$121:$C$123,0)),INDEX('SCORING MASTER'!$D$125:$D$126,MATCH(BD129,'SCORING MASTER'!$C$125:$C$126,0)),INDEX('SCORING MASTER'!$D$128:$D$129,MATCH(BE129,'SCORING MASTER'!$C$128:$C$129,0)))*20,0))</f>
        <v/>
      </c>
      <c r="BM129" s="35" t="str">
        <f aca="false">IF(OR(BF129="",BG129="",BH129="",BI129="",BJ129="",BK129="",BL129=""),"",ROUND(BF129*0.25+BG129*0.2+BH129*0.15+BI129*0.15+BJ129*0.1+BK129*0.1+BL129*0.05,0))</f>
        <v/>
      </c>
      <c r="BN129" s="35" t="str">
        <f aca="false">IF(OR(BF129="",BG129=""),"",ROUND(BF129*0.5+BG129*0.5,0))</f>
        <v/>
      </c>
      <c r="BO129" s="35" t="str">
        <f aca="false">IF(BN129="","",ROUND(MIN(100,MAX(0,(100-BN129)+IF(AL129="Yes",15,0)+IF(AM129="Yes",15,0)+IF(AND(U129&lt;&gt;"",U129&lt;18.5),20,0))),0))</f>
        <v/>
      </c>
      <c r="BP129" s="32" t="str">
        <f aca="false">IF(BM129="","",IF(BM129&gt;=90,"Green - Healthy",IF(BM129&gt;=75,"Light Green - Mild Watch",IF(BM129&gt;=60,"Yellow - Mild Risk",IF(BM129&gt;=40,"Orange - Moderate Risk","Red - High Risk")))))</f>
        <v/>
      </c>
      <c r="BQ129" s="32" t="str">
        <f aca="false">IF(BM129="","",IF(OR(BM129&lt;60,BO129&gt;=60,AJ129="Yes"),"Yes","No"))</f>
        <v/>
      </c>
      <c r="BR129" s="32" t="str">
        <f aca="false">IF(BM129="","",IF(OR(BP129="Orange - Moderate Risk",BP129="Red - High Risk",BQ129="Yes"),"Yes","No"))</f>
        <v/>
      </c>
    </row>
    <row r="130" customFormat="false" ht="15" hidden="false" customHeight="false" outlineLevel="0" collapsed="false">
      <c r="A130" s="28" t="str">
        <f aca="false">IF(I130="","","STU"&amp;TEXT(ROW()-3,"000000"))</f>
        <v/>
      </c>
      <c r="B130" s="28"/>
      <c r="C130" s="28"/>
      <c r="D130" s="28"/>
      <c r="E130" s="28"/>
      <c r="F130" s="28"/>
      <c r="G130" s="28"/>
      <c r="H130" s="28"/>
      <c r="I130" s="28"/>
      <c r="J130" s="30"/>
      <c r="K130" s="28"/>
      <c r="L130" s="28"/>
      <c r="M130" s="28"/>
      <c r="N130" s="28"/>
      <c r="O130" s="28"/>
      <c r="P130" s="28"/>
      <c r="Q130" s="30"/>
      <c r="R130" s="30"/>
      <c r="S130" s="31" t="str">
        <f aca="false">IF(OR(Q130="",R130=""),"",ROUND(R130/((Q130/100)^2),1))</f>
        <v/>
      </c>
      <c r="T130" s="28" t="str">
        <f aca="false">IF(S130="","",IF(S130&lt;18.5,"Underweight",IF(S130&lt;25,"Normal",IF(S130&lt;30,"Overweight","Obese"))))</f>
        <v/>
      </c>
      <c r="U130" s="30"/>
      <c r="V130" s="30"/>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31" t="str">
        <f aca="false">IF(T130="","",IF(T130="Normal",100,IF(T130="Overweight",65,IF(T130="Obese",50,IF(AND(U130&lt;&gt;"",U130&lt;18.5),30,45)))))</f>
        <v/>
      </c>
      <c r="BG130" s="31" t="str">
        <f aca="false">IF(COUNTBLANK(W130:AC130)&gt;0,"",ROUND(AVERAGE(INDEX('SCORING MASTER'!$D$5:$D$7,MATCH(W130,'SCORING MASTER'!$C$5:$C$7,0)),INDEX('SCORING MASTER'!$D$9:$D$11,MATCH(X130,'SCORING MASTER'!$C$9:$C$11,0)),INDEX('SCORING MASTER'!$D$13:$D$15,MATCH(Y130,'SCORING MASTER'!$C$13:$C$15,0)),INDEX('SCORING MASTER'!$D$17:$D$19,MATCH(Z130,'SCORING MASTER'!$C$17:$C$19,0)),INDEX('SCORING MASTER'!$D$21:$D$23,MATCH(AA130,'SCORING MASTER'!$C$21:$C$23,0)),INDEX('SCORING MASTER'!$D$25:$D$27,MATCH(AB130,'SCORING MASTER'!$C$25:$C$27,0)),INDEX('SCORING MASTER'!$D$29:$D$31,MATCH(AC130,'SCORING MASTER'!$C$29:$C$31,0)))*20,0))</f>
        <v/>
      </c>
      <c r="BH130" s="31" t="str">
        <f aca="false">IF(COUNTBLANK(AD130:AI130)&gt;0,"",ROUND(AVERAGE(INDEX('SCORING MASTER'!$D$33:$D$35,MATCH(AD130,'SCORING MASTER'!$C$33:$C$35,0)),INDEX('SCORING MASTER'!$D$37:$D$39,MATCH(AE130,'SCORING MASTER'!$C$37:$C$39,0)),INDEX('SCORING MASTER'!$D$41:$D$43,MATCH(AF130,'SCORING MASTER'!$C$41:$C$43,0)),INDEX('SCORING MASTER'!$D$45:$D$47,MATCH(AG130,'SCORING MASTER'!$C$45:$C$47,0)),INDEX('SCORING MASTER'!$D$49:$D$52,MATCH(AH130,'SCORING MASTER'!$C$49:$C$52,0)),INDEX('SCORING MASTER'!$D$54:$D$57,MATCH(AI130,'SCORING MASTER'!$C$54:$C$57,0)))*20,0))</f>
        <v/>
      </c>
      <c r="BI130" s="31" t="str">
        <f aca="false">IF(COUNTBLANK(AJ130:AP130)&gt;0,"",ROUND(AVERAGE(INDEX('SCORING MASTER'!$D$59:$D$60,MATCH(AJ130,'SCORING MASTER'!$C$59:$C$60,0)),INDEX('SCORING MASTER'!$D$62:$D$63,MATCH(AK130,'SCORING MASTER'!$C$62:$C$63,0)),INDEX('SCORING MASTER'!$D$65:$D$66,MATCH(AL130,'SCORING MASTER'!$C$65:$C$66,0)),INDEX('SCORING MASTER'!$D$68:$D$69,MATCH(AM130,'SCORING MASTER'!$C$68:$C$69,0)),INDEX('SCORING MASTER'!$D$71:$D$72,MATCH(AN130,'SCORING MASTER'!$C$71:$C$72,0)),INDEX('SCORING MASTER'!$D$74:$D$75,MATCH(AO130,'SCORING MASTER'!$C$74:$C$75,0)),INDEX('SCORING MASTER'!$D$77:$D$78,MATCH(AP130,'SCORING MASTER'!$C$77:$C$78,0)))*20,0))</f>
        <v/>
      </c>
      <c r="BJ130" s="31" t="str">
        <f aca="false">IF(COUNTBLANK(AU130:AZ130)&gt;0,"",ROUND(AVERAGE(INDEX('SCORING MASTER'!$D$95:$D$96,MATCH(AU130,'SCORING MASTER'!$C$95:$C$96,0)),INDEX('SCORING MASTER'!$D$98:$D$99,MATCH(AV130,'SCORING MASTER'!$C$98:$C$99,0)),INDEX('SCORING MASTER'!$D$101:$D$102,MATCH(AW130,'SCORING MASTER'!$C$101:$C$102,0)),INDEX('SCORING MASTER'!$D$104:$D$105,MATCH(AX130,'SCORING MASTER'!$C$104:$C$105,0)),INDEX('SCORING MASTER'!$D$107:$D$108,MATCH(AY130,'SCORING MASTER'!$C$107:$C$108,0)),INDEX('SCORING MASTER'!$D$110:$D$111,MATCH(AZ130,'SCORING MASTER'!$C$110:$C$111,0)))*20,0))</f>
        <v/>
      </c>
      <c r="BK130" s="31" t="str">
        <f aca="false">IF(COUNTBLANK(AQ130:AT130)&gt;0,"",ROUND(AVERAGE(INDEX('SCORING MASTER'!$D$80:$D$82,MATCH(AQ130,'SCORING MASTER'!$C$80:$C$82,0)),INDEX('SCORING MASTER'!$D$84:$D$86,MATCH(AR130,'SCORING MASTER'!$C$84:$C$86,0)),INDEX('SCORING MASTER'!$D$88:$D$90,MATCH(AS130,'SCORING MASTER'!$C$88:$C$90,0)),INDEX('SCORING MASTER'!$D$92:$D$93,MATCH(AT130,'SCORING MASTER'!$C$92:$C$93,0)))*20,0))</f>
        <v/>
      </c>
      <c r="BL130" s="31" t="str">
        <f aca="false">IF(COUNTBLANK(BA130:BE130)&gt;0,"",ROUND(AVERAGE(INDEX('SCORING MASTER'!$D$113:$D$115,MATCH(BA130,'SCORING MASTER'!$C$113:$C$115,0)),INDEX('SCORING MASTER'!$D$117:$D$119,MATCH(BB130,'SCORING MASTER'!$C$117:$C$119,0)),INDEX('SCORING MASTER'!$D$121:$D$123,MATCH(BC130,'SCORING MASTER'!$C$121:$C$123,0)),INDEX('SCORING MASTER'!$D$125:$D$126,MATCH(BD130,'SCORING MASTER'!$C$125:$C$126,0)),INDEX('SCORING MASTER'!$D$128:$D$129,MATCH(BE130,'SCORING MASTER'!$C$128:$C$129,0)))*20,0))</f>
        <v/>
      </c>
      <c r="BM130" s="31" t="str">
        <f aca="false">IF(OR(BF130="",BG130="",BH130="",BI130="",BJ130="",BK130="",BL130=""),"",ROUND(BF130*0.25+BG130*0.2+BH130*0.15+BI130*0.15+BJ130*0.1+BK130*0.1+BL130*0.05,0))</f>
        <v/>
      </c>
      <c r="BN130" s="31" t="str">
        <f aca="false">IF(OR(BF130="",BG130=""),"",ROUND(BF130*0.5+BG130*0.5,0))</f>
        <v/>
      </c>
      <c r="BO130" s="31" t="str">
        <f aca="false">IF(BN130="","",ROUND(MIN(100,MAX(0,(100-BN130)+IF(AL130="Yes",15,0)+IF(AM130="Yes",15,0)+IF(AND(U130&lt;&gt;"",U130&lt;18.5),20,0))),0))</f>
        <v/>
      </c>
      <c r="BP130" s="28" t="str">
        <f aca="false">IF(BM130="","",IF(BM130&gt;=90,"Green - Healthy",IF(BM130&gt;=75,"Light Green - Mild Watch",IF(BM130&gt;=60,"Yellow - Mild Risk",IF(BM130&gt;=40,"Orange - Moderate Risk","Red - High Risk")))))</f>
        <v/>
      </c>
      <c r="BQ130" s="28" t="str">
        <f aca="false">IF(BM130="","",IF(OR(BM130&lt;60,BO130&gt;=60,AJ130="Yes"),"Yes","No"))</f>
        <v/>
      </c>
      <c r="BR130" s="28" t="str">
        <f aca="false">IF(BM130="","",IF(OR(BP130="Orange - Moderate Risk",BP130="Red - High Risk",BQ130="Yes"),"Yes","No"))</f>
        <v/>
      </c>
    </row>
    <row r="131" customFormat="false" ht="15" hidden="false" customHeight="false" outlineLevel="0" collapsed="false">
      <c r="A131" s="32" t="str">
        <f aca="false">IF(I131="","","STU"&amp;TEXT(ROW()-3,"000000"))</f>
        <v/>
      </c>
      <c r="B131" s="32"/>
      <c r="C131" s="32"/>
      <c r="D131" s="32"/>
      <c r="E131" s="32"/>
      <c r="F131" s="32"/>
      <c r="G131" s="32"/>
      <c r="H131" s="32"/>
      <c r="I131" s="32"/>
      <c r="J131" s="34"/>
      <c r="K131" s="32"/>
      <c r="L131" s="32"/>
      <c r="M131" s="32"/>
      <c r="N131" s="32"/>
      <c r="O131" s="32"/>
      <c r="P131" s="32"/>
      <c r="Q131" s="34"/>
      <c r="R131" s="34"/>
      <c r="S131" s="35" t="str">
        <f aca="false">IF(OR(Q131="",R131=""),"",ROUND(R131/((Q131/100)^2),1))</f>
        <v/>
      </c>
      <c r="T131" s="32" t="str">
        <f aca="false">IF(S131="","",IF(S131&lt;18.5,"Underweight",IF(S131&lt;25,"Normal",IF(S131&lt;30,"Overweight","Obese"))))</f>
        <v/>
      </c>
      <c r="U131" s="34"/>
      <c r="V131" s="34"/>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5" t="str">
        <f aca="false">IF(T131="","",IF(T131="Normal",100,IF(T131="Overweight",65,IF(T131="Obese",50,IF(AND(U131&lt;&gt;"",U131&lt;18.5),30,45)))))</f>
        <v/>
      </c>
      <c r="BG131" s="35" t="str">
        <f aca="false">IF(COUNTBLANK(W131:AC131)&gt;0,"",ROUND(AVERAGE(INDEX('SCORING MASTER'!$D$5:$D$7,MATCH(W131,'SCORING MASTER'!$C$5:$C$7,0)),INDEX('SCORING MASTER'!$D$9:$D$11,MATCH(X131,'SCORING MASTER'!$C$9:$C$11,0)),INDEX('SCORING MASTER'!$D$13:$D$15,MATCH(Y131,'SCORING MASTER'!$C$13:$C$15,0)),INDEX('SCORING MASTER'!$D$17:$D$19,MATCH(Z131,'SCORING MASTER'!$C$17:$C$19,0)),INDEX('SCORING MASTER'!$D$21:$D$23,MATCH(AA131,'SCORING MASTER'!$C$21:$C$23,0)),INDEX('SCORING MASTER'!$D$25:$D$27,MATCH(AB131,'SCORING MASTER'!$C$25:$C$27,0)),INDEX('SCORING MASTER'!$D$29:$D$31,MATCH(AC131,'SCORING MASTER'!$C$29:$C$31,0)))*20,0))</f>
        <v/>
      </c>
      <c r="BH131" s="35" t="str">
        <f aca="false">IF(COUNTBLANK(AD131:AI131)&gt;0,"",ROUND(AVERAGE(INDEX('SCORING MASTER'!$D$33:$D$35,MATCH(AD131,'SCORING MASTER'!$C$33:$C$35,0)),INDEX('SCORING MASTER'!$D$37:$D$39,MATCH(AE131,'SCORING MASTER'!$C$37:$C$39,0)),INDEX('SCORING MASTER'!$D$41:$D$43,MATCH(AF131,'SCORING MASTER'!$C$41:$C$43,0)),INDEX('SCORING MASTER'!$D$45:$D$47,MATCH(AG131,'SCORING MASTER'!$C$45:$C$47,0)),INDEX('SCORING MASTER'!$D$49:$D$52,MATCH(AH131,'SCORING MASTER'!$C$49:$C$52,0)),INDEX('SCORING MASTER'!$D$54:$D$57,MATCH(AI131,'SCORING MASTER'!$C$54:$C$57,0)))*20,0))</f>
        <v/>
      </c>
      <c r="BI131" s="35" t="str">
        <f aca="false">IF(COUNTBLANK(AJ131:AP131)&gt;0,"",ROUND(AVERAGE(INDEX('SCORING MASTER'!$D$59:$D$60,MATCH(AJ131,'SCORING MASTER'!$C$59:$C$60,0)),INDEX('SCORING MASTER'!$D$62:$D$63,MATCH(AK131,'SCORING MASTER'!$C$62:$C$63,0)),INDEX('SCORING MASTER'!$D$65:$D$66,MATCH(AL131,'SCORING MASTER'!$C$65:$C$66,0)),INDEX('SCORING MASTER'!$D$68:$D$69,MATCH(AM131,'SCORING MASTER'!$C$68:$C$69,0)),INDEX('SCORING MASTER'!$D$71:$D$72,MATCH(AN131,'SCORING MASTER'!$C$71:$C$72,0)),INDEX('SCORING MASTER'!$D$74:$D$75,MATCH(AO131,'SCORING MASTER'!$C$74:$C$75,0)),INDEX('SCORING MASTER'!$D$77:$D$78,MATCH(AP131,'SCORING MASTER'!$C$77:$C$78,0)))*20,0))</f>
        <v/>
      </c>
      <c r="BJ131" s="35" t="str">
        <f aca="false">IF(COUNTBLANK(AU131:AZ131)&gt;0,"",ROUND(AVERAGE(INDEX('SCORING MASTER'!$D$95:$D$96,MATCH(AU131,'SCORING MASTER'!$C$95:$C$96,0)),INDEX('SCORING MASTER'!$D$98:$D$99,MATCH(AV131,'SCORING MASTER'!$C$98:$C$99,0)),INDEX('SCORING MASTER'!$D$101:$D$102,MATCH(AW131,'SCORING MASTER'!$C$101:$C$102,0)),INDEX('SCORING MASTER'!$D$104:$D$105,MATCH(AX131,'SCORING MASTER'!$C$104:$C$105,0)),INDEX('SCORING MASTER'!$D$107:$D$108,MATCH(AY131,'SCORING MASTER'!$C$107:$C$108,0)),INDEX('SCORING MASTER'!$D$110:$D$111,MATCH(AZ131,'SCORING MASTER'!$C$110:$C$111,0)))*20,0))</f>
        <v/>
      </c>
      <c r="BK131" s="35" t="str">
        <f aca="false">IF(COUNTBLANK(AQ131:AT131)&gt;0,"",ROUND(AVERAGE(INDEX('SCORING MASTER'!$D$80:$D$82,MATCH(AQ131,'SCORING MASTER'!$C$80:$C$82,0)),INDEX('SCORING MASTER'!$D$84:$D$86,MATCH(AR131,'SCORING MASTER'!$C$84:$C$86,0)),INDEX('SCORING MASTER'!$D$88:$D$90,MATCH(AS131,'SCORING MASTER'!$C$88:$C$90,0)),INDEX('SCORING MASTER'!$D$92:$D$93,MATCH(AT131,'SCORING MASTER'!$C$92:$C$93,0)))*20,0))</f>
        <v/>
      </c>
      <c r="BL131" s="35" t="str">
        <f aca="false">IF(COUNTBLANK(BA131:BE131)&gt;0,"",ROUND(AVERAGE(INDEX('SCORING MASTER'!$D$113:$D$115,MATCH(BA131,'SCORING MASTER'!$C$113:$C$115,0)),INDEX('SCORING MASTER'!$D$117:$D$119,MATCH(BB131,'SCORING MASTER'!$C$117:$C$119,0)),INDEX('SCORING MASTER'!$D$121:$D$123,MATCH(BC131,'SCORING MASTER'!$C$121:$C$123,0)),INDEX('SCORING MASTER'!$D$125:$D$126,MATCH(BD131,'SCORING MASTER'!$C$125:$C$126,0)),INDEX('SCORING MASTER'!$D$128:$D$129,MATCH(BE131,'SCORING MASTER'!$C$128:$C$129,0)))*20,0))</f>
        <v/>
      </c>
      <c r="BM131" s="35" t="str">
        <f aca="false">IF(OR(BF131="",BG131="",BH131="",BI131="",BJ131="",BK131="",BL131=""),"",ROUND(BF131*0.25+BG131*0.2+BH131*0.15+BI131*0.15+BJ131*0.1+BK131*0.1+BL131*0.05,0))</f>
        <v/>
      </c>
      <c r="BN131" s="35" t="str">
        <f aca="false">IF(OR(BF131="",BG131=""),"",ROUND(BF131*0.5+BG131*0.5,0))</f>
        <v/>
      </c>
      <c r="BO131" s="35" t="str">
        <f aca="false">IF(BN131="","",ROUND(MIN(100,MAX(0,(100-BN131)+IF(AL131="Yes",15,0)+IF(AM131="Yes",15,0)+IF(AND(U131&lt;&gt;"",U131&lt;18.5),20,0))),0))</f>
        <v/>
      </c>
      <c r="BP131" s="32" t="str">
        <f aca="false">IF(BM131="","",IF(BM131&gt;=90,"Green - Healthy",IF(BM131&gt;=75,"Light Green - Mild Watch",IF(BM131&gt;=60,"Yellow - Mild Risk",IF(BM131&gt;=40,"Orange - Moderate Risk","Red - High Risk")))))</f>
        <v/>
      </c>
      <c r="BQ131" s="32" t="str">
        <f aca="false">IF(BM131="","",IF(OR(BM131&lt;60,BO131&gt;=60,AJ131="Yes"),"Yes","No"))</f>
        <v/>
      </c>
      <c r="BR131" s="32" t="str">
        <f aca="false">IF(BM131="","",IF(OR(BP131="Orange - Moderate Risk",BP131="Red - High Risk",BQ131="Yes"),"Yes","No"))</f>
        <v/>
      </c>
    </row>
    <row r="132" customFormat="false" ht="15" hidden="false" customHeight="false" outlineLevel="0" collapsed="false">
      <c r="A132" s="28" t="str">
        <f aca="false">IF(I132="","","STU"&amp;TEXT(ROW()-3,"000000"))</f>
        <v/>
      </c>
      <c r="B132" s="28"/>
      <c r="C132" s="28"/>
      <c r="D132" s="28"/>
      <c r="E132" s="28"/>
      <c r="F132" s="28"/>
      <c r="G132" s="28"/>
      <c r="H132" s="28"/>
      <c r="I132" s="28"/>
      <c r="J132" s="30"/>
      <c r="K132" s="28"/>
      <c r="L132" s="28"/>
      <c r="M132" s="28"/>
      <c r="N132" s="28"/>
      <c r="O132" s="28"/>
      <c r="P132" s="28"/>
      <c r="Q132" s="30"/>
      <c r="R132" s="30"/>
      <c r="S132" s="31" t="str">
        <f aca="false">IF(OR(Q132="",R132=""),"",ROUND(R132/((Q132/100)^2),1))</f>
        <v/>
      </c>
      <c r="T132" s="28" t="str">
        <f aca="false">IF(S132="","",IF(S132&lt;18.5,"Underweight",IF(S132&lt;25,"Normal",IF(S132&lt;30,"Overweight","Obese"))))</f>
        <v/>
      </c>
      <c r="U132" s="30"/>
      <c r="V132" s="30"/>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31" t="str">
        <f aca="false">IF(T132="","",IF(T132="Normal",100,IF(T132="Overweight",65,IF(T132="Obese",50,IF(AND(U132&lt;&gt;"",U132&lt;18.5),30,45)))))</f>
        <v/>
      </c>
      <c r="BG132" s="31" t="str">
        <f aca="false">IF(COUNTBLANK(W132:AC132)&gt;0,"",ROUND(AVERAGE(INDEX('SCORING MASTER'!$D$5:$D$7,MATCH(W132,'SCORING MASTER'!$C$5:$C$7,0)),INDEX('SCORING MASTER'!$D$9:$D$11,MATCH(X132,'SCORING MASTER'!$C$9:$C$11,0)),INDEX('SCORING MASTER'!$D$13:$D$15,MATCH(Y132,'SCORING MASTER'!$C$13:$C$15,0)),INDEX('SCORING MASTER'!$D$17:$D$19,MATCH(Z132,'SCORING MASTER'!$C$17:$C$19,0)),INDEX('SCORING MASTER'!$D$21:$D$23,MATCH(AA132,'SCORING MASTER'!$C$21:$C$23,0)),INDEX('SCORING MASTER'!$D$25:$D$27,MATCH(AB132,'SCORING MASTER'!$C$25:$C$27,0)),INDEX('SCORING MASTER'!$D$29:$D$31,MATCH(AC132,'SCORING MASTER'!$C$29:$C$31,0)))*20,0))</f>
        <v/>
      </c>
      <c r="BH132" s="31" t="str">
        <f aca="false">IF(COUNTBLANK(AD132:AI132)&gt;0,"",ROUND(AVERAGE(INDEX('SCORING MASTER'!$D$33:$D$35,MATCH(AD132,'SCORING MASTER'!$C$33:$C$35,0)),INDEX('SCORING MASTER'!$D$37:$D$39,MATCH(AE132,'SCORING MASTER'!$C$37:$C$39,0)),INDEX('SCORING MASTER'!$D$41:$D$43,MATCH(AF132,'SCORING MASTER'!$C$41:$C$43,0)),INDEX('SCORING MASTER'!$D$45:$D$47,MATCH(AG132,'SCORING MASTER'!$C$45:$C$47,0)),INDEX('SCORING MASTER'!$D$49:$D$52,MATCH(AH132,'SCORING MASTER'!$C$49:$C$52,0)),INDEX('SCORING MASTER'!$D$54:$D$57,MATCH(AI132,'SCORING MASTER'!$C$54:$C$57,0)))*20,0))</f>
        <v/>
      </c>
      <c r="BI132" s="31" t="str">
        <f aca="false">IF(COUNTBLANK(AJ132:AP132)&gt;0,"",ROUND(AVERAGE(INDEX('SCORING MASTER'!$D$59:$D$60,MATCH(AJ132,'SCORING MASTER'!$C$59:$C$60,0)),INDEX('SCORING MASTER'!$D$62:$D$63,MATCH(AK132,'SCORING MASTER'!$C$62:$C$63,0)),INDEX('SCORING MASTER'!$D$65:$D$66,MATCH(AL132,'SCORING MASTER'!$C$65:$C$66,0)),INDEX('SCORING MASTER'!$D$68:$D$69,MATCH(AM132,'SCORING MASTER'!$C$68:$C$69,0)),INDEX('SCORING MASTER'!$D$71:$D$72,MATCH(AN132,'SCORING MASTER'!$C$71:$C$72,0)),INDEX('SCORING MASTER'!$D$74:$D$75,MATCH(AO132,'SCORING MASTER'!$C$74:$C$75,0)),INDEX('SCORING MASTER'!$D$77:$D$78,MATCH(AP132,'SCORING MASTER'!$C$77:$C$78,0)))*20,0))</f>
        <v/>
      </c>
      <c r="BJ132" s="31" t="str">
        <f aca="false">IF(COUNTBLANK(AU132:AZ132)&gt;0,"",ROUND(AVERAGE(INDEX('SCORING MASTER'!$D$95:$D$96,MATCH(AU132,'SCORING MASTER'!$C$95:$C$96,0)),INDEX('SCORING MASTER'!$D$98:$D$99,MATCH(AV132,'SCORING MASTER'!$C$98:$C$99,0)),INDEX('SCORING MASTER'!$D$101:$D$102,MATCH(AW132,'SCORING MASTER'!$C$101:$C$102,0)),INDEX('SCORING MASTER'!$D$104:$D$105,MATCH(AX132,'SCORING MASTER'!$C$104:$C$105,0)),INDEX('SCORING MASTER'!$D$107:$D$108,MATCH(AY132,'SCORING MASTER'!$C$107:$C$108,0)),INDEX('SCORING MASTER'!$D$110:$D$111,MATCH(AZ132,'SCORING MASTER'!$C$110:$C$111,0)))*20,0))</f>
        <v/>
      </c>
      <c r="BK132" s="31" t="str">
        <f aca="false">IF(COUNTBLANK(AQ132:AT132)&gt;0,"",ROUND(AVERAGE(INDEX('SCORING MASTER'!$D$80:$D$82,MATCH(AQ132,'SCORING MASTER'!$C$80:$C$82,0)),INDEX('SCORING MASTER'!$D$84:$D$86,MATCH(AR132,'SCORING MASTER'!$C$84:$C$86,0)),INDEX('SCORING MASTER'!$D$88:$D$90,MATCH(AS132,'SCORING MASTER'!$C$88:$C$90,0)),INDEX('SCORING MASTER'!$D$92:$D$93,MATCH(AT132,'SCORING MASTER'!$C$92:$C$93,0)))*20,0))</f>
        <v/>
      </c>
      <c r="BL132" s="31" t="str">
        <f aca="false">IF(COUNTBLANK(BA132:BE132)&gt;0,"",ROUND(AVERAGE(INDEX('SCORING MASTER'!$D$113:$D$115,MATCH(BA132,'SCORING MASTER'!$C$113:$C$115,0)),INDEX('SCORING MASTER'!$D$117:$D$119,MATCH(BB132,'SCORING MASTER'!$C$117:$C$119,0)),INDEX('SCORING MASTER'!$D$121:$D$123,MATCH(BC132,'SCORING MASTER'!$C$121:$C$123,0)),INDEX('SCORING MASTER'!$D$125:$D$126,MATCH(BD132,'SCORING MASTER'!$C$125:$C$126,0)),INDEX('SCORING MASTER'!$D$128:$D$129,MATCH(BE132,'SCORING MASTER'!$C$128:$C$129,0)))*20,0))</f>
        <v/>
      </c>
      <c r="BM132" s="31" t="str">
        <f aca="false">IF(OR(BF132="",BG132="",BH132="",BI132="",BJ132="",BK132="",BL132=""),"",ROUND(BF132*0.25+BG132*0.2+BH132*0.15+BI132*0.15+BJ132*0.1+BK132*0.1+BL132*0.05,0))</f>
        <v/>
      </c>
      <c r="BN132" s="31" t="str">
        <f aca="false">IF(OR(BF132="",BG132=""),"",ROUND(BF132*0.5+BG132*0.5,0))</f>
        <v/>
      </c>
      <c r="BO132" s="31" t="str">
        <f aca="false">IF(BN132="","",ROUND(MIN(100,MAX(0,(100-BN132)+IF(AL132="Yes",15,0)+IF(AM132="Yes",15,0)+IF(AND(U132&lt;&gt;"",U132&lt;18.5),20,0))),0))</f>
        <v/>
      </c>
      <c r="BP132" s="28" t="str">
        <f aca="false">IF(BM132="","",IF(BM132&gt;=90,"Green - Healthy",IF(BM132&gt;=75,"Light Green - Mild Watch",IF(BM132&gt;=60,"Yellow - Mild Risk",IF(BM132&gt;=40,"Orange - Moderate Risk","Red - High Risk")))))</f>
        <v/>
      </c>
      <c r="BQ132" s="28" t="str">
        <f aca="false">IF(BM132="","",IF(OR(BM132&lt;60,BO132&gt;=60,AJ132="Yes"),"Yes","No"))</f>
        <v/>
      </c>
      <c r="BR132" s="28" t="str">
        <f aca="false">IF(BM132="","",IF(OR(BP132="Orange - Moderate Risk",BP132="Red - High Risk",BQ132="Yes"),"Yes","No"))</f>
        <v/>
      </c>
    </row>
    <row r="133" customFormat="false" ht="15" hidden="false" customHeight="false" outlineLevel="0" collapsed="false">
      <c r="A133" s="32" t="str">
        <f aca="false">IF(I133="","","STU"&amp;TEXT(ROW()-3,"000000"))</f>
        <v/>
      </c>
      <c r="B133" s="32"/>
      <c r="C133" s="32"/>
      <c r="D133" s="32"/>
      <c r="E133" s="32"/>
      <c r="F133" s="32"/>
      <c r="G133" s="32"/>
      <c r="H133" s="32"/>
      <c r="I133" s="32"/>
      <c r="J133" s="34"/>
      <c r="K133" s="32"/>
      <c r="L133" s="32"/>
      <c r="M133" s="32"/>
      <c r="N133" s="32"/>
      <c r="O133" s="32"/>
      <c r="P133" s="32"/>
      <c r="Q133" s="34"/>
      <c r="R133" s="34"/>
      <c r="S133" s="35" t="str">
        <f aca="false">IF(OR(Q133="",R133=""),"",ROUND(R133/((Q133/100)^2),1))</f>
        <v/>
      </c>
      <c r="T133" s="32" t="str">
        <f aca="false">IF(S133="","",IF(S133&lt;18.5,"Underweight",IF(S133&lt;25,"Normal",IF(S133&lt;30,"Overweight","Obese"))))</f>
        <v/>
      </c>
      <c r="U133" s="34"/>
      <c r="V133" s="34"/>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5" t="str">
        <f aca="false">IF(T133="","",IF(T133="Normal",100,IF(T133="Overweight",65,IF(T133="Obese",50,IF(AND(U133&lt;&gt;"",U133&lt;18.5),30,45)))))</f>
        <v/>
      </c>
      <c r="BG133" s="35" t="str">
        <f aca="false">IF(COUNTBLANK(W133:AC133)&gt;0,"",ROUND(AVERAGE(INDEX('SCORING MASTER'!$D$5:$D$7,MATCH(W133,'SCORING MASTER'!$C$5:$C$7,0)),INDEX('SCORING MASTER'!$D$9:$D$11,MATCH(X133,'SCORING MASTER'!$C$9:$C$11,0)),INDEX('SCORING MASTER'!$D$13:$D$15,MATCH(Y133,'SCORING MASTER'!$C$13:$C$15,0)),INDEX('SCORING MASTER'!$D$17:$D$19,MATCH(Z133,'SCORING MASTER'!$C$17:$C$19,0)),INDEX('SCORING MASTER'!$D$21:$D$23,MATCH(AA133,'SCORING MASTER'!$C$21:$C$23,0)),INDEX('SCORING MASTER'!$D$25:$D$27,MATCH(AB133,'SCORING MASTER'!$C$25:$C$27,0)),INDEX('SCORING MASTER'!$D$29:$D$31,MATCH(AC133,'SCORING MASTER'!$C$29:$C$31,0)))*20,0))</f>
        <v/>
      </c>
      <c r="BH133" s="35" t="str">
        <f aca="false">IF(COUNTBLANK(AD133:AI133)&gt;0,"",ROUND(AVERAGE(INDEX('SCORING MASTER'!$D$33:$D$35,MATCH(AD133,'SCORING MASTER'!$C$33:$C$35,0)),INDEX('SCORING MASTER'!$D$37:$D$39,MATCH(AE133,'SCORING MASTER'!$C$37:$C$39,0)),INDEX('SCORING MASTER'!$D$41:$D$43,MATCH(AF133,'SCORING MASTER'!$C$41:$C$43,0)),INDEX('SCORING MASTER'!$D$45:$D$47,MATCH(AG133,'SCORING MASTER'!$C$45:$C$47,0)),INDEX('SCORING MASTER'!$D$49:$D$52,MATCH(AH133,'SCORING MASTER'!$C$49:$C$52,0)),INDEX('SCORING MASTER'!$D$54:$D$57,MATCH(AI133,'SCORING MASTER'!$C$54:$C$57,0)))*20,0))</f>
        <v/>
      </c>
      <c r="BI133" s="35" t="str">
        <f aca="false">IF(COUNTBLANK(AJ133:AP133)&gt;0,"",ROUND(AVERAGE(INDEX('SCORING MASTER'!$D$59:$D$60,MATCH(AJ133,'SCORING MASTER'!$C$59:$C$60,0)),INDEX('SCORING MASTER'!$D$62:$D$63,MATCH(AK133,'SCORING MASTER'!$C$62:$C$63,0)),INDEX('SCORING MASTER'!$D$65:$D$66,MATCH(AL133,'SCORING MASTER'!$C$65:$C$66,0)),INDEX('SCORING MASTER'!$D$68:$D$69,MATCH(AM133,'SCORING MASTER'!$C$68:$C$69,0)),INDEX('SCORING MASTER'!$D$71:$D$72,MATCH(AN133,'SCORING MASTER'!$C$71:$C$72,0)),INDEX('SCORING MASTER'!$D$74:$D$75,MATCH(AO133,'SCORING MASTER'!$C$74:$C$75,0)),INDEX('SCORING MASTER'!$D$77:$D$78,MATCH(AP133,'SCORING MASTER'!$C$77:$C$78,0)))*20,0))</f>
        <v/>
      </c>
      <c r="BJ133" s="35" t="str">
        <f aca="false">IF(COUNTBLANK(AU133:AZ133)&gt;0,"",ROUND(AVERAGE(INDEX('SCORING MASTER'!$D$95:$D$96,MATCH(AU133,'SCORING MASTER'!$C$95:$C$96,0)),INDEX('SCORING MASTER'!$D$98:$D$99,MATCH(AV133,'SCORING MASTER'!$C$98:$C$99,0)),INDEX('SCORING MASTER'!$D$101:$D$102,MATCH(AW133,'SCORING MASTER'!$C$101:$C$102,0)),INDEX('SCORING MASTER'!$D$104:$D$105,MATCH(AX133,'SCORING MASTER'!$C$104:$C$105,0)),INDEX('SCORING MASTER'!$D$107:$D$108,MATCH(AY133,'SCORING MASTER'!$C$107:$C$108,0)),INDEX('SCORING MASTER'!$D$110:$D$111,MATCH(AZ133,'SCORING MASTER'!$C$110:$C$111,0)))*20,0))</f>
        <v/>
      </c>
      <c r="BK133" s="35" t="str">
        <f aca="false">IF(COUNTBLANK(AQ133:AT133)&gt;0,"",ROUND(AVERAGE(INDEX('SCORING MASTER'!$D$80:$D$82,MATCH(AQ133,'SCORING MASTER'!$C$80:$C$82,0)),INDEX('SCORING MASTER'!$D$84:$D$86,MATCH(AR133,'SCORING MASTER'!$C$84:$C$86,0)),INDEX('SCORING MASTER'!$D$88:$D$90,MATCH(AS133,'SCORING MASTER'!$C$88:$C$90,0)),INDEX('SCORING MASTER'!$D$92:$D$93,MATCH(AT133,'SCORING MASTER'!$C$92:$C$93,0)))*20,0))</f>
        <v/>
      </c>
      <c r="BL133" s="35" t="str">
        <f aca="false">IF(COUNTBLANK(BA133:BE133)&gt;0,"",ROUND(AVERAGE(INDEX('SCORING MASTER'!$D$113:$D$115,MATCH(BA133,'SCORING MASTER'!$C$113:$C$115,0)),INDEX('SCORING MASTER'!$D$117:$D$119,MATCH(BB133,'SCORING MASTER'!$C$117:$C$119,0)),INDEX('SCORING MASTER'!$D$121:$D$123,MATCH(BC133,'SCORING MASTER'!$C$121:$C$123,0)),INDEX('SCORING MASTER'!$D$125:$D$126,MATCH(BD133,'SCORING MASTER'!$C$125:$C$126,0)),INDEX('SCORING MASTER'!$D$128:$D$129,MATCH(BE133,'SCORING MASTER'!$C$128:$C$129,0)))*20,0))</f>
        <v/>
      </c>
      <c r="BM133" s="35" t="str">
        <f aca="false">IF(OR(BF133="",BG133="",BH133="",BI133="",BJ133="",BK133="",BL133=""),"",ROUND(BF133*0.25+BG133*0.2+BH133*0.15+BI133*0.15+BJ133*0.1+BK133*0.1+BL133*0.05,0))</f>
        <v/>
      </c>
      <c r="BN133" s="35" t="str">
        <f aca="false">IF(OR(BF133="",BG133=""),"",ROUND(BF133*0.5+BG133*0.5,0))</f>
        <v/>
      </c>
      <c r="BO133" s="35" t="str">
        <f aca="false">IF(BN133="","",ROUND(MIN(100,MAX(0,(100-BN133)+IF(AL133="Yes",15,0)+IF(AM133="Yes",15,0)+IF(AND(U133&lt;&gt;"",U133&lt;18.5),20,0))),0))</f>
        <v/>
      </c>
      <c r="BP133" s="32" t="str">
        <f aca="false">IF(BM133="","",IF(BM133&gt;=90,"Green - Healthy",IF(BM133&gt;=75,"Light Green - Mild Watch",IF(BM133&gt;=60,"Yellow - Mild Risk",IF(BM133&gt;=40,"Orange - Moderate Risk","Red - High Risk")))))</f>
        <v/>
      </c>
      <c r="BQ133" s="32" t="str">
        <f aca="false">IF(BM133="","",IF(OR(BM133&lt;60,BO133&gt;=60,AJ133="Yes"),"Yes","No"))</f>
        <v/>
      </c>
      <c r="BR133" s="32" t="str">
        <f aca="false">IF(BM133="","",IF(OR(BP133="Orange - Moderate Risk",BP133="Red - High Risk",BQ133="Yes"),"Yes","No"))</f>
        <v/>
      </c>
    </row>
    <row r="134" customFormat="false" ht="15" hidden="false" customHeight="false" outlineLevel="0" collapsed="false">
      <c r="A134" s="28" t="str">
        <f aca="false">IF(I134="","","STU"&amp;TEXT(ROW()-3,"000000"))</f>
        <v/>
      </c>
      <c r="B134" s="28"/>
      <c r="C134" s="28"/>
      <c r="D134" s="28"/>
      <c r="E134" s="28"/>
      <c r="F134" s="28"/>
      <c r="G134" s="28"/>
      <c r="H134" s="28"/>
      <c r="I134" s="28"/>
      <c r="J134" s="30"/>
      <c r="K134" s="28"/>
      <c r="L134" s="28"/>
      <c r="M134" s="28"/>
      <c r="N134" s="28"/>
      <c r="O134" s="28"/>
      <c r="P134" s="28"/>
      <c r="Q134" s="30"/>
      <c r="R134" s="30"/>
      <c r="S134" s="31" t="str">
        <f aca="false">IF(OR(Q134="",R134=""),"",ROUND(R134/((Q134/100)^2),1))</f>
        <v/>
      </c>
      <c r="T134" s="28" t="str">
        <f aca="false">IF(S134="","",IF(S134&lt;18.5,"Underweight",IF(S134&lt;25,"Normal",IF(S134&lt;30,"Overweight","Obese"))))</f>
        <v/>
      </c>
      <c r="U134" s="30"/>
      <c r="V134" s="30"/>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31" t="str">
        <f aca="false">IF(T134="","",IF(T134="Normal",100,IF(T134="Overweight",65,IF(T134="Obese",50,IF(AND(U134&lt;&gt;"",U134&lt;18.5),30,45)))))</f>
        <v/>
      </c>
      <c r="BG134" s="31" t="str">
        <f aca="false">IF(COUNTBLANK(W134:AC134)&gt;0,"",ROUND(AVERAGE(INDEX('SCORING MASTER'!$D$5:$D$7,MATCH(W134,'SCORING MASTER'!$C$5:$C$7,0)),INDEX('SCORING MASTER'!$D$9:$D$11,MATCH(X134,'SCORING MASTER'!$C$9:$C$11,0)),INDEX('SCORING MASTER'!$D$13:$D$15,MATCH(Y134,'SCORING MASTER'!$C$13:$C$15,0)),INDEX('SCORING MASTER'!$D$17:$D$19,MATCH(Z134,'SCORING MASTER'!$C$17:$C$19,0)),INDEX('SCORING MASTER'!$D$21:$D$23,MATCH(AA134,'SCORING MASTER'!$C$21:$C$23,0)),INDEX('SCORING MASTER'!$D$25:$D$27,MATCH(AB134,'SCORING MASTER'!$C$25:$C$27,0)),INDEX('SCORING MASTER'!$D$29:$D$31,MATCH(AC134,'SCORING MASTER'!$C$29:$C$31,0)))*20,0))</f>
        <v/>
      </c>
      <c r="BH134" s="31" t="str">
        <f aca="false">IF(COUNTBLANK(AD134:AI134)&gt;0,"",ROUND(AVERAGE(INDEX('SCORING MASTER'!$D$33:$D$35,MATCH(AD134,'SCORING MASTER'!$C$33:$C$35,0)),INDEX('SCORING MASTER'!$D$37:$D$39,MATCH(AE134,'SCORING MASTER'!$C$37:$C$39,0)),INDEX('SCORING MASTER'!$D$41:$D$43,MATCH(AF134,'SCORING MASTER'!$C$41:$C$43,0)),INDEX('SCORING MASTER'!$D$45:$D$47,MATCH(AG134,'SCORING MASTER'!$C$45:$C$47,0)),INDEX('SCORING MASTER'!$D$49:$D$52,MATCH(AH134,'SCORING MASTER'!$C$49:$C$52,0)),INDEX('SCORING MASTER'!$D$54:$D$57,MATCH(AI134,'SCORING MASTER'!$C$54:$C$57,0)))*20,0))</f>
        <v/>
      </c>
      <c r="BI134" s="31" t="str">
        <f aca="false">IF(COUNTBLANK(AJ134:AP134)&gt;0,"",ROUND(AVERAGE(INDEX('SCORING MASTER'!$D$59:$D$60,MATCH(AJ134,'SCORING MASTER'!$C$59:$C$60,0)),INDEX('SCORING MASTER'!$D$62:$D$63,MATCH(AK134,'SCORING MASTER'!$C$62:$C$63,0)),INDEX('SCORING MASTER'!$D$65:$D$66,MATCH(AL134,'SCORING MASTER'!$C$65:$C$66,0)),INDEX('SCORING MASTER'!$D$68:$D$69,MATCH(AM134,'SCORING MASTER'!$C$68:$C$69,0)),INDEX('SCORING MASTER'!$D$71:$D$72,MATCH(AN134,'SCORING MASTER'!$C$71:$C$72,0)),INDEX('SCORING MASTER'!$D$74:$D$75,MATCH(AO134,'SCORING MASTER'!$C$74:$C$75,0)),INDEX('SCORING MASTER'!$D$77:$D$78,MATCH(AP134,'SCORING MASTER'!$C$77:$C$78,0)))*20,0))</f>
        <v/>
      </c>
      <c r="BJ134" s="31" t="str">
        <f aca="false">IF(COUNTBLANK(AU134:AZ134)&gt;0,"",ROUND(AVERAGE(INDEX('SCORING MASTER'!$D$95:$D$96,MATCH(AU134,'SCORING MASTER'!$C$95:$C$96,0)),INDEX('SCORING MASTER'!$D$98:$D$99,MATCH(AV134,'SCORING MASTER'!$C$98:$C$99,0)),INDEX('SCORING MASTER'!$D$101:$D$102,MATCH(AW134,'SCORING MASTER'!$C$101:$C$102,0)),INDEX('SCORING MASTER'!$D$104:$D$105,MATCH(AX134,'SCORING MASTER'!$C$104:$C$105,0)),INDEX('SCORING MASTER'!$D$107:$D$108,MATCH(AY134,'SCORING MASTER'!$C$107:$C$108,0)),INDEX('SCORING MASTER'!$D$110:$D$111,MATCH(AZ134,'SCORING MASTER'!$C$110:$C$111,0)))*20,0))</f>
        <v/>
      </c>
      <c r="BK134" s="31" t="str">
        <f aca="false">IF(COUNTBLANK(AQ134:AT134)&gt;0,"",ROUND(AVERAGE(INDEX('SCORING MASTER'!$D$80:$D$82,MATCH(AQ134,'SCORING MASTER'!$C$80:$C$82,0)),INDEX('SCORING MASTER'!$D$84:$D$86,MATCH(AR134,'SCORING MASTER'!$C$84:$C$86,0)),INDEX('SCORING MASTER'!$D$88:$D$90,MATCH(AS134,'SCORING MASTER'!$C$88:$C$90,0)),INDEX('SCORING MASTER'!$D$92:$D$93,MATCH(AT134,'SCORING MASTER'!$C$92:$C$93,0)))*20,0))</f>
        <v/>
      </c>
      <c r="BL134" s="31" t="str">
        <f aca="false">IF(COUNTBLANK(BA134:BE134)&gt;0,"",ROUND(AVERAGE(INDEX('SCORING MASTER'!$D$113:$D$115,MATCH(BA134,'SCORING MASTER'!$C$113:$C$115,0)),INDEX('SCORING MASTER'!$D$117:$D$119,MATCH(BB134,'SCORING MASTER'!$C$117:$C$119,0)),INDEX('SCORING MASTER'!$D$121:$D$123,MATCH(BC134,'SCORING MASTER'!$C$121:$C$123,0)),INDEX('SCORING MASTER'!$D$125:$D$126,MATCH(BD134,'SCORING MASTER'!$C$125:$C$126,0)),INDEX('SCORING MASTER'!$D$128:$D$129,MATCH(BE134,'SCORING MASTER'!$C$128:$C$129,0)))*20,0))</f>
        <v/>
      </c>
      <c r="BM134" s="31" t="str">
        <f aca="false">IF(OR(BF134="",BG134="",BH134="",BI134="",BJ134="",BK134="",BL134=""),"",ROUND(BF134*0.25+BG134*0.2+BH134*0.15+BI134*0.15+BJ134*0.1+BK134*0.1+BL134*0.05,0))</f>
        <v/>
      </c>
      <c r="BN134" s="31" t="str">
        <f aca="false">IF(OR(BF134="",BG134=""),"",ROUND(BF134*0.5+BG134*0.5,0))</f>
        <v/>
      </c>
      <c r="BO134" s="31" t="str">
        <f aca="false">IF(BN134="","",ROUND(MIN(100,MAX(0,(100-BN134)+IF(AL134="Yes",15,0)+IF(AM134="Yes",15,0)+IF(AND(U134&lt;&gt;"",U134&lt;18.5),20,0))),0))</f>
        <v/>
      </c>
      <c r="BP134" s="28" t="str">
        <f aca="false">IF(BM134="","",IF(BM134&gt;=90,"Green - Healthy",IF(BM134&gt;=75,"Light Green - Mild Watch",IF(BM134&gt;=60,"Yellow - Mild Risk",IF(BM134&gt;=40,"Orange - Moderate Risk","Red - High Risk")))))</f>
        <v/>
      </c>
      <c r="BQ134" s="28" t="str">
        <f aca="false">IF(BM134="","",IF(OR(BM134&lt;60,BO134&gt;=60,AJ134="Yes"),"Yes","No"))</f>
        <v/>
      </c>
      <c r="BR134" s="28" t="str">
        <f aca="false">IF(BM134="","",IF(OR(BP134="Orange - Moderate Risk",BP134="Red - High Risk",BQ134="Yes"),"Yes","No"))</f>
        <v/>
      </c>
    </row>
    <row r="135" customFormat="false" ht="15" hidden="false" customHeight="false" outlineLevel="0" collapsed="false">
      <c r="A135" s="32" t="str">
        <f aca="false">IF(I135="","","STU"&amp;TEXT(ROW()-3,"000000"))</f>
        <v/>
      </c>
      <c r="B135" s="32"/>
      <c r="C135" s="32"/>
      <c r="D135" s="32"/>
      <c r="E135" s="32"/>
      <c r="F135" s="32"/>
      <c r="G135" s="32"/>
      <c r="H135" s="32"/>
      <c r="I135" s="32"/>
      <c r="J135" s="34"/>
      <c r="K135" s="32"/>
      <c r="L135" s="32"/>
      <c r="M135" s="32"/>
      <c r="N135" s="32"/>
      <c r="O135" s="32"/>
      <c r="P135" s="32"/>
      <c r="Q135" s="34"/>
      <c r="R135" s="34"/>
      <c r="S135" s="35" t="str">
        <f aca="false">IF(OR(Q135="",R135=""),"",ROUND(R135/((Q135/100)^2),1))</f>
        <v/>
      </c>
      <c r="T135" s="32" t="str">
        <f aca="false">IF(S135="","",IF(S135&lt;18.5,"Underweight",IF(S135&lt;25,"Normal",IF(S135&lt;30,"Overweight","Obese"))))</f>
        <v/>
      </c>
      <c r="U135" s="34"/>
      <c r="V135" s="34"/>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5" t="str">
        <f aca="false">IF(T135="","",IF(T135="Normal",100,IF(T135="Overweight",65,IF(T135="Obese",50,IF(AND(U135&lt;&gt;"",U135&lt;18.5),30,45)))))</f>
        <v/>
      </c>
      <c r="BG135" s="35" t="str">
        <f aca="false">IF(COUNTBLANK(W135:AC135)&gt;0,"",ROUND(AVERAGE(INDEX('SCORING MASTER'!$D$5:$D$7,MATCH(W135,'SCORING MASTER'!$C$5:$C$7,0)),INDEX('SCORING MASTER'!$D$9:$D$11,MATCH(X135,'SCORING MASTER'!$C$9:$C$11,0)),INDEX('SCORING MASTER'!$D$13:$D$15,MATCH(Y135,'SCORING MASTER'!$C$13:$C$15,0)),INDEX('SCORING MASTER'!$D$17:$D$19,MATCH(Z135,'SCORING MASTER'!$C$17:$C$19,0)),INDEX('SCORING MASTER'!$D$21:$D$23,MATCH(AA135,'SCORING MASTER'!$C$21:$C$23,0)),INDEX('SCORING MASTER'!$D$25:$D$27,MATCH(AB135,'SCORING MASTER'!$C$25:$C$27,0)),INDEX('SCORING MASTER'!$D$29:$D$31,MATCH(AC135,'SCORING MASTER'!$C$29:$C$31,0)))*20,0))</f>
        <v/>
      </c>
      <c r="BH135" s="35" t="str">
        <f aca="false">IF(COUNTBLANK(AD135:AI135)&gt;0,"",ROUND(AVERAGE(INDEX('SCORING MASTER'!$D$33:$D$35,MATCH(AD135,'SCORING MASTER'!$C$33:$C$35,0)),INDEX('SCORING MASTER'!$D$37:$D$39,MATCH(AE135,'SCORING MASTER'!$C$37:$C$39,0)),INDEX('SCORING MASTER'!$D$41:$D$43,MATCH(AF135,'SCORING MASTER'!$C$41:$C$43,0)),INDEX('SCORING MASTER'!$D$45:$D$47,MATCH(AG135,'SCORING MASTER'!$C$45:$C$47,0)),INDEX('SCORING MASTER'!$D$49:$D$52,MATCH(AH135,'SCORING MASTER'!$C$49:$C$52,0)),INDEX('SCORING MASTER'!$D$54:$D$57,MATCH(AI135,'SCORING MASTER'!$C$54:$C$57,0)))*20,0))</f>
        <v/>
      </c>
      <c r="BI135" s="35" t="str">
        <f aca="false">IF(COUNTBLANK(AJ135:AP135)&gt;0,"",ROUND(AVERAGE(INDEX('SCORING MASTER'!$D$59:$D$60,MATCH(AJ135,'SCORING MASTER'!$C$59:$C$60,0)),INDEX('SCORING MASTER'!$D$62:$D$63,MATCH(AK135,'SCORING MASTER'!$C$62:$C$63,0)),INDEX('SCORING MASTER'!$D$65:$D$66,MATCH(AL135,'SCORING MASTER'!$C$65:$C$66,0)),INDEX('SCORING MASTER'!$D$68:$D$69,MATCH(AM135,'SCORING MASTER'!$C$68:$C$69,0)),INDEX('SCORING MASTER'!$D$71:$D$72,MATCH(AN135,'SCORING MASTER'!$C$71:$C$72,0)),INDEX('SCORING MASTER'!$D$74:$D$75,MATCH(AO135,'SCORING MASTER'!$C$74:$C$75,0)),INDEX('SCORING MASTER'!$D$77:$D$78,MATCH(AP135,'SCORING MASTER'!$C$77:$C$78,0)))*20,0))</f>
        <v/>
      </c>
      <c r="BJ135" s="35" t="str">
        <f aca="false">IF(COUNTBLANK(AU135:AZ135)&gt;0,"",ROUND(AVERAGE(INDEX('SCORING MASTER'!$D$95:$D$96,MATCH(AU135,'SCORING MASTER'!$C$95:$C$96,0)),INDEX('SCORING MASTER'!$D$98:$D$99,MATCH(AV135,'SCORING MASTER'!$C$98:$C$99,0)),INDEX('SCORING MASTER'!$D$101:$D$102,MATCH(AW135,'SCORING MASTER'!$C$101:$C$102,0)),INDEX('SCORING MASTER'!$D$104:$D$105,MATCH(AX135,'SCORING MASTER'!$C$104:$C$105,0)),INDEX('SCORING MASTER'!$D$107:$D$108,MATCH(AY135,'SCORING MASTER'!$C$107:$C$108,0)),INDEX('SCORING MASTER'!$D$110:$D$111,MATCH(AZ135,'SCORING MASTER'!$C$110:$C$111,0)))*20,0))</f>
        <v/>
      </c>
      <c r="BK135" s="35" t="str">
        <f aca="false">IF(COUNTBLANK(AQ135:AT135)&gt;0,"",ROUND(AVERAGE(INDEX('SCORING MASTER'!$D$80:$D$82,MATCH(AQ135,'SCORING MASTER'!$C$80:$C$82,0)),INDEX('SCORING MASTER'!$D$84:$D$86,MATCH(AR135,'SCORING MASTER'!$C$84:$C$86,0)),INDEX('SCORING MASTER'!$D$88:$D$90,MATCH(AS135,'SCORING MASTER'!$C$88:$C$90,0)),INDEX('SCORING MASTER'!$D$92:$D$93,MATCH(AT135,'SCORING MASTER'!$C$92:$C$93,0)))*20,0))</f>
        <v/>
      </c>
      <c r="BL135" s="35" t="str">
        <f aca="false">IF(COUNTBLANK(BA135:BE135)&gt;0,"",ROUND(AVERAGE(INDEX('SCORING MASTER'!$D$113:$D$115,MATCH(BA135,'SCORING MASTER'!$C$113:$C$115,0)),INDEX('SCORING MASTER'!$D$117:$D$119,MATCH(BB135,'SCORING MASTER'!$C$117:$C$119,0)),INDEX('SCORING MASTER'!$D$121:$D$123,MATCH(BC135,'SCORING MASTER'!$C$121:$C$123,0)),INDEX('SCORING MASTER'!$D$125:$D$126,MATCH(BD135,'SCORING MASTER'!$C$125:$C$126,0)),INDEX('SCORING MASTER'!$D$128:$D$129,MATCH(BE135,'SCORING MASTER'!$C$128:$C$129,0)))*20,0))</f>
        <v/>
      </c>
      <c r="BM135" s="35" t="str">
        <f aca="false">IF(OR(BF135="",BG135="",BH135="",BI135="",BJ135="",BK135="",BL135=""),"",ROUND(BF135*0.25+BG135*0.2+BH135*0.15+BI135*0.15+BJ135*0.1+BK135*0.1+BL135*0.05,0))</f>
        <v/>
      </c>
      <c r="BN135" s="35" t="str">
        <f aca="false">IF(OR(BF135="",BG135=""),"",ROUND(BF135*0.5+BG135*0.5,0))</f>
        <v/>
      </c>
      <c r="BO135" s="35" t="str">
        <f aca="false">IF(BN135="","",ROUND(MIN(100,MAX(0,(100-BN135)+IF(AL135="Yes",15,0)+IF(AM135="Yes",15,0)+IF(AND(U135&lt;&gt;"",U135&lt;18.5),20,0))),0))</f>
        <v/>
      </c>
      <c r="BP135" s="32" t="str">
        <f aca="false">IF(BM135="","",IF(BM135&gt;=90,"Green - Healthy",IF(BM135&gt;=75,"Light Green - Mild Watch",IF(BM135&gt;=60,"Yellow - Mild Risk",IF(BM135&gt;=40,"Orange - Moderate Risk","Red - High Risk")))))</f>
        <v/>
      </c>
      <c r="BQ135" s="32" t="str">
        <f aca="false">IF(BM135="","",IF(OR(BM135&lt;60,BO135&gt;=60,AJ135="Yes"),"Yes","No"))</f>
        <v/>
      </c>
      <c r="BR135" s="32" t="str">
        <f aca="false">IF(BM135="","",IF(OR(BP135="Orange - Moderate Risk",BP135="Red - High Risk",BQ135="Yes"),"Yes","No"))</f>
        <v/>
      </c>
    </row>
    <row r="136" customFormat="false" ht="15" hidden="false" customHeight="false" outlineLevel="0" collapsed="false">
      <c r="A136" s="28" t="str">
        <f aca="false">IF(I136="","","STU"&amp;TEXT(ROW()-3,"000000"))</f>
        <v/>
      </c>
      <c r="B136" s="28"/>
      <c r="C136" s="28"/>
      <c r="D136" s="28"/>
      <c r="E136" s="28"/>
      <c r="F136" s="28"/>
      <c r="G136" s="28"/>
      <c r="H136" s="28"/>
      <c r="I136" s="28"/>
      <c r="J136" s="30"/>
      <c r="K136" s="28"/>
      <c r="L136" s="28"/>
      <c r="M136" s="28"/>
      <c r="N136" s="28"/>
      <c r="O136" s="28"/>
      <c r="P136" s="28"/>
      <c r="Q136" s="30"/>
      <c r="R136" s="30"/>
      <c r="S136" s="31" t="str">
        <f aca="false">IF(OR(Q136="",R136=""),"",ROUND(R136/((Q136/100)^2),1))</f>
        <v/>
      </c>
      <c r="T136" s="28" t="str">
        <f aca="false">IF(S136="","",IF(S136&lt;18.5,"Underweight",IF(S136&lt;25,"Normal",IF(S136&lt;30,"Overweight","Obese"))))</f>
        <v/>
      </c>
      <c r="U136" s="30"/>
      <c r="V136" s="30"/>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31" t="str">
        <f aca="false">IF(T136="","",IF(T136="Normal",100,IF(T136="Overweight",65,IF(T136="Obese",50,IF(AND(U136&lt;&gt;"",U136&lt;18.5),30,45)))))</f>
        <v/>
      </c>
      <c r="BG136" s="31" t="str">
        <f aca="false">IF(COUNTBLANK(W136:AC136)&gt;0,"",ROUND(AVERAGE(INDEX('SCORING MASTER'!$D$5:$D$7,MATCH(W136,'SCORING MASTER'!$C$5:$C$7,0)),INDEX('SCORING MASTER'!$D$9:$D$11,MATCH(X136,'SCORING MASTER'!$C$9:$C$11,0)),INDEX('SCORING MASTER'!$D$13:$D$15,MATCH(Y136,'SCORING MASTER'!$C$13:$C$15,0)),INDEX('SCORING MASTER'!$D$17:$D$19,MATCH(Z136,'SCORING MASTER'!$C$17:$C$19,0)),INDEX('SCORING MASTER'!$D$21:$D$23,MATCH(AA136,'SCORING MASTER'!$C$21:$C$23,0)),INDEX('SCORING MASTER'!$D$25:$D$27,MATCH(AB136,'SCORING MASTER'!$C$25:$C$27,0)),INDEX('SCORING MASTER'!$D$29:$D$31,MATCH(AC136,'SCORING MASTER'!$C$29:$C$31,0)))*20,0))</f>
        <v/>
      </c>
      <c r="BH136" s="31" t="str">
        <f aca="false">IF(COUNTBLANK(AD136:AI136)&gt;0,"",ROUND(AVERAGE(INDEX('SCORING MASTER'!$D$33:$D$35,MATCH(AD136,'SCORING MASTER'!$C$33:$C$35,0)),INDEX('SCORING MASTER'!$D$37:$D$39,MATCH(AE136,'SCORING MASTER'!$C$37:$C$39,0)),INDEX('SCORING MASTER'!$D$41:$D$43,MATCH(AF136,'SCORING MASTER'!$C$41:$C$43,0)),INDEX('SCORING MASTER'!$D$45:$D$47,MATCH(AG136,'SCORING MASTER'!$C$45:$C$47,0)),INDEX('SCORING MASTER'!$D$49:$D$52,MATCH(AH136,'SCORING MASTER'!$C$49:$C$52,0)),INDEX('SCORING MASTER'!$D$54:$D$57,MATCH(AI136,'SCORING MASTER'!$C$54:$C$57,0)))*20,0))</f>
        <v/>
      </c>
      <c r="BI136" s="31" t="str">
        <f aca="false">IF(COUNTBLANK(AJ136:AP136)&gt;0,"",ROUND(AVERAGE(INDEX('SCORING MASTER'!$D$59:$D$60,MATCH(AJ136,'SCORING MASTER'!$C$59:$C$60,0)),INDEX('SCORING MASTER'!$D$62:$D$63,MATCH(AK136,'SCORING MASTER'!$C$62:$C$63,0)),INDEX('SCORING MASTER'!$D$65:$D$66,MATCH(AL136,'SCORING MASTER'!$C$65:$C$66,0)),INDEX('SCORING MASTER'!$D$68:$D$69,MATCH(AM136,'SCORING MASTER'!$C$68:$C$69,0)),INDEX('SCORING MASTER'!$D$71:$D$72,MATCH(AN136,'SCORING MASTER'!$C$71:$C$72,0)),INDEX('SCORING MASTER'!$D$74:$D$75,MATCH(AO136,'SCORING MASTER'!$C$74:$C$75,0)),INDEX('SCORING MASTER'!$D$77:$D$78,MATCH(AP136,'SCORING MASTER'!$C$77:$C$78,0)))*20,0))</f>
        <v/>
      </c>
      <c r="BJ136" s="31" t="str">
        <f aca="false">IF(COUNTBLANK(AU136:AZ136)&gt;0,"",ROUND(AVERAGE(INDEX('SCORING MASTER'!$D$95:$D$96,MATCH(AU136,'SCORING MASTER'!$C$95:$C$96,0)),INDEX('SCORING MASTER'!$D$98:$D$99,MATCH(AV136,'SCORING MASTER'!$C$98:$C$99,0)),INDEX('SCORING MASTER'!$D$101:$D$102,MATCH(AW136,'SCORING MASTER'!$C$101:$C$102,0)),INDEX('SCORING MASTER'!$D$104:$D$105,MATCH(AX136,'SCORING MASTER'!$C$104:$C$105,0)),INDEX('SCORING MASTER'!$D$107:$D$108,MATCH(AY136,'SCORING MASTER'!$C$107:$C$108,0)),INDEX('SCORING MASTER'!$D$110:$D$111,MATCH(AZ136,'SCORING MASTER'!$C$110:$C$111,0)))*20,0))</f>
        <v/>
      </c>
      <c r="BK136" s="31" t="str">
        <f aca="false">IF(COUNTBLANK(AQ136:AT136)&gt;0,"",ROUND(AVERAGE(INDEX('SCORING MASTER'!$D$80:$D$82,MATCH(AQ136,'SCORING MASTER'!$C$80:$C$82,0)),INDEX('SCORING MASTER'!$D$84:$D$86,MATCH(AR136,'SCORING MASTER'!$C$84:$C$86,0)),INDEX('SCORING MASTER'!$D$88:$D$90,MATCH(AS136,'SCORING MASTER'!$C$88:$C$90,0)),INDEX('SCORING MASTER'!$D$92:$D$93,MATCH(AT136,'SCORING MASTER'!$C$92:$C$93,0)))*20,0))</f>
        <v/>
      </c>
      <c r="BL136" s="31" t="str">
        <f aca="false">IF(COUNTBLANK(BA136:BE136)&gt;0,"",ROUND(AVERAGE(INDEX('SCORING MASTER'!$D$113:$D$115,MATCH(BA136,'SCORING MASTER'!$C$113:$C$115,0)),INDEX('SCORING MASTER'!$D$117:$D$119,MATCH(BB136,'SCORING MASTER'!$C$117:$C$119,0)),INDEX('SCORING MASTER'!$D$121:$D$123,MATCH(BC136,'SCORING MASTER'!$C$121:$C$123,0)),INDEX('SCORING MASTER'!$D$125:$D$126,MATCH(BD136,'SCORING MASTER'!$C$125:$C$126,0)),INDEX('SCORING MASTER'!$D$128:$D$129,MATCH(BE136,'SCORING MASTER'!$C$128:$C$129,0)))*20,0))</f>
        <v/>
      </c>
      <c r="BM136" s="31" t="str">
        <f aca="false">IF(OR(BF136="",BG136="",BH136="",BI136="",BJ136="",BK136="",BL136=""),"",ROUND(BF136*0.25+BG136*0.2+BH136*0.15+BI136*0.15+BJ136*0.1+BK136*0.1+BL136*0.05,0))</f>
        <v/>
      </c>
      <c r="BN136" s="31" t="str">
        <f aca="false">IF(OR(BF136="",BG136=""),"",ROUND(BF136*0.5+BG136*0.5,0))</f>
        <v/>
      </c>
      <c r="BO136" s="31" t="str">
        <f aca="false">IF(BN136="","",ROUND(MIN(100,MAX(0,(100-BN136)+IF(AL136="Yes",15,0)+IF(AM136="Yes",15,0)+IF(AND(U136&lt;&gt;"",U136&lt;18.5),20,0))),0))</f>
        <v/>
      </c>
      <c r="BP136" s="28" t="str">
        <f aca="false">IF(BM136="","",IF(BM136&gt;=90,"Green - Healthy",IF(BM136&gt;=75,"Light Green - Mild Watch",IF(BM136&gt;=60,"Yellow - Mild Risk",IF(BM136&gt;=40,"Orange - Moderate Risk","Red - High Risk")))))</f>
        <v/>
      </c>
      <c r="BQ136" s="28" t="str">
        <f aca="false">IF(BM136="","",IF(OR(BM136&lt;60,BO136&gt;=60,AJ136="Yes"),"Yes","No"))</f>
        <v/>
      </c>
      <c r="BR136" s="28" t="str">
        <f aca="false">IF(BM136="","",IF(OR(BP136="Orange - Moderate Risk",BP136="Red - High Risk",BQ136="Yes"),"Yes","No"))</f>
        <v/>
      </c>
    </row>
    <row r="137" customFormat="false" ht="15" hidden="false" customHeight="false" outlineLevel="0" collapsed="false">
      <c r="A137" s="32" t="str">
        <f aca="false">IF(I137="","","STU"&amp;TEXT(ROW()-3,"000000"))</f>
        <v/>
      </c>
      <c r="B137" s="32"/>
      <c r="C137" s="32"/>
      <c r="D137" s="32"/>
      <c r="E137" s="32"/>
      <c r="F137" s="32"/>
      <c r="G137" s="32"/>
      <c r="H137" s="32"/>
      <c r="I137" s="32"/>
      <c r="J137" s="34"/>
      <c r="K137" s="32"/>
      <c r="L137" s="32"/>
      <c r="M137" s="32"/>
      <c r="N137" s="32"/>
      <c r="O137" s="32"/>
      <c r="P137" s="32"/>
      <c r="Q137" s="34"/>
      <c r="R137" s="34"/>
      <c r="S137" s="35" t="str">
        <f aca="false">IF(OR(Q137="",R137=""),"",ROUND(R137/((Q137/100)^2),1))</f>
        <v/>
      </c>
      <c r="T137" s="32" t="str">
        <f aca="false">IF(S137="","",IF(S137&lt;18.5,"Underweight",IF(S137&lt;25,"Normal",IF(S137&lt;30,"Overweight","Obese"))))</f>
        <v/>
      </c>
      <c r="U137" s="34"/>
      <c r="V137" s="34"/>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5" t="str">
        <f aca="false">IF(T137="","",IF(T137="Normal",100,IF(T137="Overweight",65,IF(T137="Obese",50,IF(AND(U137&lt;&gt;"",U137&lt;18.5),30,45)))))</f>
        <v/>
      </c>
      <c r="BG137" s="35" t="str">
        <f aca="false">IF(COUNTBLANK(W137:AC137)&gt;0,"",ROUND(AVERAGE(INDEX('SCORING MASTER'!$D$5:$D$7,MATCH(W137,'SCORING MASTER'!$C$5:$C$7,0)),INDEX('SCORING MASTER'!$D$9:$D$11,MATCH(X137,'SCORING MASTER'!$C$9:$C$11,0)),INDEX('SCORING MASTER'!$D$13:$D$15,MATCH(Y137,'SCORING MASTER'!$C$13:$C$15,0)),INDEX('SCORING MASTER'!$D$17:$D$19,MATCH(Z137,'SCORING MASTER'!$C$17:$C$19,0)),INDEX('SCORING MASTER'!$D$21:$D$23,MATCH(AA137,'SCORING MASTER'!$C$21:$C$23,0)),INDEX('SCORING MASTER'!$D$25:$D$27,MATCH(AB137,'SCORING MASTER'!$C$25:$C$27,0)),INDEX('SCORING MASTER'!$D$29:$D$31,MATCH(AC137,'SCORING MASTER'!$C$29:$C$31,0)))*20,0))</f>
        <v/>
      </c>
      <c r="BH137" s="35" t="str">
        <f aca="false">IF(COUNTBLANK(AD137:AI137)&gt;0,"",ROUND(AVERAGE(INDEX('SCORING MASTER'!$D$33:$D$35,MATCH(AD137,'SCORING MASTER'!$C$33:$C$35,0)),INDEX('SCORING MASTER'!$D$37:$D$39,MATCH(AE137,'SCORING MASTER'!$C$37:$C$39,0)),INDEX('SCORING MASTER'!$D$41:$D$43,MATCH(AF137,'SCORING MASTER'!$C$41:$C$43,0)),INDEX('SCORING MASTER'!$D$45:$D$47,MATCH(AG137,'SCORING MASTER'!$C$45:$C$47,0)),INDEX('SCORING MASTER'!$D$49:$D$52,MATCH(AH137,'SCORING MASTER'!$C$49:$C$52,0)),INDEX('SCORING MASTER'!$D$54:$D$57,MATCH(AI137,'SCORING MASTER'!$C$54:$C$57,0)))*20,0))</f>
        <v/>
      </c>
      <c r="BI137" s="35" t="str">
        <f aca="false">IF(COUNTBLANK(AJ137:AP137)&gt;0,"",ROUND(AVERAGE(INDEX('SCORING MASTER'!$D$59:$D$60,MATCH(AJ137,'SCORING MASTER'!$C$59:$C$60,0)),INDEX('SCORING MASTER'!$D$62:$D$63,MATCH(AK137,'SCORING MASTER'!$C$62:$C$63,0)),INDEX('SCORING MASTER'!$D$65:$D$66,MATCH(AL137,'SCORING MASTER'!$C$65:$C$66,0)),INDEX('SCORING MASTER'!$D$68:$D$69,MATCH(AM137,'SCORING MASTER'!$C$68:$C$69,0)),INDEX('SCORING MASTER'!$D$71:$D$72,MATCH(AN137,'SCORING MASTER'!$C$71:$C$72,0)),INDEX('SCORING MASTER'!$D$74:$D$75,MATCH(AO137,'SCORING MASTER'!$C$74:$C$75,0)),INDEX('SCORING MASTER'!$D$77:$D$78,MATCH(AP137,'SCORING MASTER'!$C$77:$C$78,0)))*20,0))</f>
        <v/>
      </c>
      <c r="BJ137" s="35" t="str">
        <f aca="false">IF(COUNTBLANK(AU137:AZ137)&gt;0,"",ROUND(AVERAGE(INDEX('SCORING MASTER'!$D$95:$D$96,MATCH(AU137,'SCORING MASTER'!$C$95:$C$96,0)),INDEX('SCORING MASTER'!$D$98:$D$99,MATCH(AV137,'SCORING MASTER'!$C$98:$C$99,0)),INDEX('SCORING MASTER'!$D$101:$D$102,MATCH(AW137,'SCORING MASTER'!$C$101:$C$102,0)),INDEX('SCORING MASTER'!$D$104:$D$105,MATCH(AX137,'SCORING MASTER'!$C$104:$C$105,0)),INDEX('SCORING MASTER'!$D$107:$D$108,MATCH(AY137,'SCORING MASTER'!$C$107:$C$108,0)),INDEX('SCORING MASTER'!$D$110:$D$111,MATCH(AZ137,'SCORING MASTER'!$C$110:$C$111,0)))*20,0))</f>
        <v/>
      </c>
      <c r="BK137" s="35" t="str">
        <f aca="false">IF(COUNTBLANK(AQ137:AT137)&gt;0,"",ROUND(AVERAGE(INDEX('SCORING MASTER'!$D$80:$D$82,MATCH(AQ137,'SCORING MASTER'!$C$80:$C$82,0)),INDEX('SCORING MASTER'!$D$84:$D$86,MATCH(AR137,'SCORING MASTER'!$C$84:$C$86,0)),INDEX('SCORING MASTER'!$D$88:$D$90,MATCH(AS137,'SCORING MASTER'!$C$88:$C$90,0)),INDEX('SCORING MASTER'!$D$92:$D$93,MATCH(AT137,'SCORING MASTER'!$C$92:$C$93,0)))*20,0))</f>
        <v/>
      </c>
      <c r="BL137" s="35" t="str">
        <f aca="false">IF(COUNTBLANK(BA137:BE137)&gt;0,"",ROUND(AVERAGE(INDEX('SCORING MASTER'!$D$113:$D$115,MATCH(BA137,'SCORING MASTER'!$C$113:$C$115,0)),INDEX('SCORING MASTER'!$D$117:$D$119,MATCH(BB137,'SCORING MASTER'!$C$117:$C$119,0)),INDEX('SCORING MASTER'!$D$121:$D$123,MATCH(BC137,'SCORING MASTER'!$C$121:$C$123,0)),INDEX('SCORING MASTER'!$D$125:$D$126,MATCH(BD137,'SCORING MASTER'!$C$125:$C$126,0)),INDEX('SCORING MASTER'!$D$128:$D$129,MATCH(BE137,'SCORING MASTER'!$C$128:$C$129,0)))*20,0))</f>
        <v/>
      </c>
      <c r="BM137" s="35" t="str">
        <f aca="false">IF(OR(BF137="",BG137="",BH137="",BI137="",BJ137="",BK137="",BL137=""),"",ROUND(BF137*0.25+BG137*0.2+BH137*0.15+BI137*0.15+BJ137*0.1+BK137*0.1+BL137*0.05,0))</f>
        <v/>
      </c>
      <c r="BN137" s="35" t="str">
        <f aca="false">IF(OR(BF137="",BG137=""),"",ROUND(BF137*0.5+BG137*0.5,0))</f>
        <v/>
      </c>
      <c r="BO137" s="35" t="str">
        <f aca="false">IF(BN137="","",ROUND(MIN(100,MAX(0,(100-BN137)+IF(AL137="Yes",15,0)+IF(AM137="Yes",15,0)+IF(AND(U137&lt;&gt;"",U137&lt;18.5),20,0))),0))</f>
        <v/>
      </c>
      <c r="BP137" s="32" t="str">
        <f aca="false">IF(BM137="","",IF(BM137&gt;=90,"Green - Healthy",IF(BM137&gt;=75,"Light Green - Mild Watch",IF(BM137&gt;=60,"Yellow - Mild Risk",IF(BM137&gt;=40,"Orange - Moderate Risk","Red - High Risk")))))</f>
        <v/>
      </c>
      <c r="BQ137" s="32" t="str">
        <f aca="false">IF(BM137="","",IF(OR(BM137&lt;60,BO137&gt;=60,AJ137="Yes"),"Yes","No"))</f>
        <v/>
      </c>
      <c r="BR137" s="32" t="str">
        <f aca="false">IF(BM137="","",IF(OR(BP137="Orange - Moderate Risk",BP137="Red - High Risk",BQ137="Yes"),"Yes","No"))</f>
        <v/>
      </c>
    </row>
    <row r="138" customFormat="false" ht="15" hidden="false" customHeight="false" outlineLevel="0" collapsed="false">
      <c r="A138" s="28" t="str">
        <f aca="false">IF(I138="","","STU"&amp;TEXT(ROW()-3,"000000"))</f>
        <v/>
      </c>
      <c r="B138" s="28"/>
      <c r="C138" s="28"/>
      <c r="D138" s="28"/>
      <c r="E138" s="28"/>
      <c r="F138" s="28"/>
      <c r="G138" s="28"/>
      <c r="H138" s="28"/>
      <c r="I138" s="28"/>
      <c r="J138" s="30"/>
      <c r="K138" s="28"/>
      <c r="L138" s="28"/>
      <c r="M138" s="28"/>
      <c r="N138" s="28"/>
      <c r="O138" s="28"/>
      <c r="P138" s="28"/>
      <c r="Q138" s="30"/>
      <c r="R138" s="30"/>
      <c r="S138" s="31" t="str">
        <f aca="false">IF(OR(Q138="",R138=""),"",ROUND(R138/((Q138/100)^2),1))</f>
        <v/>
      </c>
      <c r="T138" s="28" t="str">
        <f aca="false">IF(S138="","",IF(S138&lt;18.5,"Underweight",IF(S138&lt;25,"Normal",IF(S138&lt;30,"Overweight","Obese"))))</f>
        <v/>
      </c>
      <c r="U138" s="30"/>
      <c r="V138" s="30"/>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31" t="str">
        <f aca="false">IF(T138="","",IF(T138="Normal",100,IF(T138="Overweight",65,IF(T138="Obese",50,IF(AND(U138&lt;&gt;"",U138&lt;18.5),30,45)))))</f>
        <v/>
      </c>
      <c r="BG138" s="31" t="str">
        <f aca="false">IF(COUNTBLANK(W138:AC138)&gt;0,"",ROUND(AVERAGE(INDEX('SCORING MASTER'!$D$5:$D$7,MATCH(W138,'SCORING MASTER'!$C$5:$C$7,0)),INDEX('SCORING MASTER'!$D$9:$D$11,MATCH(X138,'SCORING MASTER'!$C$9:$C$11,0)),INDEX('SCORING MASTER'!$D$13:$D$15,MATCH(Y138,'SCORING MASTER'!$C$13:$C$15,0)),INDEX('SCORING MASTER'!$D$17:$D$19,MATCH(Z138,'SCORING MASTER'!$C$17:$C$19,0)),INDEX('SCORING MASTER'!$D$21:$D$23,MATCH(AA138,'SCORING MASTER'!$C$21:$C$23,0)),INDEX('SCORING MASTER'!$D$25:$D$27,MATCH(AB138,'SCORING MASTER'!$C$25:$C$27,0)),INDEX('SCORING MASTER'!$D$29:$D$31,MATCH(AC138,'SCORING MASTER'!$C$29:$C$31,0)))*20,0))</f>
        <v/>
      </c>
      <c r="BH138" s="31" t="str">
        <f aca="false">IF(COUNTBLANK(AD138:AI138)&gt;0,"",ROUND(AVERAGE(INDEX('SCORING MASTER'!$D$33:$D$35,MATCH(AD138,'SCORING MASTER'!$C$33:$C$35,0)),INDEX('SCORING MASTER'!$D$37:$D$39,MATCH(AE138,'SCORING MASTER'!$C$37:$C$39,0)),INDEX('SCORING MASTER'!$D$41:$D$43,MATCH(AF138,'SCORING MASTER'!$C$41:$C$43,0)),INDEX('SCORING MASTER'!$D$45:$D$47,MATCH(AG138,'SCORING MASTER'!$C$45:$C$47,0)),INDEX('SCORING MASTER'!$D$49:$D$52,MATCH(AH138,'SCORING MASTER'!$C$49:$C$52,0)),INDEX('SCORING MASTER'!$D$54:$D$57,MATCH(AI138,'SCORING MASTER'!$C$54:$C$57,0)))*20,0))</f>
        <v/>
      </c>
      <c r="BI138" s="31" t="str">
        <f aca="false">IF(COUNTBLANK(AJ138:AP138)&gt;0,"",ROUND(AVERAGE(INDEX('SCORING MASTER'!$D$59:$D$60,MATCH(AJ138,'SCORING MASTER'!$C$59:$C$60,0)),INDEX('SCORING MASTER'!$D$62:$D$63,MATCH(AK138,'SCORING MASTER'!$C$62:$C$63,0)),INDEX('SCORING MASTER'!$D$65:$D$66,MATCH(AL138,'SCORING MASTER'!$C$65:$C$66,0)),INDEX('SCORING MASTER'!$D$68:$D$69,MATCH(AM138,'SCORING MASTER'!$C$68:$C$69,0)),INDEX('SCORING MASTER'!$D$71:$D$72,MATCH(AN138,'SCORING MASTER'!$C$71:$C$72,0)),INDEX('SCORING MASTER'!$D$74:$D$75,MATCH(AO138,'SCORING MASTER'!$C$74:$C$75,0)),INDEX('SCORING MASTER'!$D$77:$D$78,MATCH(AP138,'SCORING MASTER'!$C$77:$C$78,0)))*20,0))</f>
        <v/>
      </c>
      <c r="BJ138" s="31" t="str">
        <f aca="false">IF(COUNTBLANK(AU138:AZ138)&gt;0,"",ROUND(AVERAGE(INDEX('SCORING MASTER'!$D$95:$D$96,MATCH(AU138,'SCORING MASTER'!$C$95:$C$96,0)),INDEX('SCORING MASTER'!$D$98:$D$99,MATCH(AV138,'SCORING MASTER'!$C$98:$C$99,0)),INDEX('SCORING MASTER'!$D$101:$D$102,MATCH(AW138,'SCORING MASTER'!$C$101:$C$102,0)),INDEX('SCORING MASTER'!$D$104:$D$105,MATCH(AX138,'SCORING MASTER'!$C$104:$C$105,0)),INDEX('SCORING MASTER'!$D$107:$D$108,MATCH(AY138,'SCORING MASTER'!$C$107:$C$108,0)),INDEX('SCORING MASTER'!$D$110:$D$111,MATCH(AZ138,'SCORING MASTER'!$C$110:$C$111,0)))*20,0))</f>
        <v/>
      </c>
      <c r="BK138" s="31" t="str">
        <f aca="false">IF(COUNTBLANK(AQ138:AT138)&gt;0,"",ROUND(AVERAGE(INDEX('SCORING MASTER'!$D$80:$D$82,MATCH(AQ138,'SCORING MASTER'!$C$80:$C$82,0)),INDEX('SCORING MASTER'!$D$84:$D$86,MATCH(AR138,'SCORING MASTER'!$C$84:$C$86,0)),INDEX('SCORING MASTER'!$D$88:$D$90,MATCH(AS138,'SCORING MASTER'!$C$88:$C$90,0)),INDEX('SCORING MASTER'!$D$92:$D$93,MATCH(AT138,'SCORING MASTER'!$C$92:$C$93,0)))*20,0))</f>
        <v/>
      </c>
      <c r="BL138" s="31" t="str">
        <f aca="false">IF(COUNTBLANK(BA138:BE138)&gt;0,"",ROUND(AVERAGE(INDEX('SCORING MASTER'!$D$113:$D$115,MATCH(BA138,'SCORING MASTER'!$C$113:$C$115,0)),INDEX('SCORING MASTER'!$D$117:$D$119,MATCH(BB138,'SCORING MASTER'!$C$117:$C$119,0)),INDEX('SCORING MASTER'!$D$121:$D$123,MATCH(BC138,'SCORING MASTER'!$C$121:$C$123,0)),INDEX('SCORING MASTER'!$D$125:$D$126,MATCH(BD138,'SCORING MASTER'!$C$125:$C$126,0)),INDEX('SCORING MASTER'!$D$128:$D$129,MATCH(BE138,'SCORING MASTER'!$C$128:$C$129,0)))*20,0))</f>
        <v/>
      </c>
      <c r="BM138" s="31" t="str">
        <f aca="false">IF(OR(BF138="",BG138="",BH138="",BI138="",BJ138="",BK138="",BL138=""),"",ROUND(BF138*0.25+BG138*0.2+BH138*0.15+BI138*0.15+BJ138*0.1+BK138*0.1+BL138*0.05,0))</f>
        <v/>
      </c>
      <c r="BN138" s="31" t="str">
        <f aca="false">IF(OR(BF138="",BG138=""),"",ROUND(BF138*0.5+BG138*0.5,0))</f>
        <v/>
      </c>
      <c r="BO138" s="31" t="str">
        <f aca="false">IF(BN138="","",ROUND(MIN(100,MAX(0,(100-BN138)+IF(AL138="Yes",15,0)+IF(AM138="Yes",15,0)+IF(AND(U138&lt;&gt;"",U138&lt;18.5),20,0))),0))</f>
        <v/>
      </c>
      <c r="BP138" s="28" t="str">
        <f aca="false">IF(BM138="","",IF(BM138&gt;=90,"Green - Healthy",IF(BM138&gt;=75,"Light Green - Mild Watch",IF(BM138&gt;=60,"Yellow - Mild Risk",IF(BM138&gt;=40,"Orange - Moderate Risk","Red - High Risk")))))</f>
        <v/>
      </c>
      <c r="BQ138" s="28" t="str">
        <f aca="false">IF(BM138="","",IF(OR(BM138&lt;60,BO138&gt;=60,AJ138="Yes"),"Yes","No"))</f>
        <v/>
      </c>
      <c r="BR138" s="28" t="str">
        <f aca="false">IF(BM138="","",IF(OR(BP138="Orange - Moderate Risk",BP138="Red - High Risk",BQ138="Yes"),"Yes","No"))</f>
        <v/>
      </c>
    </row>
    <row r="139" customFormat="false" ht="15" hidden="false" customHeight="false" outlineLevel="0" collapsed="false">
      <c r="A139" s="32" t="str">
        <f aca="false">IF(I139="","","STU"&amp;TEXT(ROW()-3,"000000"))</f>
        <v/>
      </c>
      <c r="B139" s="32"/>
      <c r="C139" s="32"/>
      <c r="D139" s="32"/>
      <c r="E139" s="32"/>
      <c r="F139" s="32"/>
      <c r="G139" s="32"/>
      <c r="H139" s="32"/>
      <c r="I139" s="32"/>
      <c r="J139" s="34"/>
      <c r="K139" s="32"/>
      <c r="L139" s="32"/>
      <c r="M139" s="32"/>
      <c r="N139" s="32"/>
      <c r="O139" s="32"/>
      <c r="P139" s="32"/>
      <c r="Q139" s="34"/>
      <c r="R139" s="34"/>
      <c r="S139" s="35" t="str">
        <f aca="false">IF(OR(Q139="",R139=""),"",ROUND(R139/((Q139/100)^2),1))</f>
        <v/>
      </c>
      <c r="T139" s="32" t="str">
        <f aca="false">IF(S139="","",IF(S139&lt;18.5,"Underweight",IF(S139&lt;25,"Normal",IF(S139&lt;30,"Overweight","Obese"))))</f>
        <v/>
      </c>
      <c r="U139" s="34"/>
      <c r="V139" s="34"/>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5" t="str">
        <f aca="false">IF(T139="","",IF(T139="Normal",100,IF(T139="Overweight",65,IF(T139="Obese",50,IF(AND(U139&lt;&gt;"",U139&lt;18.5),30,45)))))</f>
        <v/>
      </c>
      <c r="BG139" s="35" t="str">
        <f aca="false">IF(COUNTBLANK(W139:AC139)&gt;0,"",ROUND(AVERAGE(INDEX('SCORING MASTER'!$D$5:$D$7,MATCH(W139,'SCORING MASTER'!$C$5:$C$7,0)),INDEX('SCORING MASTER'!$D$9:$D$11,MATCH(X139,'SCORING MASTER'!$C$9:$C$11,0)),INDEX('SCORING MASTER'!$D$13:$D$15,MATCH(Y139,'SCORING MASTER'!$C$13:$C$15,0)),INDEX('SCORING MASTER'!$D$17:$D$19,MATCH(Z139,'SCORING MASTER'!$C$17:$C$19,0)),INDEX('SCORING MASTER'!$D$21:$D$23,MATCH(AA139,'SCORING MASTER'!$C$21:$C$23,0)),INDEX('SCORING MASTER'!$D$25:$D$27,MATCH(AB139,'SCORING MASTER'!$C$25:$C$27,0)),INDEX('SCORING MASTER'!$D$29:$D$31,MATCH(AC139,'SCORING MASTER'!$C$29:$C$31,0)))*20,0))</f>
        <v/>
      </c>
      <c r="BH139" s="35" t="str">
        <f aca="false">IF(COUNTBLANK(AD139:AI139)&gt;0,"",ROUND(AVERAGE(INDEX('SCORING MASTER'!$D$33:$D$35,MATCH(AD139,'SCORING MASTER'!$C$33:$C$35,0)),INDEX('SCORING MASTER'!$D$37:$D$39,MATCH(AE139,'SCORING MASTER'!$C$37:$C$39,0)),INDEX('SCORING MASTER'!$D$41:$D$43,MATCH(AF139,'SCORING MASTER'!$C$41:$C$43,0)),INDEX('SCORING MASTER'!$D$45:$D$47,MATCH(AG139,'SCORING MASTER'!$C$45:$C$47,0)),INDEX('SCORING MASTER'!$D$49:$D$52,MATCH(AH139,'SCORING MASTER'!$C$49:$C$52,0)),INDEX('SCORING MASTER'!$D$54:$D$57,MATCH(AI139,'SCORING MASTER'!$C$54:$C$57,0)))*20,0))</f>
        <v/>
      </c>
      <c r="BI139" s="35" t="str">
        <f aca="false">IF(COUNTBLANK(AJ139:AP139)&gt;0,"",ROUND(AVERAGE(INDEX('SCORING MASTER'!$D$59:$D$60,MATCH(AJ139,'SCORING MASTER'!$C$59:$C$60,0)),INDEX('SCORING MASTER'!$D$62:$D$63,MATCH(AK139,'SCORING MASTER'!$C$62:$C$63,0)),INDEX('SCORING MASTER'!$D$65:$D$66,MATCH(AL139,'SCORING MASTER'!$C$65:$C$66,0)),INDEX('SCORING MASTER'!$D$68:$D$69,MATCH(AM139,'SCORING MASTER'!$C$68:$C$69,0)),INDEX('SCORING MASTER'!$D$71:$D$72,MATCH(AN139,'SCORING MASTER'!$C$71:$C$72,0)),INDEX('SCORING MASTER'!$D$74:$D$75,MATCH(AO139,'SCORING MASTER'!$C$74:$C$75,0)),INDEX('SCORING MASTER'!$D$77:$D$78,MATCH(AP139,'SCORING MASTER'!$C$77:$C$78,0)))*20,0))</f>
        <v/>
      </c>
      <c r="BJ139" s="35" t="str">
        <f aca="false">IF(COUNTBLANK(AU139:AZ139)&gt;0,"",ROUND(AVERAGE(INDEX('SCORING MASTER'!$D$95:$D$96,MATCH(AU139,'SCORING MASTER'!$C$95:$C$96,0)),INDEX('SCORING MASTER'!$D$98:$D$99,MATCH(AV139,'SCORING MASTER'!$C$98:$C$99,0)),INDEX('SCORING MASTER'!$D$101:$D$102,MATCH(AW139,'SCORING MASTER'!$C$101:$C$102,0)),INDEX('SCORING MASTER'!$D$104:$D$105,MATCH(AX139,'SCORING MASTER'!$C$104:$C$105,0)),INDEX('SCORING MASTER'!$D$107:$D$108,MATCH(AY139,'SCORING MASTER'!$C$107:$C$108,0)),INDEX('SCORING MASTER'!$D$110:$D$111,MATCH(AZ139,'SCORING MASTER'!$C$110:$C$111,0)))*20,0))</f>
        <v/>
      </c>
      <c r="BK139" s="35" t="str">
        <f aca="false">IF(COUNTBLANK(AQ139:AT139)&gt;0,"",ROUND(AVERAGE(INDEX('SCORING MASTER'!$D$80:$D$82,MATCH(AQ139,'SCORING MASTER'!$C$80:$C$82,0)),INDEX('SCORING MASTER'!$D$84:$D$86,MATCH(AR139,'SCORING MASTER'!$C$84:$C$86,0)),INDEX('SCORING MASTER'!$D$88:$D$90,MATCH(AS139,'SCORING MASTER'!$C$88:$C$90,0)),INDEX('SCORING MASTER'!$D$92:$D$93,MATCH(AT139,'SCORING MASTER'!$C$92:$C$93,0)))*20,0))</f>
        <v/>
      </c>
      <c r="BL139" s="35" t="str">
        <f aca="false">IF(COUNTBLANK(BA139:BE139)&gt;0,"",ROUND(AVERAGE(INDEX('SCORING MASTER'!$D$113:$D$115,MATCH(BA139,'SCORING MASTER'!$C$113:$C$115,0)),INDEX('SCORING MASTER'!$D$117:$D$119,MATCH(BB139,'SCORING MASTER'!$C$117:$C$119,0)),INDEX('SCORING MASTER'!$D$121:$D$123,MATCH(BC139,'SCORING MASTER'!$C$121:$C$123,0)),INDEX('SCORING MASTER'!$D$125:$D$126,MATCH(BD139,'SCORING MASTER'!$C$125:$C$126,0)),INDEX('SCORING MASTER'!$D$128:$D$129,MATCH(BE139,'SCORING MASTER'!$C$128:$C$129,0)))*20,0))</f>
        <v/>
      </c>
      <c r="BM139" s="35" t="str">
        <f aca="false">IF(OR(BF139="",BG139="",BH139="",BI139="",BJ139="",BK139="",BL139=""),"",ROUND(BF139*0.25+BG139*0.2+BH139*0.15+BI139*0.15+BJ139*0.1+BK139*0.1+BL139*0.05,0))</f>
        <v/>
      </c>
      <c r="BN139" s="35" t="str">
        <f aca="false">IF(OR(BF139="",BG139=""),"",ROUND(BF139*0.5+BG139*0.5,0))</f>
        <v/>
      </c>
      <c r="BO139" s="35" t="str">
        <f aca="false">IF(BN139="","",ROUND(MIN(100,MAX(0,(100-BN139)+IF(AL139="Yes",15,0)+IF(AM139="Yes",15,0)+IF(AND(U139&lt;&gt;"",U139&lt;18.5),20,0))),0))</f>
        <v/>
      </c>
      <c r="BP139" s="32" t="str">
        <f aca="false">IF(BM139="","",IF(BM139&gt;=90,"Green - Healthy",IF(BM139&gt;=75,"Light Green - Mild Watch",IF(BM139&gt;=60,"Yellow - Mild Risk",IF(BM139&gt;=40,"Orange - Moderate Risk","Red - High Risk")))))</f>
        <v/>
      </c>
      <c r="BQ139" s="32" t="str">
        <f aca="false">IF(BM139="","",IF(OR(BM139&lt;60,BO139&gt;=60,AJ139="Yes"),"Yes","No"))</f>
        <v/>
      </c>
      <c r="BR139" s="32" t="str">
        <f aca="false">IF(BM139="","",IF(OR(BP139="Orange - Moderate Risk",BP139="Red - High Risk",BQ139="Yes"),"Yes","No"))</f>
        <v/>
      </c>
    </row>
    <row r="140" customFormat="false" ht="15" hidden="false" customHeight="false" outlineLevel="0" collapsed="false">
      <c r="A140" s="28" t="str">
        <f aca="false">IF(I140="","","STU"&amp;TEXT(ROW()-3,"000000"))</f>
        <v/>
      </c>
      <c r="B140" s="28"/>
      <c r="C140" s="28"/>
      <c r="D140" s="28"/>
      <c r="E140" s="28"/>
      <c r="F140" s="28"/>
      <c r="G140" s="28"/>
      <c r="H140" s="28"/>
      <c r="I140" s="28"/>
      <c r="J140" s="30"/>
      <c r="K140" s="28"/>
      <c r="L140" s="28"/>
      <c r="M140" s="28"/>
      <c r="N140" s="28"/>
      <c r="O140" s="28"/>
      <c r="P140" s="28"/>
      <c r="Q140" s="30"/>
      <c r="R140" s="30"/>
      <c r="S140" s="31" t="str">
        <f aca="false">IF(OR(Q140="",R140=""),"",ROUND(R140/((Q140/100)^2),1))</f>
        <v/>
      </c>
      <c r="T140" s="28" t="str">
        <f aca="false">IF(S140="","",IF(S140&lt;18.5,"Underweight",IF(S140&lt;25,"Normal",IF(S140&lt;30,"Overweight","Obese"))))</f>
        <v/>
      </c>
      <c r="U140" s="30"/>
      <c r="V140" s="30"/>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c r="BF140" s="31" t="str">
        <f aca="false">IF(T140="","",IF(T140="Normal",100,IF(T140="Overweight",65,IF(T140="Obese",50,IF(AND(U140&lt;&gt;"",U140&lt;18.5),30,45)))))</f>
        <v/>
      </c>
      <c r="BG140" s="31" t="str">
        <f aca="false">IF(COUNTBLANK(W140:AC140)&gt;0,"",ROUND(AVERAGE(INDEX('SCORING MASTER'!$D$5:$D$7,MATCH(W140,'SCORING MASTER'!$C$5:$C$7,0)),INDEX('SCORING MASTER'!$D$9:$D$11,MATCH(X140,'SCORING MASTER'!$C$9:$C$11,0)),INDEX('SCORING MASTER'!$D$13:$D$15,MATCH(Y140,'SCORING MASTER'!$C$13:$C$15,0)),INDEX('SCORING MASTER'!$D$17:$D$19,MATCH(Z140,'SCORING MASTER'!$C$17:$C$19,0)),INDEX('SCORING MASTER'!$D$21:$D$23,MATCH(AA140,'SCORING MASTER'!$C$21:$C$23,0)),INDEX('SCORING MASTER'!$D$25:$D$27,MATCH(AB140,'SCORING MASTER'!$C$25:$C$27,0)),INDEX('SCORING MASTER'!$D$29:$D$31,MATCH(AC140,'SCORING MASTER'!$C$29:$C$31,0)))*20,0))</f>
        <v/>
      </c>
      <c r="BH140" s="31" t="str">
        <f aca="false">IF(COUNTBLANK(AD140:AI140)&gt;0,"",ROUND(AVERAGE(INDEX('SCORING MASTER'!$D$33:$D$35,MATCH(AD140,'SCORING MASTER'!$C$33:$C$35,0)),INDEX('SCORING MASTER'!$D$37:$D$39,MATCH(AE140,'SCORING MASTER'!$C$37:$C$39,0)),INDEX('SCORING MASTER'!$D$41:$D$43,MATCH(AF140,'SCORING MASTER'!$C$41:$C$43,0)),INDEX('SCORING MASTER'!$D$45:$D$47,MATCH(AG140,'SCORING MASTER'!$C$45:$C$47,0)),INDEX('SCORING MASTER'!$D$49:$D$52,MATCH(AH140,'SCORING MASTER'!$C$49:$C$52,0)),INDEX('SCORING MASTER'!$D$54:$D$57,MATCH(AI140,'SCORING MASTER'!$C$54:$C$57,0)))*20,0))</f>
        <v/>
      </c>
      <c r="BI140" s="31" t="str">
        <f aca="false">IF(COUNTBLANK(AJ140:AP140)&gt;0,"",ROUND(AVERAGE(INDEX('SCORING MASTER'!$D$59:$D$60,MATCH(AJ140,'SCORING MASTER'!$C$59:$C$60,0)),INDEX('SCORING MASTER'!$D$62:$D$63,MATCH(AK140,'SCORING MASTER'!$C$62:$C$63,0)),INDEX('SCORING MASTER'!$D$65:$D$66,MATCH(AL140,'SCORING MASTER'!$C$65:$C$66,0)),INDEX('SCORING MASTER'!$D$68:$D$69,MATCH(AM140,'SCORING MASTER'!$C$68:$C$69,0)),INDEX('SCORING MASTER'!$D$71:$D$72,MATCH(AN140,'SCORING MASTER'!$C$71:$C$72,0)),INDEX('SCORING MASTER'!$D$74:$D$75,MATCH(AO140,'SCORING MASTER'!$C$74:$C$75,0)),INDEX('SCORING MASTER'!$D$77:$D$78,MATCH(AP140,'SCORING MASTER'!$C$77:$C$78,0)))*20,0))</f>
        <v/>
      </c>
      <c r="BJ140" s="31" t="str">
        <f aca="false">IF(COUNTBLANK(AU140:AZ140)&gt;0,"",ROUND(AVERAGE(INDEX('SCORING MASTER'!$D$95:$D$96,MATCH(AU140,'SCORING MASTER'!$C$95:$C$96,0)),INDEX('SCORING MASTER'!$D$98:$D$99,MATCH(AV140,'SCORING MASTER'!$C$98:$C$99,0)),INDEX('SCORING MASTER'!$D$101:$D$102,MATCH(AW140,'SCORING MASTER'!$C$101:$C$102,0)),INDEX('SCORING MASTER'!$D$104:$D$105,MATCH(AX140,'SCORING MASTER'!$C$104:$C$105,0)),INDEX('SCORING MASTER'!$D$107:$D$108,MATCH(AY140,'SCORING MASTER'!$C$107:$C$108,0)),INDEX('SCORING MASTER'!$D$110:$D$111,MATCH(AZ140,'SCORING MASTER'!$C$110:$C$111,0)))*20,0))</f>
        <v/>
      </c>
      <c r="BK140" s="31" t="str">
        <f aca="false">IF(COUNTBLANK(AQ140:AT140)&gt;0,"",ROUND(AVERAGE(INDEX('SCORING MASTER'!$D$80:$D$82,MATCH(AQ140,'SCORING MASTER'!$C$80:$C$82,0)),INDEX('SCORING MASTER'!$D$84:$D$86,MATCH(AR140,'SCORING MASTER'!$C$84:$C$86,0)),INDEX('SCORING MASTER'!$D$88:$D$90,MATCH(AS140,'SCORING MASTER'!$C$88:$C$90,0)),INDEX('SCORING MASTER'!$D$92:$D$93,MATCH(AT140,'SCORING MASTER'!$C$92:$C$93,0)))*20,0))</f>
        <v/>
      </c>
      <c r="BL140" s="31" t="str">
        <f aca="false">IF(COUNTBLANK(BA140:BE140)&gt;0,"",ROUND(AVERAGE(INDEX('SCORING MASTER'!$D$113:$D$115,MATCH(BA140,'SCORING MASTER'!$C$113:$C$115,0)),INDEX('SCORING MASTER'!$D$117:$D$119,MATCH(BB140,'SCORING MASTER'!$C$117:$C$119,0)),INDEX('SCORING MASTER'!$D$121:$D$123,MATCH(BC140,'SCORING MASTER'!$C$121:$C$123,0)),INDEX('SCORING MASTER'!$D$125:$D$126,MATCH(BD140,'SCORING MASTER'!$C$125:$C$126,0)),INDEX('SCORING MASTER'!$D$128:$D$129,MATCH(BE140,'SCORING MASTER'!$C$128:$C$129,0)))*20,0))</f>
        <v/>
      </c>
      <c r="BM140" s="31" t="str">
        <f aca="false">IF(OR(BF140="",BG140="",BH140="",BI140="",BJ140="",BK140="",BL140=""),"",ROUND(BF140*0.25+BG140*0.2+BH140*0.15+BI140*0.15+BJ140*0.1+BK140*0.1+BL140*0.05,0))</f>
        <v/>
      </c>
      <c r="BN140" s="31" t="str">
        <f aca="false">IF(OR(BF140="",BG140=""),"",ROUND(BF140*0.5+BG140*0.5,0))</f>
        <v/>
      </c>
      <c r="BO140" s="31" t="str">
        <f aca="false">IF(BN140="","",ROUND(MIN(100,MAX(0,(100-BN140)+IF(AL140="Yes",15,0)+IF(AM140="Yes",15,0)+IF(AND(U140&lt;&gt;"",U140&lt;18.5),20,0))),0))</f>
        <v/>
      </c>
      <c r="BP140" s="28" t="str">
        <f aca="false">IF(BM140="","",IF(BM140&gt;=90,"Green - Healthy",IF(BM140&gt;=75,"Light Green - Mild Watch",IF(BM140&gt;=60,"Yellow - Mild Risk",IF(BM140&gt;=40,"Orange - Moderate Risk","Red - High Risk")))))</f>
        <v/>
      </c>
      <c r="BQ140" s="28" t="str">
        <f aca="false">IF(BM140="","",IF(OR(BM140&lt;60,BO140&gt;=60,AJ140="Yes"),"Yes","No"))</f>
        <v/>
      </c>
      <c r="BR140" s="28" t="str">
        <f aca="false">IF(BM140="","",IF(OR(BP140="Orange - Moderate Risk",BP140="Red - High Risk",BQ140="Yes"),"Yes","No"))</f>
        <v/>
      </c>
    </row>
    <row r="141" customFormat="false" ht="15" hidden="false" customHeight="false" outlineLevel="0" collapsed="false">
      <c r="A141" s="32" t="str">
        <f aca="false">IF(I141="","","STU"&amp;TEXT(ROW()-3,"000000"))</f>
        <v/>
      </c>
      <c r="B141" s="32"/>
      <c r="C141" s="32"/>
      <c r="D141" s="32"/>
      <c r="E141" s="32"/>
      <c r="F141" s="32"/>
      <c r="G141" s="32"/>
      <c r="H141" s="32"/>
      <c r="I141" s="32"/>
      <c r="J141" s="34"/>
      <c r="K141" s="32"/>
      <c r="L141" s="32"/>
      <c r="M141" s="32"/>
      <c r="N141" s="32"/>
      <c r="O141" s="32"/>
      <c r="P141" s="32"/>
      <c r="Q141" s="34"/>
      <c r="R141" s="34"/>
      <c r="S141" s="35" t="str">
        <f aca="false">IF(OR(Q141="",R141=""),"",ROUND(R141/((Q141/100)^2),1))</f>
        <v/>
      </c>
      <c r="T141" s="32" t="str">
        <f aca="false">IF(S141="","",IF(S141&lt;18.5,"Underweight",IF(S141&lt;25,"Normal",IF(S141&lt;30,"Overweight","Obese"))))</f>
        <v/>
      </c>
      <c r="U141" s="34"/>
      <c r="V141" s="34"/>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5" t="str">
        <f aca="false">IF(T141="","",IF(T141="Normal",100,IF(T141="Overweight",65,IF(T141="Obese",50,IF(AND(U141&lt;&gt;"",U141&lt;18.5),30,45)))))</f>
        <v/>
      </c>
      <c r="BG141" s="35" t="str">
        <f aca="false">IF(COUNTBLANK(W141:AC141)&gt;0,"",ROUND(AVERAGE(INDEX('SCORING MASTER'!$D$5:$D$7,MATCH(W141,'SCORING MASTER'!$C$5:$C$7,0)),INDEX('SCORING MASTER'!$D$9:$D$11,MATCH(X141,'SCORING MASTER'!$C$9:$C$11,0)),INDEX('SCORING MASTER'!$D$13:$D$15,MATCH(Y141,'SCORING MASTER'!$C$13:$C$15,0)),INDEX('SCORING MASTER'!$D$17:$D$19,MATCH(Z141,'SCORING MASTER'!$C$17:$C$19,0)),INDEX('SCORING MASTER'!$D$21:$D$23,MATCH(AA141,'SCORING MASTER'!$C$21:$C$23,0)),INDEX('SCORING MASTER'!$D$25:$D$27,MATCH(AB141,'SCORING MASTER'!$C$25:$C$27,0)),INDEX('SCORING MASTER'!$D$29:$D$31,MATCH(AC141,'SCORING MASTER'!$C$29:$C$31,0)))*20,0))</f>
        <v/>
      </c>
      <c r="BH141" s="35" t="str">
        <f aca="false">IF(COUNTBLANK(AD141:AI141)&gt;0,"",ROUND(AVERAGE(INDEX('SCORING MASTER'!$D$33:$D$35,MATCH(AD141,'SCORING MASTER'!$C$33:$C$35,0)),INDEX('SCORING MASTER'!$D$37:$D$39,MATCH(AE141,'SCORING MASTER'!$C$37:$C$39,0)),INDEX('SCORING MASTER'!$D$41:$D$43,MATCH(AF141,'SCORING MASTER'!$C$41:$C$43,0)),INDEX('SCORING MASTER'!$D$45:$D$47,MATCH(AG141,'SCORING MASTER'!$C$45:$C$47,0)),INDEX('SCORING MASTER'!$D$49:$D$52,MATCH(AH141,'SCORING MASTER'!$C$49:$C$52,0)),INDEX('SCORING MASTER'!$D$54:$D$57,MATCH(AI141,'SCORING MASTER'!$C$54:$C$57,0)))*20,0))</f>
        <v/>
      </c>
      <c r="BI141" s="35" t="str">
        <f aca="false">IF(COUNTBLANK(AJ141:AP141)&gt;0,"",ROUND(AVERAGE(INDEX('SCORING MASTER'!$D$59:$D$60,MATCH(AJ141,'SCORING MASTER'!$C$59:$C$60,0)),INDEX('SCORING MASTER'!$D$62:$D$63,MATCH(AK141,'SCORING MASTER'!$C$62:$C$63,0)),INDEX('SCORING MASTER'!$D$65:$D$66,MATCH(AL141,'SCORING MASTER'!$C$65:$C$66,0)),INDEX('SCORING MASTER'!$D$68:$D$69,MATCH(AM141,'SCORING MASTER'!$C$68:$C$69,0)),INDEX('SCORING MASTER'!$D$71:$D$72,MATCH(AN141,'SCORING MASTER'!$C$71:$C$72,0)),INDEX('SCORING MASTER'!$D$74:$D$75,MATCH(AO141,'SCORING MASTER'!$C$74:$C$75,0)),INDEX('SCORING MASTER'!$D$77:$D$78,MATCH(AP141,'SCORING MASTER'!$C$77:$C$78,0)))*20,0))</f>
        <v/>
      </c>
      <c r="BJ141" s="35" t="str">
        <f aca="false">IF(COUNTBLANK(AU141:AZ141)&gt;0,"",ROUND(AVERAGE(INDEX('SCORING MASTER'!$D$95:$D$96,MATCH(AU141,'SCORING MASTER'!$C$95:$C$96,0)),INDEX('SCORING MASTER'!$D$98:$D$99,MATCH(AV141,'SCORING MASTER'!$C$98:$C$99,0)),INDEX('SCORING MASTER'!$D$101:$D$102,MATCH(AW141,'SCORING MASTER'!$C$101:$C$102,0)),INDEX('SCORING MASTER'!$D$104:$D$105,MATCH(AX141,'SCORING MASTER'!$C$104:$C$105,0)),INDEX('SCORING MASTER'!$D$107:$D$108,MATCH(AY141,'SCORING MASTER'!$C$107:$C$108,0)),INDEX('SCORING MASTER'!$D$110:$D$111,MATCH(AZ141,'SCORING MASTER'!$C$110:$C$111,0)))*20,0))</f>
        <v/>
      </c>
      <c r="BK141" s="35" t="str">
        <f aca="false">IF(COUNTBLANK(AQ141:AT141)&gt;0,"",ROUND(AVERAGE(INDEX('SCORING MASTER'!$D$80:$D$82,MATCH(AQ141,'SCORING MASTER'!$C$80:$C$82,0)),INDEX('SCORING MASTER'!$D$84:$D$86,MATCH(AR141,'SCORING MASTER'!$C$84:$C$86,0)),INDEX('SCORING MASTER'!$D$88:$D$90,MATCH(AS141,'SCORING MASTER'!$C$88:$C$90,0)),INDEX('SCORING MASTER'!$D$92:$D$93,MATCH(AT141,'SCORING MASTER'!$C$92:$C$93,0)))*20,0))</f>
        <v/>
      </c>
      <c r="BL141" s="35" t="str">
        <f aca="false">IF(COUNTBLANK(BA141:BE141)&gt;0,"",ROUND(AVERAGE(INDEX('SCORING MASTER'!$D$113:$D$115,MATCH(BA141,'SCORING MASTER'!$C$113:$C$115,0)),INDEX('SCORING MASTER'!$D$117:$D$119,MATCH(BB141,'SCORING MASTER'!$C$117:$C$119,0)),INDEX('SCORING MASTER'!$D$121:$D$123,MATCH(BC141,'SCORING MASTER'!$C$121:$C$123,0)),INDEX('SCORING MASTER'!$D$125:$D$126,MATCH(BD141,'SCORING MASTER'!$C$125:$C$126,0)),INDEX('SCORING MASTER'!$D$128:$D$129,MATCH(BE141,'SCORING MASTER'!$C$128:$C$129,0)))*20,0))</f>
        <v/>
      </c>
      <c r="BM141" s="35" t="str">
        <f aca="false">IF(OR(BF141="",BG141="",BH141="",BI141="",BJ141="",BK141="",BL141=""),"",ROUND(BF141*0.25+BG141*0.2+BH141*0.15+BI141*0.15+BJ141*0.1+BK141*0.1+BL141*0.05,0))</f>
        <v/>
      </c>
      <c r="BN141" s="35" t="str">
        <f aca="false">IF(OR(BF141="",BG141=""),"",ROUND(BF141*0.5+BG141*0.5,0))</f>
        <v/>
      </c>
      <c r="BO141" s="35" t="str">
        <f aca="false">IF(BN141="","",ROUND(MIN(100,MAX(0,(100-BN141)+IF(AL141="Yes",15,0)+IF(AM141="Yes",15,0)+IF(AND(U141&lt;&gt;"",U141&lt;18.5),20,0))),0))</f>
        <v/>
      </c>
      <c r="BP141" s="32" t="str">
        <f aca="false">IF(BM141="","",IF(BM141&gt;=90,"Green - Healthy",IF(BM141&gt;=75,"Light Green - Mild Watch",IF(BM141&gt;=60,"Yellow - Mild Risk",IF(BM141&gt;=40,"Orange - Moderate Risk","Red - High Risk")))))</f>
        <v/>
      </c>
      <c r="BQ141" s="32" t="str">
        <f aca="false">IF(BM141="","",IF(OR(BM141&lt;60,BO141&gt;=60,AJ141="Yes"),"Yes","No"))</f>
        <v/>
      </c>
      <c r="BR141" s="32" t="str">
        <f aca="false">IF(BM141="","",IF(OR(BP141="Orange - Moderate Risk",BP141="Red - High Risk",BQ141="Yes"),"Yes","No"))</f>
        <v/>
      </c>
    </row>
    <row r="142" customFormat="false" ht="15" hidden="false" customHeight="false" outlineLevel="0" collapsed="false">
      <c r="A142" s="28" t="str">
        <f aca="false">IF(I142="","","STU"&amp;TEXT(ROW()-3,"000000"))</f>
        <v/>
      </c>
      <c r="B142" s="28"/>
      <c r="C142" s="28"/>
      <c r="D142" s="28"/>
      <c r="E142" s="28"/>
      <c r="F142" s="28"/>
      <c r="G142" s="28"/>
      <c r="H142" s="28"/>
      <c r="I142" s="28"/>
      <c r="J142" s="30"/>
      <c r="K142" s="28"/>
      <c r="L142" s="28"/>
      <c r="M142" s="28"/>
      <c r="N142" s="28"/>
      <c r="O142" s="28"/>
      <c r="P142" s="28"/>
      <c r="Q142" s="30"/>
      <c r="R142" s="30"/>
      <c r="S142" s="31" t="str">
        <f aca="false">IF(OR(Q142="",R142=""),"",ROUND(R142/((Q142/100)^2),1))</f>
        <v/>
      </c>
      <c r="T142" s="28" t="str">
        <f aca="false">IF(S142="","",IF(S142&lt;18.5,"Underweight",IF(S142&lt;25,"Normal",IF(S142&lt;30,"Overweight","Obese"))))</f>
        <v/>
      </c>
      <c r="U142" s="30"/>
      <c r="V142" s="30"/>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c r="BE142" s="28"/>
      <c r="BF142" s="31" t="str">
        <f aca="false">IF(T142="","",IF(T142="Normal",100,IF(T142="Overweight",65,IF(T142="Obese",50,IF(AND(U142&lt;&gt;"",U142&lt;18.5),30,45)))))</f>
        <v/>
      </c>
      <c r="BG142" s="31" t="str">
        <f aca="false">IF(COUNTBLANK(W142:AC142)&gt;0,"",ROUND(AVERAGE(INDEX('SCORING MASTER'!$D$5:$D$7,MATCH(W142,'SCORING MASTER'!$C$5:$C$7,0)),INDEX('SCORING MASTER'!$D$9:$D$11,MATCH(X142,'SCORING MASTER'!$C$9:$C$11,0)),INDEX('SCORING MASTER'!$D$13:$D$15,MATCH(Y142,'SCORING MASTER'!$C$13:$C$15,0)),INDEX('SCORING MASTER'!$D$17:$D$19,MATCH(Z142,'SCORING MASTER'!$C$17:$C$19,0)),INDEX('SCORING MASTER'!$D$21:$D$23,MATCH(AA142,'SCORING MASTER'!$C$21:$C$23,0)),INDEX('SCORING MASTER'!$D$25:$D$27,MATCH(AB142,'SCORING MASTER'!$C$25:$C$27,0)),INDEX('SCORING MASTER'!$D$29:$D$31,MATCH(AC142,'SCORING MASTER'!$C$29:$C$31,0)))*20,0))</f>
        <v/>
      </c>
      <c r="BH142" s="31" t="str">
        <f aca="false">IF(COUNTBLANK(AD142:AI142)&gt;0,"",ROUND(AVERAGE(INDEX('SCORING MASTER'!$D$33:$D$35,MATCH(AD142,'SCORING MASTER'!$C$33:$C$35,0)),INDEX('SCORING MASTER'!$D$37:$D$39,MATCH(AE142,'SCORING MASTER'!$C$37:$C$39,0)),INDEX('SCORING MASTER'!$D$41:$D$43,MATCH(AF142,'SCORING MASTER'!$C$41:$C$43,0)),INDEX('SCORING MASTER'!$D$45:$D$47,MATCH(AG142,'SCORING MASTER'!$C$45:$C$47,0)),INDEX('SCORING MASTER'!$D$49:$D$52,MATCH(AH142,'SCORING MASTER'!$C$49:$C$52,0)),INDEX('SCORING MASTER'!$D$54:$D$57,MATCH(AI142,'SCORING MASTER'!$C$54:$C$57,0)))*20,0))</f>
        <v/>
      </c>
      <c r="BI142" s="31" t="str">
        <f aca="false">IF(COUNTBLANK(AJ142:AP142)&gt;0,"",ROUND(AVERAGE(INDEX('SCORING MASTER'!$D$59:$D$60,MATCH(AJ142,'SCORING MASTER'!$C$59:$C$60,0)),INDEX('SCORING MASTER'!$D$62:$D$63,MATCH(AK142,'SCORING MASTER'!$C$62:$C$63,0)),INDEX('SCORING MASTER'!$D$65:$D$66,MATCH(AL142,'SCORING MASTER'!$C$65:$C$66,0)),INDEX('SCORING MASTER'!$D$68:$D$69,MATCH(AM142,'SCORING MASTER'!$C$68:$C$69,0)),INDEX('SCORING MASTER'!$D$71:$D$72,MATCH(AN142,'SCORING MASTER'!$C$71:$C$72,0)),INDEX('SCORING MASTER'!$D$74:$D$75,MATCH(AO142,'SCORING MASTER'!$C$74:$C$75,0)),INDEX('SCORING MASTER'!$D$77:$D$78,MATCH(AP142,'SCORING MASTER'!$C$77:$C$78,0)))*20,0))</f>
        <v/>
      </c>
      <c r="BJ142" s="31" t="str">
        <f aca="false">IF(COUNTBLANK(AU142:AZ142)&gt;0,"",ROUND(AVERAGE(INDEX('SCORING MASTER'!$D$95:$D$96,MATCH(AU142,'SCORING MASTER'!$C$95:$C$96,0)),INDEX('SCORING MASTER'!$D$98:$D$99,MATCH(AV142,'SCORING MASTER'!$C$98:$C$99,0)),INDEX('SCORING MASTER'!$D$101:$D$102,MATCH(AW142,'SCORING MASTER'!$C$101:$C$102,0)),INDEX('SCORING MASTER'!$D$104:$D$105,MATCH(AX142,'SCORING MASTER'!$C$104:$C$105,0)),INDEX('SCORING MASTER'!$D$107:$D$108,MATCH(AY142,'SCORING MASTER'!$C$107:$C$108,0)),INDEX('SCORING MASTER'!$D$110:$D$111,MATCH(AZ142,'SCORING MASTER'!$C$110:$C$111,0)))*20,0))</f>
        <v/>
      </c>
      <c r="BK142" s="31" t="str">
        <f aca="false">IF(COUNTBLANK(AQ142:AT142)&gt;0,"",ROUND(AVERAGE(INDEX('SCORING MASTER'!$D$80:$D$82,MATCH(AQ142,'SCORING MASTER'!$C$80:$C$82,0)),INDEX('SCORING MASTER'!$D$84:$D$86,MATCH(AR142,'SCORING MASTER'!$C$84:$C$86,0)),INDEX('SCORING MASTER'!$D$88:$D$90,MATCH(AS142,'SCORING MASTER'!$C$88:$C$90,0)),INDEX('SCORING MASTER'!$D$92:$D$93,MATCH(AT142,'SCORING MASTER'!$C$92:$C$93,0)))*20,0))</f>
        <v/>
      </c>
      <c r="BL142" s="31" t="str">
        <f aca="false">IF(COUNTBLANK(BA142:BE142)&gt;0,"",ROUND(AVERAGE(INDEX('SCORING MASTER'!$D$113:$D$115,MATCH(BA142,'SCORING MASTER'!$C$113:$C$115,0)),INDEX('SCORING MASTER'!$D$117:$D$119,MATCH(BB142,'SCORING MASTER'!$C$117:$C$119,0)),INDEX('SCORING MASTER'!$D$121:$D$123,MATCH(BC142,'SCORING MASTER'!$C$121:$C$123,0)),INDEX('SCORING MASTER'!$D$125:$D$126,MATCH(BD142,'SCORING MASTER'!$C$125:$C$126,0)),INDEX('SCORING MASTER'!$D$128:$D$129,MATCH(BE142,'SCORING MASTER'!$C$128:$C$129,0)))*20,0))</f>
        <v/>
      </c>
      <c r="BM142" s="31" t="str">
        <f aca="false">IF(OR(BF142="",BG142="",BH142="",BI142="",BJ142="",BK142="",BL142=""),"",ROUND(BF142*0.25+BG142*0.2+BH142*0.15+BI142*0.15+BJ142*0.1+BK142*0.1+BL142*0.05,0))</f>
        <v/>
      </c>
      <c r="BN142" s="31" t="str">
        <f aca="false">IF(OR(BF142="",BG142=""),"",ROUND(BF142*0.5+BG142*0.5,0))</f>
        <v/>
      </c>
      <c r="BO142" s="31" t="str">
        <f aca="false">IF(BN142="","",ROUND(MIN(100,MAX(0,(100-BN142)+IF(AL142="Yes",15,0)+IF(AM142="Yes",15,0)+IF(AND(U142&lt;&gt;"",U142&lt;18.5),20,0))),0))</f>
        <v/>
      </c>
      <c r="BP142" s="28" t="str">
        <f aca="false">IF(BM142="","",IF(BM142&gt;=90,"Green - Healthy",IF(BM142&gt;=75,"Light Green - Mild Watch",IF(BM142&gt;=60,"Yellow - Mild Risk",IF(BM142&gt;=40,"Orange - Moderate Risk","Red - High Risk")))))</f>
        <v/>
      </c>
      <c r="BQ142" s="28" t="str">
        <f aca="false">IF(BM142="","",IF(OR(BM142&lt;60,BO142&gt;=60,AJ142="Yes"),"Yes","No"))</f>
        <v/>
      </c>
      <c r="BR142" s="28" t="str">
        <f aca="false">IF(BM142="","",IF(OR(BP142="Orange - Moderate Risk",BP142="Red - High Risk",BQ142="Yes"),"Yes","No"))</f>
        <v/>
      </c>
    </row>
    <row r="143" customFormat="false" ht="15" hidden="false" customHeight="false" outlineLevel="0" collapsed="false">
      <c r="A143" s="32" t="str">
        <f aca="false">IF(I143="","","STU"&amp;TEXT(ROW()-3,"000000"))</f>
        <v/>
      </c>
      <c r="B143" s="32"/>
      <c r="C143" s="32"/>
      <c r="D143" s="32"/>
      <c r="E143" s="32"/>
      <c r="F143" s="32"/>
      <c r="G143" s="32"/>
      <c r="H143" s="32"/>
      <c r="I143" s="32"/>
      <c r="J143" s="34"/>
      <c r="K143" s="32"/>
      <c r="L143" s="32"/>
      <c r="M143" s="32"/>
      <c r="N143" s="32"/>
      <c r="O143" s="32"/>
      <c r="P143" s="32"/>
      <c r="Q143" s="34"/>
      <c r="R143" s="34"/>
      <c r="S143" s="35" t="str">
        <f aca="false">IF(OR(Q143="",R143=""),"",ROUND(R143/((Q143/100)^2),1))</f>
        <v/>
      </c>
      <c r="T143" s="32" t="str">
        <f aca="false">IF(S143="","",IF(S143&lt;18.5,"Underweight",IF(S143&lt;25,"Normal",IF(S143&lt;30,"Overweight","Obese"))))</f>
        <v/>
      </c>
      <c r="U143" s="34"/>
      <c r="V143" s="34"/>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5" t="str">
        <f aca="false">IF(T143="","",IF(T143="Normal",100,IF(T143="Overweight",65,IF(T143="Obese",50,IF(AND(U143&lt;&gt;"",U143&lt;18.5),30,45)))))</f>
        <v/>
      </c>
      <c r="BG143" s="35" t="str">
        <f aca="false">IF(COUNTBLANK(W143:AC143)&gt;0,"",ROUND(AVERAGE(INDEX('SCORING MASTER'!$D$5:$D$7,MATCH(W143,'SCORING MASTER'!$C$5:$C$7,0)),INDEX('SCORING MASTER'!$D$9:$D$11,MATCH(X143,'SCORING MASTER'!$C$9:$C$11,0)),INDEX('SCORING MASTER'!$D$13:$D$15,MATCH(Y143,'SCORING MASTER'!$C$13:$C$15,0)),INDEX('SCORING MASTER'!$D$17:$D$19,MATCH(Z143,'SCORING MASTER'!$C$17:$C$19,0)),INDEX('SCORING MASTER'!$D$21:$D$23,MATCH(AA143,'SCORING MASTER'!$C$21:$C$23,0)),INDEX('SCORING MASTER'!$D$25:$D$27,MATCH(AB143,'SCORING MASTER'!$C$25:$C$27,0)),INDEX('SCORING MASTER'!$D$29:$D$31,MATCH(AC143,'SCORING MASTER'!$C$29:$C$31,0)))*20,0))</f>
        <v/>
      </c>
      <c r="BH143" s="35" t="str">
        <f aca="false">IF(COUNTBLANK(AD143:AI143)&gt;0,"",ROUND(AVERAGE(INDEX('SCORING MASTER'!$D$33:$D$35,MATCH(AD143,'SCORING MASTER'!$C$33:$C$35,0)),INDEX('SCORING MASTER'!$D$37:$D$39,MATCH(AE143,'SCORING MASTER'!$C$37:$C$39,0)),INDEX('SCORING MASTER'!$D$41:$D$43,MATCH(AF143,'SCORING MASTER'!$C$41:$C$43,0)),INDEX('SCORING MASTER'!$D$45:$D$47,MATCH(AG143,'SCORING MASTER'!$C$45:$C$47,0)),INDEX('SCORING MASTER'!$D$49:$D$52,MATCH(AH143,'SCORING MASTER'!$C$49:$C$52,0)),INDEX('SCORING MASTER'!$D$54:$D$57,MATCH(AI143,'SCORING MASTER'!$C$54:$C$57,0)))*20,0))</f>
        <v/>
      </c>
      <c r="BI143" s="35" t="str">
        <f aca="false">IF(COUNTBLANK(AJ143:AP143)&gt;0,"",ROUND(AVERAGE(INDEX('SCORING MASTER'!$D$59:$D$60,MATCH(AJ143,'SCORING MASTER'!$C$59:$C$60,0)),INDEX('SCORING MASTER'!$D$62:$D$63,MATCH(AK143,'SCORING MASTER'!$C$62:$C$63,0)),INDEX('SCORING MASTER'!$D$65:$D$66,MATCH(AL143,'SCORING MASTER'!$C$65:$C$66,0)),INDEX('SCORING MASTER'!$D$68:$D$69,MATCH(AM143,'SCORING MASTER'!$C$68:$C$69,0)),INDEX('SCORING MASTER'!$D$71:$D$72,MATCH(AN143,'SCORING MASTER'!$C$71:$C$72,0)),INDEX('SCORING MASTER'!$D$74:$D$75,MATCH(AO143,'SCORING MASTER'!$C$74:$C$75,0)),INDEX('SCORING MASTER'!$D$77:$D$78,MATCH(AP143,'SCORING MASTER'!$C$77:$C$78,0)))*20,0))</f>
        <v/>
      </c>
      <c r="BJ143" s="35" t="str">
        <f aca="false">IF(COUNTBLANK(AU143:AZ143)&gt;0,"",ROUND(AVERAGE(INDEX('SCORING MASTER'!$D$95:$D$96,MATCH(AU143,'SCORING MASTER'!$C$95:$C$96,0)),INDEX('SCORING MASTER'!$D$98:$D$99,MATCH(AV143,'SCORING MASTER'!$C$98:$C$99,0)),INDEX('SCORING MASTER'!$D$101:$D$102,MATCH(AW143,'SCORING MASTER'!$C$101:$C$102,0)),INDEX('SCORING MASTER'!$D$104:$D$105,MATCH(AX143,'SCORING MASTER'!$C$104:$C$105,0)),INDEX('SCORING MASTER'!$D$107:$D$108,MATCH(AY143,'SCORING MASTER'!$C$107:$C$108,0)),INDEX('SCORING MASTER'!$D$110:$D$111,MATCH(AZ143,'SCORING MASTER'!$C$110:$C$111,0)))*20,0))</f>
        <v/>
      </c>
      <c r="BK143" s="35" t="str">
        <f aca="false">IF(COUNTBLANK(AQ143:AT143)&gt;0,"",ROUND(AVERAGE(INDEX('SCORING MASTER'!$D$80:$D$82,MATCH(AQ143,'SCORING MASTER'!$C$80:$C$82,0)),INDEX('SCORING MASTER'!$D$84:$D$86,MATCH(AR143,'SCORING MASTER'!$C$84:$C$86,0)),INDEX('SCORING MASTER'!$D$88:$D$90,MATCH(AS143,'SCORING MASTER'!$C$88:$C$90,0)),INDEX('SCORING MASTER'!$D$92:$D$93,MATCH(AT143,'SCORING MASTER'!$C$92:$C$93,0)))*20,0))</f>
        <v/>
      </c>
      <c r="BL143" s="35" t="str">
        <f aca="false">IF(COUNTBLANK(BA143:BE143)&gt;0,"",ROUND(AVERAGE(INDEX('SCORING MASTER'!$D$113:$D$115,MATCH(BA143,'SCORING MASTER'!$C$113:$C$115,0)),INDEX('SCORING MASTER'!$D$117:$D$119,MATCH(BB143,'SCORING MASTER'!$C$117:$C$119,0)),INDEX('SCORING MASTER'!$D$121:$D$123,MATCH(BC143,'SCORING MASTER'!$C$121:$C$123,0)),INDEX('SCORING MASTER'!$D$125:$D$126,MATCH(BD143,'SCORING MASTER'!$C$125:$C$126,0)),INDEX('SCORING MASTER'!$D$128:$D$129,MATCH(BE143,'SCORING MASTER'!$C$128:$C$129,0)))*20,0))</f>
        <v/>
      </c>
      <c r="BM143" s="35" t="str">
        <f aca="false">IF(OR(BF143="",BG143="",BH143="",BI143="",BJ143="",BK143="",BL143=""),"",ROUND(BF143*0.25+BG143*0.2+BH143*0.15+BI143*0.15+BJ143*0.1+BK143*0.1+BL143*0.05,0))</f>
        <v/>
      </c>
      <c r="BN143" s="35" t="str">
        <f aca="false">IF(OR(BF143="",BG143=""),"",ROUND(BF143*0.5+BG143*0.5,0))</f>
        <v/>
      </c>
      <c r="BO143" s="35" t="str">
        <f aca="false">IF(BN143="","",ROUND(MIN(100,MAX(0,(100-BN143)+IF(AL143="Yes",15,0)+IF(AM143="Yes",15,0)+IF(AND(U143&lt;&gt;"",U143&lt;18.5),20,0))),0))</f>
        <v/>
      </c>
      <c r="BP143" s="32" t="str">
        <f aca="false">IF(BM143="","",IF(BM143&gt;=90,"Green - Healthy",IF(BM143&gt;=75,"Light Green - Mild Watch",IF(BM143&gt;=60,"Yellow - Mild Risk",IF(BM143&gt;=40,"Orange - Moderate Risk","Red - High Risk")))))</f>
        <v/>
      </c>
      <c r="BQ143" s="32" t="str">
        <f aca="false">IF(BM143="","",IF(OR(BM143&lt;60,BO143&gt;=60,AJ143="Yes"),"Yes","No"))</f>
        <v/>
      </c>
      <c r="BR143" s="32" t="str">
        <f aca="false">IF(BM143="","",IF(OR(BP143="Orange - Moderate Risk",BP143="Red - High Risk",BQ143="Yes"),"Yes","No"))</f>
        <v/>
      </c>
    </row>
    <row r="144" customFormat="false" ht="15" hidden="false" customHeight="false" outlineLevel="0" collapsed="false">
      <c r="A144" s="28" t="str">
        <f aca="false">IF(I144="","","STU"&amp;TEXT(ROW()-3,"000000"))</f>
        <v/>
      </c>
      <c r="B144" s="28"/>
      <c r="C144" s="28"/>
      <c r="D144" s="28"/>
      <c r="E144" s="28"/>
      <c r="F144" s="28"/>
      <c r="G144" s="28"/>
      <c r="H144" s="28"/>
      <c r="I144" s="28"/>
      <c r="J144" s="30"/>
      <c r="K144" s="28"/>
      <c r="L144" s="28"/>
      <c r="M144" s="28"/>
      <c r="N144" s="28"/>
      <c r="O144" s="28"/>
      <c r="P144" s="28"/>
      <c r="Q144" s="30"/>
      <c r="R144" s="30"/>
      <c r="S144" s="31" t="str">
        <f aca="false">IF(OR(Q144="",R144=""),"",ROUND(R144/((Q144/100)^2),1))</f>
        <v/>
      </c>
      <c r="T144" s="28" t="str">
        <f aca="false">IF(S144="","",IF(S144&lt;18.5,"Underweight",IF(S144&lt;25,"Normal",IF(S144&lt;30,"Overweight","Obese"))))</f>
        <v/>
      </c>
      <c r="U144" s="30"/>
      <c r="V144" s="30"/>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31" t="str">
        <f aca="false">IF(T144="","",IF(T144="Normal",100,IF(T144="Overweight",65,IF(T144="Obese",50,IF(AND(U144&lt;&gt;"",U144&lt;18.5),30,45)))))</f>
        <v/>
      </c>
      <c r="BG144" s="31" t="str">
        <f aca="false">IF(COUNTBLANK(W144:AC144)&gt;0,"",ROUND(AVERAGE(INDEX('SCORING MASTER'!$D$5:$D$7,MATCH(W144,'SCORING MASTER'!$C$5:$C$7,0)),INDEX('SCORING MASTER'!$D$9:$D$11,MATCH(X144,'SCORING MASTER'!$C$9:$C$11,0)),INDEX('SCORING MASTER'!$D$13:$D$15,MATCH(Y144,'SCORING MASTER'!$C$13:$C$15,0)),INDEX('SCORING MASTER'!$D$17:$D$19,MATCH(Z144,'SCORING MASTER'!$C$17:$C$19,0)),INDEX('SCORING MASTER'!$D$21:$D$23,MATCH(AA144,'SCORING MASTER'!$C$21:$C$23,0)),INDEX('SCORING MASTER'!$D$25:$D$27,MATCH(AB144,'SCORING MASTER'!$C$25:$C$27,0)),INDEX('SCORING MASTER'!$D$29:$D$31,MATCH(AC144,'SCORING MASTER'!$C$29:$C$31,0)))*20,0))</f>
        <v/>
      </c>
      <c r="BH144" s="31" t="str">
        <f aca="false">IF(COUNTBLANK(AD144:AI144)&gt;0,"",ROUND(AVERAGE(INDEX('SCORING MASTER'!$D$33:$D$35,MATCH(AD144,'SCORING MASTER'!$C$33:$C$35,0)),INDEX('SCORING MASTER'!$D$37:$D$39,MATCH(AE144,'SCORING MASTER'!$C$37:$C$39,0)),INDEX('SCORING MASTER'!$D$41:$D$43,MATCH(AF144,'SCORING MASTER'!$C$41:$C$43,0)),INDEX('SCORING MASTER'!$D$45:$D$47,MATCH(AG144,'SCORING MASTER'!$C$45:$C$47,0)),INDEX('SCORING MASTER'!$D$49:$D$52,MATCH(AH144,'SCORING MASTER'!$C$49:$C$52,0)),INDEX('SCORING MASTER'!$D$54:$D$57,MATCH(AI144,'SCORING MASTER'!$C$54:$C$57,0)))*20,0))</f>
        <v/>
      </c>
      <c r="BI144" s="31" t="str">
        <f aca="false">IF(COUNTBLANK(AJ144:AP144)&gt;0,"",ROUND(AVERAGE(INDEX('SCORING MASTER'!$D$59:$D$60,MATCH(AJ144,'SCORING MASTER'!$C$59:$C$60,0)),INDEX('SCORING MASTER'!$D$62:$D$63,MATCH(AK144,'SCORING MASTER'!$C$62:$C$63,0)),INDEX('SCORING MASTER'!$D$65:$D$66,MATCH(AL144,'SCORING MASTER'!$C$65:$C$66,0)),INDEX('SCORING MASTER'!$D$68:$D$69,MATCH(AM144,'SCORING MASTER'!$C$68:$C$69,0)),INDEX('SCORING MASTER'!$D$71:$D$72,MATCH(AN144,'SCORING MASTER'!$C$71:$C$72,0)),INDEX('SCORING MASTER'!$D$74:$D$75,MATCH(AO144,'SCORING MASTER'!$C$74:$C$75,0)),INDEX('SCORING MASTER'!$D$77:$D$78,MATCH(AP144,'SCORING MASTER'!$C$77:$C$78,0)))*20,0))</f>
        <v/>
      </c>
      <c r="BJ144" s="31" t="str">
        <f aca="false">IF(COUNTBLANK(AU144:AZ144)&gt;0,"",ROUND(AVERAGE(INDEX('SCORING MASTER'!$D$95:$D$96,MATCH(AU144,'SCORING MASTER'!$C$95:$C$96,0)),INDEX('SCORING MASTER'!$D$98:$D$99,MATCH(AV144,'SCORING MASTER'!$C$98:$C$99,0)),INDEX('SCORING MASTER'!$D$101:$D$102,MATCH(AW144,'SCORING MASTER'!$C$101:$C$102,0)),INDEX('SCORING MASTER'!$D$104:$D$105,MATCH(AX144,'SCORING MASTER'!$C$104:$C$105,0)),INDEX('SCORING MASTER'!$D$107:$D$108,MATCH(AY144,'SCORING MASTER'!$C$107:$C$108,0)),INDEX('SCORING MASTER'!$D$110:$D$111,MATCH(AZ144,'SCORING MASTER'!$C$110:$C$111,0)))*20,0))</f>
        <v/>
      </c>
      <c r="BK144" s="31" t="str">
        <f aca="false">IF(COUNTBLANK(AQ144:AT144)&gt;0,"",ROUND(AVERAGE(INDEX('SCORING MASTER'!$D$80:$D$82,MATCH(AQ144,'SCORING MASTER'!$C$80:$C$82,0)),INDEX('SCORING MASTER'!$D$84:$D$86,MATCH(AR144,'SCORING MASTER'!$C$84:$C$86,0)),INDEX('SCORING MASTER'!$D$88:$D$90,MATCH(AS144,'SCORING MASTER'!$C$88:$C$90,0)),INDEX('SCORING MASTER'!$D$92:$D$93,MATCH(AT144,'SCORING MASTER'!$C$92:$C$93,0)))*20,0))</f>
        <v/>
      </c>
      <c r="BL144" s="31" t="str">
        <f aca="false">IF(COUNTBLANK(BA144:BE144)&gt;0,"",ROUND(AVERAGE(INDEX('SCORING MASTER'!$D$113:$D$115,MATCH(BA144,'SCORING MASTER'!$C$113:$C$115,0)),INDEX('SCORING MASTER'!$D$117:$D$119,MATCH(BB144,'SCORING MASTER'!$C$117:$C$119,0)),INDEX('SCORING MASTER'!$D$121:$D$123,MATCH(BC144,'SCORING MASTER'!$C$121:$C$123,0)),INDEX('SCORING MASTER'!$D$125:$D$126,MATCH(BD144,'SCORING MASTER'!$C$125:$C$126,0)),INDEX('SCORING MASTER'!$D$128:$D$129,MATCH(BE144,'SCORING MASTER'!$C$128:$C$129,0)))*20,0))</f>
        <v/>
      </c>
      <c r="BM144" s="31" t="str">
        <f aca="false">IF(OR(BF144="",BG144="",BH144="",BI144="",BJ144="",BK144="",BL144=""),"",ROUND(BF144*0.25+BG144*0.2+BH144*0.15+BI144*0.15+BJ144*0.1+BK144*0.1+BL144*0.05,0))</f>
        <v/>
      </c>
      <c r="BN144" s="31" t="str">
        <f aca="false">IF(OR(BF144="",BG144=""),"",ROUND(BF144*0.5+BG144*0.5,0))</f>
        <v/>
      </c>
      <c r="BO144" s="31" t="str">
        <f aca="false">IF(BN144="","",ROUND(MIN(100,MAX(0,(100-BN144)+IF(AL144="Yes",15,0)+IF(AM144="Yes",15,0)+IF(AND(U144&lt;&gt;"",U144&lt;18.5),20,0))),0))</f>
        <v/>
      </c>
      <c r="BP144" s="28" t="str">
        <f aca="false">IF(BM144="","",IF(BM144&gt;=90,"Green - Healthy",IF(BM144&gt;=75,"Light Green - Mild Watch",IF(BM144&gt;=60,"Yellow - Mild Risk",IF(BM144&gt;=40,"Orange - Moderate Risk","Red - High Risk")))))</f>
        <v/>
      </c>
      <c r="BQ144" s="28" t="str">
        <f aca="false">IF(BM144="","",IF(OR(BM144&lt;60,BO144&gt;=60,AJ144="Yes"),"Yes","No"))</f>
        <v/>
      </c>
      <c r="BR144" s="28" t="str">
        <f aca="false">IF(BM144="","",IF(OR(BP144="Orange - Moderate Risk",BP144="Red - High Risk",BQ144="Yes"),"Yes","No"))</f>
        <v/>
      </c>
    </row>
    <row r="145" customFormat="false" ht="15" hidden="false" customHeight="false" outlineLevel="0" collapsed="false">
      <c r="A145" s="32" t="str">
        <f aca="false">IF(I145="","","STU"&amp;TEXT(ROW()-3,"000000"))</f>
        <v/>
      </c>
      <c r="B145" s="32"/>
      <c r="C145" s="32"/>
      <c r="D145" s="32"/>
      <c r="E145" s="32"/>
      <c r="F145" s="32"/>
      <c r="G145" s="32"/>
      <c r="H145" s="32"/>
      <c r="I145" s="32"/>
      <c r="J145" s="34"/>
      <c r="K145" s="32"/>
      <c r="L145" s="32"/>
      <c r="M145" s="32"/>
      <c r="N145" s="32"/>
      <c r="O145" s="32"/>
      <c r="P145" s="32"/>
      <c r="Q145" s="34"/>
      <c r="R145" s="34"/>
      <c r="S145" s="35" t="str">
        <f aca="false">IF(OR(Q145="",R145=""),"",ROUND(R145/((Q145/100)^2),1))</f>
        <v/>
      </c>
      <c r="T145" s="32" t="str">
        <f aca="false">IF(S145="","",IF(S145&lt;18.5,"Underweight",IF(S145&lt;25,"Normal",IF(S145&lt;30,"Overweight","Obese"))))</f>
        <v/>
      </c>
      <c r="U145" s="34"/>
      <c r="V145" s="34"/>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5" t="str">
        <f aca="false">IF(T145="","",IF(T145="Normal",100,IF(T145="Overweight",65,IF(T145="Obese",50,IF(AND(U145&lt;&gt;"",U145&lt;18.5),30,45)))))</f>
        <v/>
      </c>
      <c r="BG145" s="35" t="str">
        <f aca="false">IF(COUNTBLANK(W145:AC145)&gt;0,"",ROUND(AVERAGE(INDEX('SCORING MASTER'!$D$5:$D$7,MATCH(W145,'SCORING MASTER'!$C$5:$C$7,0)),INDEX('SCORING MASTER'!$D$9:$D$11,MATCH(X145,'SCORING MASTER'!$C$9:$C$11,0)),INDEX('SCORING MASTER'!$D$13:$D$15,MATCH(Y145,'SCORING MASTER'!$C$13:$C$15,0)),INDEX('SCORING MASTER'!$D$17:$D$19,MATCH(Z145,'SCORING MASTER'!$C$17:$C$19,0)),INDEX('SCORING MASTER'!$D$21:$D$23,MATCH(AA145,'SCORING MASTER'!$C$21:$C$23,0)),INDEX('SCORING MASTER'!$D$25:$D$27,MATCH(AB145,'SCORING MASTER'!$C$25:$C$27,0)),INDEX('SCORING MASTER'!$D$29:$D$31,MATCH(AC145,'SCORING MASTER'!$C$29:$C$31,0)))*20,0))</f>
        <v/>
      </c>
      <c r="BH145" s="35" t="str">
        <f aca="false">IF(COUNTBLANK(AD145:AI145)&gt;0,"",ROUND(AVERAGE(INDEX('SCORING MASTER'!$D$33:$D$35,MATCH(AD145,'SCORING MASTER'!$C$33:$C$35,0)),INDEX('SCORING MASTER'!$D$37:$D$39,MATCH(AE145,'SCORING MASTER'!$C$37:$C$39,0)),INDEX('SCORING MASTER'!$D$41:$D$43,MATCH(AF145,'SCORING MASTER'!$C$41:$C$43,0)),INDEX('SCORING MASTER'!$D$45:$D$47,MATCH(AG145,'SCORING MASTER'!$C$45:$C$47,0)),INDEX('SCORING MASTER'!$D$49:$D$52,MATCH(AH145,'SCORING MASTER'!$C$49:$C$52,0)),INDEX('SCORING MASTER'!$D$54:$D$57,MATCH(AI145,'SCORING MASTER'!$C$54:$C$57,0)))*20,0))</f>
        <v/>
      </c>
      <c r="BI145" s="35" t="str">
        <f aca="false">IF(COUNTBLANK(AJ145:AP145)&gt;0,"",ROUND(AVERAGE(INDEX('SCORING MASTER'!$D$59:$D$60,MATCH(AJ145,'SCORING MASTER'!$C$59:$C$60,0)),INDEX('SCORING MASTER'!$D$62:$D$63,MATCH(AK145,'SCORING MASTER'!$C$62:$C$63,0)),INDEX('SCORING MASTER'!$D$65:$D$66,MATCH(AL145,'SCORING MASTER'!$C$65:$C$66,0)),INDEX('SCORING MASTER'!$D$68:$D$69,MATCH(AM145,'SCORING MASTER'!$C$68:$C$69,0)),INDEX('SCORING MASTER'!$D$71:$D$72,MATCH(AN145,'SCORING MASTER'!$C$71:$C$72,0)),INDEX('SCORING MASTER'!$D$74:$D$75,MATCH(AO145,'SCORING MASTER'!$C$74:$C$75,0)),INDEX('SCORING MASTER'!$D$77:$D$78,MATCH(AP145,'SCORING MASTER'!$C$77:$C$78,0)))*20,0))</f>
        <v/>
      </c>
      <c r="BJ145" s="35" t="str">
        <f aca="false">IF(COUNTBLANK(AU145:AZ145)&gt;0,"",ROUND(AVERAGE(INDEX('SCORING MASTER'!$D$95:$D$96,MATCH(AU145,'SCORING MASTER'!$C$95:$C$96,0)),INDEX('SCORING MASTER'!$D$98:$D$99,MATCH(AV145,'SCORING MASTER'!$C$98:$C$99,0)),INDEX('SCORING MASTER'!$D$101:$D$102,MATCH(AW145,'SCORING MASTER'!$C$101:$C$102,0)),INDEX('SCORING MASTER'!$D$104:$D$105,MATCH(AX145,'SCORING MASTER'!$C$104:$C$105,0)),INDEX('SCORING MASTER'!$D$107:$D$108,MATCH(AY145,'SCORING MASTER'!$C$107:$C$108,0)),INDEX('SCORING MASTER'!$D$110:$D$111,MATCH(AZ145,'SCORING MASTER'!$C$110:$C$111,0)))*20,0))</f>
        <v/>
      </c>
      <c r="BK145" s="35" t="str">
        <f aca="false">IF(COUNTBLANK(AQ145:AT145)&gt;0,"",ROUND(AVERAGE(INDEX('SCORING MASTER'!$D$80:$D$82,MATCH(AQ145,'SCORING MASTER'!$C$80:$C$82,0)),INDEX('SCORING MASTER'!$D$84:$D$86,MATCH(AR145,'SCORING MASTER'!$C$84:$C$86,0)),INDEX('SCORING MASTER'!$D$88:$D$90,MATCH(AS145,'SCORING MASTER'!$C$88:$C$90,0)),INDEX('SCORING MASTER'!$D$92:$D$93,MATCH(AT145,'SCORING MASTER'!$C$92:$C$93,0)))*20,0))</f>
        <v/>
      </c>
      <c r="BL145" s="35" t="str">
        <f aca="false">IF(COUNTBLANK(BA145:BE145)&gt;0,"",ROUND(AVERAGE(INDEX('SCORING MASTER'!$D$113:$D$115,MATCH(BA145,'SCORING MASTER'!$C$113:$C$115,0)),INDEX('SCORING MASTER'!$D$117:$D$119,MATCH(BB145,'SCORING MASTER'!$C$117:$C$119,0)),INDEX('SCORING MASTER'!$D$121:$D$123,MATCH(BC145,'SCORING MASTER'!$C$121:$C$123,0)),INDEX('SCORING MASTER'!$D$125:$D$126,MATCH(BD145,'SCORING MASTER'!$C$125:$C$126,0)),INDEX('SCORING MASTER'!$D$128:$D$129,MATCH(BE145,'SCORING MASTER'!$C$128:$C$129,0)))*20,0))</f>
        <v/>
      </c>
      <c r="BM145" s="35" t="str">
        <f aca="false">IF(OR(BF145="",BG145="",BH145="",BI145="",BJ145="",BK145="",BL145=""),"",ROUND(BF145*0.25+BG145*0.2+BH145*0.15+BI145*0.15+BJ145*0.1+BK145*0.1+BL145*0.05,0))</f>
        <v/>
      </c>
      <c r="BN145" s="35" t="str">
        <f aca="false">IF(OR(BF145="",BG145=""),"",ROUND(BF145*0.5+BG145*0.5,0))</f>
        <v/>
      </c>
      <c r="BO145" s="35" t="str">
        <f aca="false">IF(BN145="","",ROUND(MIN(100,MAX(0,(100-BN145)+IF(AL145="Yes",15,0)+IF(AM145="Yes",15,0)+IF(AND(U145&lt;&gt;"",U145&lt;18.5),20,0))),0))</f>
        <v/>
      </c>
      <c r="BP145" s="32" t="str">
        <f aca="false">IF(BM145="","",IF(BM145&gt;=90,"Green - Healthy",IF(BM145&gt;=75,"Light Green - Mild Watch",IF(BM145&gt;=60,"Yellow - Mild Risk",IF(BM145&gt;=40,"Orange - Moderate Risk","Red - High Risk")))))</f>
        <v/>
      </c>
      <c r="BQ145" s="32" t="str">
        <f aca="false">IF(BM145="","",IF(OR(BM145&lt;60,BO145&gt;=60,AJ145="Yes"),"Yes","No"))</f>
        <v/>
      </c>
      <c r="BR145" s="32" t="str">
        <f aca="false">IF(BM145="","",IF(OR(BP145="Orange - Moderate Risk",BP145="Red - High Risk",BQ145="Yes"),"Yes","No"))</f>
        <v/>
      </c>
    </row>
    <row r="146" customFormat="false" ht="15" hidden="false" customHeight="false" outlineLevel="0" collapsed="false">
      <c r="A146" s="28" t="str">
        <f aca="false">IF(I146="","","STU"&amp;TEXT(ROW()-3,"000000"))</f>
        <v/>
      </c>
      <c r="B146" s="28"/>
      <c r="C146" s="28"/>
      <c r="D146" s="28"/>
      <c r="E146" s="28"/>
      <c r="F146" s="28"/>
      <c r="G146" s="28"/>
      <c r="H146" s="28"/>
      <c r="I146" s="28"/>
      <c r="J146" s="30"/>
      <c r="K146" s="28"/>
      <c r="L146" s="28"/>
      <c r="M146" s="28"/>
      <c r="N146" s="28"/>
      <c r="O146" s="28"/>
      <c r="P146" s="28"/>
      <c r="Q146" s="30"/>
      <c r="R146" s="30"/>
      <c r="S146" s="31" t="str">
        <f aca="false">IF(OR(Q146="",R146=""),"",ROUND(R146/((Q146/100)^2),1))</f>
        <v/>
      </c>
      <c r="T146" s="28" t="str">
        <f aca="false">IF(S146="","",IF(S146&lt;18.5,"Underweight",IF(S146&lt;25,"Normal",IF(S146&lt;30,"Overweight","Obese"))))</f>
        <v/>
      </c>
      <c r="U146" s="30"/>
      <c r="V146" s="30"/>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c r="BF146" s="31" t="str">
        <f aca="false">IF(T146="","",IF(T146="Normal",100,IF(T146="Overweight",65,IF(T146="Obese",50,IF(AND(U146&lt;&gt;"",U146&lt;18.5),30,45)))))</f>
        <v/>
      </c>
      <c r="BG146" s="31" t="str">
        <f aca="false">IF(COUNTBLANK(W146:AC146)&gt;0,"",ROUND(AVERAGE(INDEX('SCORING MASTER'!$D$5:$D$7,MATCH(W146,'SCORING MASTER'!$C$5:$C$7,0)),INDEX('SCORING MASTER'!$D$9:$D$11,MATCH(X146,'SCORING MASTER'!$C$9:$C$11,0)),INDEX('SCORING MASTER'!$D$13:$D$15,MATCH(Y146,'SCORING MASTER'!$C$13:$C$15,0)),INDEX('SCORING MASTER'!$D$17:$D$19,MATCH(Z146,'SCORING MASTER'!$C$17:$C$19,0)),INDEX('SCORING MASTER'!$D$21:$D$23,MATCH(AA146,'SCORING MASTER'!$C$21:$C$23,0)),INDEX('SCORING MASTER'!$D$25:$D$27,MATCH(AB146,'SCORING MASTER'!$C$25:$C$27,0)),INDEX('SCORING MASTER'!$D$29:$D$31,MATCH(AC146,'SCORING MASTER'!$C$29:$C$31,0)))*20,0))</f>
        <v/>
      </c>
      <c r="BH146" s="31" t="str">
        <f aca="false">IF(COUNTBLANK(AD146:AI146)&gt;0,"",ROUND(AVERAGE(INDEX('SCORING MASTER'!$D$33:$D$35,MATCH(AD146,'SCORING MASTER'!$C$33:$C$35,0)),INDEX('SCORING MASTER'!$D$37:$D$39,MATCH(AE146,'SCORING MASTER'!$C$37:$C$39,0)),INDEX('SCORING MASTER'!$D$41:$D$43,MATCH(AF146,'SCORING MASTER'!$C$41:$C$43,0)),INDEX('SCORING MASTER'!$D$45:$D$47,MATCH(AG146,'SCORING MASTER'!$C$45:$C$47,0)),INDEX('SCORING MASTER'!$D$49:$D$52,MATCH(AH146,'SCORING MASTER'!$C$49:$C$52,0)),INDEX('SCORING MASTER'!$D$54:$D$57,MATCH(AI146,'SCORING MASTER'!$C$54:$C$57,0)))*20,0))</f>
        <v/>
      </c>
      <c r="BI146" s="31" t="str">
        <f aca="false">IF(COUNTBLANK(AJ146:AP146)&gt;0,"",ROUND(AVERAGE(INDEX('SCORING MASTER'!$D$59:$D$60,MATCH(AJ146,'SCORING MASTER'!$C$59:$C$60,0)),INDEX('SCORING MASTER'!$D$62:$D$63,MATCH(AK146,'SCORING MASTER'!$C$62:$C$63,0)),INDEX('SCORING MASTER'!$D$65:$D$66,MATCH(AL146,'SCORING MASTER'!$C$65:$C$66,0)),INDEX('SCORING MASTER'!$D$68:$D$69,MATCH(AM146,'SCORING MASTER'!$C$68:$C$69,0)),INDEX('SCORING MASTER'!$D$71:$D$72,MATCH(AN146,'SCORING MASTER'!$C$71:$C$72,0)),INDEX('SCORING MASTER'!$D$74:$D$75,MATCH(AO146,'SCORING MASTER'!$C$74:$C$75,0)),INDEX('SCORING MASTER'!$D$77:$D$78,MATCH(AP146,'SCORING MASTER'!$C$77:$C$78,0)))*20,0))</f>
        <v/>
      </c>
      <c r="BJ146" s="31" t="str">
        <f aca="false">IF(COUNTBLANK(AU146:AZ146)&gt;0,"",ROUND(AVERAGE(INDEX('SCORING MASTER'!$D$95:$D$96,MATCH(AU146,'SCORING MASTER'!$C$95:$C$96,0)),INDEX('SCORING MASTER'!$D$98:$D$99,MATCH(AV146,'SCORING MASTER'!$C$98:$C$99,0)),INDEX('SCORING MASTER'!$D$101:$D$102,MATCH(AW146,'SCORING MASTER'!$C$101:$C$102,0)),INDEX('SCORING MASTER'!$D$104:$D$105,MATCH(AX146,'SCORING MASTER'!$C$104:$C$105,0)),INDEX('SCORING MASTER'!$D$107:$D$108,MATCH(AY146,'SCORING MASTER'!$C$107:$C$108,0)),INDEX('SCORING MASTER'!$D$110:$D$111,MATCH(AZ146,'SCORING MASTER'!$C$110:$C$111,0)))*20,0))</f>
        <v/>
      </c>
      <c r="BK146" s="31" t="str">
        <f aca="false">IF(COUNTBLANK(AQ146:AT146)&gt;0,"",ROUND(AVERAGE(INDEX('SCORING MASTER'!$D$80:$D$82,MATCH(AQ146,'SCORING MASTER'!$C$80:$C$82,0)),INDEX('SCORING MASTER'!$D$84:$D$86,MATCH(AR146,'SCORING MASTER'!$C$84:$C$86,0)),INDEX('SCORING MASTER'!$D$88:$D$90,MATCH(AS146,'SCORING MASTER'!$C$88:$C$90,0)),INDEX('SCORING MASTER'!$D$92:$D$93,MATCH(AT146,'SCORING MASTER'!$C$92:$C$93,0)))*20,0))</f>
        <v/>
      </c>
      <c r="BL146" s="31" t="str">
        <f aca="false">IF(COUNTBLANK(BA146:BE146)&gt;0,"",ROUND(AVERAGE(INDEX('SCORING MASTER'!$D$113:$D$115,MATCH(BA146,'SCORING MASTER'!$C$113:$C$115,0)),INDEX('SCORING MASTER'!$D$117:$D$119,MATCH(BB146,'SCORING MASTER'!$C$117:$C$119,0)),INDEX('SCORING MASTER'!$D$121:$D$123,MATCH(BC146,'SCORING MASTER'!$C$121:$C$123,0)),INDEX('SCORING MASTER'!$D$125:$D$126,MATCH(BD146,'SCORING MASTER'!$C$125:$C$126,0)),INDEX('SCORING MASTER'!$D$128:$D$129,MATCH(BE146,'SCORING MASTER'!$C$128:$C$129,0)))*20,0))</f>
        <v/>
      </c>
      <c r="BM146" s="31" t="str">
        <f aca="false">IF(OR(BF146="",BG146="",BH146="",BI146="",BJ146="",BK146="",BL146=""),"",ROUND(BF146*0.25+BG146*0.2+BH146*0.15+BI146*0.15+BJ146*0.1+BK146*0.1+BL146*0.05,0))</f>
        <v/>
      </c>
      <c r="BN146" s="31" t="str">
        <f aca="false">IF(OR(BF146="",BG146=""),"",ROUND(BF146*0.5+BG146*0.5,0))</f>
        <v/>
      </c>
      <c r="BO146" s="31" t="str">
        <f aca="false">IF(BN146="","",ROUND(MIN(100,MAX(0,(100-BN146)+IF(AL146="Yes",15,0)+IF(AM146="Yes",15,0)+IF(AND(U146&lt;&gt;"",U146&lt;18.5),20,0))),0))</f>
        <v/>
      </c>
      <c r="BP146" s="28" t="str">
        <f aca="false">IF(BM146="","",IF(BM146&gt;=90,"Green - Healthy",IF(BM146&gt;=75,"Light Green - Mild Watch",IF(BM146&gt;=60,"Yellow - Mild Risk",IF(BM146&gt;=40,"Orange - Moderate Risk","Red - High Risk")))))</f>
        <v/>
      </c>
      <c r="BQ146" s="28" t="str">
        <f aca="false">IF(BM146="","",IF(OR(BM146&lt;60,BO146&gt;=60,AJ146="Yes"),"Yes","No"))</f>
        <v/>
      </c>
      <c r="BR146" s="28" t="str">
        <f aca="false">IF(BM146="","",IF(OR(BP146="Orange - Moderate Risk",BP146="Red - High Risk",BQ146="Yes"),"Yes","No"))</f>
        <v/>
      </c>
    </row>
    <row r="147" customFormat="false" ht="15" hidden="false" customHeight="false" outlineLevel="0" collapsed="false">
      <c r="A147" s="32" t="str">
        <f aca="false">IF(I147="","","STU"&amp;TEXT(ROW()-3,"000000"))</f>
        <v/>
      </c>
      <c r="B147" s="32"/>
      <c r="C147" s="32"/>
      <c r="D147" s="32"/>
      <c r="E147" s="32"/>
      <c r="F147" s="32"/>
      <c r="G147" s="32"/>
      <c r="H147" s="32"/>
      <c r="I147" s="32"/>
      <c r="J147" s="34"/>
      <c r="K147" s="32"/>
      <c r="L147" s="32"/>
      <c r="M147" s="32"/>
      <c r="N147" s="32"/>
      <c r="O147" s="32"/>
      <c r="P147" s="32"/>
      <c r="Q147" s="34"/>
      <c r="R147" s="34"/>
      <c r="S147" s="35" t="str">
        <f aca="false">IF(OR(Q147="",R147=""),"",ROUND(R147/((Q147/100)^2),1))</f>
        <v/>
      </c>
      <c r="T147" s="32" t="str">
        <f aca="false">IF(S147="","",IF(S147&lt;18.5,"Underweight",IF(S147&lt;25,"Normal",IF(S147&lt;30,"Overweight","Obese"))))</f>
        <v/>
      </c>
      <c r="U147" s="34"/>
      <c r="V147" s="34"/>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5" t="str">
        <f aca="false">IF(T147="","",IF(T147="Normal",100,IF(T147="Overweight",65,IF(T147="Obese",50,IF(AND(U147&lt;&gt;"",U147&lt;18.5),30,45)))))</f>
        <v/>
      </c>
      <c r="BG147" s="35" t="str">
        <f aca="false">IF(COUNTBLANK(W147:AC147)&gt;0,"",ROUND(AVERAGE(INDEX('SCORING MASTER'!$D$5:$D$7,MATCH(W147,'SCORING MASTER'!$C$5:$C$7,0)),INDEX('SCORING MASTER'!$D$9:$D$11,MATCH(X147,'SCORING MASTER'!$C$9:$C$11,0)),INDEX('SCORING MASTER'!$D$13:$D$15,MATCH(Y147,'SCORING MASTER'!$C$13:$C$15,0)),INDEX('SCORING MASTER'!$D$17:$D$19,MATCH(Z147,'SCORING MASTER'!$C$17:$C$19,0)),INDEX('SCORING MASTER'!$D$21:$D$23,MATCH(AA147,'SCORING MASTER'!$C$21:$C$23,0)),INDEX('SCORING MASTER'!$D$25:$D$27,MATCH(AB147,'SCORING MASTER'!$C$25:$C$27,0)),INDEX('SCORING MASTER'!$D$29:$D$31,MATCH(AC147,'SCORING MASTER'!$C$29:$C$31,0)))*20,0))</f>
        <v/>
      </c>
      <c r="BH147" s="35" t="str">
        <f aca="false">IF(COUNTBLANK(AD147:AI147)&gt;0,"",ROUND(AVERAGE(INDEX('SCORING MASTER'!$D$33:$D$35,MATCH(AD147,'SCORING MASTER'!$C$33:$C$35,0)),INDEX('SCORING MASTER'!$D$37:$D$39,MATCH(AE147,'SCORING MASTER'!$C$37:$C$39,0)),INDEX('SCORING MASTER'!$D$41:$D$43,MATCH(AF147,'SCORING MASTER'!$C$41:$C$43,0)),INDEX('SCORING MASTER'!$D$45:$D$47,MATCH(AG147,'SCORING MASTER'!$C$45:$C$47,0)),INDEX('SCORING MASTER'!$D$49:$D$52,MATCH(AH147,'SCORING MASTER'!$C$49:$C$52,0)),INDEX('SCORING MASTER'!$D$54:$D$57,MATCH(AI147,'SCORING MASTER'!$C$54:$C$57,0)))*20,0))</f>
        <v/>
      </c>
      <c r="BI147" s="35" t="str">
        <f aca="false">IF(COUNTBLANK(AJ147:AP147)&gt;0,"",ROUND(AVERAGE(INDEX('SCORING MASTER'!$D$59:$D$60,MATCH(AJ147,'SCORING MASTER'!$C$59:$C$60,0)),INDEX('SCORING MASTER'!$D$62:$D$63,MATCH(AK147,'SCORING MASTER'!$C$62:$C$63,0)),INDEX('SCORING MASTER'!$D$65:$D$66,MATCH(AL147,'SCORING MASTER'!$C$65:$C$66,0)),INDEX('SCORING MASTER'!$D$68:$D$69,MATCH(AM147,'SCORING MASTER'!$C$68:$C$69,0)),INDEX('SCORING MASTER'!$D$71:$D$72,MATCH(AN147,'SCORING MASTER'!$C$71:$C$72,0)),INDEX('SCORING MASTER'!$D$74:$D$75,MATCH(AO147,'SCORING MASTER'!$C$74:$C$75,0)),INDEX('SCORING MASTER'!$D$77:$D$78,MATCH(AP147,'SCORING MASTER'!$C$77:$C$78,0)))*20,0))</f>
        <v/>
      </c>
      <c r="BJ147" s="35" t="str">
        <f aca="false">IF(COUNTBLANK(AU147:AZ147)&gt;0,"",ROUND(AVERAGE(INDEX('SCORING MASTER'!$D$95:$D$96,MATCH(AU147,'SCORING MASTER'!$C$95:$C$96,0)),INDEX('SCORING MASTER'!$D$98:$D$99,MATCH(AV147,'SCORING MASTER'!$C$98:$C$99,0)),INDEX('SCORING MASTER'!$D$101:$D$102,MATCH(AW147,'SCORING MASTER'!$C$101:$C$102,0)),INDEX('SCORING MASTER'!$D$104:$D$105,MATCH(AX147,'SCORING MASTER'!$C$104:$C$105,0)),INDEX('SCORING MASTER'!$D$107:$D$108,MATCH(AY147,'SCORING MASTER'!$C$107:$C$108,0)),INDEX('SCORING MASTER'!$D$110:$D$111,MATCH(AZ147,'SCORING MASTER'!$C$110:$C$111,0)))*20,0))</f>
        <v/>
      </c>
      <c r="BK147" s="35" t="str">
        <f aca="false">IF(COUNTBLANK(AQ147:AT147)&gt;0,"",ROUND(AVERAGE(INDEX('SCORING MASTER'!$D$80:$D$82,MATCH(AQ147,'SCORING MASTER'!$C$80:$C$82,0)),INDEX('SCORING MASTER'!$D$84:$D$86,MATCH(AR147,'SCORING MASTER'!$C$84:$C$86,0)),INDEX('SCORING MASTER'!$D$88:$D$90,MATCH(AS147,'SCORING MASTER'!$C$88:$C$90,0)),INDEX('SCORING MASTER'!$D$92:$D$93,MATCH(AT147,'SCORING MASTER'!$C$92:$C$93,0)))*20,0))</f>
        <v/>
      </c>
      <c r="BL147" s="35" t="str">
        <f aca="false">IF(COUNTBLANK(BA147:BE147)&gt;0,"",ROUND(AVERAGE(INDEX('SCORING MASTER'!$D$113:$D$115,MATCH(BA147,'SCORING MASTER'!$C$113:$C$115,0)),INDEX('SCORING MASTER'!$D$117:$D$119,MATCH(BB147,'SCORING MASTER'!$C$117:$C$119,0)),INDEX('SCORING MASTER'!$D$121:$D$123,MATCH(BC147,'SCORING MASTER'!$C$121:$C$123,0)),INDEX('SCORING MASTER'!$D$125:$D$126,MATCH(BD147,'SCORING MASTER'!$C$125:$C$126,0)),INDEX('SCORING MASTER'!$D$128:$D$129,MATCH(BE147,'SCORING MASTER'!$C$128:$C$129,0)))*20,0))</f>
        <v/>
      </c>
      <c r="BM147" s="35" t="str">
        <f aca="false">IF(OR(BF147="",BG147="",BH147="",BI147="",BJ147="",BK147="",BL147=""),"",ROUND(BF147*0.25+BG147*0.2+BH147*0.15+BI147*0.15+BJ147*0.1+BK147*0.1+BL147*0.05,0))</f>
        <v/>
      </c>
      <c r="BN147" s="35" t="str">
        <f aca="false">IF(OR(BF147="",BG147=""),"",ROUND(BF147*0.5+BG147*0.5,0))</f>
        <v/>
      </c>
      <c r="BO147" s="35" t="str">
        <f aca="false">IF(BN147="","",ROUND(MIN(100,MAX(0,(100-BN147)+IF(AL147="Yes",15,0)+IF(AM147="Yes",15,0)+IF(AND(U147&lt;&gt;"",U147&lt;18.5),20,0))),0))</f>
        <v/>
      </c>
      <c r="BP147" s="32" t="str">
        <f aca="false">IF(BM147="","",IF(BM147&gt;=90,"Green - Healthy",IF(BM147&gt;=75,"Light Green - Mild Watch",IF(BM147&gt;=60,"Yellow - Mild Risk",IF(BM147&gt;=40,"Orange - Moderate Risk","Red - High Risk")))))</f>
        <v/>
      </c>
      <c r="BQ147" s="32" t="str">
        <f aca="false">IF(BM147="","",IF(OR(BM147&lt;60,BO147&gt;=60,AJ147="Yes"),"Yes","No"))</f>
        <v/>
      </c>
      <c r="BR147" s="32" t="str">
        <f aca="false">IF(BM147="","",IF(OR(BP147="Orange - Moderate Risk",BP147="Red - High Risk",BQ147="Yes"),"Yes","No"))</f>
        <v/>
      </c>
    </row>
    <row r="148" customFormat="false" ht="15" hidden="false" customHeight="false" outlineLevel="0" collapsed="false">
      <c r="A148" s="28" t="str">
        <f aca="false">IF(I148="","","STU"&amp;TEXT(ROW()-3,"000000"))</f>
        <v/>
      </c>
      <c r="B148" s="28"/>
      <c r="C148" s="28"/>
      <c r="D148" s="28"/>
      <c r="E148" s="28"/>
      <c r="F148" s="28"/>
      <c r="G148" s="28"/>
      <c r="H148" s="28"/>
      <c r="I148" s="28"/>
      <c r="J148" s="30"/>
      <c r="K148" s="28"/>
      <c r="L148" s="28"/>
      <c r="M148" s="28"/>
      <c r="N148" s="28"/>
      <c r="O148" s="28"/>
      <c r="P148" s="28"/>
      <c r="Q148" s="30"/>
      <c r="R148" s="30"/>
      <c r="S148" s="31" t="str">
        <f aca="false">IF(OR(Q148="",R148=""),"",ROUND(R148/((Q148/100)^2),1))</f>
        <v/>
      </c>
      <c r="T148" s="28" t="str">
        <f aca="false">IF(S148="","",IF(S148&lt;18.5,"Underweight",IF(S148&lt;25,"Normal",IF(S148&lt;30,"Overweight","Obese"))))</f>
        <v/>
      </c>
      <c r="U148" s="30"/>
      <c r="V148" s="30"/>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31" t="str">
        <f aca="false">IF(T148="","",IF(T148="Normal",100,IF(T148="Overweight",65,IF(T148="Obese",50,IF(AND(U148&lt;&gt;"",U148&lt;18.5),30,45)))))</f>
        <v/>
      </c>
      <c r="BG148" s="31" t="str">
        <f aca="false">IF(COUNTBLANK(W148:AC148)&gt;0,"",ROUND(AVERAGE(INDEX('SCORING MASTER'!$D$5:$D$7,MATCH(W148,'SCORING MASTER'!$C$5:$C$7,0)),INDEX('SCORING MASTER'!$D$9:$D$11,MATCH(X148,'SCORING MASTER'!$C$9:$C$11,0)),INDEX('SCORING MASTER'!$D$13:$D$15,MATCH(Y148,'SCORING MASTER'!$C$13:$C$15,0)),INDEX('SCORING MASTER'!$D$17:$D$19,MATCH(Z148,'SCORING MASTER'!$C$17:$C$19,0)),INDEX('SCORING MASTER'!$D$21:$D$23,MATCH(AA148,'SCORING MASTER'!$C$21:$C$23,0)),INDEX('SCORING MASTER'!$D$25:$D$27,MATCH(AB148,'SCORING MASTER'!$C$25:$C$27,0)),INDEX('SCORING MASTER'!$D$29:$D$31,MATCH(AC148,'SCORING MASTER'!$C$29:$C$31,0)))*20,0))</f>
        <v/>
      </c>
      <c r="BH148" s="31" t="str">
        <f aca="false">IF(COUNTBLANK(AD148:AI148)&gt;0,"",ROUND(AVERAGE(INDEX('SCORING MASTER'!$D$33:$D$35,MATCH(AD148,'SCORING MASTER'!$C$33:$C$35,0)),INDEX('SCORING MASTER'!$D$37:$D$39,MATCH(AE148,'SCORING MASTER'!$C$37:$C$39,0)),INDEX('SCORING MASTER'!$D$41:$D$43,MATCH(AF148,'SCORING MASTER'!$C$41:$C$43,0)),INDEX('SCORING MASTER'!$D$45:$D$47,MATCH(AG148,'SCORING MASTER'!$C$45:$C$47,0)),INDEX('SCORING MASTER'!$D$49:$D$52,MATCH(AH148,'SCORING MASTER'!$C$49:$C$52,0)),INDEX('SCORING MASTER'!$D$54:$D$57,MATCH(AI148,'SCORING MASTER'!$C$54:$C$57,0)))*20,0))</f>
        <v/>
      </c>
      <c r="BI148" s="31" t="str">
        <f aca="false">IF(COUNTBLANK(AJ148:AP148)&gt;0,"",ROUND(AVERAGE(INDEX('SCORING MASTER'!$D$59:$D$60,MATCH(AJ148,'SCORING MASTER'!$C$59:$C$60,0)),INDEX('SCORING MASTER'!$D$62:$D$63,MATCH(AK148,'SCORING MASTER'!$C$62:$C$63,0)),INDEX('SCORING MASTER'!$D$65:$D$66,MATCH(AL148,'SCORING MASTER'!$C$65:$C$66,0)),INDEX('SCORING MASTER'!$D$68:$D$69,MATCH(AM148,'SCORING MASTER'!$C$68:$C$69,0)),INDEX('SCORING MASTER'!$D$71:$D$72,MATCH(AN148,'SCORING MASTER'!$C$71:$C$72,0)),INDEX('SCORING MASTER'!$D$74:$D$75,MATCH(AO148,'SCORING MASTER'!$C$74:$C$75,0)),INDEX('SCORING MASTER'!$D$77:$D$78,MATCH(AP148,'SCORING MASTER'!$C$77:$C$78,0)))*20,0))</f>
        <v/>
      </c>
      <c r="BJ148" s="31" t="str">
        <f aca="false">IF(COUNTBLANK(AU148:AZ148)&gt;0,"",ROUND(AVERAGE(INDEX('SCORING MASTER'!$D$95:$D$96,MATCH(AU148,'SCORING MASTER'!$C$95:$C$96,0)),INDEX('SCORING MASTER'!$D$98:$D$99,MATCH(AV148,'SCORING MASTER'!$C$98:$C$99,0)),INDEX('SCORING MASTER'!$D$101:$D$102,MATCH(AW148,'SCORING MASTER'!$C$101:$C$102,0)),INDEX('SCORING MASTER'!$D$104:$D$105,MATCH(AX148,'SCORING MASTER'!$C$104:$C$105,0)),INDEX('SCORING MASTER'!$D$107:$D$108,MATCH(AY148,'SCORING MASTER'!$C$107:$C$108,0)),INDEX('SCORING MASTER'!$D$110:$D$111,MATCH(AZ148,'SCORING MASTER'!$C$110:$C$111,0)))*20,0))</f>
        <v/>
      </c>
      <c r="BK148" s="31" t="str">
        <f aca="false">IF(COUNTBLANK(AQ148:AT148)&gt;0,"",ROUND(AVERAGE(INDEX('SCORING MASTER'!$D$80:$D$82,MATCH(AQ148,'SCORING MASTER'!$C$80:$C$82,0)),INDEX('SCORING MASTER'!$D$84:$D$86,MATCH(AR148,'SCORING MASTER'!$C$84:$C$86,0)),INDEX('SCORING MASTER'!$D$88:$D$90,MATCH(AS148,'SCORING MASTER'!$C$88:$C$90,0)),INDEX('SCORING MASTER'!$D$92:$D$93,MATCH(AT148,'SCORING MASTER'!$C$92:$C$93,0)))*20,0))</f>
        <v/>
      </c>
      <c r="BL148" s="31" t="str">
        <f aca="false">IF(COUNTBLANK(BA148:BE148)&gt;0,"",ROUND(AVERAGE(INDEX('SCORING MASTER'!$D$113:$D$115,MATCH(BA148,'SCORING MASTER'!$C$113:$C$115,0)),INDEX('SCORING MASTER'!$D$117:$D$119,MATCH(BB148,'SCORING MASTER'!$C$117:$C$119,0)),INDEX('SCORING MASTER'!$D$121:$D$123,MATCH(BC148,'SCORING MASTER'!$C$121:$C$123,0)),INDEX('SCORING MASTER'!$D$125:$D$126,MATCH(BD148,'SCORING MASTER'!$C$125:$C$126,0)),INDEX('SCORING MASTER'!$D$128:$D$129,MATCH(BE148,'SCORING MASTER'!$C$128:$C$129,0)))*20,0))</f>
        <v/>
      </c>
      <c r="BM148" s="31" t="str">
        <f aca="false">IF(OR(BF148="",BG148="",BH148="",BI148="",BJ148="",BK148="",BL148=""),"",ROUND(BF148*0.25+BG148*0.2+BH148*0.15+BI148*0.15+BJ148*0.1+BK148*0.1+BL148*0.05,0))</f>
        <v/>
      </c>
      <c r="BN148" s="31" t="str">
        <f aca="false">IF(OR(BF148="",BG148=""),"",ROUND(BF148*0.5+BG148*0.5,0))</f>
        <v/>
      </c>
      <c r="BO148" s="31" t="str">
        <f aca="false">IF(BN148="","",ROUND(MIN(100,MAX(0,(100-BN148)+IF(AL148="Yes",15,0)+IF(AM148="Yes",15,0)+IF(AND(U148&lt;&gt;"",U148&lt;18.5),20,0))),0))</f>
        <v/>
      </c>
      <c r="BP148" s="28" t="str">
        <f aca="false">IF(BM148="","",IF(BM148&gt;=90,"Green - Healthy",IF(BM148&gt;=75,"Light Green - Mild Watch",IF(BM148&gt;=60,"Yellow - Mild Risk",IF(BM148&gt;=40,"Orange - Moderate Risk","Red - High Risk")))))</f>
        <v/>
      </c>
      <c r="BQ148" s="28" t="str">
        <f aca="false">IF(BM148="","",IF(OR(BM148&lt;60,BO148&gt;=60,AJ148="Yes"),"Yes","No"))</f>
        <v/>
      </c>
      <c r="BR148" s="28" t="str">
        <f aca="false">IF(BM148="","",IF(OR(BP148="Orange - Moderate Risk",BP148="Red - High Risk",BQ148="Yes"),"Yes","No"))</f>
        <v/>
      </c>
    </row>
    <row r="149" customFormat="false" ht="15" hidden="false" customHeight="false" outlineLevel="0" collapsed="false">
      <c r="A149" s="32" t="str">
        <f aca="false">IF(I149="","","STU"&amp;TEXT(ROW()-3,"000000"))</f>
        <v/>
      </c>
      <c r="B149" s="32"/>
      <c r="C149" s="32"/>
      <c r="D149" s="32"/>
      <c r="E149" s="32"/>
      <c r="F149" s="32"/>
      <c r="G149" s="32"/>
      <c r="H149" s="32"/>
      <c r="I149" s="32"/>
      <c r="J149" s="34"/>
      <c r="K149" s="32"/>
      <c r="L149" s="32"/>
      <c r="M149" s="32"/>
      <c r="N149" s="32"/>
      <c r="O149" s="32"/>
      <c r="P149" s="32"/>
      <c r="Q149" s="34"/>
      <c r="R149" s="34"/>
      <c r="S149" s="35" t="str">
        <f aca="false">IF(OR(Q149="",R149=""),"",ROUND(R149/((Q149/100)^2),1))</f>
        <v/>
      </c>
      <c r="T149" s="32" t="str">
        <f aca="false">IF(S149="","",IF(S149&lt;18.5,"Underweight",IF(S149&lt;25,"Normal",IF(S149&lt;30,"Overweight","Obese"))))</f>
        <v/>
      </c>
      <c r="U149" s="34"/>
      <c r="V149" s="34"/>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5" t="str">
        <f aca="false">IF(T149="","",IF(T149="Normal",100,IF(T149="Overweight",65,IF(T149="Obese",50,IF(AND(U149&lt;&gt;"",U149&lt;18.5),30,45)))))</f>
        <v/>
      </c>
      <c r="BG149" s="35" t="str">
        <f aca="false">IF(COUNTBLANK(W149:AC149)&gt;0,"",ROUND(AVERAGE(INDEX('SCORING MASTER'!$D$5:$D$7,MATCH(W149,'SCORING MASTER'!$C$5:$C$7,0)),INDEX('SCORING MASTER'!$D$9:$D$11,MATCH(X149,'SCORING MASTER'!$C$9:$C$11,0)),INDEX('SCORING MASTER'!$D$13:$D$15,MATCH(Y149,'SCORING MASTER'!$C$13:$C$15,0)),INDEX('SCORING MASTER'!$D$17:$D$19,MATCH(Z149,'SCORING MASTER'!$C$17:$C$19,0)),INDEX('SCORING MASTER'!$D$21:$D$23,MATCH(AA149,'SCORING MASTER'!$C$21:$C$23,0)),INDEX('SCORING MASTER'!$D$25:$D$27,MATCH(AB149,'SCORING MASTER'!$C$25:$C$27,0)),INDEX('SCORING MASTER'!$D$29:$D$31,MATCH(AC149,'SCORING MASTER'!$C$29:$C$31,0)))*20,0))</f>
        <v/>
      </c>
      <c r="BH149" s="35" t="str">
        <f aca="false">IF(COUNTBLANK(AD149:AI149)&gt;0,"",ROUND(AVERAGE(INDEX('SCORING MASTER'!$D$33:$D$35,MATCH(AD149,'SCORING MASTER'!$C$33:$C$35,0)),INDEX('SCORING MASTER'!$D$37:$D$39,MATCH(AE149,'SCORING MASTER'!$C$37:$C$39,0)),INDEX('SCORING MASTER'!$D$41:$D$43,MATCH(AF149,'SCORING MASTER'!$C$41:$C$43,0)),INDEX('SCORING MASTER'!$D$45:$D$47,MATCH(AG149,'SCORING MASTER'!$C$45:$C$47,0)),INDEX('SCORING MASTER'!$D$49:$D$52,MATCH(AH149,'SCORING MASTER'!$C$49:$C$52,0)),INDEX('SCORING MASTER'!$D$54:$D$57,MATCH(AI149,'SCORING MASTER'!$C$54:$C$57,0)))*20,0))</f>
        <v/>
      </c>
      <c r="BI149" s="35" t="str">
        <f aca="false">IF(COUNTBLANK(AJ149:AP149)&gt;0,"",ROUND(AVERAGE(INDEX('SCORING MASTER'!$D$59:$D$60,MATCH(AJ149,'SCORING MASTER'!$C$59:$C$60,0)),INDEX('SCORING MASTER'!$D$62:$D$63,MATCH(AK149,'SCORING MASTER'!$C$62:$C$63,0)),INDEX('SCORING MASTER'!$D$65:$D$66,MATCH(AL149,'SCORING MASTER'!$C$65:$C$66,0)),INDEX('SCORING MASTER'!$D$68:$D$69,MATCH(AM149,'SCORING MASTER'!$C$68:$C$69,0)),INDEX('SCORING MASTER'!$D$71:$D$72,MATCH(AN149,'SCORING MASTER'!$C$71:$C$72,0)),INDEX('SCORING MASTER'!$D$74:$D$75,MATCH(AO149,'SCORING MASTER'!$C$74:$C$75,0)),INDEX('SCORING MASTER'!$D$77:$D$78,MATCH(AP149,'SCORING MASTER'!$C$77:$C$78,0)))*20,0))</f>
        <v/>
      </c>
      <c r="BJ149" s="35" t="str">
        <f aca="false">IF(COUNTBLANK(AU149:AZ149)&gt;0,"",ROUND(AVERAGE(INDEX('SCORING MASTER'!$D$95:$D$96,MATCH(AU149,'SCORING MASTER'!$C$95:$C$96,0)),INDEX('SCORING MASTER'!$D$98:$D$99,MATCH(AV149,'SCORING MASTER'!$C$98:$C$99,0)),INDEX('SCORING MASTER'!$D$101:$D$102,MATCH(AW149,'SCORING MASTER'!$C$101:$C$102,0)),INDEX('SCORING MASTER'!$D$104:$D$105,MATCH(AX149,'SCORING MASTER'!$C$104:$C$105,0)),INDEX('SCORING MASTER'!$D$107:$D$108,MATCH(AY149,'SCORING MASTER'!$C$107:$C$108,0)),INDEX('SCORING MASTER'!$D$110:$D$111,MATCH(AZ149,'SCORING MASTER'!$C$110:$C$111,0)))*20,0))</f>
        <v/>
      </c>
      <c r="BK149" s="35" t="str">
        <f aca="false">IF(COUNTBLANK(AQ149:AT149)&gt;0,"",ROUND(AVERAGE(INDEX('SCORING MASTER'!$D$80:$D$82,MATCH(AQ149,'SCORING MASTER'!$C$80:$C$82,0)),INDEX('SCORING MASTER'!$D$84:$D$86,MATCH(AR149,'SCORING MASTER'!$C$84:$C$86,0)),INDEX('SCORING MASTER'!$D$88:$D$90,MATCH(AS149,'SCORING MASTER'!$C$88:$C$90,0)),INDEX('SCORING MASTER'!$D$92:$D$93,MATCH(AT149,'SCORING MASTER'!$C$92:$C$93,0)))*20,0))</f>
        <v/>
      </c>
      <c r="BL149" s="35" t="str">
        <f aca="false">IF(COUNTBLANK(BA149:BE149)&gt;0,"",ROUND(AVERAGE(INDEX('SCORING MASTER'!$D$113:$D$115,MATCH(BA149,'SCORING MASTER'!$C$113:$C$115,0)),INDEX('SCORING MASTER'!$D$117:$D$119,MATCH(BB149,'SCORING MASTER'!$C$117:$C$119,0)),INDEX('SCORING MASTER'!$D$121:$D$123,MATCH(BC149,'SCORING MASTER'!$C$121:$C$123,0)),INDEX('SCORING MASTER'!$D$125:$D$126,MATCH(BD149,'SCORING MASTER'!$C$125:$C$126,0)),INDEX('SCORING MASTER'!$D$128:$D$129,MATCH(BE149,'SCORING MASTER'!$C$128:$C$129,0)))*20,0))</f>
        <v/>
      </c>
      <c r="BM149" s="35" t="str">
        <f aca="false">IF(OR(BF149="",BG149="",BH149="",BI149="",BJ149="",BK149="",BL149=""),"",ROUND(BF149*0.25+BG149*0.2+BH149*0.15+BI149*0.15+BJ149*0.1+BK149*0.1+BL149*0.05,0))</f>
        <v/>
      </c>
      <c r="BN149" s="35" t="str">
        <f aca="false">IF(OR(BF149="",BG149=""),"",ROUND(BF149*0.5+BG149*0.5,0))</f>
        <v/>
      </c>
      <c r="BO149" s="35" t="str">
        <f aca="false">IF(BN149="","",ROUND(MIN(100,MAX(0,(100-BN149)+IF(AL149="Yes",15,0)+IF(AM149="Yes",15,0)+IF(AND(U149&lt;&gt;"",U149&lt;18.5),20,0))),0))</f>
        <v/>
      </c>
      <c r="BP149" s="32" t="str">
        <f aca="false">IF(BM149="","",IF(BM149&gt;=90,"Green - Healthy",IF(BM149&gt;=75,"Light Green - Mild Watch",IF(BM149&gt;=60,"Yellow - Mild Risk",IF(BM149&gt;=40,"Orange - Moderate Risk","Red - High Risk")))))</f>
        <v/>
      </c>
      <c r="BQ149" s="32" t="str">
        <f aca="false">IF(BM149="","",IF(OR(BM149&lt;60,BO149&gt;=60,AJ149="Yes"),"Yes","No"))</f>
        <v/>
      </c>
      <c r="BR149" s="32" t="str">
        <f aca="false">IF(BM149="","",IF(OR(BP149="Orange - Moderate Risk",BP149="Red - High Risk",BQ149="Yes"),"Yes","No"))</f>
        <v/>
      </c>
    </row>
    <row r="150" customFormat="false" ht="15" hidden="false" customHeight="false" outlineLevel="0" collapsed="false">
      <c r="A150" s="28" t="str">
        <f aca="false">IF(I150="","","STU"&amp;TEXT(ROW()-3,"000000"))</f>
        <v/>
      </c>
      <c r="B150" s="28"/>
      <c r="C150" s="28"/>
      <c r="D150" s="28"/>
      <c r="E150" s="28"/>
      <c r="F150" s="28"/>
      <c r="G150" s="28"/>
      <c r="H150" s="28"/>
      <c r="I150" s="28"/>
      <c r="J150" s="30"/>
      <c r="K150" s="28"/>
      <c r="L150" s="28"/>
      <c r="M150" s="28"/>
      <c r="N150" s="28"/>
      <c r="O150" s="28"/>
      <c r="P150" s="28"/>
      <c r="Q150" s="30"/>
      <c r="R150" s="30"/>
      <c r="S150" s="31" t="str">
        <f aca="false">IF(OR(Q150="",R150=""),"",ROUND(R150/((Q150/100)^2),1))</f>
        <v/>
      </c>
      <c r="T150" s="28" t="str">
        <f aca="false">IF(S150="","",IF(S150&lt;18.5,"Underweight",IF(S150&lt;25,"Normal",IF(S150&lt;30,"Overweight","Obese"))))</f>
        <v/>
      </c>
      <c r="U150" s="30"/>
      <c r="V150" s="30"/>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31" t="str">
        <f aca="false">IF(T150="","",IF(T150="Normal",100,IF(T150="Overweight",65,IF(T150="Obese",50,IF(AND(U150&lt;&gt;"",U150&lt;18.5),30,45)))))</f>
        <v/>
      </c>
      <c r="BG150" s="31" t="str">
        <f aca="false">IF(COUNTBLANK(W150:AC150)&gt;0,"",ROUND(AVERAGE(INDEX('SCORING MASTER'!$D$5:$D$7,MATCH(W150,'SCORING MASTER'!$C$5:$C$7,0)),INDEX('SCORING MASTER'!$D$9:$D$11,MATCH(X150,'SCORING MASTER'!$C$9:$C$11,0)),INDEX('SCORING MASTER'!$D$13:$D$15,MATCH(Y150,'SCORING MASTER'!$C$13:$C$15,0)),INDEX('SCORING MASTER'!$D$17:$D$19,MATCH(Z150,'SCORING MASTER'!$C$17:$C$19,0)),INDEX('SCORING MASTER'!$D$21:$D$23,MATCH(AA150,'SCORING MASTER'!$C$21:$C$23,0)),INDEX('SCORING MASTER'!$D$25:$D$27,MATCH(AB150,'SCORING MASTER'!$C$25:$C$27,0)),INDEX('SCORING MASTER'!$D$29:$D$31,MATCH(AC150,'SCORING MASTER'!$C$29:$C$31,0)))*20,0))</f>
        <v/>
      </c>
      <c r="BH150" s="31" t="str">
        <f aca="false">IF(COUNTBLANK(AD150:AI150)&gt;0,"",ROUND(AVERAGE(INDEX('SCORING MASTER'!$D$33:$D$35,MATCH(AD150,'SCORING MASTER'!$C$33:$C$35,0)),INDEX('SCORING MASTER'!$D$37:$D$39,MATCH(AE150,'SCORING MASTER'!$C$37:$C$39,0)),INDEX('SCORING MASTER'!$D$41:$D$43,MATCH(AF150,'SCORING MASTER'!$C$41:$C$43,0)),INDEX('SCORING MASTER'!$D$45:$D$47,MATCH(AG150,'SCORING MASTER'!$C$45:$C$47,0)),INDEX('SCORING MASTER'!$D$49:$D$52,MATCH(AH150,'SCORING MASTER'!$C$49:$C$52,0)),INDEX('SCORING MASTER'!$D$54:$D$57,MATCH(AI150,'SCORING MASTER'!$C$54:$C$57,0)))*20,0))</f>
        <v/>
      </c>
      <c r="BI150" s="31" t="str">
        <f aca="false">IF(COUNTBLANK(AJ150:AP150)&gt;0,"",ROUND(AVERAGE(INDEX('SCORING MASTER'!$D$59:$D$60,MATCH(AJ150,'SCORING MASTER'!$C$59:$C$60,0)),INDEX('SCORING MASTER'!$D$62:$D$63,MATCH(AK150,'SCORING MASTER'!$C$62:$C$63,0)),INDEX('SCORING MASTER'!$D$65:$D$66,MATCH(AL150,'SCORING MASTER'!$C$65:$C$66,0)),INDEX('SCORING MASTER'!$D$68:$D$69,MATCH(AM150,'SCORING MASTER'!$C$68:$C$69,0)),INDEX('SCORING MASTER'!$D$71:$D$72,MATCH(AN150,'SCORING MASTER'!$C$71:$C$72,0)),INDEX('SCORING MASTER'!$D$74:$D$75,MATCH(AO150,'SCORING MASTER'!$C$74:$C$75,0)),INDEX('SCORING MASTER'!$D$77:$D$78,MATCH(AP150,'SCORING MASTER'!$C$77:$C$78,0)))*20,0))</f>
        <v/>
      </c>
      <c r="BJ150" s="31" t="str">
        <f aca="false">IF(COUNTBLANK(AU150:AZ150)&gt;0,"",ROUND(AVERAGE(INDEX('SCORING MASTER'!$D$95:$D$96,MATCH(AU150,'SCORING MASTER'!$C$95:$C$96,0)),INDEX('SCORING MASTER'!$D$98:$D$99,MATCH(AV150,'SCORING MASTER'!$C$98:$C$99,0)),INDEX('SCORING MASTER'!$D$101:$D$102,MATCH(AW150,'SCORING MASTER'!$C$101:$C$102,0)),INDEX('SCORING MASTER'!$D$104:$D$105,MATCH(AX150,'SCORING MASTER'!$C$104:$C$105,0)),INDEX('SCORING MASTER'!$D$107:$D$108,MATCH(AY150,'SCORING MASTER'!$C$107:$C$108,0)),INDEX('SCORING MASTER'!$D$110:$D$111,MATCH(AZ150,'SCORING MASTER'!$C$110:$C$111,0)))*20,0))</f>
        <v/>
      </c>
      <c r="BK150" s="31" t="str">
        <f aca="false">IF(COUNTBLANK(AQ150:AT150)&gt;0,"",ROUND(AVERAGE(INDEX('SCORING MASTER'!$D$80:$D$82,MATCH(AQ150,'SCORING MASTER'!$C$80:$C$82,0)),INDEX('SCORING MASTER'!$D$84:$D$86,MATCH(AR150,'SCORING MASTER'!$C$84:$C$86,0)),INDEX('SCORING MASTER'!$D$88:$D$90,MATCH(AS150,'SCORING MASTER'!$C$88:$C$90,0)),INDEX('SCORING MASTER'!$D$92:$D$93,MATCH(AT150,'SCORING MASTER'!$C$92:$C$93,0)))*20,0))</f>
        <v/>
      </c>
      <c r="BL150" s="31" t="str">
        <f aca="false">IF(COUNTBLANK(BA150:BE150)&gt;0,"",ROUND(AVERAGE(INDEX('SCORING MASTER'!$D$113:$D$115,MATCH(BA150,'SCORING MASTER'!$C$113:$C$115,0)),INDEX('SCORING MASTER'!$D$117:$D$119,MATCH(BB150,'SCORING MASTER'!$C$117:$C$119,0)),INDEX('SCORING MASTER'!$D$121:$D$123,MATCH(BC150,'SCORING MASTER'!$C$121:$C$123,0)),INDEX('SCORING MASTER'!$D$125:$D$126,MATCH(BD150,'SCORING MASTER'!$C$125:$C$126,0)),INDEX('SCORING MASTER'!$D$128:$D$129,MATCH(BE150,'SCORING MASTER'!$C$128:$C$129,0)))*20,0))</f>
        <v/>
      </c>
      <c r="BM150" s="31" t="str">
        <f aca="false">IF(OR(BF150="",BG150="",BH150="",BI150="",BJ150="",BK150="",BL150=""),"",ROUND(BF150*0.25+BG150*0.2+BH150*0.15+BI150*0.15+BJ150*0.1+BK150*0.1+BL150*0.05,0))</f>
        <v/>
      </c>
      <c r="BN150" s="31" t="str">
        <f aca="false">IF(OR(BF150="",BG150=""),"",ROUND(BF150*0.5+BG150*0.5,0))</f>
        <v/>
      </c>
      <c r="BO150" s="31" t="str">
        <f aca="false">IF(BN150="","",ROUND(MIN(100,MAX(0,(100-BN150)+IF(AL150="Yes",15,0)+IF(AM150="Yes",15,0)+IF(AND(U150&lt;&gt;"",U150&lt;18.5),20,0))),0))</f>
        <v/>
      </c>
      <c r="BP150" s="28" t="str">
        <f aca="false">IF(BM150="","",IF(BM150&gt;=90,"Green - Healthy",IF(BM150&gt;=75,"Light Green - Mild Watch",IF(BM150&gt;=60,"Yellow - Mild Risk",IF(BM150&gt;=40,"Orange - Moderate Risk","Red - High Risk")))))</f>
        <v/>
      </c>
      <c r="BQ150" s="28" t="str">
        <f aca="false">IF(BM150="","",IF(OR(BM150&lt;60,BO150&gt;=60,AJ150="Yes"),"Yes","No"))</f>
        <v/>
      </c>
      <c r="BR150" s="28" t="str">
        <f aca="false">IF(BM150="","",IF(OR(BP150="Orange - Moderate Risk",BP150="Red - High Risk",BQ150="Yes"),"Yes","No"))</f>
        <v/>
      </c>
    </row>
    <row r="151" customFormat="false" ht="15" hidden="false" customHeight="false" outlineLevel="0" collapsed="false">
      <c r="A151" s="32" t="str">
        <f aca="false">IF(I151="","","STU"&amp;TEXT(ROW()-3,"000000"))</f>
        <v/>
      </c>
      <c r="B151" s="32"/>
      <c r="C151" s="32"/>
      <c r="D151" s="32"/>
      <c r="E151" s="32"/>
      <c r="F151" s="32"/>
      <c r="G151" s="32"/>
      <c r="H151" s="32"/>
      <c r="I151" s="32"/>
      <c r="J151" s="34"/>
      <c r="K151" s="32"/>
      <c r="L151" s="32"/>
      <c r="M151" s="32"/>
      <c r="N151" s="32"/>
      <c r="O151" s="32"/>
      <c r="P151" s="32"/>
      <c r="Q151" s="34"/>
      <c r="R151" s="34"/>
      <c r="S151" s="35" t="str">
        <f aca="false">IF(OR(Q151="",R151=""),"",ROUND(R151/((Q151/100)^2),1))</f>
        <v/>
      </c>
      <c r="T151" s="32" t="str">
        <f aca="false">IF(S151="","",IF(S151&lt;18.5,"Underweight",IF(S151&lt;25,"Normal",IF(S151&lt;30,"Overweight","Obese"))))</f>
        <v/>
      </c>
      <c r="U151" s="34"/>
      <c r="V151" s="34"/>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5" t="str">
        <f aca="false">IF(T151="","",IF(T151="Normal",100,IF(T151="Overweight",65,IF(T151="Obese",50,IF(AND(U151&lt;&gt;"",U151&lt;18.5),30,45)))))</f>
        <v/>
      </c>
      <c r="BG151" s="35" t="str">
        <f aca="false">IF(COUNTBLANK(W151:AC151)&gt;0,"",ROUND(AVERAGE(INDEX('SCORING MASTER'!$D$5:$D$7,MATCH(W151,'SCORING MASTER'!$C$5:$C$7,0)),INDEX('SCORING MASTER'!$D$9:$D$11,MATCH(X151,'SCORING MASTER'!$C$9:$C$11,0)),INDEX('SCORING MASTER'!$D$13:$D$15,MATCH(Y151,'SCORING MASTER'!$C$13:$C$15,0)),INDEX('SCORING MASTER'!$D$17:$D$19,MATCH(Z151,'SCORING MASTER'!$C$17:$C$19,0)),INDEX('SCORING MASTER'!$D$21:$D$23,MATCH(AA151,'SCORING MASTER'!$C$21:$C$23,0)),INDEX('SCORING MASTER'!$D$25:$D$27,MATCH(AB151,'SCORING MASTER'!$C$25:$C$27,0)),INDEX('SCORING MASTER'!$D$29:$D$31,MATCH(AC151,'SCORING MASTER'!$C$29:$C$31,0)))*20,0))</f>
        <v/>
      </c>
      <c r="BH151" s="35" t="str">
        <f aca="false">IF(COUNTBLANK(AD151:AI151)&gt;0,"",ROUND(AVERAGE(INDEX('SCORING MASTER'!$D$33:$D$35,MATCH(AD151,'SCORING MASTER'!$C$33:$C$35,0)),INDEX('SCORING MASTER'!$D$37:$D$39,MATCH(AE151,'SCORING MASTER'!$C$37:$C$39,0)),INDEX('SCORING MASTER'!$D$41:$D$43,MATCH(AF151,'SCORING MASTER'!$C$41:$C$43,0)),INDEX('SCORING MASTER'!$D$45:$D$47,MATCH(AG151,'SCORING MASTER'!$C$45:$C$47,0)),INDEX('SCORING MASTER'!$D$49:$D$52,MATCH(AH151,'SCORING MASTER'!$C$49:$C$52,0)),INDEX('SCORING MASTER'!$D$54:$D$57,MATCH(AI151,'SCORING MASTER'!$C$54:$C$57,0)))*20,0))</f>
        <v/>
      </c>
      <c r="BI151" s="35" t="str">
        <f aca="false">IF(COUNTBLANK(AJ151:AP151)&gt;0,"",ROUND(AVERAGE(INDEX('SCORING MASTER'!$D$59:$D$60,MATCH(AJ151,'SCORING MASTER'!$C$59:$C$60,0)),INDEX('SCORING MASTER'!$D$62:$D$63,MATCH(AK151,'SCORING MASTER'!$C$62:$C$63,0)),INDEX('SCORING MASTER'!$D$65:$D$66,MATCH(AL151,'SCORING MASTER'!$C$65:$C$66,0)),INDEX('SCORING MASTER'!$D$68:$D$69,MATCH(AM151,'SCORING MASTER'!$C$68:$C$69,0)),INDEX('SCORING MASTER'!$D$71:$D$72,MATCH(AN151,'SCORING MASTER'!$C$71:$C$72,0)),INDEX('SCORING MASTER'!$D$74:$D$75,MATCH(AO151,'SCORING MASTER'!$C$74:$C$75,0)),INDEX('SCORING MASTER'!$D$77:$D$78,MATCH(AP151,'SCORING MASTER'!$C$77:$C$78,0)))*20,0))</f>
        <v/>
      </c>
      <c r="BJ151" s="35" t="str">
        <f aca="false">IF(COUNTBLANK(AU151:AZ151)&gt;0,"",ROUND(AVERAGE(INDEX('SCORING MASTER'!$D$95:$D$96,MATCH(AU151,'SCORING MASTER'!$C$95:$C$96,0)),INDEX('SCORING MASTER'!$D$98:$D$99,MATCH(AV151,'SCORING MASTER'!$C$98:$C$99,0)),INDEX('SCORING MASTER'!$D$101:$D$102,MATCH(AW151,'SCORING MASTER'!$C$101:$C$102,0)),INDEX('SCORING MASTER'!$D$104:$D$105,MATCH(AX151,'SCORING MASTER'!$C$104:$C$105,0)),INDEX('SCORING MASTER'!$D$107:$D$108,MATCH(AY151,'SCORING MASTER'!$C$107:$C$108,0)),INDEX('SCORING MASTER'!$D$110:$D$111,MATCH(AZ151,'SCORING MASTER'!$C$110:$C$111,0)))*20,0))</f>
        <v/>
      </c>
      <c r="BK151" s="35" t="str">
        <f aca="false">IF(COUNTBLANK(AQ151:AT151)&gt;0,"",ROUND(AVERAGE(INDEX('SCORING MASTER'!$D$80:$D$82,MATCH(AQ151,'SCORING MASTER'!$C$80:$C$82,0)),INDEX('SCORING MASTER'!$D$84:$D$86,MATCH(AR151,'SCORING MASTER'!$C$84:$C$86,0)),INDEX('SCORING MASTER'!$D$88:$D$90,MATCH(AS151,'SCORING MASTER'!$C$88:$C$90,0)),INDEX('SCORING MASTER'!$D$92:$D$93,MATCH(AT151,'SCORING MASTER'!$C$92:$C$93,0)))*20,0))</f>
        <v/>
      </c>
      <c r="BL151" s="35" t="str">
        <f aca="false">IF(COUNTBLANK(BA151:BE151)&gt;0,"",ROUND(AVERAGE(INDEX('SCORING MASTER'!$D$113:$D$115,MATCH(BA151,'SCORING MASTER'!$C$113:$C$115,0)),INDEX('SCORING MASTER'!$D$117:$D$119,MATCH(BB151,'SCORING MASTER'!$C$117:$C$119,0)),INDEX('SCORING MASTER'!$D$121:$D$123,MATCH(BC151,'SCORING MASTER'!$C$121:$C$123,0)),INDEX('SCORING MASTER'!$D$125:$D$126,MATCH(BD151,'SCORING MASTER'!$C$125:$C$126,0)),INDEX('SCORING MASTER'!$D$128:$D$129,MATCH(BE151,'SCORING MASTER'!$C$128:$C$129,0)))*20,0))</f>
        <v/>
      </c>
      <c r="BM151" s="35" t="str">
        <f aca="false">IF(OR(BF151="",BG151="",BH151="",BI151="",BJ151="",BK151="",BL151=""),"",ROUND(BF151*0.25+BG151*0.2+BH151*0.15+BI151*0.15+BJ151*0.1+BK151*0.1+BL151*0.05,0))</f>
        <v/>
      </c>
      <c r="BN151" s="35" t="str">
        <f aca="false">IF(OR(BF151="",BG151=""),"",ROUND(BF151*0.5+BG151*0.5,0))</f>
        <v/>
      </c>
      <c r="BO151" s="35" t="str">
        <f aca="false">IF(BN151="","",ROUND(MIN(100,MAX(0,(100-BN151)+IF(AL151="Yes",15,0)+IF(AM151="Yes",15,0)+IF(AND(U151&lt;&gt;"",U151&lt;18.5),20,0))),0))</f>
        <v/>
      </c>
      <c r="BP151" s="32" t="str">
        <f aca="false">IF(BM151="","",IF(BM151&gt;=90,"Green - Healthy",IF(BM151&gt;=75,"Light Green - Mild Watch",IF(BM151&gt;=60,"Yellow - Mild Risk",IF(BM151&gt;=40,"Orange - Moderate Risk","Red - High Risk")))))</f>
        <v/>
      </c>
      <c r="BQ151" s="32" t="str">
        <f aca="false">IF(BM151="","",IF(OR(BM151&lt;60,BO151&gt;=60,AJ151="Yes"),"Yes","No"))</f>
        <v/>
      </c>
      <c r="BR151" s="32" t="str">
        <f aca="false">IF(BM151="","",IF(OR(BP151="Orange - Moderate Risk",BP151="Red - High Risk",BQ151="Yes"),"Yes","No"))</f>
        <v/>
      </c>
    </row>
    <row r="152" customFormat="false" ht="15" hidden="false" customHeight="false" outlineLevel="0" collapsed="false">
      <c r="A152" s="28" t="str">
        <f aca="false">IF(I152="","","STU"&amp;TEXT(ROW()-3,"000000"))</f>
        <v/>
      </c>
      <c r="B152" s="28"/>
      <c r="C152" s="28"/>
      <c r="D152" s="28"/>
      <c r="E152" s="28"/>
      <c r="F152" s="28"/>
      <c r="G152" s="28"/>
      <c r="H152" s="28"/>
      <c r="I152" s="28"/>
      <c r="J152" s="30"/>
      <c r="K152" s="28"/>
      <c r="L152" s="28"/>
      <c r="M152" s="28"/>
      <c r="N152" s="28"/>
      <c r="O152" s="28"/>
      <c r="P152" s="28"/>
      <c r="Q152" s="30"/>
      <c r="R152" s="30"/>
      <c r="S152" s="31" t="str">
        <f aca="false">IF(OR(Q152="",R152=""),"",ROUND(R152/((Q152/100)^2),1))</f>
        <v/>
      </c>
      <c r="T152" s="28" t="str">
        <f aca="false">IF(S152="","",IF(S152&lt;18.5,"Underweight",IF(S152&lt;25,"Normal",IF(S152&lt;30,"Overweight","Obese"))))</f>
        <v/>
      </c>
      <c r="U152" s="30"/>
      <c r="V152" s="30"/>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31" t="str">
        <f aca="false">IF(T152="","",IF(T152="Normal",100,IF(T152="Overweight",65,IF(T152="Obese",50,IF(AND(U152&lt;&gt;"",U152&lt;18.5),30,45)))))</f>
        <v/>
      </c>
      <c r="BG152" s="31" t="str">
        <f aca="false">IF(COUNTBLANK(W152:AC152)&gt;0,"",ROUND(AVERAGE(INDEX('SCORING MASTER'!$D$5:$D$7,MATCH(W152,'SCORING MASTER'!$C$5:$C$7,0)),INDEX('SCORING MASTER'!$D$9:$D$11,MATCH(X152,'SCORING MASTER'!$C$9:$C$11,0)),INDEX('SCORING MASTER'!$D$13:$D$15,MATCH(Y152,'SCORING MASTER'!$C$13:$C$15,0)),INDEX('SCORING MASTER'!$D$17:$D$19,MATCH(Z152,'SCORING MASTER'!$C$17:$C$19,0)),INDEX('SCORING MASTER'!$D$21:$D$23,MATCH(AA152,'SCORING MASTER'!$C$21:$C$23,0)),INDEX('SCORING MASTER'!$D$25:$D$27,MATCH(AB152,'SCORING MASTER'!$C$25:$C$27,0)),INDEX('SCORING MASTER'!$D$29:$D$31,MATCH(AC152,'SCORING MASTER'!$C$29:$C$31,0)))*20,0))</f>
        <v/>
      </c>
      <c r="BH152" s="31" t="str">
        <f aca="false">IF(COUNTBLANK(AD152:AI152)&gt;0,"",ROUND(AVERAGE(INDEX('SCORING MASTER'!$D$33:$D$35,MATCH(AD152,'SCORING MASTER'!$C$33:$C$35,0)),INDEX('SCORING MASTER'!$D$37:$D$39,MATCH(AE152,'SCORING MASTER'!$C$37:$C$39,0)),INDEX('SCORING MASTER'!$D$41:$D$43,MATCH(AF152,'SCORING MASTER'!$C$41:$C$43,0)),INDEX('SCORING MASTER'!$D$45:$D$47,MATCH(AG152,'SCORING MASTER'!$C$45:$C$47,0)),INDEX('SCORING MASTER'!$D$49:$D$52,MATCH(AH152,'SCORING MASTER'!$C$49:$C$52,0)),INDEX('SCORING MASTER'!$D$54:$D$57,MATCH(AI152,'SCORING MASTER'!$C$54:$C$57,0)))*20,0))</f>
        <v/>
      </c>
      <c r="BI152" s="31" t="str">
        <f aca="false">IF(COUNTBLANK(AJ152:AP152)&gt;0,"",ROUND(AVERAGE(INDEX('SCORING MASTER'!$D$59:$D$60,MATCH(AJ152,'SCORING MASTER'!$C$59:$C$60,0)),INDEX('SCORING MASTER'!$D$62:$D$63,MATCH(AK152,'SCORING MASTER'!$C$62:$C$63,0)),INDEX('SCORING MASTER'!$D$65:$D$66,MATCH(AL152,'SCORING MASTER'!$C$65:$C$66,0)),INDEX('SCORING MASTER'!$D$68:$D$69,MATCH(AM152,'SCORING MASTER'!$C$68:$C$69,0)),INDEX('SCORING MASTER'!$D$71:$D$72,MATCH(AN152,'SCORING MASTER'!$C$71:$C$72,0)),INDEX('SCORING MASTER'!$D$74:$D$75,MATCH(AO152,'SCORING MASTER'!$C$74:$C$75,0)),INDEX('SCORING MASTER'!$D$77:$D$78,MATCH(AP152,'SCORING MASTER'!$C$77:$C$78,0)))*20,0))</f>
        <v/>
      </c>
      <c r="BJ152" s="31" t="str">
        <f aca="false">IF(COUNTBLANK(AU152:AZ152)&gt;0,"",ROUND(AVERAGE(INDEX('SCORING MASTER'!$D$95:$D$96,MATCH(AU152,'SCORING MASTER'!$C$95:$C$96,0)),INDEX('SCORING MASTER'!$D$98:$D$99,MATCH(AV152,'SCORING MASTER'!$C$98:$C$99,0)),INDEX('SCORING MASTER'!$D$101:$D$102,MATCH(AW152,'SCORING MASTER'!$C$101:$C$102,0)),INDEX('SCORING MASTER'!$D$104:$D$105,MATCH(AX152,'SCORING MASTER'!$C$104:$C$105,0)),INDEX('SCORING MASTER'!$D$107:$D$108,MATCH(AY152,'SCORING MASTER'!$C$107:$C$108,0)),INDEX('SCORING MASTER'!$D$110:$D$111,MATCH(AZ152,'SCORING MASTER'!$C$110:$C$111,0)))*20,0))</f>
        <v/>
      </c>
      <c r="BK152" s="31" t="str">
        <f aca="false">IF(COUNTBLANK(AQ152:AT152)&gt;0,"",ROUND(AVERAGE(INDEX('SCORING MASTER'!$D$80:$D$82,MATCH(AQ152,'SCORING MASTER'!$C$80:$C$82,0)),INDEX('SCORING MASTER'!$D$84:$D$86,MATCH(AR152,'SCORING MASTER'!$C$84:$C$86,0)),INDEX('SCORING MASTER'!$D$88:$D$90,MATCH(AS152,'SCORING MASTER'!$C$88:$C$90,0)),INDEX('SCORING MASTER'!$D$92:$D$93,MATCH(AT152,'SCORING MASTER'!$C$92:$C$93,0)))*20,0))</f>
        <v/>
      </c>
      <c r="BL152" s="31" t="str">
        <f aca="false">IF(COUNTBLANK(BA152:BE152)&gt;0,"",ROUND(AVERAGE(INDEX('SCORING MASTER'!$D$113:$D$115,MATCH(BA152,'SCORING MASTER'!$C$113:$C$115,0)),INDEX('SCORING MASTER'!$D$117:$D$119,MATCH(BB152,'SCORING MASTER'!$C$117:$C$119,0)),INDEX('SCORING MASTER'!$D$121:$D$123,MATCH(BC152,'SCORING MASTER'!$C$121:$C$123,0)),INDEX('SCORING MASTER'!$D$125:$D$126,MATCH(BD152,'SCORING MASTER'!$C$125:$C$126,0)),INDEX('SCORING MASTER'!$D$128:$D$129,MATCH(BE152,'SCORING MASTER'!$C$128:$C$129,0)))*20,0))</f>
        <v/>
      </c>
      <c r="BM152" s="31" t="str">
        <f aca="false">IF(OR(BF152="",BG152="",BH152="",BI152="",BJ152="",BK152="",BL152=""),"",ROUND(BF152*0.25+BG152*0.2+BH152*0.15+BI152*0.15+BJ152*0.1+BK152*0.1+BL152*0.05,0))</f>
        <v/>
      </c>
      <c r="BN152" s="31" t="str">
        <f aca="false">IF(OR(BF152="",BG152=""),"",ROUND(BF152*0.5+BG152*0.5,0))</f>
        <v/>
      </c>
      <c r="BO152" s="31" t="str">
        <f aca="false">IF(BN152="","",ROUND(MIN(100,MAX(0,(100-BN152)+IF(AL152="Yes",15,0)+IF(AM152="Yes",15,0)+IF(AND(U152&lt;&gt;"",U152&lt;18.5),20,0))),0))</f>
        <v/>
      </c>
      <c r="BP152" s="28" t="str">
        <f aca="false">IF(BM152="","",IF(BM152&gt;=90,"Green - Healthy",IF(BM152&gt;=75,"Light Green - Mild Watch",IF(BM152&gt;=60,"Yellow - Mild Risk",IF(BM152&gt;=40,"Orange - Moderate Risk","Red - High Risk")))))</f>
        <v/>
      </c>
      <c r="BQ152" s="28" t="str">
        <f aca="false">IF(BM152="","",IF(OR(BM152&lt;60,BO152&gt;=60,AJ152="Yes"),"Yes","No"))</f>
        <v/>
      </c>
      <c r="BR152" s="28" t="str">
        <f aca="false">IF(BM152="","",IF(OR(BP152="Orange - Moderate Risk",BP152="Red - High Risk",BQ152="Yes"),"Yes","No"))</f>
        <v/>
      </c>
    </row>
    <row r="153" customFormat="false" ht="15" hidden="false" customHeight="false" outlineLevel="0" collapsed="false">
      <c r="A153" s="32" t="str">
        <f aca="false">IF(I153="","","STU"&amp;TEXT(ROW()-3,"000000"))</f>
        <v/>
      </c>
      <c r="B153" s="32"/>
      <c r="C153" s="32"/>
      <c r="D153" s="32"/>
      <c r="E153" s="32"/>
      <c r="F153" s="32"/>
      <c r="G153" s="32"/>
      <c r="H153" s="32"/>
      <c r="I153" s="32"/>
      <c r="J153" s="34"/>
      <c r="K153" s="32"/>
      <c r="L153" s="32"/>
      <c r="M153" s="32"/>
      <c r="N153" s="32"/>
      <c r="O153" s="32"/>
      <c r="P153" s="32"/>
      <c r="Q153" s="34"/>
      <c r="R153" s="34"/>
      <c r="S153" s="35" t="str">
        <f aca="false">IF(OR(Q153="",R153=""),"",ROUND(R153/((Q153/100)^2),1))</f>
        <v/>
      </c>
      <c r="T153" s="32" t="str">
        <f aca="false">IF(S153="","",IF(S153&lt;18.5,"Underweight",IF(S153&lt;25,"Normal",IF(S153&lt;30,"Overweight","Obese"))))</f>
        <v/>
      </c>
      <c r="U153" s="34"/>
      <c r="V153" s="34"/>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5" t="str">
        <f aca="false">IF(T153="","",IF(T153="Normal",100,IF(T153="Overweight",65,IF(T153="Obese",50,IF(AND(U153&lt;&gt;"",U153&lt;18.5),30,45)))))</f>
        <v/>
      </c>
      <c r="BG153" s="35" t="str">
        <f aca="false">IF(COUNTBLANK(W153:AC153)&gt;0,"",ROUND(AVERAGE(INDEX('SCORING MASTER'!$D$5:$D$7,MATCH(W153,'SCORING MASTER'!$C$5:$C$7,0)),INDEX('SCORING MASTER'!$D$9:$D$11,MATCH(X153,'SCORING MASTER'!$C$9:$C$11,0)),INDEX('SCORING MASTER'!$D$13:$D$15,MATCH(Y153,'SCORING MASTER'!$C$13:$C$15,0)),INDEX('SCORING MASTER'!$D$17:$D$19,MATCH(Z153,'SCORING MASTER'!$C$17:$C$19,0)),INDEX('SCORING MASTER'!$D$21:$D$23,MATCH(AA153,'SCORING MASTER'!$C$21:$C$23,0)),INDEX('SCORING MASTER'!$D$25:$D$27,MATCH(AB153,'SCORING MASTER'!$C$25:$C$27,0)),INDEX('SCORING MASTER'!$D$29:$D$31,MATCH(AC153,'SCORING MASTER'!$C$29:$C$31,0)))*20,0))</f>
        <v/>
      </c>
      <c r="BH153" s="35" t="str">
        <f aca="false">IF(COUNTBLANK(AD153:AI153)&gt;0,"",ROUND(AVERAGE(INDEX('SCORING MASTER'!$D$33:$D$35,MATCH(AD153,'SCORING MASTER'!$C$33:$C$35,0)),INDEX('SCORING MASTER'!$D$37:$D$39,MATCH(AE153,'SCORING MASTER'!$C$37:$C$39,0)),INDEX('SCORING MASTER'!$D$41:$D$43,MATCH(AF153,'SCORING MASTER'!$C$41:$C$43,0)),INDEX('SCORING MASTER'!$D$45:$D$47,MATCH(AG153,'SCORING MASTER'!$C$45:$C$47,0)),INDEX('SCORING MASTER'!$D$49:$D$52,MATCH(AH153,'SCORING MASTER'!$C$49:$C$52,0)),INDEX('SCORING MASTER'!$D$54:$D$57,MATCH(AI153,'SCORING MASTER'!$C$54:$C$57,0)))*20,0))</f>
        <v/>
      </c>
      <c r="BI153" s="35" t="str">
        <f aca="false">IF(COUNTBLANK(AJ153:AP153)&gt;0,"",ROUND(AVERAGE(INDEX('SCORING MASTER'!$D$59:$D$60,MATCH(AJ153,'SCORING MASTER'!$C$59:$C$60,0)),INDEX('SCORING MASTER'!$D$62:$D$63,MATCH(AK153,'SCORING MASTER'!$C$62:$C$63,0)),INDEX('SCORING MASTER'!$D$65:$D$66,MATCH(AL153,'SCORING MASTER'!$C$65:$C$66,0)),INDEX('SCORING MASTER'!$D$68:$D$69,MATCH(AM153,'SCORING MASTER'!$C$68:$C$69,0)),INDEX('SCORING MASTER'!$D$71:$D$72,MATCH(AN153,'SCORING MASTER'!$C$71:$C$72,0)),INDEX('SCORING MASTER'!$D$74:$D$75,MATCH(AO153,'SCORING MASTER'!$C$74:$C$75,0)),INDEX('SCORING MASTER'!$D$77:$D$78,MATCH(AP153,'SCORING MASTER'!$C$77:$C$78,0)))*20,0))</f>
        <v/>
      </c>
      <c r="BJ153" s="35" t="str">
        <f aca="false">IF(COUNTBLANK(AU153:AZ153)&gt;0,"",ROUND(AVERAGE(INDEX('SCORING MASTER'!$D$95:$D$96,MATCH(AU153,'SCORING MASTER'!$C$95:$C$96,0)),INDEX('SCORING MASTER'!$D$98:$D$99,MATCH(AV153,'SCORING MASTER'!$C$98:$C$99,0)),INDEX('SCORING MASTER'!$D$101:$D$102,MATCH(AW153,'SCORING MASTER'!$C$101:$C$102,0)),INDEX('SCORING MASTER'!$D$104:$D$105,MATCH(AX153,'SCORING MASTER'!$C$104:$C$105,0)),INDEX('SCORING MASTER'!$D$107:$D$108,MATCH(AY153,'SCORING MASTER'!$C$107:$C$108,0)),INDEX('SCORING MASTER'!$D$110:$D$111,MATCH(AZ153,'SCORING MASTER'!$C$110:$C$111,0)))*20,0))</f>
        <v/>
      </c>
      <c r="BK153" s="35" t="str">
        <f aca="false">IF(COUNTBLANK(AQ153:AT153)&gt;0,"",ROUND(AVERAGE(INDEX('SCORING MASTER'!$D$80:$D$82,MATCH(AQ153,'SCORING MASTER'!$C$80:$C$82,0)),INDEX('SCORING MASTER'!$D$84:$D$86,MATCH(AR153,'SCORING MASTER'!$C$84:$C$86,0)),INDEX('SCORING MASTER'!$D$88:$D$90,MATCH(AS153,'SCORING MASTER'!$C$88:$C$90,0)),INDEX('SCORING MASTER'!$D$92:$D$93,MATCH(AT153,'SCORING MASTER'!$C$92:$C$93,0)))*20,0))</f>
        <v/>
      </c>
      <c r="BL153" s="35" t="str">
        <f aca="false">IF(COUNTBLANK(BA153:BE153)&gt;0,"",ROUND(AVERAGE(INDEX('SCORING MASTER'!$D$113:$D$115,MATCH(BA153,'SCORING MASTER'!$C$113:$C$115,0)),INDEX('SCORING MASTER'!$D$117:$D$119,MATCH(BB153,'SCORING MASTER'!$C$117:$C$119,0)),INDEX('SCORING MASTER'!$D$121:$D$123,MATCH(BC153,'SCORING MASTER'!$C$121:$C$123,0)),INDEX('SCORING MASTER'!$D$125:$D$126,MATCH(BD153,'SCORING MASTER'!$C$125:$C$126,0)),INDEX('SCORING MASTER'!$D$128:$D$129,MATCH(BE153,'SCORING MASTER'!$C$128:$C$129,0)))*20,0))</f>
        <v/>
      </c>
      <c r="BM153" s="35" t="str">
        <f aca="false">IF(OR(BF153="",BG153="",BH153="",BI153="",BJ153="",BK153="",BL153=""),"",ROUND(BF153*0.25+BG153*0.2+BH153*0.15+BI153*0.15+BJ153*0.1+BK153*0.1+BL153*0.05,0))</f>
        <v/>
      </c>
      <c r="BN153" s="35" t="str">
        <f aca="false">IF(OR(BF153="",BG153=""),"",ROUND(BF153*0.5+BG153*0.5,0))</f>
        <v/>
      </c>
      <c r="BO153" s="35" t="str">
        <f aca="false">IF(BN153="","",ROUND(MIN(100,MAX(0,(100-BN153)+IF(AL153="Yes",15,0)+IF(AM153="Yes",15,0)+IF(AND(U153&lt;&gt;"",U153&lt;18.5),20,0))),0))</f>
        <v/>
      </c>
      <c r="BP153" s="32" t="str">
        <f aca="false">IF(BM153="","",IF(BM153&gt;=90,"Green - Healthy",IF(BM153&gt;=75,"Light Green - Mild Watch",IF(BM153&gt;=60,"Yellow - Mild Risk",IF(BM153&gt;=40,"Orange - Moderate Risk","Red - High Risk")))))</f>
        <v/>
      </c>
      <c r="BQ153" s="32" t="str">
        <f aca="false">IF(BM153="","",IF(OR(BM153&lt;60,BO153&gt;=60,AJ153="Yes"),"Yes","No"))</f>
        <v/>
      </c>
      <c r="BR153" s="32" t="str">
        <f aca="false">IF(BM153="","",IF(OR(BP153="Orange - Moderate Risk",BP153="Red - High Risk",BQ153="Yes"),"Yes","No"))</f>
        <v/>
      </c>
    </row>
    <row r="154" customFormat="false" ht="15" hidden="false" customHeight="false" outlineLevel="0" collapsed="false">
      <c r="A154" s="28" t="str">
        <f aca="false">IF(I154="","","STU"&amp;TEXT(ROW()-3,"000000"))</f>
        <v/>
      </c>
      <c r="B154" s="28"/>
      <c r="C154" s="28"/>
      <c r="D154" s="28"/>
      <c r="E154" s="28"/>
      <c r="F154" s="28"/>
      <c r="G154" s="28"/>
      <c r="H154" s="28"/>
      <c r="I154" s="28"/>
      <c r="J154" s="30"/>
      <c r="K154" s="28"/>
      <c r="L154" s="28"/>
      <c r="M154" s="28"/>
      <c r="N154" s="28"/>
      <c r="O154" s="28"/>
      <c r="P154" s="28"/>
      <c r="Q154" s="30"/>
      <c r="R154" s="30"/>
      <c r="S154" s="31" t="str">
        <f aca="false">IF(OR(Q154="",R154=""),"",ROUND(R154/((Q154/100)^2),1))</f>
        <v/>
      </c>
      <c r="T154" s="28" t="str">
        <f aca="false">IF(S154="","",IF(S154&lt;18.5,"Underweight",IF(S154&lt;25,"Normal",IF(S154&lt;30,"Overweight","Obese"))))</f>
        <v/>
      </c>
      <c r="U154" s="30"/>
      <c r="V154" s="30"/>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31" t="str">
        <f aca="false">IF(T154="","",IF(T154="Normal",100,IF(T154="Overweight",65,IF(T154="Obese",50,IF(AND(U154&lt;&gt;"",U154&lt;18.5),30,45)))))</f>
        <v/>
      </c>
      <c r="BG154" s="31" t="str">
        <f aca="false">IF(COUNTBLANK(W154:AC154)&gt;0,"",ROUND(AVERAGE(INDEX('SCORING MASTER'!$D$5:$D$7,MATCH(W154,'SCORING MASTER'!$C$5:$C$7,0)),INDEX('SCORING MASTER'!$D$9:$D$11,MATCH(X154,'SCORING MASTER'!$C$9:$C$11,0)),INDEX('SCORING MASTER'!$D$13:$D$15,MATCH(Y154,'SCORING MASTER'!$C$13:$C$15,0)),INDEX('SCORING MASTER'!$D$17:$D$19,MATCH(Z154,'SCORING MASTER'!$C$17:$C$19,0)),INDEX('SCORING MASTER'!$D$21:$D$23,MATCH(AA154,'SCORING MASTER'!$C$21:$C$23,0)),INDEX('SCORING MASTER'!$D$25:$D$27,MATCH(AB154,'SCORING MASTER'!$C$25:$C$27,0)),INDEX('SCORING MASTER'!$D$29:$D$31,MATCH(AC154,'SCORING MASTER'!$C$29:$C$31,0)))*20,0))</f>
        <v/>
      </c>
      <c r="BH154" s="31" t="str">
        <f aca="false">IF(COUNTBLANK(AD154:AI154)&gt;0,"",ROUND(AVERAGE(INDEX('SCORING MASTER'!$D$33:$D$35,MATCH(AD154,'SCORING MASTER'!$C$33:$C$35,0)),INDEX('SCORING MASTER'!$D$37:$D$39,MATCH(AE154,'SCORING MASTER'!$C$37:$C$39,0)),INDEX('SCORING MASTER'!$D$41:$D$43,MATCH(AF154,'SCORING MASTER'!$C$41:$C$43,0)),INDEX('SCORING MASTER'!$D$45:$D$47,MATCH(AG154,'SCORING MASTER'!$C$45:$C$47,0)),INDEX('SCORING MASTER'!$D$49:$D$52,MATCH(AH154,'SCORING MASTER'!$C$49:$C$52,0)),INDEX('SCORING MASTER'!$D$54:$D$57,MATCH(AI154,'SCORING MASTER'!$C$54:$C$57,0)))*20,0))</f>
        <v/>
      </c>
      <c r="BI154" s="31" t="str">
        <f aca="false">IF(COUNTBLANK(AJ154:AP154)&gt;0,"",ROUND(AVERAGE(INDEX('SCORING MASTER'!$D$59:$D$60,MATCH(AJ154,'SCORING MASTER'!$C$59:$C$60,0)),INDEX('SCORING MASTER'!$D$62:$D$63,MATCH(AK154,'SCORING MASTER'!$C$62:$C$63,0)),INDEX('SCORING MASTER'!$D$65:$D$66,MATCH(AL154,'SCORING MASTER'!$C$65:$C$66,0)),INDEX('SCORING MASTER'!$D$68:$D$69,MATCH(AM154,'SCORING MASTER'!$C$68:$C$69,0)),INDEX('SCORING MASTER'!$D$71:$D$72,MATCH(AN154,'SCORING MASTER'!$C$71:$C$72,0)),INDEX('SCORING MASTER'!$D$74:$D$75,MATCH(AO154,'SCORING MASTER'!$C$74:$C$75,0)),INDEX('SCORING MASTER'!$D$77:$D$78,MATCH(AP154,'SCORING MASTER'!$C$77:$C$78,0)))*20,0))</f>
        <v/>
      </c>
      <c r="BJ154" s="31" t="str">
        <f aca="false">IF(COUNTBLANK(AU154:AZ154)&gt;0,"",ROUND(AVERAGE(INDEX('SCORING MASTER'!$D$95:$D$96,MATCH(AU154,'SCORING MASTER'!$C$95:$C$96,0)),INDEX('SCORING MASTER'!$D$98:$D$99,MATCH(AV154,'SCORING MASTER'!$C$98:$C$99,0)),INDEX('SCORING MASTER'!$D$101:$D$102,MATCH(AW154,'SCORING MASTER'!$C$101:$C$102,0)),INDEX('SCORING MASTER'!$D$104:$D$105,MATCH(AX154,'SCORING MASTER'!$C$104:$C$105,0)),INDEX('SCORING MASTER'!$D$107:$D$108,MATCH(AY154,'SCORING MASTER'!$C$107:$C$108,0)),INDEX('SCORING MASTER'!$D$110:$D$111,MATCH(AZ154,'SCORING MASTER'!$C$110:$C$111,0)))*20,0))</f>
        <v/>
      </c>
      <c r="BK154" s="31" t="str">
        <f aca="false">IF(COUNTBLANK(AQ154:AT154)&gt;0,"",ROUND(AVERAGE(INDEX('SCORING MASTER'!$D$80:$D$82,MATCH(AQ154,'SCORING MASTER'!$C$80:$C$82,0)),INDEX('SCORING MASTER'!$D$84:$D$86,MATCH(AR154,'SCORING MASTER'!$C$84:$C$86,0)),INDEX('SCORING MASTER'!$D$88:$D$90,MATCH(AS154,'SCORING MASTER'!$C$88:$C$90,0)),INDEX('SCORING MASTER'!$D$92:$D$93,MATCH(AT154,'SCORING MASTER'!$C$92:$C$93,0)))*20,0))</f>
        <v/>
      </c>
      <c r="BL154" s="31" t="str">
        <f aca="false">IF(COUNTBLANK(BA154:BE154)&gt;0,"",ROUND(AVERAGE(INDEX('SCORING MASTER'!$D$113:$D$115,MATCH(BA154,'SCORING MASTER'!$C$113:$C$115,0)),INDEX('SCORING MASTER'!$D$117:$D$119,MATCH(BB154,'SCORING MASTER'!$C$117:$C$119,0)),INDEX('SCORING MASTER'!$D$121:$D$123,MATCH(BC154,'SCORING MASTER'!$C$121:$C$123,0)),INDEX('SCORING MASTER'!$D$125:$D$126,MATCH(BD154,'SCORING MASTER'!$C$125:$C$126,0)),INDEX('SCORING MASTER'!$D$128:$D$129,MATCH(BE154,'SCORING MASTER'!$C$128:$C$129,0)))*20,0))</f>
        <v/>
      </c>
      <c r="BM154" s="31" t="str">
        <f aca="false">IF(OR(BF154="",BG154="",BH154="",BI154="",BJ154="",BK154="",BL154=""),"",ROUND(BF154*0.25+BG154*0.2+BH154*0.15+BI154*0.15+BJ154*0.1+BK154*0.1+BL154*0.05,0))</f>
        <v/>
      </c>
      <c r="BN154" s="31" t="str">
        <f aca="false">IF(OR(BF154="",BG154=""),"",ROUND(BF154*0.5+BG154*0.5,0))</f>
        <v/>
      </c>
      <c r="BO154" s="31" t="str">
        <f aca="false">IF(BN154="","",ROUND(MIN(100,MAX(0,(100-BN154)+IF(AL154="Yes",15,0)+IF(AM154="Yes",15,0)+IF(AND(U154&lt;&gt;"",U154&lt;18.5),20,0))),0))</f>
        <v/>
      </c>
      <c r="BP154" s="28" t="str">
        <f aca="false">IF(BM154="","",IF(BM154&gt;=90,"Green - Healthy",IF(BM154&gt;=75,"Light Green - Mild Watch",IF(BM154&gt;=60,"Yellow - Mild Risk",IF(BM154&gt;=40,"Orange - Moderate Risk","Red - High Risk")))))</f>
        <v/>
      </c>
      <c r="BQ154" s="28" t="str">
        <f aca="false">IF(BM154="","",IF(OR(BM154&lt;60,BO154&gt;=60,AJ154="Yes"),"Yes","No"))</f>
        <v/>
      </c>
      <c r="BR154" s="28" t="str">
        <f aca="false">IF(BM154="","",IF(OR(BP154="Orange - Moderate Risk",BP154="Red - High Risk",BQ154="Yes"),"Yes","No"))</f>
        <v/>
      </c>
    </row>
    <row r="155" customFormat="false" ht="15" hidden="false" customHeight="false" outlineLevel="0" collapsed="false">
      <c r="A155" s="32" t="str">
        <f aca="false">IF(I155="","","STU"&amp;TEXT(ROW()-3,"000000"))</f>
        <v/>
      </c>
      <c r="B155" s="32"/>
      <c r="C155" s="32"/>
      <c r="D155" s="32"/>
      <c r="E155" s="32"/>
      <c r="F155" s="32"/>
      <c r="G155" s="32"/>
      <c r="H155" s="32"/>
      <c r="I155" s="32"/>
      <c r="J155" s="34"/>
      <c r="K155" s="32"/>
      <c r="L155" s="32"/>
      <c r="M155" s="32"/>
      <c r="N155" s="32"/>
      <c r="O155" s="32"/>
      <c r="P155" s="32"/>
      <c r="Q155" s="34"/>
      <c r="R155" s="34"/>
      <c r="S155" s="35" t="str">
        <f aca="false">IF(OR(Q155="",R155=""),"",ROUND(R155/((Q155/100)^2),1))</f>
        <v/>
      </c>
      <c r="T155" s="32" t="str">
        <f aca="false">IF(S155="","",IF(S155&lt;18.5,"Underweight",IF(S155&lt;25,"Normal",IF(S155&lt;30,"Overweight","Obese"))))</f>
        <v/>
      </c>
      <c r="U155" s="34"/>
      <c r="V155" s="34"/>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5" t="str">
        <f aca="false">IF(T155="","",IF(T155="Normal",100,IF(T155="Overweight",65,IF(T155="Obese",50,IF(AND(U155&lt;&gt;"",U155&lt;18.5),30,45)))))</f>
        <v/>
      </c>
      <c r="BG155" s="35" t="str">
        <f aca="false">IF(COUNTBLANK(W155:AC155)&gt;0,"",ROUND(AVERAGE(INDEX('SCORING MASTER'!$D$5:$D$7,MATCH(W155,'SCORING MASTER'!$C$5:$C$7,0)),INDEX('SCORING MASTER'!$D$9:$D$11,MATCH(X155,'SCORING MASTER'!$C$9:$C$11,0)),INDEX('SCORING MASTER'!$D$13:$D$15,MATCH(Y155,'SCORING MASTER'!$C$13:$C$15,0)),INDEX('SCORING MASTER'!$D$17:$D$19,MATCH(Z155,'SCORING MASTER'!$C$17:$C$19,0)),INDEX('SCORING MASTER'!$D$21:$D$23,MATCH(AA155,'SCORING MASTER'!$C$21:$C$23,0)),INDEX('SCORING MASTER'!$D$25:$D$27,MATCH(AB155,'SCORING MASTER'!$C$25:$C$27,0)),INDEX('SCORING MASTER'!$D$29:$D$31,MATCH(AC155,'SCORING MASTER'!$C$29:$C$31,0)))*20,0))</f>
        <v/>
      </c>
      <c r="BH155" s="35" t="str">
        <f aca="false">IF(COUNTBLANK(AD155:AI155)&gt;0,"",ROUND(AVERAGE(INDEX('SCORING MASTER'!$D$33:$D$35,MATCH(AD155,'SCORING MASTER'!$C$33:$C$35,0)),INDEX('SCORING MASTER'!$D$37:$D$39,MATCH(AE155,'SCORING MASTER'!$C$37:$C$39,0)),INDEX('SCORING MASTER'!$D$41:$D$43,MATCH(AF155,'SCORING MASTER'!$C$41:$C$43,0)),INDEX('SCORING MASTER'!$D$45:$D$47,MATCH(AG155,'SCORING MASTER'!$C$45:$C$47,0)),INDEX('SCORING MASTER'!$D$49:$D$52,MATCH(AH155,'SCORING MASTER'!$C$49:$C$52,0)),INDEX('SCORING MASTER'!$D$54:$D$57,MATCH(AI155,'SCORING MASTER'!$C$54:$C$57,0)))*20,0))</f>
        <v/>
      </c>
      <c r="BI155" s="35" t="str">
        <f aca="false">IF(COUNTBLANK(AJ155:AP155)&gt;0,"",ROUND(AVERAGE(INDEX('SCORING MASTER'!$D$59:$D$60,MATCH(AJ155,'SCORING MASTER'!$C$59:$C$60,0)),INDEX('SCORING MASTER'!$D$62:$D$63,MATCH(AK155,'SCORING MASTER'!$C$62:$C$63,0)),INDEX('SCORING MASTER'!$D$65:$D$66,MATCH(AL155,'SCORING MASTER'!$C$65:$C$66,0)),INDEX('SCORING MASTER'!$D$68:$D$69,MATCH(AM155,'SCORING MASTER'!$C$68:$C$69,0)),INDEX('SCORING MASTER'!$D$71:$D$72,MATCH(AN155,'SCORING MASTER'!$C$71:$C$72,0)),INDEX('SCORING MASTER'!$D$74:$D$75,MATCH(AO155,'SCORING MASTER'!$C$74:$C$75,0)),INDEX('SCORING MASTER'!$D$77:$D$78,MATCH(AP155,'SCORING MASTER'!$C$77:$C$78,0)))*20,0))</f>
        <v/>
      </c>
      <c r="BJ155" s="35" t="str">
        <f aca="false">IF(COUNTBLANK(AU155:AZ155)&gt;0,"",ROUND(AVERAGE(INDEX('SCORING MASTER'!$D$95:$D$96,MATCH(AU155,'SCORING MASTER'!$C$95:$C$96,0)),INDEX('SCORING MASTER'!$D$98:$D$99,MATCH(AV155,'SCORING MASTER'!$C$98:$C$99,0)),INDEX('SCORING MASTER'!$D$101:$D$102,MATCH(AW155,'SCORING MASTER'!$C$101:$C$102,0)),INDEX('SCORING MASTER'!$D$104:$D$105,MATCH(AX155,'SCORING MASTER'!$C$104:$C$105,0)),INDEX('SCORING MASTER'!$D$107:$D$108,MATCH(AY155,'SCORING MASTER'!$C$107:$C$108,0)),INDEX('SCORING MASTER'!$D$110:$D$111,MATCH(AZ155,'SCORING MASTER'!$C$110:$C$111,0)))*20,0))</f>
        <v/>
      </c>
      <c r="BK155" s="35" t="str">
        <f aca="false">IF(COUNTBLANK(AQ155:AT155)&gt;0,"",ROUND(AVERAGE(INDEX('SCORING MASTER'!$D$80:$D$82,MATCH(AQ155,'SCORING MASTER'!$C$80:$C$82,0)),INDEX('SCORING MASTER'!$D$84:$D$86,MATCH(AR155,'SCORING MASTER'!$C$84:$C$86,0)),INDEX('SCORING MASTER'!$D$88:$D$90,MATCH(AS155,'SCORING MASTER'!$C$88:$C$90,0)),INDEX('SCORING MASTER'!$D$92:$D$93,MATCH(AT155,'SCORING MASTER'!$C$92:$C$93,0)))*20,0))</f>
        <v/>
      </c>
      <c r="BL155" s="35" t="str">
        <f aca="false">IF(COUNTBLANK(BA155:BE155)&gt;0,"",ROUND(AVERAGE(INDEX('SCORING MASTER'!$D$113:$D$115,MATCH(BA155,'SCORING MASTER'!$C$113:$C$115,0)),INDEX('SCORING MASTER'!$D$117:$D$119,MATCH(BB155,'SCORING MASTER'!$C$117:$C$119,0)),INDEX('SCORING MASTER'!$D$121:$D$123,MATCH(BC155,'SCORING MASTER'!$C$121:$C$123,0)),INDEX('SCORING MASTER'!$D$125:$D$126,MATCH(BD155,'SCORING MASTER'!$C$125:$C$126,0)),INDEX('SCORING MASTER'!$D$128:$D$129,MATCH(BE155,'SCORING MASTER'!$C$128:$C$129,0)))*20,0))</f>
        <v/>
      </c>
      <c r="BM155" s="35" t="str">
        <f aca="false">IF(OR(BF155="",BG155="",BH155="",BI155="",BJ155="",BK155="",BL155=""),"",ROUND(BF155*0.25+BG155*0.2+BH155*0.15+BI155*0.15+BJ155*0.1+BK155*0.1+BL155*0.05,0))</f>
        <v/>
      </c>
      <c r="BN155" s="35" t="str">
        <f aca="false">IF(OR(BF155="",BG155=""),"",ROUND(BF155*0.5+BG155*0.5,0))</f>
        <v/>
      </c>
      <c r="BO155" s="35" t="str">
        <f aca="false">IF(BN155="","",ROUND(MIN(100,MAX(0,(100-BN155)+IF(AL155="Yes",15,0)+IF(AM155="Yes",15,0)+IF(AND(U155&lt;&gt;"",U155&lt;18.5),20,0))),0))</f>
        <v/>
      </c>
      <c r="BP155" s="32" t="str">
        <f aca="false">IF(BM155="","",IF(BM155&gt;=90,"Green - Healthy",IF(BM155&gt;=75,"Light Green - Mild Watch",IF(BM155&gt;=60,"Yellow - Mild Risk",IF(BM155&gt;=40,"Orange - Moderate Risk","Red - High Risk")))))</f>
        <v/>
      </c>
      <c r="BQ155" s="32" t="str">
        <f aca="false">IF(BM155="","",IF(OR(BM155&lt;60,BO155&gt;=60,AJ155="Yes"),"Yes","No"))</f>
        <v/>
      </c>
      <c r="BR155" s="32" t="str">
        <f aca="false">IF(BM155="","",IF(OR(BP155="Orange - Moderate Risk",BP155="Red - High Risk",BQ155="Yes"),"Yes","No"))</f>
        <v/>
      </c>
    </row>
    <row r="156" customFormat="false" ht="15" hidden="false" customHeight="false" outlineLevel="0" collapsed="false">
      <c r="A156" s="28" t="str">
        <f aca="false">IF(I156="","","STU"&amp;TEXT(ROW()-3,"000000"))</f>
        <v/>
      </c>
      <c r="B156" s="28"/>
      <c r="C156" s="28"/>
      <c r="D156" s="28"/>
      <c r="E156" s="28"/>
      <c r="F156" s="28"/>
      <c r="G156" s="28"/>
      <c r="H156" s="28"/>
      <c r="I156" s="28"/>
      <c r="J156" s="30"/>
      <c r="K156" s="28"/>
      <c r="L156" s="28"/>
      <c r="M156" s="28"/>
      <c r="N156" s="28"/>
      <c r="O156" s="28"/>
      <c r="P156" s="28"/>
      <c r="Q156" s="30"/>
      <c r="R156" s="30"/>
      <c r="S156" s="31" t="str">
        <f aca="false">IF(OR(Q156="",R156=""),"",ROUND(R156/((Q156/100)^2),1))</f>
        <v/>
      </c>
      <c r="T156" s="28" t="str">
        <f aca="false">IF(S156="","",IF(S156&lt;18.5,"Underweight",IF(S156&lt;25,"Normal",IF(S156&lt;30,"Overweight","Obese"))))</f>
        <v/>
      </c>
      <c r="U156" s="30"/>
      <c r="V156" s="30"/>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8"/>
      <c r="BF156" s="31" t="str">
        <f aca="false">IF(T156="","",IF(T156="Normal",100,IF(T156="Overweight",65,IF(T156="Obese",50,IF(AND(U156&lt;&gt;"",U156&lt;18.5),30,45)))))</f>
        <v/>
      </c>
      <c r="BG156" s="31" t="str">
        <f aca="false">IF(COUNTBLANK(W156:AC156)&gt;0,"",ROUND(AVERAGE(INDEX('SCORING MASTER'!$D$5:$D$7,MATCH(W156,'SCORING MASTER'!$C$5:$C$7,0)),INDEX('SCORING MASTER'!$D$9:$D$11,MATCH(X156,'SCORING MASTER'!$C$9:$C$11,0)),INDEX('SCORING MASTER'!$D$13:$D$15,MATCH(Y156,'SCORING MASTER'!$C$13:$C$15,0)),INDEX('SCORING MASTER'!$D$17:$D$19,MATCH(Z156,'SCORING MASTER'!$C$17:$C$19,0)),INDEX('SCORING MASTER'!$D$21:$D$23,MATCH(AA156,'SCORING MASTER'!$C$21:$C$23,0)),INDEX('SCORING MASTER'!$D$25:$D$27,MATCH(AB156,'SCORING MASTER'!$C$25:$C$27,0)),INDEX('SCORING MASTER'!$D$29:$D$31,MATCH(AC156,'SCORING MASTER'!$C$29:$C$31,0)))*20,0))</f>
        <v/>
      </c>
      <c r="BH156" s="31" t="str">
        <f aca="false">IF(COUNTBLANK(AD156:AI156)&gt;0,"",ROUND(AVERAGE(INDEX('SCORING MASTER'!$D$33:$D$35,MATCH(AD156,'SCORING MASTER'!$C$33:$C$35,0)),INDEX('SCORING MASTER'!$D$37:$D$39,MATCH(AE156,'SCORING MASTER'!$C$37:$C$39,0)),INDEX('SCORING MASTER'!$D$41:$D$43,MATCH(AF156,'SCORING MASTER'!$C$41:$C$43,0)),INDEX('SCORING MASTER'!$D$45:$D$47,MATCH(AG156,'SCORING MASTER'!$C$45:$C$47,0)),INDEX('SCORING MASTER'!$D$49:$D$52,MATCH(AH156,'SCORING MASTER'!$C$49:$C$52,0)),INDEX('SCORING MASTER'!$D$54:$D$57,MATCH(AI156,'SCORING MASTER'!$C$54:$C$57,0)))*20,0))</f>
        <v/>
      </c>
      <c r="BI156" s="31" t="str">
        <f aca="false">IF(COUNTBLANK(AJ156:AP156)&gt;0,"",ROUND(AVERAGE(INDEX('SCORING MASTER'!$D$59:$D$60,MATCH(AJ156,'SCORING MASTER'!$C$59:$C$60,0)),INDEX('SCORING MASTER'!$D$62:$D$63,MATCH(AK156,'SCORING MASTER'!$C$62:$C$63,0)),INDEX('SCORING MASTER'!$D$65:$D$66,MATCH(AL156,'SCORING MASTER'!$C$65:$C$66,0)),INDEX('SCORING MASTER'!$D$68:$D$69,MATCH(AM156,'SCORING MASTER'!$C$68:$C$69,0)),INDEX('SCORING MASTER'!$D$71:$D$72,MATCH(AN156,'SCORING MASTER'!$C$71:$C$72,0)),INDEX('SCORING MASTER'!$D$74:$D$75,MATCH(AO156,'SCORING MASTER'!$C$74:$C$75,0)),INDEX('SCORING MASTER'!$D$77:$D$78,MATCH(AP156,'SCORING MASTER'!$C$77:$C$78,0)))*20,0))</f>
        <v/>
      </c>
      <c r="BJ156" s="31" t="str">
        <f aca="false">IF(COUNTBLANK(AU156:AZ156)&gt;0,"",ROUND(AVERAGE(INDEX('SCORING MASTER'!$D$95:$D$96,MATCH(AU156,'SCORING MASTER'!$C$95:$C$96,0)),INDEX('SCORING MASTER'!$D$98:$D$99,MATCH(AV156,'SCORING MASTER'!$C$98:$C$99,0)),INDEX('SCORING MASTER'!$D$101:$D$102,MATCH(AW156,'SCORING MASTER'!$C$101:$C$102,0)),INDEX('SCORING MASTER'!$D$104:$D$105,MATCH(AX156,'SCORING MASTER'!$C$104:$C$105,0)),INDEX('SCORING MASTER'!$D$107:$D$108,MATCH(AY156,'SCORING MASTER'!$C$107:$C$108,0)),INDEX('SCORING MASTER'!$D$110:$D$111,MATCH(AZ156,'SCORING MASTER'!$C$110:$C$111,0)))*20,0))</f>
        <v/>
      </c>
      <c r="BK156" s="31" t="str">
        <f aca="false">IF(COUNTBLANK(AQ156:AT156)&gt;0,"",ROUND(AVERAGE(INDEX('SCORING MASTER'!$D$80:$D$82,MATCH(AQ156,'SCORING MASTER'!$C$80:$C$82,0)),INDEX('SCORING MASTER'!$D$84:$D$86,MATCH(AR156,'SCORING MASTER'!$C$84:$C$86,0)),INDEX('SCORING MASTER'!$D$88:$D$90,MATCH(AS156,'SCORING MASTER'!$C$88:$C$90,0)),INDEX('SCORING MASTER'!$D$92:$D$93,MATCH(AT156,'SCORING MASTER'!$C$92:$C$93,0)))*20,0))</f>
        <v/>
      </c>
      <c r="BL156" s="31" t="str">
        <f aca="false">IF(COUNTBLANK(BA156:BE156)&gt;0,"",ROUND(AVERAGE(INDEX('SCORING MASTER'!$D$113:$D$115,MATCH(BA156,'SCORING MASTER'!$C$113:$C$115,0)),INDEX('SCORING MASTER'!$D$117:$D$119,MATCH(BB156,'SCORING MASTER'!$C$117:$C$119,0)),INDEX('SCORING MASTER'!$D$121:$D$123,MATCH(BC156,'SCORING MASTER'!$C$121:$C$123,0)),INDEX('SCORING MASTER'!$D$125:$D$126,MATCH(BD156,'SCORING MASTER'!$C$125:$C$126,0)),INDEX('SCORING MASTER'!$D$128:$D$129,MATCH(BE156,'SCORING MASTER'!$C$128:$C$129,0)))*20,0))</f>
        <v/>
      </c>
      <c r="BM156" s="31" t="str">
        <f aca="false">IF(OR(BF156="",BG156="",BH156="",BI156="",BJ156="",BK156="",BL156=""),"",ROUND(BF156*0.25+BG156*0.2+BH156*0.15+BI156*0.15+BJ156*0.1+BK156*0.1+BL156*0.05,0))</f>
        <v/>
      </c>
      <c r="BN156" s="31" t="str">
        <f aca="false">IF(OR(BF156="",BG156=""),"",ROUND(BF156*0.5+BG156*0.5,0))</f>
        <v/>
      </c>
      <c r="BO156" s="31" t="str">
        <f aca="false">IF(BN156="","",ROUND(MIN(100,MAX(0,(100-BN156)+IF(AL156="Yes",15,0)+IF(AM156="Yes",15,0)+IF(AND(U156&lt;&gt;"",U156&lt;18.5),20,0))),0))</f>
        <v/>
      </c>
      <c r="BP156" s="28" t="str">
        <f aca="false">IF(BM156="","",IF(BM156&gt;=90,"Green - Healthy",IF(BM156&gt;=75,"Light Green - Mild Watch",IF(BM156&gt;=60,"Yellow - Mild Risk",IF(BM156&gt;=40,"Orange - Moderate Risk","Red - High Risk")))))</f>
        <v/>
      </c>
      <c r="BQ156" s="28" t="str">
        <f aca="false">IF(BM156="","",IF(OR(BM156&lt;60,BO156&gt;=60,AJ156="Yes"),"Yes","No"))</f>
        <v/>
      </c>
      <c r="BR156" s="28" t="str">
        <f aca="false">IF(BM156="","",IF(OR(BP156="Orange - Moderate Risk",BP156="Red - High Risk",BQ156="Yes"),"Yes","No"))</f>
        <v/>
      </c>
    </row>
    <row r="157" customFormat="false" ht="15" hidden="false" customHeight="false" outlineLevel="0" collapsed="false">
      <c r="A157" s="32" t="str">
        <f aca="false">IF(I157="","","STU"&amp;TEXT(ROW()-3,"000000"))</f>
        <v/>
      </c>
      <c r="B157" s="32"/>
      <c r="C157" s="32"/>
      <c r="D157" s="32"/>
      <c r="E157" s="32"/>
      <c r="F157" s="32"/>
      <c r="G157" s="32"/>
      <c r="H157" s="32"/>
      <c r="I157" s="32"/>
      <c r="J157" s="34"/>
      <c r="K157" s="32"/>
      <c r="L157" s="32"/>
      <c r="M157" s="32"/>
      <c r="N157" s="32"/>
      <c r="O157" s="32"/>
      <c r="P157" s="32"/>
      <c r="Q157" s="34"/>
      <c r="R157" s="34"/>
      <c r="S157" s="35" t="str">
        <f aca="false">IF(OR(Q157="",R157=""),"",ROUND(R157/((Q157/100)^2),1))</f>
        <v/>
      </c>
      <c r="T157" s="32" t="str">
        <f aca="false">IF(S157="","",IF(S157&lt;18.5,"Underweight",IF(S157&lt;25,"Normal",IF(S157&lt;30,"Overweight","Obese"))))</f>
        <v/>
      </c>
      <c r="U157" s="34"/>
      <c r="V157" s="34"/>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5" t="str">
        <f aca="false">IF(T157="","",IF(T157="Normal",100,IF(T157="Overweight",65,IF(T157="Obese",50,IF(AND(U157&lt;&gt;"",U157&lt;18.5),30,45)))))</f>
        <v/>
      </c>
      <c r="BG157" s="35" t="str">
        <f aca="false">IF(COUNTBLANK(W157:AC157)&gt;0,"",ROUND(AVERAGE(INDEX('SCORING MASTER'!$D$5:$D$7,MATCH(W157,'SCORING MASTER'!$C$5:$C$7,0)),INDEX('SCORING MASTER'!$D$9:$D$11,MATCH(X157,'SCORING MASTER'!$C$9:$C$11,0)),INDEX('SCORING MASTER'!$D$13:$D$15,MATCH(Y157,'SCORING MASTER'!$C$13:$C$15,0)),INDEX('SCORING MASTER'!$D$17:$D$19,MATCH(Z157,'SCORING MASTER'!$C$17:$C$19,0)),INDEX('SCORING MASTER'!$D$21:$D$23,MATCH(AA157,'SCORING MASTER'!$C$21:$C$23,0)),INDEX('SCORING MASTER'!$D$25:$D$27,MATCH(AB157,'SCORING MASTER'!$C$25:$C$27,0)),INDEX('SCORING MASTER'!$D$29:$D$31,MATCH(AC157,'SCORING MASTER'!$C$29:$C$31,0)))*20,0))</f>
        <v/>
      </c>
      <c r="BH157" s="35" t="str">
        <f aca="false">IF(COUNTBLANK(AD157:AI157)&gt;0,"",ROUND(AVERAGE(INDEX('SCORING MASTER'!$D$33:$D$35,MATCH(AD157,'SCORING MASTER'!$C$33:$C$35,0)),INDEX('SCORING MASTER'!$D$37:$D$39,MATCH(AE157,'SCORING MASTER'!$C$37:$C$39,0)),INDEX('SCORING MASTER'!$D$41:$D$43,MATCH(AF157,'SCORING MASTER'!$C$41:$C$43,0)),INDEX('SCORING MASTER'!$D$45:$D$47,MATCH(AG157,'SCORING MASTER'!$C$45:$C$47,0)),INDEX('SCORING MASTER'!$D$49:$D$52,MATCH(AH157,'SCORING MASTER'!$C$49:$C$52,0)),INDEX('SCORING MASTER'!$D$54:$D$57,MATCH(AI157,'SCORING MASTER'!$C$54:$C$57,0)))*20,0))</f>
        <v/>
      </c>
      <c r="BI157" s="35" t="str">
        <f aca="false">IF(COUNTBLANK(AJ157:AP157)&gt;0,"",ROUND(AVERAGE(INDEX('SCORING MASTER'!$D$59:$D$60,MATCH(AJ157,'SCORING MASTER'!$C$59:$C$60,0)),INDEX('SCORING MASTER'!$D$62:$D$63,MATCH(AK157,'SCORING MASTER'!$C$62:$C$63,0)),INDEX('SCORING MASTER'!$D$65:$D$66,MATCH(AL157,'SCORING MASTER'!$C$65:$C$66,0)),INDEX('SCORING MASTER'!$D$68:$D$69,MATCH(AM157,'SCORING MASTER'!$C$68:$C$69,0)),INDEX('SCORING MASTER'!$D$71:$D$72,MATCH(AN157,'SCORING MASTER'!$C$71:$C$72,0)),INDEX('SCORING MASTER'!$D$74:$D$75,MATCH(AO157,'SCORING MASTER'!$C$74:$C$75,0)),INDEX('SCORING MASTER'!$D$77:$D$78,MATCH(AP157,'SCORING MASTER'!$C$77:$C$78,0)))*20,0))</f>
        <v/>
      </c>
      <c r="BJ157" s="35" t="str">
        <f aca="false">IF(COUNTBLANK(AU157:AZ157)&gt;0,"",ROUND(AVERAGE(INDEX('SCORING MASTER'!$D$95:$D$96,MATCH(AU157,'SCORING MASTER'!$C$95:$C$96,0)),INDEX('SCORING MASTER'!$D$98:$D$99,MATCH(AV157,'SCORING MASTER'!$C$98:$C$99,0)),INDEX('SCORING MASTER'!$D$101:$D$102,MATCH(AW157,'SCORING MASTER'!$C$101:$C$102,0)),INDEX('SCORING MASTER'!$D$104:$D$105,MATCH(AX157,'SCORING MASTER'!$C$104:$C$105,0)),INDEX('SCORING MASTER'!$D$107:$D$108,MATCH(AY157,'SCORING MASTER'!$C$107:$C$108,0)),INDEX('SCORING MASTER'!$D$110:$D$111,MATCH(AZ157,'SCORING MASTER'!$C$110:$C$111,0)))*20,0))</f>
        <v/>
      </c>
      <c r="BK157" s="35" t="str">
        <f aca="false">IF(COUNTBLANK(AQ157:AT157)&gt;0,"",ROUND(AVERAGE(INDEX('SCORING MASTER'!$D$80:$D$82,MATCH(AQ157,'SCORING MASTER'!$C$80:$C$82,0)),INDEX('SCORING MASTER'!$D$84:$D$86,MATCH(AR157,'SCORING MASTER'!$C$84:$C$86,0)),INDEX('SCORING MASTER'!$D$88:$D$90,MATCH(AS157,'SCORING MASTER'!$C$88:$C$90,0)),INDEX('SCORING MASTER'!$D$92:$D$93,MATCH(AT157,'SCORING MASTER'!$C$92:$C$93,0)))*20,0))</f>
        <v/>
      </c>
      <c r="BL157" s="35" t="str">
        <f aca="false">IF(COUNTBLANK(BA157:BE157)&gt;0,"",ROUND(AVERAGE(INDEX('SCORING MASTER'!$D$113:$D$115,MATCH(BA157,'SCORING MASTER'!$C$113:$C$115,0)),INDEX('SCORING MASTER'!$D$117:$D$119,MATCH(BB157,'SCORING MASTER'!$C$117:$C$119,0)),INDEX('SCORING MASTER'!$D$121:$D$123,MATCH(BC157,'SCORING MASTER'!$C$121:$C$123,0)),INDEX('SCORING MASTER'!$D$125:$D$126,MATCH(BD157,'SCORING MASTER'!$C$125:$C$126,0)),INDEX('SCORING MASTER'!$D$128:$D$129,MATCH(BE157,'SCORING MASTER'!$C$128:$C$129,0)))*20,0))</f>
        <v/>
      </c>
      <c r="BM157" s="35" t="str">
        <f aca="false">IF(OR(BF157="",BG157="",BH157="",BI157="",BJ157="",BK157="",BL157=""),"",ROUND(BF157*0.25+BG157*0.2+BH157*0.15+BI157*0.15+BJ157*0.1+BK157*0.1+BL157*0.05,0))</f>
        <v/>
      </c>
      <c r="BN157" s="35" t="str">
        <f aca="false">IF(OR(BF157="",BG157=""),"",ROUND(BF157*0.5+BG157*0.5,0))</f>
        <v/>
      </c>
      <c r="BO157" s="35" t="str">
        <f aca="false">IF(BN157="","",ROUND(MIN(100,MAX(0,(100-BN157)+IF(AL157="Yes",15,0)+IF(AM157="Yes",15,0)+IF(AND(U157&lt;&gt;"",U157&lt;18.5),20,0))),0))</f>
        <v/>
      </c>
      <c r="BP157" s="32" t="str">
        <f aca="false">IF(BM157="","",IF(BM157&gt;=90,"Green - Healthy",IF(BM157&gt;=75,"Light Green - Mild Watch",IF(BM157&gt;=60,"Yellow - Mild Risk",IF(BM157&gt;=40,"Orange - Moderate Risk","Red - High Risk")))))</f>
        <v/>
      </c>
      <c r="BQ157" s="32" t="str">
        <f aca="false">IF(BM157="","",IF(OR(BM157&lt;60,BO157&gt;=60,AJ157="Yes"),"Yes","No"))</f>
        <v/>
      </c>
      <c r="BR157" s="32" t="str">
        <f aca="false">IF(BM157="","",IF(OR(BP157="Orange - Moderate Risk",BP157="Red - High Risk",BQ157="Yes"),"Yes","No"))</f>
        <v/>
      </c>
    </row>
    <row r="158" customFormat="false" ht="15" hidden="false" customHeight="false" outlineLevel="0" collapsed="false">
      <c r="A158" s="28" t="str">
        <f aca="false">IF(I158="","","STU"&amp;TEXT(ROW()-3,"000000"))</f>
        <v/>
      </c>
      <c r="B158" s="28"/>
      <c r="C158" s="28"/>
      <c r="D158" s="28"/>
      <c r="E158" s="28"/>
      <c r="F158" s="28"/>
      <c r="G158" s="28"/>
      <c r="H158" s="28"/>
      <c r="I158" s="28"/>
      <c r="J158" s="30"/>
      <c r="K158" s="28"/>
      <c r="L158" s="28"/>
      <c r="M158" s="28"/>
      <c r="N158" s="28"/>
      <c r="O158" s="28"/>
      <c r="P158" s="28"/>
      <c r="Q158" s="30"/>
      <c r="R158" s="30"/>
      <c r="S158" s="31" t="str">
        <f aca="false">IF(OR(Q158="",R158=""),"",ROUND(R158/((Q158/100)^2),1))</f>
        <v/>
      </c>
      <c r="T158" s="28" t="str">
        <f aca="false">IF(S158="","",IF(S158&lt;18.5,"Underweight",IF(S158&lt;25,"Normal",IF(S158&lt;30,"Overweight","Obese"))))</f>
        <v/>
      </c>
      <c r="U158" s="30"/>
      <c r="V158" s="30"/>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31" t="str">
        <f aca="false">IF(T158="","",IF(T158="Normal",100,IF(T158="Overweight",65,IF(T158="Obese",50,IF(AND(U158&lt;&gt;"",U158&lt;18.5),30,45)))))</f>
        <v/>
      </c>
      <c r="BG158" s="31" t="str">
        <f aca="false">IF(COUNTBLANK(W158:AC158)&gt;0,"",ROUND(AVERAGE(INDEX('SCORING MASTER'!$D$5:$D$7,MATCH(W158,'SCORING MASTER'!$C$5:$C$7,0)),INDEX('SCORING MASTER'!$D$9:$D$11,MATCH(X158,'SCORING MASTER'!$C$9:$C$11,0)),INDEX('SCORING MASTER'!$D$13:$D$15,MATCH(Y158,'SCORING MASTER'!$C$13:$C$15,0)),INDEX('SCORING MASTER'!$D$17:$D$19,MATCH(Z158,'SCORING MASTER'!$C$17:$C$19,0)),INDEX('SCORING MASTER'!$D$21:$D$23,MATCH(AA158,'SCORING MASTER'!$C$21:$C$23,0)),INDEX('SCORING MASTER'!$D$25:$D$27,MATCH(AB158,'SCORING MASTER'!$C$25:$C$27,0)),INDEX('SCORING MASTER'!$D$29:$D$31,MATCH(AC158,'SCORING MASTER'!$C$29:$C$31,0)))*20,0))</f>
        <v/>
      </c>
      <c r="BH158" s="31" t="str">
        <f aca="false">IF(COUNTBLANK(AD158:AI158)&gt;0,"",ROUND(AVERAGE(INDEX('SCORING MASTER'!$D$33:$D$35,MATCH(AD158,'SCORING MASTER'!$C$33:$C$35,0)),INDEX('SCORING MASTER'!$D$37:$D$39,MATCH(AE158,'SCORING MASTER'!$C$37:$C$39,0)),INDEX('SCORING MASTER'!$D$41:$D$43,MATCH(AF158,'SCORING MASTER'!$C$41:$C$43,0)),INDEX('SCORING MASTER'!$D$45:$D$47,MATCH(AG158,'SCORING MASTER'!$C$45:$C$47,0)),INDEX('SCORING MASTER'!$D$49:$D$52,MATCH(AH158,'SCORING MASTER'!$C$49:$C$52,0)),INDEX('SCORING MASTER'!$D$54:$D$57,MATCH(AI158,'SCORING MASTER'!$C$54:$C$57,0)))*20,0))</f>
        <v/>
      </c>
      <c r="BI158" s="31" t="str">
        <f aca="false">IF(COUNTBLANK(AJ158:AP158)&gt;0,"",ROUND(AVERAGE(INDEX('SCORING MASTER'!$D$59:$D$60,MATCH(AJ158,'SCORING MASTER'!$C$59:$C$60,0)),INDEX('SCORING MASTER'!$D$62:$D$63,MATCH(AK158,'SCORING MASTER'!$C$62:$C$63,0)),INDEX('SCORING MASTER'!$D$65:$D$66,MATCH(AL158,'SCORING MASTER'!$C$65:$C$66,0)),INDEX('SCORING MASTER'!$D$68:$D$69,MATCH(AM158,'SCORING MASTER'!$C$68:$C$69,0)),INDEX('SCORING MASTER'!$D$71:$D$72,MATCH(AN158,'SCORING MASTER'!$C$71:$C$72,0)),INDEX('SCORING MASTER'!$D$74:$D$75,MATCH(AO158,'SCORING MASTER'!$C$74:$C$75,0)),INDEX('SCORING MASTER'!$D$77:$D$78,MATCH(AP158,'SCORING MASTER'!$C$77:$C$78,0)))*20,0))</f>
        <v/>
      </c>
      <c r="BJ158" s="31" t="str">
        <f aca="false">IF(COUNTBLANK(AU158:AZ158)&gt;0,"",ROUND(AVERAGE(INDEX('SCORING MASTER'!$D$95:$D$96,MATCH(AU158,'SCORING MASTER'!$C$95:$C$96,0)),INDEX('SCORING MASTER'!$D$98:$D$99,MATCH(AV158,'SCORING MASTER'!$C$98:$C$99,0)),INDEX('SCORING MASTER'!$D$101:$D$102,MATCH(AW158,'SCORING MASTER'!$C$101:$C$102,0)),INDEX('SCORING MASTER'!$D$104:$D$105,MATCH(AX158,'SCORING MASTER'!$C$104:$C$105,0)),INDEX('SCORING MASTER'!$D$107:$D$108,MATCH(AY158,'SCORING MASTER'!$C$107:$C$108,0)),INDEX('SCORING MASTER'!$D$110:$D$111,MATCH(AZ158,'SCORING MASTER'!$C$110:$C$111,0)))*20,0))</f>
        <v/>
      </c>
      <c r="BK158" s="31" t="str">
        <f aca="false">IF(COUNTBLANK(AQ158:AT158)&gt;0,"",ROUND(AVERAGE(INDEX('SCORING MASTER'!$D$80:$D$82,MATCH(AQ158,'SCORING MASTER'!$C$80:$C$82,0)),INDEX('SCORING MASTER'!$D$84:$D$86,MATCH(AR158,'SCORING MASTER'!$C$84:$C$86,0)),INDEX('SCORING MASTER'!$D$88:$D$90,MATCH(AS158,'SCORING MASTER'!$C$88:$C$90,0)),INDEX('SCORING MASTER'!$D$92:$D$93,MATCH(AT158,'SCORING MASTER'!$C$92:$C$93,0)))*20,0))</f>
        <v/>
      </c>
      <c r="BL158" s="31" t="str">
        <f aca="false">IF(COUNTBLANK(BA158:BE158)&gt;0,"",ROUND(AVERAGE(INDEX('SCORING MASTER'!$D$113:$D$115,MATCH(BA158,'SCORING MASTER'!$C$113:$C$115,0)),INDEX('SCORING MASTER'!$D$117:$D$119,MATCH(BB158,'SCORING MASTER'!$C$117:$C$119,0)),INDEX('SCORING MASTER'!$D$121:$D$123,MATCH(BC158,'SCORING MASTER'!$C$121:$C$123,0)),INDEX('SCORING MASTER'!$D$125:$D$126,MATCH(BD158,'SCORING MASTER'!$C$125:$C$126,0)),INDEX('SCORING MASTER'!$D$128:$D$129,MATCH(BE158,'SCORING MASTER'!$C$128:$C$129,0)))*20,0))</f>
        <v/>
      </c>
      <c r="BM158" s="31" t="str">
        <f aca="false">IF(OR(BF158="",BG158="",BH158="",BI158="",BJ158="",BK158="",BL158=""),"",ROUND(BF158*0.25+BG158*0.2+BH158*0.15+BI158*0.15+BJ158*0.1+BK158*0.1+BL158*0.05,0))</f>
        <v/>
      </c>
      <c r="BN158" s="31" t="str">
        <f aca="false">IF(OR(BF158="",BG158=""),"",ROUND(BF158*0.5+BG158*0.5,0))</f>
        <v/>
      </c>
      <c r="BO158" s="31" t="str">
        <f aca="false">IF(BN158="","",ROUND(MIN(100,MAX(0,(100-BN158)+IF(AL158="Yes",15,0)+IF(AM158="Yes",15,0)+IF(AND(U158&lt;&gt;"",U158&lt;18.5),20,0))),0))</f>
        <v/>
      </c>
      <c r="BP158" s="28" t="str">
        <f aca="false">IF(BM158="","",IF(BM158&gt;=90,"Green - Healthy",IF(BM158&gt;=75,"Light Green - Mild Watch",IF(BM158&gt;=60,"Yellow - Mild Risk",IF(BM158&gt;=40,"Orange - Moderate Risk","Red - High Risk")))))</f>
        <v/>
      </c>
      <c r="BQ158" s="28" t="str">
        <f aca="false">IF(BM158="","",IF(OR(BM158&lt;60,BO158&gt;=60,AJ158="Yes"),"Yes","No"))</f>
        <v/>
      </c>
      <c r="BR158" s="28" t="str">
        <f aca="false">IF(BM158="","",IF(OR(BP158="Orange - Moderate Risk",BP158="Red - High Risk",BQ158="Yes"),"Yes","No"))</f>
        <v/>
      </c>
    </row>
    <row r="159" customFormat="false" ht="15" hidden="false" customHeight="false" outlineLevel="0" collapsed="false">
      <c r="A159" s="32" t="str">
        <f aca="false">IF(I159="","","STU"&amp;TEXT(ROW()-3,"000000"))</f>
        <v/>
      </c>
      <c r="B159" s="32"/>
      <c r="C159" s="32"/>
      <c r="D159" s="32"/>
      <c r="E159" s="32"/>
      <c r="F159" s="32"/>
      <c r="G159" s="32"/>
      <c r="H159" s="32"/>
      <c r="I159" s="32"/>
      <c r="J159" s="34"/>
      <c r="K159" s="32"/>
      <c r="L159" s="32"/>
      <c r="M159" s="32"/>
      <c r="N159" s="32"/>
      <c r="O159" s="32"/>
      <c r="P159" s="32"/>
      <c r="Q159" s="34"/>
      <c r="R159" s="34"/>
      <c r="S159" s="35" t="str">
        <f aca="false">IF(OR(Q159="",R159=""),"",ROUND(R159/((Q159/100)^2),1))</f>
        <v/>
      </c>
      <c r="T159" s="32" t="str">
        <f aca="false">IF(S159="","",IF(S159&lt;18.5,"Underweight",IF(S159&lt;25,"Normal",IF(S159&lt;30,"Overweight","Obese"))))</f>
        <v/>
      </c>
      <c r="U159" s="34"/>
      <c r="V159" s="34"/>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5" t="str">
        <f aca="false">IF(T159="","",IF(T159="Normal",100,IF(T159="Overweight",65,IF(T159="Obese",50,IF(AND(U159&lt;&gt;"",U159&lt;18.5),30,45)))))</f>
        <v/>
      </c>
      <c r="BG159" s="35" t="str">
        <f aca="false">IF(COUNTBLANK(W159:AC159)&gt;0,"",ROUND(AVERAGE(INDEX('SCORING MASTER'!$D$5:$D$7,MATCH(W159,'SCORING MASTER'!$C$5:$C$7,0)),INDEX('SCORING MASTER'!$D$9:$D$11,MATCH(X159,'SCORING MASTER'!$C$9:$C$11,0)),INDEX('SCORING MASTER'!$D$13:$D$15,MATCH(Y159,'SCORING MASTER'!$C$13:$C$15,0)),INDEX('SCORING MASTER'!$D$17:$D$19,MATCH(Z159,'SCORING MASTER'!$C$17:$C$19,0)),INDEX('SCORING MASTER'!$D$21:$D$23,MATCH(AA159,'SCORING MASTER'!$C$21:$C$23,0)),INDEX('SCORING MASTER'!$D$25:$D$27,MATCH(AB159,'SCORING MASTER'!$C$25:$C$27,0)),INDEX('SCORING MASTER'!$D$29:$D$31,MATCH(AC159,'SCORING MASTER'!$C$29:$C$31,0)))*20,0))</f>
        <v/>
      </c>
      <c r="BH159" s="35" t="str">
        <f aca="false">IF(COUNTBLANK(AD159:AI159)&gt;0,"",ROUND(AVERAGE(INDEX('SCORING MASTER'!$D$33:$D$35,MATCH(AD159,'SCORING MASTER'!$C$33:$C$35,0)),INDEX('SCORING MASTER'!$D$37:$D$39,MATCH(AE159,'SCORING MASTER'!$C$37:$C$39,0)),INDEX('SCORING MASTER'!$D$41:$D$43,MATCH(AF159,'SCORING MASTER'!$C$41:$C$43,0)),INDEX('SCORING MASTER'!$D$45:$D$47,MATCH(AG159,'SCORING MASTER'!$C$45:$C$47,0)),INDEX('SCORING MASTER'!$D$49:$D$52,MATCH(AH159,'SCORING MASTER'!$C$49:$C$52,0)),INDEX('SCORING MASTER'!$D$54:$D$57,MATCH(AI159,'SCORING MASTER'!$C$54:$C$57,0)))*20,0))</f>
        <v/>
      </c>
      <c r="BI159" s="35" t="str">
        <f aca="false">IF(COUNTBLANK(AJ159:AP159)&gt;0,"",ROUND(AVERAGE(INDEX('SCORING MASTER'!$D$59:$D$60,MATCH(AJ159,'SCORING MASTER'!$C$59:$C$60,0)),INDEX('SCORING MASTER'!$D$62:$D$63,MATCH(AK159,'SCORING MASTER'!$C$62:$C$63,0)),INDEX('SCORING MASTER'!$D$65:$D$66,MATCH(AL159,'SCORING MASTER'!$C$65:$C$66,0)),INDEX('SCORING MASTER'!$D$68:$D$69,MATCH(AM159,'SCORING MASTER'!$C$68:$C$69,0)),INDEX('SCORING MASTER'!$D$71:$D$72,MATCH(AN159,'SCORING MASTER'!$C$71:$C$72,0)),INDEX('SCORING MASTER'!$D$74:$D$75,MATCH(AO159,'SCORING MASTER'!$C$74:$C$75,0)),INDEX('SCORING MASTER'!$D$77:$D$78,MATCH(AP159,'SCORING MASTER'!$C$77:$C$78,0)))*20,0))</f>
        <v/>
      </c>
      <c r="BJ159" s="35" t="str">
        <f aca="false">IF(COUNTBLANK(AU159:AZ159)&gt;0,"",ROUND(AVERAGE(INDEX('SCORING MASTER'!$D$95:$D$96,MATCH(AU159,'SCORING MASTER'!$C$95:$C$96,0)),INDEX('SCORING MASTER'!$D$98:$D$99,MATCH(AV159,'SCORING MASTER'!$C$98:$C$99,0)),INDEX('SCORING MASTER'!$D$101:$D$102,MATCH(AW159,'SCORING MASTER'!$C$101:$C$102,0)),INDEX('SCORING MASTER'!$D$104:$D$105,MATCH(AX159,'SCORING MASTER'!$C$104:$C$105,0)),INDEX('SCORING MASTER'!$D$107:$D$108,MATCH(AY159,'SCORING MASTER'!$C$107:$C$108,0)),INDEX('SCORING MASTER'!$D$110:$D$111,MATCH(AZ159,'SCORING MASTER'!$C$110:$C$111,0)))*20,0))</f>
        <v/>
      </c>
      <c r="BK159" s="35" t="str">
        <f aca="false">IF(COUNTBLANK(AQ159:AT159)&gt;0,"",ROUND(AVERAGE(INDEX('SCORING MASTER'!$D$80:$D$82,MATCH(AQ159,'SCORING MASTER'!$C$80:$C$82,0)),INDEX('SCORING MASTER'!$D$84:$D$86,MATCH(AR159,'SCORING MASTER'!$C$84:$C$86,0)),INDEX('SCORING MASTER'!$D$88:$D$90,MATCH(AS159,'SCORING MASTER'!$C$88:$C$90,0)),INDEX('SCORING MASTER'!$D$92:$D$93,MATCH(AT159,'SCORING MASTER'!$C$92:$C$93,0)))*20,0))</f>
        <v/>
      </c>
      <c r="BL159" s="35" t="str">
        <f aca="false">IF(COUNTBLANK(BA159:BE159)&gt;0,"",ROUND(AVERAGE(INDEX('SCORING MASTER'!$D$113:$D$115,MATCH(BA159,'SCORING MASTER'!$C$113:$C$115,0)),INDEX('SCORING MASTER'!$D$117:$D$119,MATCH(BB159,'SCORING MASTER'!$C$117:$C$119,0)),INDEX('SCORING MASTER'!$D$121:$D$123,MATCH(BC159,'SCORING MASTER'!$C$121:$C$123,0)),INDEX('SCORING MASTER'!$D$125:$D$126,MATCH(BD159,'SCORING MASTER'!$C$125:$C$126,0)),INDEX('SCORING MASTER'!$D$128:$D$129,MATCH(BE159,'SCORING MASTER'!$C$128:$C$129,0)))*20,0))</f>
        <v/>
      </c>
      <c r="BM159" s="35" t="str">
        <f aca="false">IF(OR(BF159="",BG159="",BH159="",BI159="",BJ159="",BK159="",BL159=""),"",ROUND(BF159*0.25+BG159*0.2+BH159*0.15+BI159*0.15+BJ159*0.1+BK159*0.1+BL159*0.05,0))</f>
        <v/>
      </c>
      <c r="BN159" s="35" t="str">
        <f aca="false">IF(OR(BF159="",BG159=""),"",ROUND(BF159*0.5+BG159*0.5,0))</f>
        <v/>
      </c>
      <c r="BO159" s="35" t="str">
        <f aca="false">IF(BN159="","",ROUND(MIN(100,MAX(0,(100-BN159)+IF(AL159="Yes",15,0)+IF(AM159="Yes",15,0)+IF(AND(U159&lt;&gt;"",U159&lt;18.5),20,0))),0))</f>
        <v/>
      </c>
      <c r="BP159" s="32" t="str">
        <f aca="false">IF(BM159="","",IF(BM159&gt;=90,"Green - Healthy",IF(BM159&gt;=75,"Light Green - Mild Watch",IF(BM159&gt;=60,"Yellow - Mild Risk",IF(BM159&gt;=40,"Orange - Moderate Risk","Red - High Risk")))))</f>
        <v/>
      </c>
      <c r="BQ159" s="32" t="str">
        <f aca="false">IF(BM159="","",IF(OR(BM159&lt;60,BO159&gt;=60,AJ159="Yes"),"Yes","No"))</f>
        <v/>
      </c>
      <c r="BR159" s="32" t="str">
        <f aca="false">IF(BM159="","",IF(OR(BP159="Orange - Moderate Risk",BP159="Red - High Risk",BQ159="Yes"),"Yes","No"))</f>
        <v/>
      </c>
    </row>
    <row r="160" customFormat="false" ht="15" hidden="false" customHeight="false" outlineLevel="0" collapsed="false">
      <c r="A160" s="28" t="str">
        <f aca="false">IF(I160="","","STU"&amp;TEXT(ROW()-3,"000000"))</f>
        <v/>
      </c>
      <c r="B160" s="28"/>
      <c r="C160" s="28"/>
      <c r="D160" s="28"/>
      <c r="E160" s="28"/>
      <c r="F160" s="28"/>
      <c r="G160" s="28"/>
      <c r="H160" s="28"/>
      <c r="I160" s="28"/>
      <c r="J160" s="30"/>
      <c r="K160" s="28"/>
      <c r="L160" s="28"/>
      <c r="M160" s="28"/>
      <c r="N160" s="28"/>
      <c r="O160" s="28"/>
      <c r="P160" s="28"/>
      <c r="Q160" s="30"/>
      <c r="R160" s="30"/>
      <c r="S160" s="31" t="str">
        <f aca="false">IF(OR(Q160="",R160=""),"",ROUND(R160/((Q160/100)^2),1))</f>
        <v/>
      </c>
      <c r="T160" s="28" t="str">
        <f aca="false">IF(S160="","",IF(S160&lt;18.5,"Underweight",IF(S160&lt;25,"Normal",IF(S160&lt;30,"Overweight","Obese"))))</f>
        <v/>
      </c>
      <c r="U160" s="30"/>
      <c r="V160" s="30"/>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31" t="str">
        <f aca="false">IF(T160="","",IF(T160="Normal",100,IF(T160="Overweight",65,IF(T160="Obese",50,IF(AND(U160&lt;&gt;"",U160&lt;18.5),30,45)))))</f>
        <v/>
      </c>
      <c r="BG160" s="31" t="str">
        <f aca="false">IF(COUNTBLANK(W160:AC160)&gt;0,"",ROUND(AVERAGE(INDEX('SCORING MASTER'!$D$5:$D$7,MATCH(W160,'SCORING MASTER'!$C$5:$C$7,0)),INDEX('SCORING MASTER'!$D$9:$D$11,MATCH(X160,'SCORING MASTER'!$C$9:$C$11,0)),INDEX('SCORING MASTER'!$D$13:$D$15,MATCH(Y160,'SCORING MASTER'!$C$13:$C$15,0)),INDEX('SCORING MASTER'!$D$17:$D$19,MATCH(Z160,'SCORING MASTER'!$C$17:$C$19,0)),INDEX('SCORING MASTER'!$D$21:$D$23,MATCH(AA160,'SCORING MASTER'!$C$21:$C$23,0)),INDEX('SCORING MASTER'!$D$25:$D$27,MATCH(AB160,'SCORING MASTER'!$C$25:$C$27,0)),INDEX('SCORING MASTER'!$D$29:$D$31,MATCH(AC160,'SCORING MASTER'!$C$29:$C$31,0)))*20,0))</f>
        <v/>
      </c>
      <c r="BH160" s="31" t="str">
        <f aca="false">IF(COUNTBLANK(AD160:AI160)&gt;0,"",ROUND(AVERAGE(INDEX('SCORING MASTER'!$D$33:$D$35,MATCH(AD160,'SCORING MASTER'!$C$33:$C$35,0)),INDEX('SCORING MASTER'!$D$37:$D$39,MATCH(AE160,'SCORING MASTER'!$C$37:$C$39,0)),INDEX('SCORING MASTER'!$D$41:$D$43,MATCH(AF160,'SCORING MASTER'!$C$41:$C$43,0)),INDEX('SCORING MASTER'!$D$45:$D$47,MATCH(AG160,'SCORING MASTER'!$C$45:$C$47,0)),INDEX('SCORING MASTER'!$D$49:$D$52,MATCH(AH160,'SCORING MASTER'!$C$49:$C$52,0)),INDEX('SCORING MASTER'!$D$54:$D$57,MATCH(AI160,'SCORING MASTER'!$C$54:$C$57,0)))*20,0))</f>
        <v/>
      </c>
      <c r="BI160" s="31" t="str">
        <f aca="false">IF(COUNTBLANK(AJ160:AP160)&gt;0,"",ROUND(AVERAGE(INDEX('SCORING MASTER'!$D$59:$D$60,MATCH(AJ160,'SCORING MASTER'!$C$59:$C$60,0)),INDEX('SCORING MASTER'!$D$62:$D$63,MATCH(AK160,'SCORING MASTER'!$C$62:$C$63,0)),INDEX('SCORING MASTER'!$D$65:$D$66,MATCH(AL160,'SCORING MASTER'!$C$65:$C$66,0)),INDEX('SCORING MASTER'!$D$68:$D$69,MATCH(AM160,'SCORING MASTER'!$C$68:$C$69,0)),INDEX('SCORING MASTER'!$D$71:$D$72,MATCH(AN160,'SCORING MASTER'!$C$71:$C$72,0)),INDEX('SCORING MASTER'!$D$74:$D$75,MATCH(AO160,'SCORING MASTER'!$C$74:$C$75,0)),INDEX('SCORING MASTER'!$D$77:$D$78,MATCH(AP160,'SCORING MASTER'!$C$77:$C$78,0)))*20,0))</f>
        <v/>
      </c>
      <c r="BJ160" s="31" t="str">
        <f aca="false">IF(COUNTBLANK(AU160:AZ160)&gt;0,"",ROUND(AVERAGE(INDEX('SCORING MASTER'!$D$95:$D$96,MATCH(AU160,'SCORING MASTER'!$C$95:$C$96,0)),INDEX('SCORING MASTER'!$D$98:$D$99,MATCH(AV160,'SCORING MASTER'!$C$98:$C$99,0)),INDEX('SCORING MASTER'!$D$101:$D$102,MATCH(AW160,'SCORING MASTER'!$C$101:$C$102,0)),INDEX('SCORING MASTER'!$D$104:$D$105,MATCH(AX160,'SCORING MASTER'!$C$104:$C$105,0)),INDEX('SCORING MASTER'!$D$107:$D$108,MATCH(AY160,'SCORING MASTER'!$C$107:$C$108,0)),INDEX('SCORING MASTER'!$D$110:$D$111,MATCH(AZ160,'SCORING MASTER'!$C$110:$C$111,0)))*20,0))</f>
        <v/>
      </c>
      <c r="BK160" s="31" t="str">
        <f aca="false">IF(COUNTBLANK(AQ160:AT160)&gt;0,"",ROUND(AVERAGE(INDEX('SCORING MASTER'!$D$80:$D$82,MATCH(AQ160,'SCORING MASTER'!$C$80:$C$82,0)),INDEX('SCORING MASTER'!$D$84:$D$86,MATCH(AR160,'SCORING MASTER'!$C$84:$C$86,0)),INDEX('SCORING MASTER'!$D$88:$D$90,MATCH(AS160,'SCORING MASTER'!$C$88:$C$90,0)),INDEX('SCORING MASTER'!$D$92:$D$93,MATCH(AT160,'SCORING MASTER'!$C$92:$C$93,0)))*20,0))</f>
        <v/>
      </c>
      <c r="BL160" s="31" t="str">
        <f aca="false">IF(COUNTBLANK(BA160:BE160)&gt;0,"",ROUND(AVERAGE(INDEX('SCORING MASTER'!$D$113:$D$115,MATCH(BA160,'SCORING MASTER'!$C$113:$C$115,0)),INDEX('SCORING MASTER'!$D$117:$D$119,MATCH(BB160,'SCORING MASTER'!$C$117:$C$119,0)),INDEX('SCORING MASTER'!$D$121:$D$123,MATCH(BC160,'SCORING MASTER'!$C$121:$C$123,0)),INDEX('SCORING MASTER'!$D$125:$D$126,MATCH(BD160,'SCORING MASTER'!$C$125:$C$126,0)),INDEX('SCORING MASTER'!$D$128:$D$129,MATCH(BE160,'SCORING MASTER'!$C$128:$C$129,0)))*20,0))</f>
        <v/>
      </c>
      <c r="BM160" s="31" t="str">
        <f aca="false">IF(OR(BF160="",BG160="",BH160="",BI160="",BJ160="",BK160="",BL160=""),"",ROUND(BF160*0.25+BG160*0.2+BH160*0.15+BI160*0.15+BJ160*0.1+BK160*0.1+BL160*0.05,0))</f>
        <v/>
      </c>
      <c r="BN160" s="31" t="str">
        <f aca="false">IF(OR(BF160="",BG160=""),"",ROUND(BF160*0.5+BG160*0.5,0))</f>
        <v/>
      </c>
      <c r="BO160" s="31" t="str">
        <f aca="false">IF(BN160="","",ROUND(MIN(100,MAX(0,(100-BN160)+IF(AL160="Yes",15,0)+IF(AM160="Yes",15,0)+IF(AND(U160&lt;&gt;"",U160&lt;18.5),20,0))),0))</f>
        <v/>
      </c>
      <c r="BP160" s="28" t="str">
        <f aca="false">IF(BM160="","",IF(BM160&gt;=90,"Green - Healthy",IF(BM160&gt;=75,"Light Green - Mild Watch",IF(BM160&gt;=60,"Yellow - Mild Risk",IF(BM160&gt;=40,"Orange - Moderate Risk","Red - High Risk")))))</f>
        <v/>
      </c>
      <c r="BQ160" s="28" t="str">
        <f aca="false">IF(BM160="","",IF(OR(BM160&lt;60,BO160&gt;=60,AJ160="Yes"),"Yes","No"))</f>
        <v/>
      </c>
      <c r="BR160" s="28" t="str">
        <f aca="false">IF(BM160="","",IF(OR(BP160="Orange - Moderate Risk",BP160="Red - High Risk",BQ160="Yes"),"Yes","No"))</f>
        <v/>
      </c>
    </row>
    <row r="161" customFormat="false" ht="15" hidden="false" customHeight="false" outlineLevel="0" collapsed="false">
      <c r="A161" s="32" t="str">
        <f aca="false">IF(I161="","","STU"&amp;TEXT(ROW()-3,"000000"))</f>
        <v/>
      </c>
      <c r="B161" s="32"/>
      <c r="C161" s="32"/>
      <c r="D161" s="32"/>
      <c r="E161" s="32"/>
      <c r="F161" s="32"/>
      <c r="G161" s="32"/>
      <c r="H161" s="32"/>
      <c r="I161" s="32"/>
      <c r="J161" s="34"/>
      <c r="K161" s="32"/>
      <c r="L161" s="32"/>
      <c r="M161" s="32"/>
      <c r="N161" s="32"/>
      <c r="O161" s="32"/>
      <c r="P161" s="32"/>
      <c r="Q161" s="34"/>
      <c r="R161" s="34"/>
      <c r="S161" s="35" t="str">
        <f aca="false">IF(OR(Q161="",R161=""),"",ROUND(R161/((Q161/100)^2),1))</f>
        <v/>
      </c>
      <c r="T161" s="32" t="str">
        <f aca="false">IF(S161="","",IF(S161&lt;18.5,"Underweight",IF(S161&lt;25,"Normal",IF(S161&lt;30,"Overweight","Obese"))))</f>
        <v/>
      </c>
      <c r="U161" s="34"/>
      <c r="V161" s="34"/>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5" t="str">
        <f aca="false">IF(T161="","",IF(T161="Normal",100,IF(T161="Overweight",65,IF(T161="Obese",50,IF(AND(U161&lt;&gt;"",U161&lt;18.5),30,45)))))</f>
        <v/>
      </c>
      <c r="BG161" s="35" t="str">
        <f aca="false">IF(COUNTBLANK(W161:AC161)&gt;0,"",ROUND(AVERAGE(INDEX('SCORING MASTER'!$D$5:$D$7,MATCH(W161,'SCORING MASTER'!$C$5:$C$7,0)),INDEX('SCORING MASTER'!$D$9:$D$11,MATCH(X161,'SCORING MASTER'!$C$9:$C$11,0)),INDEX('SCORING MASTER'!$D$13:$D$15,MATCH(Y161,'SCORING MASTER'!$C$13:$C$15,0)),INDEX('SCORING MASTER'!$D$17:$D$19,MATCH(Z161,'SCORING MASTER'!$C$17:$C$19,0)),INDEX('SCORING MASTER'!$D$21:$D$23,MATCH(AA161,'SCORING MASTER'!$C$21:$C$23,0)),INDEX('SCORING MASTER'!$D$25:$D$27,MATCH(AB161,'SCORING MASTER'!$C$25:$C$27,0)),INDEX('SCORING MASTER'!$D$29:$D$31,MATCH(AC161,'SCORING MASTER'!$C$29:$C$31,0)))*20,0))</f>
        <v/>
      </c>
      <c r="BH161" s="35" t="str">
        <f aca="false">IF(COUNTBLANK(AD161:AI161)&gt;0,"",ROUND(AVERAGE(INDEX('SCORING MASTER'!$D$33:$D$35,MATCH(AD161,'SCORING MASTER'!$C$33:$C$35,0)),INDEX('SCORING MASTER'!$D$37:$D$39,MATCH(AE161,'SCORING MASTER'!$C$37:$C$39,0)),INDEX('SCORING MASTER'!$D$41:$D$43,MATCH(AF161,'SCORING MASTER'!$C$41:$C$43,0)),INDEX('SCORING MASTER'!$D$45:$D$47,MATCH(AG161,'SCORING MASTER'!$C$45:$C$47,0)),INDEX('SCORING MASTER'!$D$49:$D$52,MATCH(AH161,'SCORING MASTER'!$C$49:$C$52,0)),INDEX('SCORING MASTER'!$D$54:$D$57,MATCH(AI161,'SCORING MASTER'!$C$54:$C$57,0)))*20,0))</f>
        <v/>
      </c>
      <c r="BI161" s="35" t="str">
        <f aca="false">IF(COUNTBLANK(AJ161:AP161)&gt;0,"",ROUND(AVERAGE(INDEX('SCORING MASTER'!$D$59:$D$60,MATCH(AJ161,'SCORING MASTER'!$C$59:$C$60,0)),INDEX('SCORING MASTER'!$D$62:$D$63,MATCH(AK161,'SCORING MASTER'!$C$62:$C$63,0)),INDEX('SCORING MASTER'!$D$65:$D$66,MATCH(AL161,'SCORING MASTER'!$C$65:$C$66,0)),INDEX('SCORING MASTER'!$D$68:$D$69,MATCH(AM161,'SCORING MASTER'!$C$68:$C$69,0)),INDEX('SCORING MASTER'!$D$71:$D$72,MATCH(AN161,'SCORING MASTER'!$C$71:$C$72,0)),INDEX('SCORING MASTER'!$D$74:$D$75,MATCH(AO161,'SCORING MASTER'!$C$74:$C$75,0)),INDEX('SCORING MASTER'!$D$77:$D$78,MATCH(AP161,'SCORING MASTER'!$C$77:$C$78,0)))*20,0))</f>
        <v/>
      </c>
      <c r="BJ161" s="35" t="str">
        <f aca="false">IF(COUNTBLANK(AU161:AZ161)&gt;0,"",ROUND(AVERAGE(INDEX('SCORING MASTER'!$D$95:$D$96,MATCH(AU161,'SCORING MASTER'!$C$95:$C$96,0)),INDEX('SCORING MASTER'!$D$98:$D$99,MATCH(AV161,'SCORING MASTER'!$C$98:$C$99,0)),INDEX('SCORING MASTER'!$D$101:$D$102,MATCH(AW161,'SCORING MASTER'!$C$101:$C$102,0)),INDEX('SCORING MASTER'!$D$104:$D$105,MATCH(AX161,'SCORING MASTER'!$C$104:$C$105,0)),INDEX('SCORING MASTER'!$D$107:$D$108,MATCH(AY161,'SCORING MASTER'!$C$107:$C$108,0)),INDEX('SCORING MASTER'!$D$110:$D$111,MATCH(AZ161,'SCORING MASTER'!$C$110:$C$111,0)))*20,0))</f>
        <v/>
      </c>
      <c r="BK161" s="35" t="str">
        <f aca="false">IF(COUNTBLANK(AQ161:AT161)&gt;0,"",ROUND(AVERAGE(INDEX('SCORING MASTER'!$D$80:$D$82,MATCH(AQ161,'SCORING MASTER'!$C$80:$C$82,0)),INDEX('SCORING MASTER'!$D$84:$D$86,MATCH(AR161,'SCORING MASTER'!$C$84:$C$86,0)),INDEX('SCORING MASTER'!$D$88:$D$90,MATCH(AS161,'SCORING MASTER'!$C$88:$C$90,0)),INDEX('SCORING MASTER'!$D$92:$D$93,MATCH(AT161,'SCORING MASTER'!$C$92:$C$93,0)))*20,0))</f>
        <v/>
      </c>
      <c r="BL161" s="35" t="str">
        <f aca="false">IF(COUNTBLANK(BA161:BE161)&gt;0,"",ROUND(AVERAGE(INDEX('SCORING MASTER'!$D$113:$D$115,MATCH(BA161,'SCORING MASTER'!$C$113:$C$115,0)),INDEX('SCORING MASTER'!$D$117:$D$119,MATCH(BB161,'SCORING MASTER'!$C$117:$C$119,0)),INDEX('SCORING MASTER'!$D$121:$D$123,MATCH(BC161,'SCORING MASTER'!$C$121:$C$123,0)),INDEX('SCORING MASTER'!$D$125:$D$126,MATCH(BD161,'SCORING MASTER'!$C$125:$C$126,0)),INDEX('SCORING MASTER'!$D$128:$D$129,MATCH(BE161,'SCORING MASTER'!$C$128:$C$129,0)))*20,0))</f>
        <v/>
      </c>
      <c r="BM161" s="35" t="str">
        <f aca="false">IF(OR(BF161="",BG161="",BH161="",BI161="",BJ161="",BK161="",BL161=""),"",ROUND(BF161*0.25+BG161*0.2+BH161*0.15+BI161*0.15+BJ161*0.1+BK161*0.1+BL161*0.05,0))</f>
        <v/>
      </c>
      <c r="BN161" s="35" t="str">
        <f aca="false">IF(OR(BF161="",BG161=""),"",ROUND(BF161*0.5+BG161*0.5,0))</f>
        <v/>
      </c>
      <c r="BO161" s="35" t="str">
        <f aca="false">IF(BN161="","",ROUND(MIN(100,MAX(0,(100-BN161)+IF(AL161="Yes",15,0)+IF(AM161="Yes",15,0)+IF(AND(U161&lt;&gt;"",U161&lt;18.5),20,0))),0))</f>
        <v/>
      </c>
      <c r="BP161" s="32" t="str">
        <f aca="false">IF(BM161="","",IF(BM161&gt;=90,"Green - Healthy",IF(BM161&gt;=75,"Light Green - Mild Watch",IF(BM161&gt;=60,"Yellow - Mild Risk",IF(BM161&gt;=40,"Orange - Moderate Risk","Red - High Risk")))))</f>
        <v/>
      </c>
      <c r="BQ161" s="32" t="str">
        <f aca="false">IF(BM161="","",IF(OR(BM161&lt;60,BO161&gt;=60,AJ161="Yes"),"Yes","No"))</f>
        <v/>
      </c>
      <c r="BR161" s="32" t="str">
        <f aca="false">IF(BM161="","",IF(OR(BP161="Orange - Moderate Risk",BP161="Red - High Risk",BQ161="Yes"),"Yes","No"))</f>
        <v/>
      </c>
    </row>
    <row r="162" customFormat="false" ht="15" hidden="false" customHeight="false" outlineLevel="0" collapsed="false">
      <c r="A162" s="28" t="str">
        <f aca="false">IF(I162="","","STU"&amp;TEXT(ROW()-3,"000000"))</f>
        <v/>
      </c>
      <c r="B162" s="28"/>
      <c r="C162" s="28"/>
      <c r="D162" s="28"/>
      <c r="E162" s="28"/>
      <c r="F162" s="28"/>
      <c r="G162" s="28"/>
      <c r="H162" s="28"/>
      <c r="I162" s="28"/>
      <c r="J162" s="30"/>
      <c r="K162" s="28"/>
      <c r="L162" s="28"/>
      <c r="M162" s="28"/>
      <c r="N162" s="28"/>
      <c r="O162" s="28"/>
      <c r="P162" s="28"/>
      <c r="Q162" s="30"/>
      <c r="R162" s="30"/>
      <c r="S162" s="31" t="str">
        <f aca="false">IF(OR(Q162="",R162=""),"",ROUND(R162/((Q162/100)^2),1))</f>
        <v/>
      </c>
      <c r="T162" s="28" t="str">
        <f aca="false">IF(S162="","",IF(S162&lt;18.5,"Underweight",IF(S162&lt;25,"Normal",IF(S162&lt;30,"Overweight","Obese"))))</f>
        <v/>
      </c>
      <c r="U162" s="30"/>
      <c r="V162" s="30"/>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31" t="str">
        <f aca="false">IF(T162="","",IF(T162="Normal",100,IF(T162="Overweight",65,IF(T162="Obese",50,IF(AND(U162&lt;&gt;"",U162&lt;18.5),30,45)))))</f>
        <v/>
      </c>
      <c r="BG162" s="31" t="str">
        <f aca="false">IF(COUNTBLANK(W162:AC162)&gt;0,"",ROUND(AVERAGE(INDEX('SCORING MASTER'!$D$5:$D$7,MATCH(W162,'SCORING MASTER'!$C$5:$C$7,0)),INDEX('SCORING MASTER'!$D$9:$D$11,MATCH(X162,'SCORING MASTER'!$C$9:$C$11,0)),INDEX('SCORING MASTER'!$D$13:$D$15,MATCH(Y162,'SCORING MASTER'!$C$13:$C$15,0)),INDEX('SCORING MASTER'!$D$17:$D$19,MATCH(Z162,'SCORING MASTER'!$C$17:$C$19,0)),INDEX('SCORING MASTER'!$D$21:$D$23,MATCH(AA162,'SCORING MASTER'!$C$21:$C$23,0)),INDEX('SCORING MASTER'!$D$25:$D$27,MATCH(AB162,'SCORING MASTER'!$C$25:$C$27,0)),INDEX('SCORING MASTER'!$D$29:$D$31,MATCH(AC162,'SCORING MASTER'!$C$29:$C$31,0)))*20,0))</f>
        <v/>
      </c>
      <c r="BH162" s="31" t="str">
        <f aca="false">IF(COUNTBLANK(AD162:AI162)&gt;0,"",ROUND(AVERAGE(INDEX('SCORING MASTER'!$D$33:$D$35,MATCH(AD162,'SCORING MASTER'!$C$33:$C$35,0)),INDEX('SCORING MASTER'!$D$37:$D$39,MATCH(AE162,'SCORING MASTER'!$C$37:$C$39,0)),INDEX('SCORING MASTER'!$D$41:$D$43,MATCH(AF162,'SCORING MASTER'!$C$41:$C$43,0)),INDEX('SCORING MASTER'!$D$45:$D$47,MATCH(AG162,'SCORING MASTER'!$C$45:$C$47,0)),INDEX('SCORING MASTER'!$D$49:$D$52,MATCH(AH162,'SCORING MASTER'!$C$49:$C$52,0)),INDEX('SCORING MASTER'!$D$54:$D$57,MATCH(AI162,'SCORING MASTER'!$C$54:$C$57,0)))*20,0))</f>
        <v/>
      </c>
      <c r="BI162" s="31" t="str">
        <f aca="false">IF(COUNTBLANK(AJ162:AP162)&gt;0,"",ROUND(AVERAGE(INDEX('SCORING MASTER'!$D$59:$D$60,MATCH(AJ162,'SCORING MASTER'!$C$59:$C$60,0)),INDEX('SCORING MASTER'!$D$62:$D$63,MATCH(AK162,'SCORING MASTER'!$C$62:$C$63,0)),INDEX('SCORING MASTER'!$D$65:$D$66,MATCH(AL162,'SCORING MASTER'!$C$65:$C$66,0)),INDEX('SCORING MASTER'!$D$68:$D$69,MATCH(AM162,'SCORING MASTER'!$C$68:$C$69,0)),INDEX('SCORING MASTER'!$D$71:$D$72,MATCH(AN162,'SCORING MASTER'!$C$71:$C$72,0)),INDEX('SCORING MASTER'!$D$74:$D$75,MATCH(AO162,'SCORING MASTER'!$C$74:$C$75,0)),INDEX('SCORING MASTER'!$D$77:$D$78,MATCH(AP162,'SCORING MASTER'!$C$77:$C$78,0)))*20,0))</f>
        <v/>
      </c>
      <c r="BJ162" s="31" t="str">
        <f aca="false">IF(COUNTBLANK(AU162:AZ162)&gt;0,"",ROUND(AVERAGE(INDEX('SCORING MASTER'!$D$95:$D$96,MATCH(AU162,'SCORING MASTER'!$C$95:$C$96,0)),INDEX('SCORING MASTER'!$D$98:$D$99,MATCH(AV162,'SCORING MASTER'!$C$98:$C$99,0)),INDEX('SCORING MASTER'!$D$101:$D$102,MATCH(AW162,'SCORING MASTER'!$C$101:$C$102,0)),INDEX('SCORING MASTER'!$D$104:$D$105,MATCH(AX162,'SCORING MASTER'!$C$104:$C$105,0)),INDEX('SCORING MASTER'!$D$107:$D$108,MATCH(AY162,'SCORING MASTER'!$C$107:$C$108,0)),INDEX('SCORING MASTER'!$D$110:$D$111,MATCH(AZ162,'SCORING MASTER'!$C$110:$C$111,0)))*20,0))</f>
        <v/>
      </c>
      <c r="BK162" s="31" t="str">
        <f aca="false">IF(COUNTBLANK(AQ162:AT162)&gt;0,"",ROUND(AVERAGE(INDEX('SCORING MASTER'!$D$80:$D$82,MATCH(AQ162,'SCORING MASTER'!$C$80:$C$82,0)),INDEX('SCORING MASTER'!$D$84:$D$86,MATCH(AR162,'SCORING MASTER'!$C$84:$C$86,0)),INDEX('SCORING MASTER'!$D$88:$D$90,MATCH(AS162,'SCORING MASTER'!$C$88:$C$90,0)),INDEX('SCORING MASTER'!$D$92:$D$93,MATCH(AT162,'SCORING MASTER'!$C$92:$C$93,0)))*20,0))</f>
        <v/>
      </c>
      <c r="BL162" s="31" t="str">
        <f aca="false">IF(COUNTBLANK(BA162:BE162)&gt;0,"",ROUND(AVERAGE(INDEX('SCORING MASTER'!$D$113:$D$115,MATCH(BA162,'SCORING MASTER'!$C$113:$C$115,0)),INDEX('SCORING MASTER'!$D$117:$D$119,MATCH(BB162,'SCORING MASTER'!$C$117:$C$119,0)),INDEX('SCORING MASTER'!$D$121:$D$123,MATCH(BC162,'SCORING MASTER'!$C$121:$C$123,0)),INDEX('SCORING MASTER'!$D$125:$D$126,MATCH(BD162,'SCORING MASTER'!$C$125:$C$126,0)),INDEX('SCORING MASTER'!$D$128:$D$129,MATCH(BE162,'SCORING MASTER'!$C$128:$C$129,0)))*20,0))</f>
        <v/>
      </c>
      <c r="BM162" s="31" t="str">
        <f aca="false">IF(OR(BF162="",BG162="",BH162="",BI162="",BJ162="",BK162="",BL162=""),"",ROUND(BF162*0.25+BG162*0.2+BH162*0.15+BI162*0.15+BJ162*0.1+BK162*0.1+BL162*0.05,0))</f>
        <v/>
      </c>
      <c r="BN162" s="31" t="str">
        <f aca="false">IF(OR(BF162="",BG162=""),"",ROUND(BF162*0.5+BG162*0.5,0))</f>
        <v/>
      </c>
      <c r="BO162" s="31" t="str">
        <f aca="false">IF(BN162="","",ROUND(MIN(100,MAX(0,(100-BN162)+IF(AL162="Yes",15,0)+IF(AM162="Yes",15,0)+IF(AND(U162&lt;&gt;"",U162&lt;18.5),20,0))),0))</f>
        <v/>
      </c>
      <c r="BP162" s="28" t="str">
        <f aca="false">IF(BM162="","",IF(BM162&gt;=90,"Green - Healthy",IF(BM162&gt;=75,"Light Green - Mild Watch",IF(BM162&gt;=60,"Yellow - Mild Risk",IF(BM162&gt;=40,"Orange - Moderate Risk","Red - High Risk")))))</f>
        <v/>
      </c>
      <c r="BQ162" s="28" t="str">
        <f aca="false">IF(BM162="","",IF(OR(BM162&lt;60,BO162&gt;=60,AJ162="Yes"),"Yes","No"))</f>
        <v/>
      </c>
      <c r="BR162" s="28" t="str">
        <f aca="false">IF(BM162="","",IF(OR(BP162="Orange - Moderate Risk",BP162="Red - High Risk",BQ162="Yes"),"Yes","No"))</f>
        <v/>
      </c>
    </row>
    <row r="163" customFormat="false" ht="15" hidden="false" customHeight="false" outlineLevel="0" collapsed="false">
      <c r="A163" s="32" t="str">
        <f aca="false">IF(I163="","","STU"&amp;TEXT(ROW()-3,"000000"))</f>
        <v/>
      </c>
      <c r="B163" s="32"/>
      <c r="C163" s="32"/>
      <c r="D163" s="32"/>
      <c r="E163" s="32"/>
      <c r="F163" s="32"/>
      <c r="G163" s="32"/>
      <c r="H163" s="32"/>
      <c r="I163" s="32"/>
      <c r="J163" s="34"/>
      <c r="K163" s="32"/>
      <c r="L163" s="32"/>
      <c r="M163" s="32"/>
      <c r="N163" s="32"/>
      <c r="O163" s="32"/>
      <c r="P163" s="32"/>
      <c r="Q163" s="34"/>
      <c r="R163" s="34"/>
      <c r="S163" s="35" t="str">
        <f aca="false">IF(OR(Q163="",R163=""),"",ROUND(R163/((Q163/100)^2),1))</f>
        <v/>
      </c>
      <c r="T163" s="32" t="str">
        <f aca="false">IF(S163="","",IF(S163&lt;18.5,"Underweight",IF(S163&lt;25,"Normal",IF(S163&lt;30,"Overweight","Obese"))))</f>
        <v/>
      </c>
      <c r="U163" s="34"/>
      <c r="V163" s="34"/>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5" t="str">
        <f aca="false">IF(T163="","",IF(T163="Normal",100,IF(T163="Overweight",65,IF(T163="Obese",50,IF(AND(U163&lt;&gt;"",U163&lt;18.5),30,45)))))</f>
        <v/>
      </c>
      <c r="BG163" s="35" t="str">
        <f aca="false">IF(COUNTBLANK(W163:AC163)&gt;0,"",ROUND(AVERAGE(INDEX('SCORING MASTER'!$D$5:$D$7,MATCH(W163,'SCORING MASTER'!$C$5:$C$7,0)),INDEX('SCORING MASTER'!$D$9:$D$11,MATCH(X163,'SCORING MASTER'!$C$9:$C$11,0)),INDEX('SCORING MASTER'!$D$13:$D$15,MATCH(Y163,'SCORING MASTER'!$C$13:$C$15,0)),INDEX('SCORING MASTER'!$D$17:$D$19,MATCH(Z163,'SCORING MASTER'!$C$17:$C$19,0)),INDEX('SCORING MASTER'!$D$21:$D$23,MATCH(AA163,'SCORING MASTER'!$C$21:$C$23,0)),INDEX('SCORING MASTER'!$D$25:$D$27,MATCH(AB163,'SCORING MASTER'!$C$25:$C$27,0)),INDEX('SCORING MASTER'!$D$29:$D$31,MATCH(AC163,'SCORING MASTER'!$C$29:$C$31,0)))*20,0))</f>
        <v/>
      </c>
      <c r="BH163" s="35" t="str">
        <f aca="false">IF(COUNTBLANK(AD163:AI163)&gt;0,"",ROUND(AVERAGE(INDEX('SCORING MASTER'!$D$33:$D$35,MATCH(AD163,'SCORING MASTER'!$C$33:$C$35,0)),INDEX('SCORING MASTER'!$D$37:$D$39,MATCH(AE163,'SCORING MASTER'!$C$37:$C$39,0)),INDEX('SCORING MASTER'!$D$41:$D$43,MATCH(AF163,'SCORING MASTER'!$C$41:$C$43,0)),INDEX('SCORING MASTER'!$D$45:$D$47,MATCH(AG163,'SCORING MASTER'!$C$45:$C$47,0)),INDEX('SCORING MASTER'!$D$49:$D$52,MATCH(AH163,'SCORING MASTER'!$C$49:$C$52,0)),INDEX('SCORING MASTER'!$D$54:$D$57,MATCH(AI163,'SCORING MASTER'!$C$54:$C$57,0)))*20,0))</f>
        <v/>
      </c>
      <c r="BI163" s="35" t="str">
        <f aca="false">IF(COUNTBLANK(AJ163:AP163)&gt;0,"",ROUND(AVERAGE(INDEX('SCORING MASTER'!$D$59:$D$60,MATCH(AJ163,'SCORING MASTER'!$C$59:$C$60,0)),INDEX('SCORING MASTER'!$D$62:$D$63,MATCH(AK163,'SCORING MASTER'!$C$62:$C$63,0)),INDEX('SCORING MASTER'!$D$65:$D$66,MATCH(AL163,'SCORING MASTER'!$C$65:$C$66,0)),INDEX('SCORING MASTER'!$D$68:$D$69,MATCH(AM163,'SCORING MASTER'!$C$68:$C$69,0)),INDEX('SCORING MASTER'!$D$71:$D$72,MATCH(AN163,'SCORING MASTER'!$C$71:$C$72,0)),INDEX('SCORING MASTER'!$D$74:$D$75,MATCH(AO163,'SCORING MASTER'!$C$74:$C$75,0)),INDEX('SCORING MASTER'!$D$77:$D$78,MATCH(AP163,'SCORING MASTER'!$C$77:$C$78,0)))*20,0))</f>
        <v/>
      </c>
      <c r="BJ163" s="35" t="str">
        <f aca="false">IF(COUNTBLANK(AU163:AZ163)&gt;0,"",ROUND(AVERAGE(INDEX('SCORING MASTER'!$D$95:$D$96,MATCH(AU163,'SCORING MASTER'!$C$95:$C$96,0)),INDEX('SCORING MASTER'!$D$98:$D$99,MATCH(AV163,'SCORING MASTER'!$C$98:$C$99,0)),INDEX('SCORING MASTER'!$D$101:$D$102,MATCH(AW163,'SCORING MASTER'!$C$101:$C$102,0)),INDEX('SCORING MASTER'!$D$104:$D$105,MATCH(AX163,'SCORING MASTER'!$C$104:$C$105,0)),INDEX('SCORING MASTER'!$D$107:$D$108,MATCH(AY163,'SCORING MASTER'!$C$107:$C$108,0)),INDEX('SCORING MASTER'!$D$110:$D$111,MATCH(AZ163,'SCORING MASTER'!$C$110:$C$111,0)))*20,0))</f>
        <v/>
      </c>
      <c r="BK163" s="35" t="str">
        <f aca="false">IF(COUNTBLANK(AQ163:AT163)&gt;0,"",ROUND(AVERAGE(INDEX('SCORING MASTER'!$D$80:$D$82,MATCH(AQ163,'SCORING MASTER'!$C$80:$C$82,0)),INDEX('SCORING MASTER'!$D$84:$D$86,MATCH(AR163,'SCORING MASTER'!$C$84:$C$86,0)),INDEX('SCORING MASTER'!$D$88:$D$90,MATCH(AS163,'SCORING MASTER'!$C$88:$C$90,0)),INDEX('SCORING MASTER'!$D$92:$D$93,MATCH(AT163,'SCORING MASTER'!$C$92:$C$93,0)))*20,0))</f>
        <v/>
      </c>
      <c r="BL163" s="35" t="str">
        <f aca="false">IF(COUNTBLANK(BA163:BE163)&gt;0,"",ROUND(AVERAGE(INDEX('SCORING MASTER'!$D$113:$D$115,MATCH(BA163,'SCORING MASTER'!$C$113:$C$115,0)),INDEX('SCORING MASTER'!$D$117:$D$119,MATCH(BB163,'SCORING MASTER'!$C$117:$C$119,0)),INDEX('SCORING MASTER'!$D$121:$D$123,MATCH(BC163,'SCORING MASTER'!$C$121:$C$123,0)),INDEX('SCORING MASTER'!$D$125:$D$126,MATCH(BD163,'SCORING MASTER'!$C$125:$C$126,0)),INDEX('SCORING MASTER'!$D$128:$D$129,MATCH(BE163,'SCORING MASTER'!$C$128:$C$129,0)))*20,0))</f>
        <v/>
      </c>
      <c r="BM163" s="35" t="str">
        <f aca="false">IF(OR(BF163="",BG163="",BH163="",BI163="",BJ163="",BK163="",BL163=""),"",ROUND(BF163*0.25+BG163*0.2+BH163*0.15+BI163*0.15+BJ163*0.1+BK163*0.1+BL163*0.05,0))</f>
        <v/>
      </c>
      <c r="BN163" s="35" t="str">
        <f aca="false">IF(OR(BF163="",BG163=""),"",ROUND(BF163*0.5+BG163*0.5,0))</f>
        <v/>
      </c>
      <c r="BO163" s="35" t="str">
        <f aca="false">IF(BN163="","",ROUND(MIN(100,MAX(0,(100-BN163)+IF(AL163="Yes",15,0)+IF(AM163="Yes",15,0)+IF(AND(U163&lt;&gt;"",U163&lt;18.5),20,0))),0))</f>
        <v/>
      </c>
      <c r="BP163" s="32" t="str">
        <f aca="false">IF(BM163="","",IF(BM163&gt;=90,"Green - Healthy",IF(BM163&gt;=75,"Light Green - Mild Watch",IF(BM163&gt;=60,"Yellow - Mild Risk",IF(BM163&gt;=40,"Orange - Moderate Risk","Red - High Risk")))))</f>
        <v/>
      </c>
      <c r="BQ163" s="32" t="str">
        <f aca="false">IF(BM163="","",IF(OR(BM163&lt;60,BO163&gt;=60,AJ163="Yes"),"Yes","No"))</f>
        <v/>
      </c>
      <c r="BR163" s="32" t="str">
        <f aca="false">IF(BM163="","",IF(OR(BP163="Orange - Moderate Risk",BP163="Red - High Risk",BQ163="Yes"),"Yes","No"))</f>
        <v/>
      </c>
    </row>
    <row r="164" customFormat="false" ht="15" hidden="false" customHeight="false" outlineLevel="0" collapsed="false">
      <c r="A164" s="28" t="str">
        <f aca="false">IF(I164="","","STU"&amp;TEXT(ROW()-3,"000000"))</f>
        <v/>
      </c>
      <c r="B164" s="28"/>
      <c r="C164" s="28"/>
      <c r="D164" s="28"/>
      <c r="E164" s="28"/>
      <c r="F164" s="28"/>
      <c r="G164" s="28"/>
      <c r="H164" s="28"/>
      <c r="I164" s="28"/>
      <c r="J164" s="30"/>
      <c r="K164" s="28"/>
      <c r="L164" s="28"/>
      <c r="M164" s="28"/>
      <c r="N164" s="28"/>
      <c r="O164" s="28"/>
      <c r="P164" s="28"/>
      <c r="Q164" s="30"/>
      <c r="R164" s="30"/>
      <c r="S164" s="31" t="str">
        <f aca="false">IF(OR(Q164="",R164=""),"",ROUND(R164/((Q164/100)^2),1))</f>
        <v/>
      </c>
      <c r="T164" s="28" t="str">
        <f aca="false">IF(S164="","",IF(S164&lt;18.5,"Underweight",IF(S164&lt;25,"Normal",IF(S164&lt;30,"Overweight","Obese"))))</f>
        <v/>
      </c>
      <c r="U164" s="30"/>
      <c r="V164" s="30"/>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31" t="str">
        <f aca="false">IF(T164="","",IF(T164="Normal",100,IF(T164="Overweight",65,IF(T164="Obese",50,IF(AND(U164&lt;&gt;"",U164&lt;18.5),30,45)))))</f>
        <v/>
      </c>
      <c r="BG164" s="31" t="str">
        <f aca="false">IF(COUNTBLANK(W164:AC164)&gt;0,"",ROUND(AVERAGE(INDEX('SCORING MASTER'!$D$5:$D$7,MATCH(W164,'SCORING MASTER'!$C$5:$C$7,0)),INDEX('SCORING MASTER'!$D$9:$D$11,MATCH(X164,'SCORING MASTER'!$C$9:$C$11,0)),INDEX('SCORING MASTER'!$D$13:$D$15,MATCH(Y164,'SCORING MASTER'!$C$13:$C$15,0)),INDEX('SCORING MASTER'!$D$17:$D$19,MATCH(Z164,'SCORING MASTER'!$C$17:$C$19,0)),INDEX('SCORING MASTER'!$D$21:$D$23,MATCH(AA164,'SCORING MASTER'!$C$21:$C$23,0)),INDEX('SCORING MASTER'!$D$25:$D$27,MATCH(AB164,'SCORING MASTER'!$C$25:$C$27,0)),INDEX('SCORING MASTER'!$D$29:$D$31,MATCH(AC164,'SCORING MASTER'!$C$29:$C$31,0)))*20,0))</f>
        <v/>
      </c>
      <c r="BH164" s="31" t="str">
        <f aca="false">IF(COUNTBLANK(AD164:AI164)&gt;0,"",ROUND(AVERAGE(INDEX('SCORING MASTER'!$D$33:$D$35,MATCH(AD164,'SCORING MASTER'!$C$33:$C$35,0)),INDEX('SCORING MASTER'!$D$37:$D$39,MATCH(AE164,'SCORING MASTER'!$C$37:$C$39,0)),INDEX('SCORING MASTER'!$D$41:$D$43,MATCH(AF164,'SCORING MASTER'!$C$41:$C$43,0)),INDEX('SCORING MASTER'!$D$45:$D$47,MATCH(AG164,'SCORING MASTER'!$C$45:$C$47,0)),INDEX('SCORING MASTER'!$D$49:$D$52,MATCH(AH164,'SCORING MASTER'!$C$49:$C$52,0)),INDEX('SCORING MASTER'!$D$54:$D$57,MATCH(AI164,'SCORING MASTER'!$C$54:$C$57,0)))*20,0))</f>
        <v/>
      </c>
      <c r="BI164" s="31" t="str">
        <f aca="false">IF(COUNTBLANK(AJ164:AP164)&gt;0,"",ROUND(AVERAGE(INDEX('SCORING MASTER'!$D$59:$D$60,MATCH(AJ164,'SCORING MASTER'!$C$59:$C$60,0)),INDEX('SCORING MASTER'!$D$62:$D$63,MATCH(AK164,'SCORING MASTER'!$C$62:$C$63,0)),INDEX('SCORING MASTER'!$D$65:$D$66,MATCH(AL164,'SCORING MASTER'!$C$65:$C$66,0)),INDEX('SCORING MASTER'!$D$68:$D$69,MATCH(AM164,'SCORING MASTER'!$C$68:$C$69,0)),INDEX('SCORING MASTER'!$D$71:$D$72,MATCH(AN164,'SCORING MASTER'!$C$71:$C$72,0)),INDEX('SCORING MASTER'!$D$74:$D$75,MATCH(AO164,'SCORING MASTER'!$C$74:$C$75,0)),INDEX('SCORING MASTER'!$D$77:$D$78,MATCH(AP164,'SCORING MASTER'!$C$77:$C$78,0)))*20,0))</f>
        <v/>
      </c>
      <c r="BJ164" s="31" t="str">
        <f aca="false">IF(COUNTBLANK(AU164:AZ164)&gt;0,"",ROUND(AVERAGE(INDEX('SCORING MASTER'!$D$95:$D$96,MATCH(AU164,'SCORING MASTER'!$C$95:$C$96,0)),INDEX('SCORING MASTER'!$D$98:$D$99,MATCH(AV164,'SCORING MASTER'!$C$98:$C$99,0)),INDEX('SCORING MASTER'!$D$101:$D$102,MATCH(AW164,'SCORING MASTER'!$C$101:$C$102,0)),INDEX('SCORING MASTER'!$D$104:$D$105,MATCH(AX164,'SCORING MASTER'!$C$104:$C$105,0)),INDEX('SCORING MASTER'!$D$107:$D$108,MATCH(AY164,'SCORING MASTER'!$C$107:$C$108,0)),INDEX('SCORING MASTER'!$D$110:$D$111,MATCH(AZ164,'SCORING MASTER'!$C$110:$C$111,0)))*20,0))</f>
        <v/>
      </c>
      <c r="BK164" s="31" t="str">
        <f aca="false">IF(COUNTBLANK(AQ164:AT164)&gt;0,"",ROUND(AVERAGE(INDEX('SCORING MASTER'!$D$80:$D$82,MATCH(AQ164,'SCORING MASTER'!$C$80:$C$82,0)),INDEX('SCORING MASTER'!$D$84:$D$86,MATCH(AR164,'SCORING MASTER'!$C$84:$C$86,0)),INDEX('SCORING MASTER'!$D$88:$D$90,MATCH(AS164,'SCORING MASTER'!$C$88:$C$90,0)),INDEX('SCORING MASTER'!$D$92:$D$93,MATCH(AT164,'SCORING MASTER'!$C$92:$C$93,0)))*20,0))</f>
        <v/>
      </c>
      <c r="BL164" s="31" t="str">
        <f aca="false">IF(COUNTBLANK(BA164:BE164)&gt;0,"",ROUND(AVERAGE(INDEX('SCORING MASTER'!$D$113:$D$115,MATCH(BA164,'SCORING MASTER'!$C$113:$C$115,0)),INDEX('SCORING MASTER'!$D$117:$D$119,MATCH(BB164,'SCORING MASTER'!$C$117:$C$119,0)),INDEX('SCORING MASTER'!$D$121:$D$123,MATCH(BC164,'SCORING MASTER'!$C$121:$C$123,0)),INDEX('SCORING MASTER'!$D$125:$D$126,MATCH(BD164,'SCORING MASTER'!$C$125:$C$126,0)),INDEX('SCORING MASTER'!$D$128:$D$129,MATCH(BE164,'SCORING MASTER'!$C$128:$C$129,0)))*20,0))</f>
        <v/>
      </c>
      <c r="BM164" s="31" t="str">
        <f aca="false">IF(OR(BF164="",BG164="",BH164="",BI164="",BJ164="",BK164="",BL164=""),"",ROUND(BF164*0.25+BG164*0.2+BH164*0.15+BI164*0.15+BJ164*0.1+BK164*0.1+BL164*0.05,0))</f>
        <v/>
      </c>
      <c r="BN164" s="31" t="str">
        <f aca="false">IF(OR(BF164="",BG164=""),"",ROUND(BF164*0.5+BG164*0.5,0))</f>
        <v/>
      </c>
      <c r="BO164" s="31" t="str">
        <f aca="false">IF(BN164="","",ROUND(MIN(100,MAX(0,(100-BN164)+IF(AL164="Yes",15,0)+IF(AM164="Yes",15,0)+IF(AND(U164&lt;&gt;"",U164&lt;18.5),20,0))),0))</f>
        <v/>
      </c>
      <c r="BP164" s="28" t="str">
        <f aca="false">IF(BM164="","",IF(BM164&gt;=90,"Green - Healthy",IF(BM164&gt;=75,"Light Green - Mild Watch",IF(BM164&gt;=60,"Yellow - Mild Risk",IF(BM164&gt;=40,"Orange - Moderate Risk","Red - High Risk")))))</f>
        <v/>
      </c>
      <c r="BQ164" s="28" t="str">
        <f aca="false">IF(BM164="","",IF(OR(BM164&lt;60,BO164&gt;=60,AJ164="Yes"),"Yes","No"))</f>
        <v/>
      </c>
      <c r="BR164" s="28" t="str">
        <f aca="false">IF(BM164="","",IF(OR(BP164="Orange - Moderate Risk",BP164="Red - High Risk",BQ164="Yes"),"Yes","No"))</f>
        <v/>
      </c>
    </row>
    <row r="165" customFormat="false" ht="15" hidden="false" customHeight="false" outlineLevel="0" collapsed="false">
      <c r="A165" s="32" t="str">
        <f aca="false">IF(I165="","","STU"&amp;TEXT(ROW()-3,"000000"))</f>
        <v/>
      </c>
      <c r="B165" s="32"/>
      <c r="C165" s="32"/>
      <c r="D165" s="32"/>
      <c r="E165" s="32"/>
      <c r="F165" s="32"/>
      <c r="G165" s="32"/>
      <c r="H165" s="32"/>
      <c r="I165" s="32"/>
      <c r="J165" s="34"/>
      <c r="K165" s="32"/>
      <c r="L165" s="32"/>
      <c r="M165" s="32"/>
      <c r="N165" s="32"/>
      <c r="O165" s="32"/>
      <c r="P165" s="32"/>
      <c r="Q165" s="34"/>
      <c r="R165" s="34"/>
      <c r="S165" s="35" t="str">
        <f aca="false">IF(OR(Q165="",R165=""),"",ROUND(R165/((Q165/100)^2),1))</f>
        <v/>
      </c>
      <c r="T165" s="32" t="str">
        <f aca="false">IF(S165="","",IF(S165&lt;18.5,"Underweight",IF(S165&lt;25,"Normal",IF(S165&lt;30,"Overweight","Obese"))))</f>
        <v/>
      </c>
      <c r="U165" s="34"/>
      <c r="V165" s="34"/>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5" t="str">
        <f aca="false">IF(T165="","",IF(T165="Normal",100,IF(T165="Overweight",65,IF(T165="Obese",50,IF(AND(U165&lt;&gt;"",U165&lt;18.5),30,45)))))</f>
        <v/>
      </c>
      <c r="BG165" s="35" t="str">
        <f aca="false">IF(COUNTBLANK(W165:AC165)&gt;0,"",ROUND(AVERAGE(INDEX('SCORING MASTER'!$D$5:$D$7,MATCH(W165,'SCORING MASTER'!$C$5:$C$7,0)),INDEX('SCORING MASTER'!$D$9:$D$11,MATCH(X165,'SCORING MASTER'!$C$9:$C$11,0)),INDEX('SCORING MASTER'!$D$13:$D$15,MATCH(Y165,'SCORING MASTER'!$C$13:$C$15,0)),INDEX('SCORING MASTER'!$D$17:$D$19,MATCH(Z165,'SCORING MASTER'!$C$17:$C$19,0)),INDEX('SCORING MASTER'!$D$21:$D$23,MATCH(AA165,'SCORING MASTER'!$C$21:$C$23,0)),INDEX('SCORING MASTER'!$D$25:$D$27,MATCH(AB165,'SCORING MASTER'!$C$25:$C$27,0)),INDEX('SCORING MASTER'!$D$29:$D$31,MATCH(AC165,'SCORING MASTER'!$C$29:$C$31,0)))*20,0))</f>
        <v/>
      </c>
      <c r="BH165" s="35" t="str">
        <f aca="false">IF(COUNTBLANK(AD165:AI165)&gt;0,"",ROUND(AVERAGE(INDEX('SCORING MASTER'!$D$33:$D$35,MATCH(AD165,'SCORING MASTER'!$C$33:$C$35,0)),INDEX('SCORING MASTER'!$D$37:$D$39,MATCH(AE165,'SCORING MASTER'!$C$37:$C$39,0)),INDEX('SCORING MASTER'!$D$41:$D$43,MATCH(AF165,'SCORING MASTER'!$C$41:$C$43,0)),INDEX('SCORING MASTER'!$D$45:$D$47,MATCH(AG165,'SCORING MASTER'!$C$45:$C$47,0)),INDEX('SCORING MASTER'!$D$49:$D$52,MATCH(AH165,'SCORING MASTER'!$C$49:$C$52,0)),INDEX('SCORING MASTER'!$D$54:$D$57,MATCH(AI165,'SCORING MASTER'!$C$54:$C$57,0)))*20,0))</f>
        <v/>
      </c>
      <c r="BI165" s="35" t="str">
        <f aca="false">IF(COUNTBLANK(AJ165:AP165)&gt;0,"",ROUND(AVERAGE(INDEX('SCORING MASTER'!$D$59:$D$60,MATCH(AJ165,'SCORING MASTER'!$C$59:$C$60,0)),INDEX('SCORING MASTER'!$D$62:$D$63,MATCH(AK165,'SCORING MASTER'!$C$62:$C$63,0)),INDEX('SCORING MASTER'!$D$65:$D$66,MATCH(AL165,'SCORING MASTER'!$C$65:$C$66,0)),INDEX('SCORING MASTER'!$D$68:$D$69,MATCH(AM165,'SCORING MASTER'!$C$68:$C$69,0)),INDEX('SCORING MASTER'!$D$71:$D$72,MATCH(AN165,'SCORING MASTER'!$C$71:$C$72,0)),INDEX('SCORING MASTER'!$D$74:$D$75,MATCH(AO165,'SCORING MASTER'!$C$74:$C$75,0)),INDEX('SCORING MASTER'!$D$77:$D$78,MATCH(AP165,'SCORING MASTER'!$C$77:$C$78,0)))*20,0))</f>
        <v/>
      </c>
      <c r="BJ165" s="35" t="str">
        <f aca="false">IF(COUNTBLANK(AU165:AZ165)&gt;0,"",ROUND(AVERAGE(INDEX('SCORING MASTER'!$D$95:$D$96,MATCH(AU165,'SCORING MASTER'!$C$95:$C$96,0)),INDEX('SCORING MASTER'!$D$98:$D$99,MATCH(AV165,'SCORING MASTER'!$C$98:$C$99,0)),INDEX('SCORING MASTER'!$D$101:$D$102,MATCH(AW165,'SCORING MASTER'!$C$101:$C$102,0)),INDEX('SCORING MASTER'!$D$104:$D$105,MATCH(AX165,'SCORING MASTER'!$C$104:$C$105,0)),INDEX('SCORING MASTER'!$D$107:$D$108,MATCH(AY165,'SCORING MASTER'!$C$107:$C$108,0)),INDEX('SCORING MASTER'!$D$110:$D$111,MATCH(AZ165,'SCORING MASTER'!$C$110:$C$111,0)))*20,0))</f>
        <v/>
      </c>
      <c r="BK165" s="35" t="str">
        <f aca="false">IF(COUNTBLANK(AQ165:AT165)&gt;0,"",ROUND(AVERAGE(INDEX('SCORING MASTER'!$D$80:$D$82,MATCH(AQ165,'SCORING MASTER'!$C$80:$C$82,0)),INDEX('SCORING MASTER'!$D$84:$D$86,MATCH(AR165,'SCORING MASTER'!$C$84:$C$86,0)),INDEX('SCORING MASTER'!$D$88:$D$90,MATCH(AS165,'SCORING MASTER'!$C$88:$C$90,0)),INDEX('SCORING MASTER'!$D$92:$D$93,MATCH(AT165,'SCORING MASTER'!$C$92:$C$93,0)))*20,0))</f>
        <v/>
      </c>
      <c r="BL165" s="35" t="str">
        <f aca="false">IF(COUNTBLANK(BA165:BE165)&gt;0,"",ROUND(AVERAGE(INDEX('SCORING MASTER'!$D$113:$D$115,MATCH(BA165,'SCORING MASTER'!$C$113:$C$115,0)),INDEX('SCORING MASTER'!$D$117:$D$119,MATCH(BB165,'SCORING MASTER'!$C$117:$C$119,0)),INDEX('SCORING MASTER'!$D$121:$D$123,MATCH(BC165,'SCORING MASTER'!$C$121:$C$123,0)),INDEX('SCORING MASTER'!$D$125:$D$126,MATCH(BD165,'SCORING MASTER'!$C$125:$C$126,0)),INDEX('SCORING MASTER'!$D$128:$D$129,MATCH(BE165,'SCORING MASTER'!$C$128:$C$129,0)))*20,0))</f>
        <v/>
      </c>
      <c r="BM165" s="35" t="str">
        <f aca="false">IF(OR(BF165="",BG165="",BH165="",BI165="",BJ165="",BK165="",BL165=""),"",ROUND(BF165*0.25+BG165*0.2+BH165*0.15+BI165*0.15+BJ165*0.1+BK165*0.1+BL165*0.05,0))</f>
        <v/>
      </c>
      <c r="BN165" s="35" t="str">
        <f aca="false">IF(OR(BF165="",BG165=""),"",ROUND(BF165*0.5+BG165*0.5,0))</f>
        <v/>
      </c>
      <c r="BO165" s="35" t="str">
        <f aca="false">IF(BN165="","",ROUND(MIN(100,MAX(0,(100-BN165)+IF(AL165="Yes",15,0)+IF(AM165="Yes",15,0)+IF(AND(U165&lt;&gt;"",U165&lt;18.5),20,0))),0))</f>
        <v/>
      </c>
      <c r="BP165" s="32" t="str">
        <f aca="false">IF(BM165="","",IF(BM165&gt;=90,"Green - Healthy",IF(BM165&gt;=75,"Light Green - Mild Watch",IF(BM165&gt;=60,"Yellow - Mild Risk",IF(BM165&gt;=40,"Orange - Moderate Risk","Red - High Risk")))))</f>
        <v/>
      </c>
      <c r="BQ165" s="32" t="str">
        <f aca="false">IF(BM165="","",IF(OR(BM165&lt;60,BO165&gt;=60,AJ165="Yes"),"Yes","No"))</f>
        <v/>
      </c>
      <c r="BR165" s="32" t="str">
        <f aca="false">IF(BM165="","",IF(OR(BP165="Orange - Moderate Risk",BP165="Red - High Risk",BQ165="Yes"),"Yes","No"))</f>
        <v/>
      </c>
    </row>
    <row r="166" customFormat="false" ht="15" hidden="false" customHeight="false" outlineLevel="0" collapsed="false">
      <c r="A166" s="28" t="str">
        <f aca="false">IF(I166="","","STU"&amp;TEXT(ROW()-3,"000000"))</f>
        <v/>
      </c>
      <c r="B166" s="28"/>
      <c r="C166" s="28"/>
      <c r="D166" s="28"/>
      <c r="E166" s="28"/>
      <c r="F166" s="28"/>
      <c r="G166" s="28"/>
      <c r="H166" s="28"/>
      <c r="I166" s="28"/>
      <c r="J166" s="30"/>
      <c r="K166" s="28"/>
      <c r="L166" s="28"/>
      <c r="M166" s="28"/>
      <c r="N166" s="28"/>
      <c r="O166" s="28"/>
      <c r="P166" s="28"/>
      <c r="Q166" s="30"/>
      <c r="R166" s="30"/>
      <c r="S166" s="31" t="str">
        <f aca="false">IF(OR(Q166="",R166=""),"",ROUND(R166/((Q166/100)^2),1))</f>
        <v/>
      </c>
      <c r="T166" s="28" t="str">
        <f aca="false">IF(S166="","",IF(S166&lt;18.5,"Underweight",IF(S166&lt;25,"Normal",IF(S166&lt;30,"Overweight","Obese"))))</f>
        <v/>
      </c>
      <c r="U166" s="30"/>
      <c r="V166" s="30"/>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31" t="str">
        <f aca="false">IF(T166="","",IF(T166="Normal",100,IF(T166="Overweight",65,IF(T166="Obese",50,IF(AND(U166&lt;&gt;"",U166&lt;18.5),30,45)))))</f>
        <v/>
      </c>
      <c r="BG166" s="31" t="str">
        <f aca="false">IF(COUNTBLANK(W166:AC166)&gt;0,"",ROUND(AVERAGE(INDEX('SCORING MASTER'!$D$5:$D$7,MATCH(W166,'SCORING MASTER'!$C$5:$C$7,0)),INDEX('SCORING MASTER'!$D$9:$D$11,MATCH(X166,'SCORING MASTER'!$C$9:$C$11,0)),INDEX('SCORING MASTER'!$D$13:$D$15,MATCH(Y166,'SCORING MASTER'!$C$13:$C$15,0)),INDEX('SCORING MASTER'!$D$17:$D$19,MATCH(Z166,'SCORING MASTER'!$C$17:$C$19,0)),INDEX('SCORING MASTER'!$D$21:$D$23,MATCH(AA166,'SCORING MASTER'!$C$21:$C$23,0)),INDEX('SCORING MASTER'!$D$25:$D$27,MATCH(AB166,'SCORING MASTER'!$C$25:$C$27,0)),INDEX('SCORING MASTER'!$D$29:$D$31,MATCH(AC166,'SCORING MASTER'!$C$29:$C$31,0)))*20,0))</f>
        <v/>
      </c>
      <c r="BH166" s="31" t="str">
        <f aca="false">IF(COUNTBLANK(AD166:AI166)&gt;0,"",ROUND(AVERAGE(INDEX('SCORING MASTER'!$D$33:$D$35,MATCH(AD166,'SCORING MASTER'!$C$33:$C$35,0)),INDEX('SCORING MASTER'!$D$37:$D$39,MATCH(AE166,'SCORING MASTER'!$C$37:$C$39,0)),INDEX('SCORING MASTER'!$D$41:$D$43,MATCH(AF166,'SCORING MASTER'!$C$41:$C$43,0)),INDEX('SCORING MASTER'!$D$45:$D$47,MATCH(AG166,'SCORING MASTER'!$C$45:$C$47,0)),INDEX('SCORING MASTER'!$D$49:$D$52,MATCH(AH166,'SCORING MASTER'!$C$49:$C$52,0)),INDEX('SCORING MASTER'!$D$54:$D$57,MATCH(AI166,'SCORING MASTER'!$C$54:$C$57,0)))*20,0))</f>
        <v/>
      </c>
      <c r="BI166" s="31" t="str">
        <f aca="false">IF(COUNTBLANK(AJ166:AP166)&gt;0,"",ROUND(AVERAGE(INDEX('SCORING MASTER'!$D$59:$D$60,MATCH(AJ166,'SCORING MASTER'!$C$59:$C$60,0)),INDEX('SCORING MASTER'!$D$62:$D$63,MATCH(AK166,'SCORING MASTER'!$C$62:$C$63,0)),INDEX('SCORING MASTER'!$D$65:$D$66,MATCH(AL166,'SCORING MASTER'!$C$65:$C$66,0)),INDEX('SCORING MASTER'!$D$68:$D$69,MATCH(AM166,'SCORING MASTER'!$C$68:$C$69,0)),INDEX('SCORING MASTER'!$D$71:$D$72,MATCH(AN166,'SCORING MASTER'!$C$71:$C$72,0)),INDEX('SCORING MASTER'!$D$74:$D$75,MATCH(AO166,'SCORING MASTER'!$C$74:$C$75,0)),INDEX('SCORING MASTER'!$D$77:$D$78,MATCH(AP166,'SCORING MASTER'!$C$77:$C$78,0)))*20,0))</f>
        <v/>
      </c>
      <c r="BJ166" s="31" t="str">
        <f aca="false">IF(COUNTBLANK(AU166:AZ166)&gt;0,"",ROUND(AVERAGE(INDEX('SCORING MASTER'!$D$95:$D$96,MATCH(AU166,'SCORING MASTER'!$C$95:$C$96,0)),INDEX('SCORING MASTER'!$D$98:$D$99,MATCH(AV166,'SCORING MASTER'!$C$98:$C$99,0)),INDEX('SCORING MASTER'!$D$101:$D$102,MATCH(AW166,'SCORING MASTER'!$C$101:$C$102,0)),INDEX('SCORING MASTER'!$D$104:$D$105,MATCH(AX166,'SCORING MASTER'!$C$104:$C$105,0)),INDEX('SCORING MASTER'!$D$107:$D$108,MATCH(AY166,'SCORING MASTER'!$C$107:$C$108,0)),INDEX('SCORING MASTER'!$D$110:$D$111,MATCH(AZ166,'SCORING MASTER'!$C$110:$C$111,0)))*20,0))</f>
        <v/>
      </c>
      <c r="BK166" s="31" t="str">
        <f aca="false">IF(COUNTBLANK(AQ166:AT166)&gt;0,"",ROUND(AVERAGE(INDEX('SCORING MASTER'!$D$80:$D$82,MATCH(AQ166,'SCORING MASTER'!$C$80:$C$82,0)),INDEX('SCORING MASTER'!$D$84:$D$86,MATCH(AR166,'SCORING MASTER'!$C$84:$C$86,0)),INDEX('SCORING MASTER'!$D$88:$D$90,MATCH(AS166,'SCORING MASTER'!$C$88:$C$90,0)),INDEX('SCORING MASTER'!$D$92:$D$93,MATCH(AT166,'SCORING MASTER'!$C$92:$C$93,0)))*20,0))</f>
        <v/>
      </c>
      <c r="BL166" s="31" t="str">
        <f aca="false">IF(COUNTBLANK(BA166:BE166)&gt;0,"",ROUND(AVERAGE(INDEX('SCORING MASTER'!$D$113:$D$115,MATCH(BA166,'SCORING MASTER'!$C$113:$C$115,0)),INDEX('SCORING MASTER'!$D$117:$D$119,MATCH(BB166,'SCORING MASTER'!$C$117:$C$119,0)),INDEX('SCORING MASTER'!$D$121:$D$123,MATCH(BC166,'SCORING MASTER'!$C$121:$C$123,0)),INDEX('SCORING MASTER'!$D$125:$D$126,MATCH(BD166,'SCORING MASTER'!$C$125:$C$126,0)),INDEX('SCORING MASTER'!$D$128:$D$129,MATCH(BE166,'SCORING MASTER'!$C$128:$C$129,0)))*20,0))</f>
        <v/>
      </c>
      <c r="BM166" s="31" t="str">
        <f aca="false">IF(OR(BF166="",BG166="",BH166="",BI166="",BJ166="",BK166="",BL166=""),"",ROUND(BF166*0.25+BG166*0.2+BH166*0.15+BI166*0.15+BJ166*0.1+BK166*0.1+BL166*0.05,0))</f>
        <v/>
      </c>
      <c r="BN166" s="31" t="str">
        <f aca="false">IF(OR(BF166="",BG166=""),"",ROUND(BF166*0.5+BG166*0.5,0))</f>
        <v/>
      </c>
      <c r="BO166" s="31" t="str">
        <f aca="false">IF(BN166="","",ROUND(MIN(100,MAX(0,(100-BN166)+IF(AL166="Yes",15,0)+IF(AM166="Yes",15,0)+IF(AND(U166&lt;&gt;"",U166&lt;18.5),20,0))),0))</f>
        <v/>
      </c>
      <c r="BP166" s="28" t="str">
        <f aca="false">IF(BM166="","",IF(BM166&gt;=90,"Green - Healthy",IF(BM166&gt;=75,"Light Green - Mild Watch",IF(BM166&gt;=60,"Yellow - Mild Risk",IF(BM166&gt;=40,"Orange - Moderate Risk","Red - High Risk")))))</f>
        <v/>
      </c>
      <c r="BQ166" s="28" t="str">
        <f aca="false">IF(BM166="","",IF(OR(BM166&lt;60,BO166&gt;=60,AJ166="Yes"),"Yes","No"))</f>
        <v/>
      </c>
      <c r="BR166" s="28" t="str">
        <f aca="false">IF(BM166="","",IF(OR(BP166="Orange - Moderate Risk",BP166="Red - High Risk",BQ166="Yes"),"Yes","No"))</f>
        <v/>
      </c>
    </row>
    <row r="167" customFormat="false" ht="15" hidden="false" customHeight="false" outlineLevel="0" collapsed="false">
      <c r="A167" s="32" t="str">
        <f aca="false">IF(I167="","","STU"&amp;TEXT(ROW()-3,"000000"))</f>
        <v/>
      </c>
      <c r="B167" s="32"/>
      <c r="C167" s="32"/>
      <c r="D167" s="32"/>
      <c r="E167" s="32"/>
      <c r="F167" s="32"/>
      <c r="G167" s="32"/>
      <c r="H167" s="32"/>
      <c r="I167" s="32"/>
      <c r="J167" s="34"/>
      <c r="K167" s="32"/>
      <c r="L167" s="32"/>
      <c r="M167" s="32"/>
      <c r="N167" s="32"/>
      <c r="O167" s="32"/>
      <c r="P167" s="32"/>
      <c r="Q167" s="34"/>
      <c r="R167" s="34"/>
      <c r="S167" s="35" t="str">
        <f aca="false">IF(OR(Q167="",R167=""),"",ROUND(R167/((Q167/100)^2),1))</f>
        <v/>
      </c>
      <c r="T167" s="32" t="str">
        <f aca="false">IF(S167="","",IF(S167&lt;18.5,"Underweight",IF(S167&lt;25,"Normal",IF(S167&lt;30,"Overweight","Obese"))))</f>
        <v/>
      </c>
      <c r="U167" s="34"/>
      <c r="V167" s="34"/>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5" t="str">
        <f aca="false">IF(T167="","",IF(T167="Normal",100,IF(T167="Overweight",65,IF(T167="Obese",50,IF(AND(U167&lt;&gt;"",U167&lt;18.5),30,45)))))</f>
        <v/>
      </c>
      <c r="BG167" s="35" t="str">
        <f aca="false">IF(COUNTBLANK(W167:AC167)&gt;0,"",ROUND(AVERAGE(INDEX('SCORING MASTER'!$D$5:$D$7,MATCH(W167,'SCORING MASTER'!$C$5:$C$7,0)),INDEX('SCORING MASTER'!$D$9:$D$11,MATCH(X167,'SCORING MASTER'!$C$9:$C$11,0)),INDEX('SCORING MASTER'!$D$13:$D$15,MATCH(Y167,'SCORING MASTER'!$C$13:$C$15,0)),INDEX('SCORING MASTER'!$D$17:$D$19,MATCH(Z167,'SCORING MASTER'!$C$17:$C$19,0)),INDEX('SCORING MASTER'!$D$21:$D$23,MATCH(AA167,'SCORING MASTER'!$C$21:$C$23,0)),INDEX('SCORING MASTER'!$D$25:$D$27,MATCH(AB167,'SCORING MASTER'!$C$25:$C$27,0)),INDEX('SCORING MASTER'!$D$29:$D$31,MATCH(AC167,'SCORING MASTER'!$C$29:$C$31,0)))*20,0))</f>
        <v/>
      </c>
      <c r="BH167" s="35" t="str">
        <f aca="false">IF(COUNTBLANK(AD167:AI167)&gt;0,"",ROUND(AVERAGE(INDEX('SCORING MASTER'!$D$33:$D$35,MATCH(AD167,'SCORING MASTER'!$C$33:$C$35,0)),INDEX('SCORING MASTER'!$D$37:$D$39,MATCH(AE167,'SCORING MASTER'!$C$37:$C$39,0)),INDEX('SCORING MASTER'!$D$41:$D$43,MATCH(AF167,'SCORING MASTER'!$C$41:$C$43,0)),INDEX('SCORING MASTER'!$D$45:$D$47,MATCH(AG167,'SCORING MASTER'!$C$45:$C$47,0)),INDEX('SCORING MASTER'!$D$49:$D$52,MATCH(AH167,'SCORING MASTER'!$C$49:$C$52,0)),INDEX('SCORING MASTER'!$D$54:$D$57,MATCH(AI167,'SCORING MASTER'!$C$54:$C$57,0)))*20,0))</f>
        <v/>
      </c>
      <c r="BI167" s="35" t="str">
        <f aca="false">IF(COUNTBLANK(AJ167:AP167)&gt;0,"",ROUND(AVERAGE(INDEX('SCORING MASTER'!$D$59:$D$60,MATCH(AJ167,'SCORING MASTER'!$C$59:$C$60,0)),INDEX('SCORING MASTER'!$D$62:$D$63,MATCH(AK167,'SCORING MASTER'!$C$62:$C$63,0)),INDEX('SCORING MASTER'!$D$65:$D$66,MATCH(AL167,'SCORING MASTER'!$C$65:$C$66,0)),INDEX('SCORING MASTER'!$D$68:$D$69,MATCH(AM167,'SCORING MASTER'!$C$68:$C$69,0)),INDEX('SCORING MASTER'!$D$71:$D$72,MATCH(AN167,'SCORING MASTER'!$C$71:$C$72,0)),INDEX('SCORING MASTER'!$D$74:$D$75,MATCH(AO167,'SCORING MASTER'!$C$74:$C$75,0)),INDEX('SCORING MASTER'!$D$77:$D$78,MATCH(AP167,'SCORING MASTER'!$C$77:$C$78,0)))*20,0))</f>
        <v/>
      </c>
      <c r="BJ167" s="35" t="str">
        <f aca="false">IF(COUNTBLANK(AU167:AZ167)&gt;0,"",ROUND(AVERAGE(INDEX('SCORING MASTER'!$D$95:$D$96,MATCH(AU167,'SCORING MASTER'!$C$95:$C$96,0)),INDEX('SCORING MASTER'!$D$98:$D$99,MATCH(AV167,'SCORING MASTER'!$C$98:$C$99,0)),INDEX('SCORING MASTER'!$D$101:$D$102,MATCH(AW167,'SCORING MASTER'!$C$101:$C$102,0)),INDEX('SCORING MASTER'!$D$104:$D$105,MATCH(AX167,'SCORING MASTER'!$C$104:$C$105,0)),INDEX('SCORING MASTER'!$D$107:$D$108,MATCH(AY167,'SCORING MASTER'!$C$107:$C$108,0)),INDEX('SCORING MASTER'!$D$110:$D$111,MATCH(AZ167,'SCORING MASTER'!$C$110:$C$111,0)))*20,0))</f>
        <v/>
      </c>
      <c r="BK167" s="35" t="str">
        <f aca="false">IF(COUNTBLANK(AQ167:AT167)&gt;0,"",ROUND(AVERAGE(INDEX('SCORING MASTER'!$D$80:$D$82,MATCH(AQ167,'SCORING MASTER'!$C$80:$C$82,0)),INDEX('SCORING MASTER'!$D$84:$D$86,MATCH(AR167,'SCORING MASTER'!$C$84:$C$86,0)),INDEX('SCORING MASTER'!$D$88:$D$90,MATCH(AS167,'SCORING MASTER'!$C$88:$C$90,0)),INDEX('SCORING MASTER'!$D$92:$D$93,MATCH(AT167,'SCORING MASTER'!$C$92:$C$93,0)))*20,0))</f>
        <v/>
      </c>
      <c r="BL167" s="35" t="str">
        <f aca="false">IF(COUNTBLANK(BA167:BE167)&gt;0,"",ROUND(AVERAGE(INDEX('SCORING MASTER'!$D$113:$D$115,MATCH(BA167,'SCORING MASTER'!$C$113:$C$115,0)),INDEX('SCORING MASTER'!$D$117:$D$119,MATCH(BB167,'SCORING MASTER'!$C$117:$C$119,0)),INDEX('SCORING MASTER'!$D$121:$D$123,MATCH(BC167,'SCORING MASTER'!$C$121:$C$123,0)),INDEX('SCORING MASTER'!$D$125:$D$126,MATCH(BD167,'SCORING MASTER'!$C$125:$C$126,0)),INDEX('SCORING MASTER'!$D$128:$D$129,MATCH(BE167,'SCORING MASTER'!$C$128:$C$129,0)))*20,0))</f>
        <v/>
      </c>
      <c r="BM167" s="35" t="str">
        <f aca="false">IF(OR(BF167="",BG167="",BH167="",BI167="",BJ167="",BK167="",BL167=""),"",ROUND(BF167*0.25+BG167*0.2+BH167*0.15+BI167*0.15+BJ167*0.1+BK167*0.1+BL167*0.05,0))</f>
        <v/>
      </c>
      <c r="BN167" s="35" t="str">
        <f aca="false">IF(OR(BF167="",BG167=""),"",ROUND(BF167*0.5+BG167*0.5,0))</f>
        <v/>
      </c>
      <c r="BO167" s="35" t="str">
        <f aca="false">IF(BN167="","",ROUND(MIN(100,MAX(0,(100-BN167)+IF(AL167="Yes",15,0)+IF(AM167="Yes",15,0)+IF(AND(U167&lt;&gt;"",U167&lt;18.5),20,0))),0))</f>
        <v/>
      </c>
      <c r="BP167" s="32" t="str">
        <f aca="false">IF(BM167="","",IF(BM167&gt;=90,"Green - Healthy",IF(BM167&gt;=75,"Light Green - Mild Watch",IF(BM167&gt;=60,"Yellow - Mild Risk",IF(BM167&gt;=40,"Orange - Moderate Risk","Red - High Risk")))))</f>
        <v/>
      </c>
      <c r="BQ167" s="32" t="str">
        <f aca="false">IF(BM167="","",IF(OR(BM167&lt;60,BO167&gt;=60,AJ167="Yes"),"Yes","No"))</f>
        <v/>
      </c>
      <c r="BR167" s="32" t="str">
        <f aca="false">IF(BM167="","",IF(OR(BP167="Orange - Moderate Risk",BP167="Red - High Risk",BQ167="Yes"),"Yes","No"))</f>
        <v/>
      </c>
    </row>
    <row r="168" customFormat="false" ht="15" hidden="false" customHeight="false" outlineLevel="0" collapsed="false">
      <c r="A168" s="28" t="str">
        <f aca="false">IF(I168="","","STU"&amp;TEXT(ROW()-3,"000000"))</f>
        <v/>
      </c>
      <c r="B168" s="28"/>
      <c r="C168" s="28"/>
      <c r="D168" s="28"/>
      <c r="E168" s="28"/>
      <c r="F168" s="28"/>
      <c r="G168" s="28"/>
      <c r="H168" s="28"/>
      <c r="I168" s="28"/>
      <c r="J168" s="30"/>
      <c r="K168" s="28"/>
      <c r="L168" s="28"/>
      <c r="M168" s="28"/>
      <c r="N168" s="28"/>
      <c r="O168" s="28"/>
      <c r="P168" s="28"/>
      <c r="Q168" s="30"/>
      <c r="R168" s="30"/>
      <c r="S168" s="31" t="str">
        <f aca="false">IF(OR(Q168="",R168=""),"",ROUND(R168/((Q168/100)^2),1))</f>
        <v/>
      </c>
      <c r="T168" s="28" t="str">
        <f aca="false">IF(S168="","",IF(S168&lt;18.5,"Underweight",IF(S168&lt;25,"Normal",IF(S168&lt;30,"Overweight","Obese"))))</f>
        <v/>
      </c>
      <c r="U168" s="30"/>
      <c r="V168" s="30"/>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31" t="str">
        <f aca="false">IF(T168="","",IF(T168="Normal",100,IF(T168="Overweight",65,IF(T168="Obese",50,IF(AND(U168&lt;&gt;"",U168&lt;18.5),30,45)))))</f>
        <v/>
      </c>
      <c r="BG168" s="31" t="str">
        <f aca="false">IF(COUNTBLANK(W168:AC168)&gt;0,"",ROUND(AVERAGE(INDEX('SCORING MASTER'!$D$5:$D$7,MATCH(W168,'SCORING MASTER'!$C$5:$C$7,0)),INDEX('SCORING MASTER'!$D$9:$D$11,MATCH(X168,'SCORING MASTER'!$C$9:$C$11,0)),INDEX('SCORING MASTER'!$D$13:$D$15,MATCH(Y168,'SCORING MASTER'!$C$13:$C$15,0)),INDEX('SCORING MASTER'!$D$17:$D$19,MATCH(Z168,'SCORING MASTER'!$C$17:$C$19,0)),INDEX('SCORING MASTER'!$D$21:$D$23,MATCH(AA168,'SCORING MASTER'!$C$21:$C$23,0)),INDEX('SCORING MASTER'!$D$25:$D$27,MATCH(AB168,'SCORING MASTER'!$C$25:$C$27,0)),INDEX('SCORING MASTER'!$D$29:$D$31,MATCH(AC168,'SCORING MASTER'!$C$29:$C$31,0)))*20,0))</f>
        <v/>
      </c>
      <c r="BH168" s="31" t="str">
        <f aca="false">IF(COUNTBLANK(AD168:AI168)&gt;0,"",ROUND(AVERAGE(INDEX('SCORING MASTER'!$D$33:$D$35,MATCH(AD168,'SCORING MASTER'!$C$33:$C$35,0)),INDEX('SCORING MASTER'!$D$37:$D$39,MATCH(AE168,'SCORING MASTER'!$C$37:$C$39,0)),INDEX('SCORING MASTER'!$D$41:$D$43,MATCH(AF168,'SCORING MASTER'!$C$41:$C$43,0)),INDEX('SCORING MASTER'!$D$45:$D$47,MATCH(AG168,'SCORING MASTER'!$C$45:$C$47,0)),INDEX('SCORING MASTER'!$D$49:$D$52,MATCH(AH168,'SCORING MASTER'!$C$49:$C$52,0)),INDEX('SCORING MASTER'!$D$54:$D$57,MATCH(AI168,'SCORING MASTER'!$C$54:$C$57,0)))*20,0))</f>
        <v/>
      </c>
      <c r="BI168" s="31" t="str">
        <f aca="false">IF(COUNTBLANK(AJ168:AP168)&gt;0,"",ROUND(AVERAGE(INDEX('SCORING MASTER'!$D$59:$D$60,MATCH(AJ168,'SCORING MASTER'!$C$59:$C$60,0)),INDEX('SCORING MASTER'!$D$62:$D$63,MATCH(AK168,'SCORING MASTER'!$C$62:$C$63,0)),INDEX('SCORING MASTER'!$D$65:$D$66,MATCH(AL168,'SCORING MASTER'!$C$65:$C$66,0)),INDEX('SCORING MASTER'!$D$68:$D$69,MATCH(AM168,'SCORING MASTER'!$C$68:$C$69,0)),INDEX('SCORING MASTER'!$D$71:$D$72,MATCH(AN168,'SCORING MASTER'!$C$71:$C$72,0)),INDEX('SCORING MASTER'!$D$74:$D$75,MATCH(AO168,'SCORING MASTER'!$C$74:$C$75,0)),INDEX('SCORING MASTER'!$D$77:$D$78,MATCH(AP168,'SCORING MASTER'!$C$77:$C$78,0)))*20,0))</f>
        <v/>
      </c>
      <c r="BJ168" s="31" t="str">
        <f aca="false">IF(COUNTBLANK(AU168:AZ168)&gt;0,"",ROUND(AVERAGE(INDEX('SCORING MASTER'!$D$95:$D$96,MATCH(AU168,'SCORING MASTER'!$C$95:$C$96,0)),INDEX('SCORING MASTER'!$D$98:$D$99,MATCH(AV168,'SCORING MASTER'!$C$98:$C$99,0)),INDEX('SCORING MASTER'!$D$101:$D$102,MATCH(AW168,'SCORING MASTER'!$C$101:$C$102,0)),INDEX('SCORING MASTER'!$D$104:$D$105,MATCH(AX168,'SCORING MASTER'!$C$104:$C$105,0)),INDEX('SCORING MASTER'!$D$107:$D$108,MATCH(AY168,'SCORING MASTER'!$C$107:$C$108,0)),INDEX('SCORING MASTER'!$D$110:$D$111,MATCH(AZ168,'SCORING MASTER'!$C$110:$C$111,0)))*20,0))</f>
        <v/>
      </c>
      <c r="BK168" s="31" t="str">
        <f aca="false">IF(COUNTBLANK(AQ168:AT168)&gt;0,"",ROUND(AVERAGE(INDEX('SCORING MASTER'!$D$80:$D$82,MATCH(AQ168,'SCORING MASTER'!$C$80:$C$82,0)),INDEX('SCORING MASTER'!$D$84:$D$86,MATCH(AR168,'SCORING MASTER'!$C$84:$C$86,0)),INDEX('SCORING MASTER'!$D$88:$D$90,MATCH(AS168,'SCORING MASTER'!$C$88:$C$90,0)),INDEX('SCORING MASTER'!$D$92:$D$93,MATCH(AT168,'SCORING MASTER'!$C$92:$C$93,0)))*20,0))</f>
        <v/>
      </c>
      <c r="BL168" s="31" t="str">
        <f aca="false">IF(COUNTBLANK(BA168:BE168)&gt;0,"",ROUND(AVERAGE(INDEX('SCORING MASTER'!$D$113:$D$115,MATCH(BA168,'SCORING MASTER'!$C$113:$C$115,0)),INDEX('SCORING MASTER'!$D$117:$D$119,MATCH(BB168,'SCORING MASTER'!$C$117:$C$119,0)),INDEX('SCORING MASTER'!$D$121:$D$123,MATCH(BC168,'SCORING MASTER'!$C$121:$C$123,0)),INDEX('SCORING MASTER'!$D$125:$D$126,MATCH(BD168,'SCORING MASTER'!$C$125:$C$126,0)),INDEX('SCORING MASTER'!$D$128:$D$129,MATCH(BE168,'SCORING MASTER'!$C$128:$C$129,0)))*20,0))</f>
        <v/>
      </c>
      <c r="BM168" s="31" t="str">
        <f aca="false">IF(OR(BF168="",BG168="",BH168="",BI168="",BJ168="",BK168="",BL168=""),"",ROUND(BF168*0.25+BG168*0.2+BH168*0.15+BI168*0.15+BJ168*0.1+BK168*0.1+BL168*0.05,0))</f>
        <v/>
      </c>
      <c r="BN168" s="31" t="str">
        <f aca="false">IF(OR(BF168="",BG168=""),"",ROUND(BF168*0.5+BG168*0.5,0))</f>
        <v/>
      </c>
      <c r="BO168" s="31" t="str">
        <f aca="false">IF(BN168="","",ROUND(MIN(100,MAX(0,(100-BN168)+IF(AL168="Yes",15,0)+IF(AM168="Yes",15,0)+IF(AND(U168&lt;&gt;"",U168&lt;18.5),20,0))),0))</f>
        <v/>
      </c>
      <c r="BP168" s="28" t="str">
        <f aca="false">IF(BM168="","",IF(BM168&gt;=90,"Green - Healthy",IF(BM168&gt;=75,"Light Green - Mild Watch",IF(BM168&gt;=60,"Yellow - Mild Risk",IF(BM168&gt;=40,"Orange - Moderate Risk","Red - High Risk")))))</f>
        <v/>
      </c>
      <c r="BQ168" s="28" t="str">
        <f aca="false">IF(BM168="","",IF(OR(BM168&lt;60,BO168&gt;=60,AJ168="Yes"),"Yes","No"))</f>
        <v/>
      </c>
      <c r="BR168" s="28" t="str">
        <f aca="false">IF(BM168="","",IF(OR(BP168="Orange - Moderate Risk",BP168="Red - High Risk",BQ168="Yes"),"Yes","No"))</f>
        <v/>
      </c>
    </row>
    <row r="169" customFormat="false" ht="15" hidden="false" customHeight="false" outlineLevel="0" collapsed="false">
      <c r="A169" s="32" t="str">
        <f aca="false">IF(I169="","","STU"&amp;TEXT(ROW()-3,"000000"))</f>
        <v/>
      </c>
      <c r="B169" s="32"/>
      <c r="C169" s="32"/>
      <c r="D169" s="32"/>
      <c r="E169" s="32"/>
      <c r="F169" s="32"/>
      <c r="G169" s="32"/>
      <c r="H169" s="32"/>
      <c r="I169" s="32"/>
      <c r="J169" s="34"/>
      <c r="K169" s="32"/>
      <c r="L169" s="32"/>
      <c r="M169" s="32"/>
      <c r="N169" s="32"/>
      <c r="O169" s="32"/>
      <c r="P169" s="32"/>
      <c r="Q169" s="34"/>
      <c r="R169" s="34"/>
      <c r="S169" s="35" t="str">
        <f aca="false">IF(OR(Q169="",R169=""),"",ROUND(R169/((Q169/100)^2),1))</f>
        <v/>
      </c>
      <c r="T169" s="32" t="str">
        <f aca="false">IF(S169="","",IF(S169&lt;18.5,"Underweight",IF(S169&lt;25,"Normal",IF(S169&lt;30,"Overweight","Obese"))))</f>
        <v/>
      </c>
      <c r="U169" s="34"/>
      <c r="V169" s="34"/>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5" t="str">
        <f aca="false">IF(T169="","",IF(T169="Normal",100,IF(T169="Overweight",65,IF(T169="Obese",50,IF(AND(U169&lt;&gt;"",U169&lt;18.5),30,45)))))</f>
        <v/>
      </c>
      <c r="BG169" s="35" t="str">
        <f aca="false">IF(COUNTBLANK(W169:AC169)&gt;0,"",ROUND(AVERAGE(INDEX('SCORING MASTER'!$D$5:$D$7,MATCH(W169,'SCORING MASTER'!$C$5:$C$7,0)),INDEX('SCORING MASTER'!$D$9:$D$11,MATCH(X169,'SCORING MASTER'!$C$9:$C$11,0)),INDEX('SCORING MASTER'!$D$13:$D$15,MATCH(Y169,'SCORING MASTER'!$C$13:$C$15,0)),INDEX('SCORING MASTER'!$D$17:$D$19,MATCH(Z169,'SCORING MASTER'!$C$17:$C$19,0)),INDEX('SCORING MASTER'!$D$21:$D$23,MATCH(AA169,'SCORING MASTER'!$C$21:$C$23,0)),INDEX('SCORING MASTER'!$D$25:$D$27,MATCH(AB169,'SCORING MASTER'!$C$25:$C$27,0)),INDEX('SCORING MASTER'!$D$29:$D$31,MATCH(AC169,'SCORING MASTER'!$C$29:$C$31,0)))*20,0))</f>
        <v/>
      </c>
      <c r="BH169" s="35" t="str">
        <f aca="false">IF(COUNTBLANK(AD169:AI169)&gt;0,"",ROUND(AVERAGE(INDEX('SCORING MASTER'!$D$33:$D$35,MATCH(AD169,'SCORING MASTER'!$C$33:$C$35,0)),INDEX('SCORING MASTER'!$D$37:$D$39,MATCH(AE169,'SCORING MASTER'!$C$37:$C$39,0)),INDEX('SCORING MASTER'!$D$41:$D$43,MATCH(AF169,'SCORING MASTER'!$C$41:$C$43,0)),INDEX('SCORING MASTER'!$D$45:$D$47,MATCH(AG169,'SCORING MASTER'!$C$45:$C$47,0)),INDEX('SCORING MASTER'!$D$49:$D$52,MATCH(AH169,'SCORING MASTER'!$C$49:$C$52,0)),INDEX('SCORING MASTER'!$D$54:$D$57,MATCH(AI169,'SCORING MASTER'!$C$54:$C$57,0)))*20,0))</f>
        <v/>
      </c>
      <c r="BI169" s="35" t="str">
        <f aca="false">IF(COUNTBLANK(AJ169:AP169)&gt;0,"",ROUND(AVERAGE(INDEX('SCORING MASTER'!$D$59:$D$60,MATCH(AJ169,'SCORING MASTER'!$C$59:$C$60,0)),INDEX('SCORING MASTER'!$D$62:$D$63,MATCH(AK169,'SCORING MASTER'!$C$62:$C$63,0)),INDEX('SCORING MASTER'!$D$65:$D$66,MATCH(AL169,'SCORING MASTER'!$C$65:$C$66,0)),INDEX('SCORING MASTER'!$D$68:$D$69,MATCH(AM169,'SCORING MASTER'!$C$68:$C$69,0)),INDEX('SCORING MASTER'!$D$71:$D$72,MATCH(AN169,'SCORING MASTER'!$C$71:$C$72,0)),INDEX('SCORING MASTER'!$D$74:$D$75,MATCH(AO169,'SCORING MASTER'!$C$74:$C$75,0)),INDEX('SCORING MASTER'!$D$77:$D$78,MATCH(AP169,'SCORING MASTER'!$C$77:$C$78,0)))*20,0))</f>
        <v/>
      </c>
      <c r="BJ169" s="35" t="str">
        <f aca="false">IF(COUNTBLANK(AU169:AZ169)&gt;0,"",ROUND(AVERAGE(INDEX('SCORING MASTER'!$D$95:$D$96,MATCH(AU169,'SCORING MASTER'!$C$95:$C$96,0)),INDEX('SCORING MASTER'!$D$98:$D$99,MATCH(AV169,'SCORING MASTER'!$C$98:$C$99,0)),INDEX('SCORING MASTER'!$D$101:$D$102,MATCH(AW169,'SCORING MASTER'!$C$101:$C$102,0)),INDEX('SCORING MASTER'!$D$104:$D$105,MATCH(AX169,'SCORING MASTER'!$C$104:$C$105,0)),INDEX('SCORING MASTER'!$D$107:$D$108,MATCH(AY169,'SCORING MASTER'!$C$107:$C$108,0)),INDEX('SCORING MASTER'!$D$110:$D$111,MATCH(AZ169,'SCORING MASTER'!$C$110:$C$111,0)))*20,0))</f>
        <v/>
      </c>
      <c r="BK169" s="35" t="str">
        <f aca="false">IF(COUNTBLANK(AQ169:AT169)&gt;0,"",ROUND(AVERAGE(INDEX('SCORING MASTER'!$D$80:$D$82,MATCH(AQ169,'SCORING MASTER'!$C$80:$C$82,0)),INDEX('SCORING MASTER'!$D$84:$D$86,MATCH(AR169,'SCORING MASTER'!$C$84:$C$86,0)),INDEX('SCORING MASTER'!$D$88:$D$90,MATCH(AS169,'SCORING MASTER'!$C$88:$C$90,0)),INDEX('SCORING MASTER'!$D$92:$D$93,MATCH(AT169,'SCORING MASTER'!$C$92:$C$93,0)))*20,0))</f>
        <v/>
      </c>
      <c r="BL169" s="35" t="str">
        <f aca="false">IF(COUNTBLANK(BA169:BE169)&gt;0,"",ROUND(AVERAGE(INDEX('SCORING MASTER'!$D$113:$D$115,MATCH(BA169,'SCORING MASTER'!$C$113:$C$115,0)),INDEX('SCORING MASTER'!$D$117:$D$119,MATCH(BB169,'SCORING MASTER'!$C$117:$C$119,0)),INDEX('SCORING MASTER'!$D$121:$D$123,MATCH(BC169,'SCORING MASTER'!$C$121:$C$123,0)),INDEX('SCORING MASTER'!$D$125:$D$126,MATCH(BD169,'SCORING MASTER'!$C$125:$C$126,0)),INDEX('SCORING MASTER'!$D$128:$D$129,MATCH(BE169,'SCORING MASTER'!$C$128:$C$129,0)))*20,0))</f>
        <v/>
      </c>
      <c r="BM169" s="35" t="str">
        <f aca="false">IF(OR(BF169="",BG169="",BH169="",BI169="",BJ169="",BK169="",BL169=""),"",ROUND(BF169*0.25+BG169*0.2+BH169*0.15+BI169*0.15+BJ169*0.1+BK169*0.1+BL169*0.05,0))</f>
        <v/>
      </c>
      <c r="BN169" s="35" t="str">
        <f aca="false">IF(OR(BF169="",BG169=""),"",ROUND(BF169*0.5+BG169*0.5,0))</f>
        <v/>
      </c>
      <c r="BO169" s="35" t="str">
        <f aca="false">IF(BN169="","",ROUND(MIN(100,MAX(0,(100-BN169)+IF(AL169="Yes",15,0)+IF(AM169="Yes",15,0)+IF(AND(U169&lt;&gt;"",U169&lt;18.5),20,0))),0))</f>
        <v/>
      </c>
      <c r="BP169" s="32" t="str">
        <f aca="false">IF(BM169="","",IF(BM169&gt;=90,"Green - Healthy",IF(BM169&gt;=75,"Light Green - Mild Watch",IF(BM169&gt;=60,"Yellow - Mild Risk",IF(BM169&gt;=40,"Orange - Moderate Risk","Red - High Risk")))))</f>
        <v/>
      </c>
      <c r="BQ169" s="32" t="str">
        <f aca="false">IF(BM169="","",IF(OR(BM169&lt;60,BO169&gt;=60,AJ169="Yes"),"Yes","No"))</f>
        <v/>
      </c>
      <c r="BR169" s="32" t="str">
        <f aca="false">IF(BM169="","",IF(OR(BP169="Orange - Moderate Risk",BP169="Red - High Risk",BQ169="Yes"),"Yes","No"))</f>
        <v/>
      </c>
    </row>
    <row r="170" customFormat="false" ht="15" hidden="false" customHeight="false" outlineLevel="0" collapsed="false">
      <c r="A170" s="28" t="str">
        <f aca="false">IF(I170="","","STU"&amp;TEXT(ROW()-3,"000000"))</f>
        <v/>
      </c>
      <c r="B170" s="28"/>
      <c r="C170" s="28"/>
      <c r="D170" s="28"/>
      <c r="E170" s="28"/>
      <c r="F170" s="28"/>
      <c r="G170" s="28"/>
      <c r="H170" s="28"/>
      <c r="I170" s="28"/>
      <c r="J170" s="30"/>
      <c r="K170" s="28"/>
      <c r="L170" s="28"/>
      <c r="M170" s="28"/>
      <c r="N170" s="28"/>
      <c r="O170" s="28"/>
      <c r="P170" s="28"/>
      <c r="Q170" s="30"/>
      <c r="R170" s="30"/>
      <c r="S170" s="31" t="str">
        <f aca="false">IF(OR(Q170="",R170=""),"",ROUND(R170/((Q170/100)^2),1))</f>
        <v/>
      </c>
      <c r="T170" s="28" t="str">
        <f aca="false">IF(S170="","",IF(S170&lt;18.5,"Underweight",IF(S170&lt;25,"Normal",IF(S170&lt;30,"Overweight","Obese"))))</f>
        <v/>
      </c>
      <c r="U170" s="30"/>
      <c r="V170" s="30"/>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31" t="str">
        <f aca="false">IF(T170="","",IF(T170="Normal",100,IF(T170="Overweight",65,IF(T170="Obese",50,IF(AND(U170&lt;&gt;"",U170&lt;18.5),30,45)))))</f>
        <v/>
      </c>
      <c r="BG170" s="31" t="str">
        <f aca="false">IF(COUNTBLANK(W170:AC170)&gt;0,"",ROUND(AVERAGE(INDEX('SCORING MASTER'!$D$5:$D$7,MATCH(W170,'SCORING MASTER'!$C$5:$C$7,0)),INDEX('SCORING MASTER'!$D$9:$D$11,MATCH(X170,'SCORING MASTER'!$C$9:$C$11,0)),INDEX('SCORING MASTER'!$D$13:$D$15,MATCH(Y170,'SCORING MASTER'!$C$13:$C$15,0)),INDEX('SCORING MASTER'!$D$17:$D$19,MATCH(Z170,'SCORING MASTER'!$C$17:$C$19,0)),INDEX('SCORING MASTER'!$D$21:$D$23,MATCH(AA170,'SCORING MASTER'!$C$21:$C$23,0)),INDEX('SCORING MASTER'!$D$25:$D$27,MATCH(AB170,'SCORING MASTER'!$C$25:$C$27,0)),INDEX('SCORING MASTER'!$D$29:$D$31,MATCH(AC170,'SCORING MASTER'!$C$29:$C$31,0)))*20,0))</f>
        <v/>
      </c>
      <c r="BH170" s="31" t="str">
        <f aca="false">IF(COUNTBLANK(AD170:AI170)&gt;0,"",ROUND(AVERAGE(INDEX('SCORING MASTER'!$D$33:$D$35,MATCH(AD170,'SCORING MASTER'!$C$33:$C$35,0)),INDEX('SCORING MASTER'!$D$37:$D$39,MATCH(AE170,'SCORING MASTER'!$C$37:$C$39,0)),INDEX('SCORING MASTER'!$D$41:$D$43,MATCH(AF170,'SCORING MASTER'!$C$41:$C$43,0)),INDEX('SCORING MASTER'!$D$45:$D$47,MATCH(AG170,'SCORING MASTER'!$C$45:$C$47,0)),INDEX('SCORING MASTER'!$D$49:$D$52,MATCH(AH170,'SCORING MASTER'!$C$49:$C$52,0)),INDEX('SCORING MASTER'!$D$54:$D$57,MATCH(AI170,'SCORING MASTER'!$C$54:$C$57,0)))*20,0))</f>
        <v/>
      </c>
      <c r="BI170" s="31" t="str">
        <f aca="false">IF(COUNTBLANK(AJ170:AP170)&gt;0,"",ROUND(AVERAGE(INDEX('SCORING MASTER'!$D$59:$D$60,MATCH(AJ170,'SCORING MASTER'!$C$59:$C$60,0)),INDEX('SCORING MASTER'!$D$62:$D$63,MATCH(AK170,'SCORING MASTER'!$C$62:$C$63,0)),INDEX('SCORING MASTER'!$D$65:$D$66,MATCH(AL170,'SCORING MASTER'!$C$65:$C$66,0)),INDEX('SCORING MASTER'!$D$68:$D$69,MATCH(AM170,'SCORING MASTER'!$C$68:$C$69,0)),INDEX('SCORING MASTER'!$D$71:$D$72,MATCH(AN170,'SCORING MASTER'!$C$71:$C$72,0)),INDEX('SCORING MASTER'!$D$74:$D$75,MATCH(AO170,'SCORING MASTER'!$C$74:$C$75,0)),INDEX('SCORING MASTER'!$D$77:$D$78,MATCH(AP170,'SCORING MASTER'!$C$77:$C$78,0)))*20,0))</f>
        <v/>
      </c>
      <c r="BJ170" s="31" t="str">
        <f aca="false">IF(COUNTBLANK(AU170:AZ170)&gt;0,"",ROUND(AVERAGE(INDEX('SCORING MASTER'!$D$95:$D$96,MATCH(AU170,'SCORING MASTER'!$C$95:$C$96,0)),INDEX('SCORING MASTER'!$D$98:$D$99,MATCH(AV170,'SCORING MASTER'!$C$98:$C$99,0)),INDEX('SCORING MASTER'!$D$101:$D$102,MATCH(AW170,'SCORING MASTER'!$C$101:$C$102,0)),INDEX('SCORING MASTER'!$D$104:$D$105,MATCH(AX170,'SCORING MASTER'!$C$104:$C$105,0)),INDEX('SCORING MASTER'!$D$107:$D$108,MATCH(AY170,'SCORING MASTER'!$C$107:$C$108,0)),INDEX('SCORING MASTER'!$D$110:$D$111,MATCH(AZ170,'SCORING MASTER'!$C$110:$C$111,0)))*20,0))</f>
        <v/>
      </c>
      <c r="BK170" s="31" t="str">
        <f aca="false">IF(COUNTBLANK(AQ170:AT170)&gt;0,"",ROUND(AVERAGE(INDEX('SCORING MASTER'!$D$80:$D$82,MATCH(AQ170,'SCORING MASTER'!$C$80:$C$82,0)),INDEX('SCORING MASTER'!$D$84:$D$86,MATCH(AR170,'SCORING MASTER'!$C$84:$C$86,0)),INDEX('SCORING MASTER'!$D$88:$D$90,MATCH(AS170,'SCORING MASTER'!$C$88:$C$90,0)),INDEX('SCORING MASTER'!$D$92:$D$93,MATCH(AT170,'SCORING MASTER'!$C$92:$C$93,0)))*20,0))</f>
        <v/>
      </c>
      <c r="BL170" s="31" t="str">
        <f aca="false">IF(COUNTBLANK(BA170:BE170)&gt;0,"",ROUND(AVERAGE(INDEX('SCORING MASTER'!$D$113:$D$115,MATCH(BA170,'SCORING MASTER'!$C$113:$C$115,0)),INDEX('SCORING MASTER'!$D$117:$D$119,MATCH(BB170,'SCORING MASTER'!$C$117:$C$119,0)),INDEX('SCORING MASTER'!$D$121:$D$123,MATCH(BC170,'SCORING MASTER'!$C$121:$C$123,0)),INDEX('SCORING MASTER'!$D$125:$D$126,MATCH(BD170,'SCORING MASTER'!$C$125:$C$126,0)),INDEX('SCORING MASTER'!$D$128:$D$129,MATCH(BE170,'SCORING MASTER'!$C$128:$C$129,0)))*20,0))</f>
        <v/>
      </c>
      <c r="BM170" s="31" t="str">
        <f aca="false">IF(OR(BF170="",BG170="",BH170="",BI170="",BJ170="",BK170="",BL170=""),"",ROUND(BF170*0.25+BG170*0.2+BH170*0.15+BI170*0.15+BJ170*0.1+BK170*0.1+BL170*0.05,0))</f>
        <v/>
      </c>
      <c r="BN170" s="31" t="str">
        <f aca="false">IF(OR(BF170="",BG170=""),"",ROUND(BF170*0.5+BG170*0.5,0))</f>
        <v/>
      </c>
      <c r="BO170" s="31" t="str">
        <f aca="false">IF(BN170="","",ROUND(MIN(100,MAX(0,(100-BN170)+IF(AL170="Yes",15,0)+IF(AM170="Yes",15,0)+IF(AND(U170&lt;&gt;"",U170&lt;18.5),20,0))),0))</f>
        <v/>
      </c>
      <c r="BP170" s="28" t="str">
        <f aca="false">IF(BM170="","",IF(BM170&gt;=90,"Green - Healthy",IF(BM170&gt;=75,"Light Green - Mild Watch",IF(BM170&gt;=60,"Yellow - Mild Risk",IF(BM170&gt;=40,"Orange - Moderate Risk","Red - High Risk")))))</f>
        <v/>
      </c>
      <c r="BQ170" s="28" t="str">
        <f aca="false">IF(BM170="","",IF(OR(BM170&lt;60,BO170&gt;=60,AJ170="Yes"),"Yes","No"))</f>
        <v/>
      </c>
      <c r="BR170" s="28" t="str">
        <f aca="false">IF(BM170="","",IF(OR(BP170="Orange - Moderate Risk",BP170="Red - High Risk",BQ170="Yes"),"Yes","No"))</f>
        <v/>
      </c>
    </row>
    <row r="171" customFormat="false" ht="15" hidden="false" customHeight="false" outlineLevel="0" collapsed="false">
      <c r="A171" s="32" t="str">
        <f aca="false">IF(I171="","","STU"&amp;TEXT(ROW()-3,"000000"))</f>
        <v/>
      </c>
      <c r="B171" s="32"/>
      <c r="C171" s="32"/>
      <c r="D171" s="32"/>
      <c r="E171" s="32"/>
      <c r="F171" s="32"/>
      <c r="G171" s="32"/>
      <c r="H171" s="32"/>
      <c r="I171" s="32"/>
      <c r="J171" s="34"/>
      <c r="K171" s="32"/>
      <c r="L171" s="32"/>
      <c r="M171" s="32"/>
      <c r="N171" s="32"/>
      <c r="O171" s="32"/>
      <c r="P171" s="32"/>
      <c r="Q171" s="34"/>
      <c r="R171" s="34"/>
      <c r="S171" s="35" t="str">
        <f aca="false">IF(OR(Q171="",R171=""),"",ROUND(R171/((Q171/100)^2),1))</f>
        <v/>
      </c>
      <c r="T171" s="32" t="str">
        <f aca="false">IF(S171="","",IF(S171&lt;18.5,"Underweight",IF(S171&lt;25,"Normal",IF(S171&lt;30,"Overweight","Obese"))))</f>
        <v/>
      </c>
      <c r="U171" s="34"/>
      <c r="V171" s="34"/>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5" t="str">
        <f aca="false">IF(T171="","",IF(T171="Normal",100,IF(T171="Overweight",65,IF(T171="Obese",50,IF(AND(U171&lt;&gt;"",U171&lt;18.5),30,45)))))</f>
        <v/>
      </c>
      <c r="BG171" s="35" t="str">
        <f aca="false">IF(COUNTBLANK(W171:AC171)&gt;0,"",ROUND(AVERAGE(INDEX('SCORING MASTER'!$D$5:$D$7,MATCH(W171,'SCORING MASTER'!$C$5:$C$7,0)),INDEX('SCORING MASTER'!$D$9:$D$11,MATCH(X171,'SCORING MASTER'!$C$9:$C$11,0)),INDEX('SCORING MASTER'!$D$13:$D$15,MATCH(Y171,'SCORING MASTER'!$C$13:$C$15,0)),INDEX('SCORING MASTER'!$D$17:$D$19,MATCH(Z171,'SCORING MASTER'!$C$17:$C$19,0)),INDEX('SCORING MASTER'!$D$21:$D$23,MATCH(AA171,'SCORING MASTER'!$C$21:$C$23,0)),INDEX('SCORING MASTER'!$D$25:$D$27,MATCH(AB171,'SCORING MASTER'!$C$25:$C$27,0)),INDEX('SCORING MASTER'!$D$29:$D$31,MATCH(AC171,'SCORING MASTER'!$C$29:$C$31,0)))*20,0))</f>
        <v/>
      </c>
      <c r="BH171" s="35" t="str">
        <f aca="false">IF(COUNTBLANK(AD171:AI171)&gt;0,"",ROUND(AVERAGE(INDEX('SCORING MASTER'!$D$33:$D$35,MATCH(AD171,'SCORING MASTER'!$C$33:$C$35,0)),INDEX('SCORING MASTER'!$D$37:$D$39,MATCH(AE171,'SCORING MASTER'!$C$37:$C$39,0)),INDEX('SCORING MASTER'!$D$41:$D$43,MATCH(AF171,'SCORING MASTER'!$C$41:$C$43,0)),INDEX('SCORING MASTER'!$D$45:$D$47,MATCH(AG171,'SCORING MASTER'!$C$45:$C$47,0)),INDEX('SCORING MASTER'!$D$49:$D$52,MATCH(AH171,'SCORING MASTER'!$C$49:$C$52,0)),INDEX('SCORING MASTER'!$D$54:$D$57,MATCH(AI171,'SCORING MASTER'!$C$54:$C$57,0)))*20,0))</f>
        <v/>
      </c>
      <c r="BI171" s="35" t="str">
        <f aca="false">IF(COUNTBLANK(AJ171:AP171)&gt;0,"",ROUND(AVERAGE(INDEX('SCORING MASTER'!$D$59:$D$60,MATCH(AJ171,'SCORING MASTER'!$C$59:$C$60,0)),INDEX('SCORING MASTER'!$D$62:$D$63,MATCH(AK171,'SCORING MASTER'!$C$62:$C$63,0)),INDEX('SCORING MASTER'!$D$65:$D$66,MATCH(AL171,'SCORING MASTER'!$C$65:$C$66,0)),INDEX('SCORING MASTER'!$D$68:$D$69,MATCH(AM171,'SCORING MASTER'!$C$68:$C$69,0)),INDEX('SCORING MASTER'!$D$71:$D$72,MATCH(AN171,'SCORING MASTER'!$C$71:$C$72,0)),INDEX('SCORING MASTER'!$D$74:$D$75,MATCH(AO171,'SCORING MASTER'!$C$74:$C$75,0)),INDEX('SCORING MASTER'!$D$77:$D$78,MATCH(AP171,'SCORING MASTER'!$C$77:$C$78,0)))*20,0))</f>
        <v/>
      </c>
      <c r="BJ171" s="35" t="str">
        <f aca="false">IF(COUNTBLANK(AU171:AZ171)&gt;0,"",ROUND(AVERAGE(INDEX('SCORING MASTER'!$D$95:$D$96,MATCH(AU171,'SCORING MASTER'!$C$95:$C$96,0)),INDEX('SCORING MASTER'!$D$98:$D$99,MATCH(AV171,'SCORING MASTER'!$C$98:$C$99,0)),INDEX('SCORING MASTER'!$D$101:$D$102,MATCH(AW171,'SCORING MASTER'!$C$101:$C$102,0)),INDEX('SCORING MASTER'!$D$104:$D$105,MATCH(AX171,'SCORING MASTER'!$C$104:$C$105,0)),INDEX('SCORING MASTER'!$D$107:$D$108,MATCH(AY171,'SCORING MASTER'!$C$107:$C$108,0)),INDEX('SCORING MASTER'!$D$110:$D$111,MATCH(AZ171,'SCORING MASTER'!$C$110:$C$111,0)))*20,0))</f>
        <v/>
      </c>
      <c r="BK171" s="35" t="str">
        <f aca="false">IF(COUNTBLANK(AQ171:AT171)&gt;0,"",ROUND(AVERAGE(INDEX('SCORING MASTER'!$D$80:$D$82,MATCH(AQ171,'SCORING MASTER'!$C$80:$C$82,0)),INDEX('SCORING MASTER'!$D$84:$D$86,MATCH(AR171,'SCORING MASTER'!$C$84:$C$86,0)),INDEX('SCORING MASTER'!$D$88:$D$90,MATCH(AS171,'SCORING MASTER'!$C$88:$C$90,0)),INDEX('SCORING MASTER'!$D$92:$D$93,MATCH(AT171,'SCORING MASTER'!$C$92:$C$93,0)))*20,0))</f>
        <v/>
      </c>
      <c r="BL171" s="35" t="str">
        <f aca="false">IF(COUNTBLANK(BA171:BE171)&gt;0,"",ROUND(AVERAGE(INDEX('SCORING MASTER'!$D$113:$D$115,MATCH(BA171,'SCORING MASTER'!$C$113:$C$115,0)),INDEX('SCORING MASTER'!$D$117:$D$119,MATCH(BB171,'SCORING MASTER'!$C$117:$C$119,0)),INDEX('SCORING MASTER'!$D$121:$D$123,MATCH(BC171,'SCORING MASTER'!$C$121:$C$123,0)),INDEX('SCORING MASTER'!$D$125:$D$126,MATCH(BD171,'SCORING MASTER'!$C$125:$C$126,0)),INDEX('SCORING MASTER'!$D$128:$D$129,MATCH(BE171,'SCORING MASTER'!$C$128:$C$129,0)))*20,0))</f>
        <v/>
      </c>
      <c r="BM171" s="35" t="str">
        <f aca="false">IF(OR(BF171="",BG171="",BH171="",BI171="",BJ171="",BK171="",BL171=""),"",ROUND(BF171*0.25+BG171*0.2+BH171*0.15+BI171*0.15+BJ171*0.1+BK171*0.1+BL171*0.05,0))</f>
        <v/>
      </c>
      <c r="BN171" s="35" t="str">
        <f aca="false">IF(OR(BF171="",BG171=""),"",ROUND(BF171*0.5+BG171*0.5,0))</f>
        <v/>
      </c>
      <c r="BO171" s="35" t="str">
        <f aca="false">IF(BN171="","",ROUND(MIN(100,MAX(0,(100-BN171)+IF(AL171="Yes",15,0)+IF(AM171="Yes",15,0)+IF(AND(U171&lt;&gt;"",U171&lt;18.5),20,0))),0))</f>
        <v/>
      </c>
      <c r="BP171" s="32" t="str">
        <f aca="false">IF(BM171="","",IF(BM171&gt;=90,"Green - Healthy",IF(BM171&gt;=75,"Light Green - Mild Watch",IF(BM171&gt;=60,"Yellow - Mild Risk",IF(BM171&gt;=40,"Orange - Moderate Risk","Red - High Risk")))))</f>
        <v/>
      </c>
      <c r="BQ171" s="32" t="str">
        <f aca="false">IF(BM171="","",IF(OR(BM171&lt;60,BO171&gt;=60,AJ171="Yes"),"Yes","No"))</f>
        <v/>
      </c>
      <c r="BR171" s="32" t="str">
        <f aca="false">IF(BM171="","",IF(OR(BP171="Orange - Moderate Risk",BP171="Red - High Risk",BQ171="Yes"),"Yes","No"))</f>
        <v/>
      </c>
    </row>
    <row r="172" customFormat="false" ht="15" hidden="false" customHeight="false" outlineLevel="0" collapsed="false">
      <c r="A172" s="28" t="str">
        <f aca="false">IF(I172="","","STU"&amp;TEXT(ROW()-3,"000000"))</f>
        <v/>
      </c>
      <c r="B172" s="28"/>
      <c r="C172" s="28"/>
      <c r="D172" s="28"/>
      <c r="E172" s="28"/>
      <c r="F172" s="28"/>
      <c r="G172" s="28"/>
      <c r="H172" s="28"/>
      <c r="I172" s="28"/>
      <c r="J172" s="30"/>
      <c r="K172" s="28"/>
      <c r="L172" s="28"/>
      <c r="M172" s="28"/>
      <c r="N172" s="28"/>
      <c r="O172" s="28"/>
      <c r="P172" s="28"/>
      <c r="Q172" s="30"/>
      <c r="R172" s="30"/>
      <c r="S172" s="31" t="str">
        <f aca="false">IF(OR(Q172="",R172=""),"",ROUND(R172/((Q172/100)^2),1))</f>
        <v/>
      </c>
      <c r="T172" s="28" t="str">
        <f aca="false">IF(S172="","",IF(S172&lt;18.5,"Underweight",IF(S172&lt;25,"Normal",IF(S172&lt;30,"Overweight","Obese"))))</f>
        <v/>
      </c>
      <c r="U172" s="30"/>
      <c r="V172" s="30"/>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31" t="str">
        <f aca="false">IF(T172="","",IF(T172="Normal",100,IF(T172="Overweight",65,IF(T172="Obese",50,IF(AND(U172&lt;&gt;"",U172&lt;18.5),30,45)))))</f>
        <v/>
      </c>
      <c r="BG172" s="31" t="str">
        <f aca="false">IF(COUNTBLANK(W172:AC172)&gt;0,"",ROUND(AVERAGE(INDEX('SCORING MASTER'!$D$5:$D$7,MATCH(W172,'SCORING MASTER'!$C$5:$C$7,0)),INDEX('SCORING MASTER'!$D$9:$D$11,MATCH(X172,'SCORING MASTER'!$C$9:$C$11,0)),INDEX('SCORING MASTER'!$D$13:$D$15,MATCH(Y172,'SCORING MASTER'!$C$13:$C$15,0)),INDEX('SCORING MASTER'!$D$17:$D$19,MATCH(Z172,'SCORING MASTER'!$C$17:$C$19,0)),INDEX('SCORING MASTER'!$D$21:$D$23,MATCH(AA172,'SCORING MASTER'!$C$21:$C$23,0)),INDEX('SCORING MASTER'!$D$25:$D$27,MATCH(AB172,'SCORING MASTER'!$C$25:$C$27,0)),INDEX('SCORING MASTER'!$D$29:$D$31,MATCH(AC172,'SCORING MASTER'!$C$29:$C$31,0)))*20,0))</f>
        <v/>
      </c>
      <c r="BH172" s="31" t="str">
        <f aca="false">IF(COUNTBLANK(AD172:AI172)&gt;0,"",ROUND(AVERAGE(INDEX('SCORING MASTER'!$D$33:$D$35,MATCH(AD172,'SCORING MASTER'!$C$33:$C$35,0)),INDEX('SCORING MASTER'!$D$37:$D$39,MATCH(AE172,'SCORING MASTER'!$C$37:$C$39,0)),INDEX('SCORING MASTER'!$D$41:$D$43,MATCH(AF172,'SCORING MASTER'!$C$41:$C$43,0)),INDEX('SCORING MASTER'!$D$45:$D$47,MATCH(AG172,'SCORING MASTER'!$C$45:$C$47,0)),INDEX('SCORING MASTER'!$D$49:$D$52,MATCH(AH172,'SCORING MASTER'!$C$49:$C$52,0)),INDEX('SCORING MASTER'!$D$54:$D$57,MATCH(AI172,'SCORING MASTER'!$C$54:$C$57,0)))*20,0))</f>
        <v/>
      </c>
      <c r="BI172" s="31" t="str">
        <f aca="false">IF(COUNTBLANK(AJ172:AP172)&gt;0,"",ROUND(AVERAGE(INDEX('SCORING MASTER'!$D$59:$D$60,MATCH(AJ172,'SCORING MASTER'!$C$59:$C$60,0)),INDEX('SCORING MASTER'!$D$62:$D$63,MATCH(AK172,'SCORING MASTER'!$C$62:$C$63,0)),INDEX('SCORING MASTER'!$D$65:$D$66,MATCH(AL172,'SCORING MASTER'!$C$65:$C$66,0)),INDEX('SCORING MASTER'!$D$68:$D$69,MATCH(AM172,'SCORING MASTER'!$C$68:$C$69,0)),INDEX('SCORING MASTER'!$D$71:$D$72,MATCH(AN172,'SCORING MASTER'!$C$71:$C$72,0)),INDEX('SCORING MASTER'!$D$74:$D$75,MATCH(AO172,'SCORING MASTER'!$C$74:$C$75,0)),INDEX('SCORING MASTER'!$D$77:$D$78,MATCH(AP172,'SCORING MASTER'!$C$77:$C$78,0)))*20,0))</f>
        <v/>
      </c>
      <c r="BJ172" s="31" t="str">
        <f aca="false">IF(COUNTBLANK(AU172:AZ172)&gt;0,"",ROUND(AVERAGE(INDEX('SCORING MASTER'!$D$95:$D$96,MATCH(AU172,'SCORING MASTER'!$C$95:$C$96,0)),INDEX('SCORING MASTER'!$D$98:$D$99,MATCH(AV172,'SCORING MASTER'!$C$98:$C$99,0)),INDEX('SCORING MASTER'!$D$101:$D$102,MATCH(AW172,'SCORING MASTER'!$C$101:$C$102,0)),INDEX('SCORING MASTER'!$D$104:$D$105,MATCH(AX172,'SCORING MASTER'!$C$104:$C$105,0)),INDEX('SCORING MASTER'!$D$107:$D$108,MATCH(AY172,'SCORING MASTER'!$C$107:$C$108,0)),INDEX('SCORING MASTER'!$D$110:$D$111,MATCH(AZ172,'SCORING MASTER'!$C$110:$C$111,0)))*20,0))</f>
        <v/>
      </c>
      <c r="BK172" s="31" t="str">
        <f aca="false">IF(COUNTBLANK(AQ172:AT172)&gt;0,"",ROUND(AVERAGE(INDEX('SCORING MASTER'!$D$80:$D$82,MATCH(AQ172,'SCORING MASTER'!$C$80:$C$82,0)),INDEX('SCORING MASTER'!$D$84:$D$86,MATCH(AR172,'SCORING MASTER'!$C$84:$C$86,0)),INDEX('SCORING MASTER'!$D$88:$D$90,MATCH(AS172,'SCORING MASTER'!$C$88:$C$90,0)),INDEX('SCORING MASTER'!$D$92:$D$93,MATCH(AT172,'SCORING MASTER'!$C$92:$C$93,0)))*20,0))</f>
        <v/>
      </c>
      <c r="BL172" s="31" t="str">
        <f aca="false">IF(COUNTBLANK(BA172:BE172)&gt;0,"",ROUND(AVERAGE(INDEX('SCORING MASTER'!$D$113:$D$115,MATCH(BA172,'SCORING MASTER'!$C$113:$C$115,0)),INDEX('SCORING MASTER'!$D$117:$D$119,MATCH(BB172,'SCORING MASTER'!$C$117:$C$119,0)),INDEX('SCORING MASTER'!$D$121:$D$123,MATCH(BC172,'SCORING MASTER'!$C$121:$C$123,0)),INDEX('SCORING MASTER'!$D$125:$D$126,MATCH(BD172,'SCORING MASTER'!$C$125:$C$126,0)),INDEX('SCORING MASTER'!$D$128:$D$129,MATCH(BE172,'SCORING MASTER'!$C$128:$C$129,0)))*20,0))</f>
        <v/>
      </c>
      <c r="BM172" s="31" t="str">
        <f aca="false">IF(OR(BF172="",BG172="",BH172="",BI172="",BJ172="",BK172="",BL172=""),"",ROUND(BF172*0.25+BG172*0.2+BH172*0.15+BI172*0.15+BJ172*0.1+BK172*0.1+BL172*0.05,0))</f>
        <v/>
      </c>
      <c r="BN172" s="31" t="str">
        <f aca="false">IF(OR(BF172="",BG172=""),"",ROUND(BF172*0.5+BG172*0.5,0))</f>
        <v/>
      </c>
      <c r="BO172" s="31" t="str">
        <f aca="false">IF(BN172="","",ROUND(MIN(100,MAX(0,(100-BN172)+IF(AL172="Yes",15,0)+IF(AM172="Yes",15,0)+IF(AND(U172&lt;&gt;"",U172&lt;18.5),20,0))),0))</f>
        <v/>
      </c>
      <c r="BP172" s="28" t="str">
        <f aca="false">IF(BM172="","",IF(BM172&gt;=90,"Green - Healthy",IF(BM172&gt;=75,"Light Green - Mild Watch",IF(BM172&gt;=60,"Yellow - Mild Risk",IF(BM172&gt;=40,"Orange - Moderate Risk","Red - High Risk")))))</f>
        <v/>
      </c>
      <c r="BQ172" s="28" t="str">
        <f aca="false">IF(BM172="","",IF(OR(BM172&lt;60,BO172&gt;=60,AJ172="Yes"),"Yes","No"))</f>
        <v/>
      </c>
      <c r="BR172" s="28" t="str">
        <f aca="false">IF(BM172="","",IF(OR(BP172="Orange - Moderate Risk",BP172="Red - High Risk",BQ172="Yes"),"Yes","No"))</f>
        <v/>
      </c>
    </row>
    <row r="173" customFormat="false" ht="15" hidden="false" customHeight="false" outlineLevel="0" collapsed="false">
      <c r="A173" s="32" t="str">
        <f aca="false">IF(I173="","","STU"&amp;TEXT(ROW()-3,"000000"))</f>
        <v/>
      </c>
      <c r="B173" s="32"/>
      <c r="C173" s="32"/>
      <c r="D173" s="32"/>
      <c r="E173" s="32"/>
      <c r="F173" s="32"/>
      <c r="G173" s="32"/>
      <c r="H173" s="32"/>
      <c r="I173" s="32"/>
      <c r="J173" s="34"/>
      <c r="K173" s="32"/>
      <c r="L173" s="32"/>
      <c r="M173" s="32"/>
      <c r="N173" s="32"/>
      <c r="O173" s="32"/>
      <c r="P173" s="32"/>
      <c r="Q173" s="34"/>
      <c r="R173" s="34"/>
      <c r="S173" s="35" t="str">
        <f aca="false">IF(OR(Q173="",R173=""),"",ROUND(R173/((Q173/100)^2),1))</f>
        <v/>
      </c>
      <c r="T173" s="32" t="str">
        <f aca="false">IF(S173="","",IF(S173&lt;18.5,"Underweight",IF(S173&lt;25,"Normal",IF(S173&lt;30,"Overweight","Obese"))))</f>
        <v/>
      </c>
      <c r="U173" s="34"/>
      <c r="V173" s="34"/>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5" t="str">
        <f aca="false">IF(T173="","",IF(T173="Normal",100,IF(T173="Overweight",65,IF(T173="Obese",50,IF(AND(U173&lt;&gt;"",U173&lt;18.5),30,45)))))</f>
        <v/>
      </c>
      <c r="BG173" s="35" t="str">
        <f aca="false">IF(COUNTBLANK(W173:AC173)&gt;0,"",ROUND(AVERAGE(INDEX('SCORING MASTER'!$D$5:$D$7,MATCH(W173,'SCORING MASTER'!$C$5:$C$7,0)),INDEX('SCORING MASTER'!$D$9:$D$11,MATCH(X173,'SCORING MASTER'!$C$9:$C$11,0)),INDEX('SCORING MASTER'!$D$13:$D$15,MATCH(Y173,'SCORING MASTER'!$C$13:$C$15,0)),INDEX('SCORING MASTER'!$D$17:$D$19,MATCH(Z173,'SCORING MASTER'!$C$17:$C$19,0)),INDEX('SCORING MASTER'!$D$21:$D$23,MATCH(AA173,'SCORING MASTER'!$C$21:$C$23,0)),INDEX('SCORING MASTER'!$D$25:$D$27,MATCH(AB173,'SCORING MASTER'!$C$25:$C$27,0)),INDEX('SCORING MASTER'!$D$29:$D$31,MATCH(AC173,'SCORING MASTER'!$C$29:$C$31,0)))*20,0))</f>
        <v/>
      </c>
      <c r="BH173" s="35" t="str">
        <f aca="false">IF(COUNTBLANK(AD173:AI173)&gt;0,"",ROUND(AVERAGE(INDEX('SCORING MASTER'!$D$33:$D$35,MATCH(AD173,'SCORING MASTER'!$C$33:$C$35,0)),INDEX('SCORING MASTER'!$D$37:$D$39,MATCH(AE173,'SCORING MASTER'!$C$37:$C$39,0)),INDEX('SCORING MASTER'!$D$41:$D$43,MATCH(AF173,'SCORING MASTER'!$C$41:$C$43,0)),INDEX('SCORING MASTER'!$D$45:$D$47,MATCH(AG173,'SCORING MASTER'!$C$45:$C$47,0)),INDEX('SCORING MASTER'!$D$49:$D$52,MATCH(AH173,'SCORING MASTER'!$C$49:$C$52,0)),INDEX('SCORING MASTER'!$D$54:$D$57,MATCH(AI173,'SCORING MASTER'!$C$54:$C$57,0)))*20,0))</f>
        <v/>
      </c>
      <c r="BI173" s="35" t="str">
        <f aca="false">IF(COUNTBLANK(AJ173:AP173)&gt;0,"",ROUND(AVERAGE(INDEX('SCORING MASTER'!$D$59:$D$60,MATCH(AJ173,'SCORING MASTER'!$C$59:$C$60,0)),INDEX('SCORING MASTER'!$D$62:$D$63,MATCH(AK173,'SCORING MASTER'!$C$62:$C$63,0)),INDEX('SCORING MASTER'!$D$65:$D$66,MATCH(AL173,'SCORING MASTER'!$C$65:$C$66,0)),INDEX('SCORING MASTER'!$D$68:$D$69,MATCH(AM173,'SCORING MASTER'!$C$68:$C$69,0)),INDEX('SCORING MASTER'!$D$71:$D$72,MATCH(AN173,'SCORING MASTER'!$C$71:$C$72,0)),INDEX('SCORING MASTER'!$D$74:$D$75,MATCH(AO173,'SCORING MASTER'!$C$74:$C$75,0)),INDEX('SCORING MASTER'!$D$77:$D$78,MATCH(AP173,'SCORING MASTER'!$C$77:$C$78,0)))*20,0))</f>
        <v/>
      </c>
      <c r="BJ173" s="35" t="str">
        <f aca="false">IF(COUNTBLANK(AU173:AZ173)&gt;0,"",ROUND(AVERAGE(INDEX('SCORING MASTER'!$D$95:$D$96,MATCH(AU173,'SCORING MASTER'!$C$95:$C$96,0)),INDEX('SCORING MASTER'!$D$98:$D$99,MATCH(AV173,'SCORING MASTER'!$C$98:$C$99,0)),INDEX('SCORING MASTER'!$D$101:$D$102,MATCH(AW173,'SCORING MASTER'!$C$101:$C$102,0)),INDEX('SCORING MASTER'!$D$104:$D$105,MATCH(AX173,'SCORING MASTER'!$C$104:$C$105,0)),INDEX('SCORING MASTER'!$D$107:$D$108,MATCH(AY173,'SCORING MASTER'!$C$107:$C$108,0)),INDEX('SCORING MASTER'!$D$110:$D$111,MATCH(AZ173,'SCORING MASTER'!$C$110:$C$111,0)))*20,0))</f>
        <v/>
      </c>
      <c r="BK173" s="35" t="str">
        <f aca="false">IF(COUNTBLANK(AQ173:AT173)&gt;0,"",ROUND(AVERAGE(INDEX('SCORING MASTER'!$D$80:$D$82,MATCH(AQ173,'SCORING MASTER'!$C$80:$C$82,0)),INDEX('SCORING MASTER'!$D$84:$D$86,MATCH(AR173,'SCORING MASTER'!$C$84:$C$86,0)),INDEX('SCORING MASTER'!$D$88:$D$90,MATCH(AS173,'SCORING MASTER'!$C$88:$C$90,0)),INDEX('SCORING MASTER'!$D$92:$D$93,MATCH(AT173,'SCORING MASTER'!$C$92:$C$93,0)))*20,0))</f>
        <v/>
      </c>
      <c r="BL173" s="35" t="str">
        <f aca="false">IF(COUNTBLANK(BA173:BE173)&gt;0,"",ROUND(AVERAGE(INDEX('SCORING MASTER'!$D$113:$D$115,MATCH(BA173,'SCORING MASTER'!$C$113:$C$115,0)),INDEX('SCORING MASTER'!$D$117:$D$119,MATCH(BB173,'SCORING MASTER'!$C$117:$C$119,0)),INDEX('SCORING MASTER'!$D$121:$D$123,MATCH(BC173,'SCORING MASTER'!$C$121:$C$123,0)),INDEX('SCORING MASTER'!$D$125:$D$126,MATCH(BD173,'SCORING MASTER'!$C$125:$C$126,0)),INDEX('SCORING MASTER'!$D$128:$D$129,MATCH(BE173,'SCORING MASTER'!$C$128:$C$129,0)))*20,0))</f>
        <v/>
      </c>
      <c r="BM173" s="35" t="str">
        <f aca="false">IF(OR(BF173="",BG173="",BH173="",BI173="",BJ173="",BK173="",BL173=""),"",ROUND(BF173*0.25+BG173*0.2+BH173*0.15+BI173*0.15+BJ173*0.1+BK173*0.1+BL173*0.05,0))</f>
        <v/>
      </c>
      <c r="BN173" s="35" t="str">
        <f aca="false">IF(OR(BF173="",BG173=""),"",ROUND(BF173*0.5+BG173*0.5,0))</f>
        <v/>
      </c>
      <c r="BO173" s="35" t="str">
        <f aca="false">IF(BN173="","",ROUND(MIN(100,MAX(0,(100-BN173)+IF(AL173="Yes",15,0)+IF(AM173="Yes",15,0)+IF(AND(U173&lt;&gt;"",U173&lt;18.5),20,0))),0))</f>
        <v/>
      </c>
      <c r="BP173" s="32" t="str">
        <f aca="false">IF(BM173="","",IF(BM173&gt;=90,"Green - Healthy",IF(BM173&gt;=75,"Light Green - Mild Watch",IF(BM173&gt;=60,"Yellow - Mild Risk",IF(BM173&gt;=40,"Orange - Moderate Risk","Red - High Risk")))))</f>
        <v/>
      </c>
      <c r="BQ173" s="32" t="str">
        <f aca="false">IF(BM173="","",IF(OR(BM173&lt;60,BO173&gt;=60,AJ173="Yes"),"Yes","No"))</f>
        <v/>
      </c>
      <c r="BR173" s="32" t="str">
        <f aca="false">IF(BM173="","",IF(OR(BP173="Orange - Moderate Risk",BP173="Red - High Risk",BQ173="Yes"),"Yes","No"))</f>
        <v/>
      </c>
    </row>
    <row r="174" customFormat="false" ht="15" hidden="false" customHeight="false" outlineLevel="0" collapsed="false">
      <c r="A174" s="28" t="str">
        <f aca="false">IF(I174="","","STU"&amp;TEXT(ROW()-3,"000000"))</f>
        <v/>
      </c>
      <c r="B174" s="28"/>
      <c r="C174" s="28"/>
      <c r="D174" s="28"/>
      <c r="E174" s="28"/>
      <c r="F174" s="28"/>
      <c r="G174" s="28"/>
      <c r="H174" s="28"/>
      <c r="I174" s="28"/>
      <c r="J174" s="30"/>
      <c r="K174" s="28"/>
      <c r="L174" s="28"/>
      <c r="M174" s="28"/>
      <c r="N174" s="28"/>
      <c r="O174" s="28"/>
      <c r="P174" s="28"/>
      <c r="Q174" s="30"/>
      <c r="R174" s="30"/>
      <c r="S174" s="31" t="str">
        <f aca="false">IF(OR(Q174="",R174=""),"",ROUND(R174/((Q174/100)^2),1))</f>
        <v/>
      </c>
      <c r="T174" s="28" t="str">
        <f aca="false">IF(S174="","",IF(S174&lt;18.5,"Underweight",IF(S174&lt;25,"Normal",IF(S174&lt;30,"Overweight","Obese"))))</f>
        <v/>
      </c>
      <c r="U174" s="30"/>
      <c r="V174" s="30"/>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c r="BD174" s="28"/>
      <c r="BE174" s="28"/>
      <c r="BF174" s="31" t="str">
        <f aca="false">IF(T174="","",IF(T174="Normal",100,IF(T174="Overweight",65,IF(T174="Obese",50,IF(AND(U174&lt;&gt;"",U174&lt;18.5),30,45)))))</f>
        <v/>
      </c>
      <c r="BG174" s="31" t="str">
        <f aca="false">IF(COUNTBLANK(W174:AC174)&gt;0,"",ROUND(AVERAGE(INDEX('SCORING MASTER'!$D$5:$D$7,MATCH(W174,'SCORING MASTER'!$C$5:$C$7,0)),INDEX('SCORING MASTER'!$D$9:$D$11,MATCH(X174,'SCORING MASTER'!$C$9:$C$11,0)),INDEX('SCORING MASTER'!$D$13:$D$15,MATCH(Y174,'SCORING MASTER'!$C$13:$C$15,0)),INDEX('SCORING MASTER'!$D$17:$D$19,MATCH(Z174,'SCORING MASTER'!$C$17:$C$19,0)),INDEX('SCORING MASTER'!$D$21:$D$23,MATCH(AA174,'SCORING MASTER'!$C$21:$C$23,0)),INDEX('SCORING MASTER'!$D$25:$D$27,MATCH(AB174,'SCORING MASTER'!$C$25:$C$27,0)),INDEX('SCORING MASTER'!$D$29:$D$31,MATCH(AC174,'SCORING MASTER'!$C$29:$C$31,0)))*20,0))</f>
        <v/>
      </c>
      <c r="BH174" s="31" t="str">
        <f aca="false">IF(COUNTBLANK(AD174:AI174)&gt;0,"",ROUND(AVERAGE(INDEX('SCORING MASTER'!$D$33:$D$35,MATCH(AD174,'SCORING MASTER'!$C$33:$C$35,0)),INDEX('SCORING MASTER'!$D$37:$D$39,MATCH(AE174,'SCORING MASTER'!$C$37:$C$39,0)),INDEX('SCORING MASTER'!$D$41:$D$43,MATCH(AF174,'SCORING MASTER'!$C$41:$C$43,0)),INDEX('SCORING MASTER'!$D$45:$D$47,MATCH(AG174,'SCORING MASTER'!$C$45:$C$47,0)),INDEX('SCORING MASTER'!$D$49:$D$52,MATCH(AH174,'SCORING MASTER'!$C$49:$C$52,0)),INDEX('SCORING MASTER'!$D$54:$D$57,MATCH(AI174,'SCORING MASTER'!$C$54:$C$57,0)))*20,0))</f>
        <v/>
      </c>
      <c r="BI174" s="31" t="str">
        <f aca="false">IF(COUNTBLANK(AJ174:AP174)&gt;0,"",ROUND(AVERAGE(INDEX('SCORING MASTER'!$D$59:$D$60,MATCH(AJ174,'SCORING MASTER'!$C$59:$C$60,0)),INDEX('SCORING MASTER'!$D$62:$D$63,MATCH(AK174,'SCORING MASTER'!$C$62:$C$63,0)),INDEX('SCORING MASTER'!$D$65:$D$66,MATCH(AL174,'SCORING MASTER'!$C$65:$C$66,0)),INDEX('SCORING MASTER'!$D$68:$D$69,MATCH(AM174,'SCORING MASTER'!$C$68:$C$69,0)),INDEX('SCORING MASTER'!$D$71:$D$72,MATCH(AN174,'SCORING MASTER'!$C$71:$C$72,0)),INDEX('SCORING MASTER'!$D$74:$D$75,MATCH(AO174,'SCORING MASTER'!$C$74:$C$75,0)),INDEX('SCORING MASTER'!$D$77:$D$78,MATCH(AP174,'SCORING MASTER'!$C$77:$C$78,0)))*20,0))</f>
        <v/>
      </c>
      <c r="BJ174" s="31" t="str">
        <f aca="false">IF(COUNTBLANK(AU174:AZ174)&gt;0,"",ROUND(AVERAGE(INDEX('SCORING MASTER'!$D$95:$D$96,MATCH(AU174,'SCORING MASTER'!$C$95:$C$96,0)),INDEX('SCORING MASTER'!$D$98:$D$99,MATCH(AV174,'SCORING MASTER'!$C$98:$C$99,0)),INDEX('SCORING MASTER'!$D$101:$D$102,MATCH(AW174,'SCORING MASTER'!$C$101:$C$102,0)),INDEX('SCORING MASTER'!$D$104:$D$105,MATCH(AX174,'SCORING MASTER'!$C$104:$C$105,0)),INDEX('SCORING MASTER'!$D$107:$D$108,MATCH(AY174,'SCORING MASTER'!$C$107:$C$108,0)),INDEX('SCORING MASTER'!$D$110:$D$111,MATCH(AZ174,'SCORING MASTER'!$C$110:$C$111,0)))*20,0))</f>
        <v/>
      </c>
      <c r="BK174" s="31" t="str">
        <f aca="false">IF(COUNTBLANK(AQ174:AT174)&gt;0,"",ROUND(AVERAGE(INDEX('SCORING MASTER'!$D$80:$D$82,MATCH(AQ174,'SCORING MASTER'!$C$80:$C$82,0)),INDEX('SCORING MASTER'!$D$84:$D$86,MATCH(AR174,'SCORING MASTER'!$C$84:$C$86,0)),INDEX('SCORING MASTER'!$D$88:$D$90,MATCH(AS174,'SCORING MASTER'!$C$88:$C$90,0)),INDEX('SCORING MASTER'!$D$92:$D$93,MATCH(AT174,'SCORING MASTER'!$C$92:$C$93,0)))*20,0))</f>
        <v/>
      </c>
      <c r="BL174" s="31" t="str">
        <f aca="false">IF(COUNTBLANK(BA174:BE174)&gt;0,"",ROUND(AVERAGE(INDEX('SCORING MASTER'!$D$113:$D$115,MATCH(BA174,'SCORING MASTER'!$C$113:$C$115,0)),INDEX('SCORING MASTER'!$D$117:$D$119,MATCH(BB174,'SCORING MASTER'!$C$117:$C$119,0)),INDEX('SCORING MASTER'!$D$121:$D$123,MATCH(BC174,'SCORING MASTER'!$C$121:$C$123,0)),INDEX('SCORING MASTER'!$D$125:$D$126,MATCH(BD174,'SCORING MASTER'!$C$125:$C$126,0)),INDEX('SCORING MASTER'!$D$128:$D$129,MATCH(BE174,'SCORING MASTER'!$C$128:$C$129,0)))*20,0))</f>
        <v/>
      </c>
      <c r="BM174" s="31" t="str">
        <f aca="false">IF(OR(BF174="",BG174="",BH174="",BI174="",BJ174="",BK174="",BL174=""),"",ROUND(BF174*0.25+BG174*0.2+BH174*0.15+BI174*0.15+BJ174*0.1+BK174*0.1+BL174*0.05,0))</f>
        <v/>
      </c>
      <c r="BN174" s="31" t="str">
        <f aca="false">IF(OR(BF174="",BG174=""),"",ROUND(BF174*0.5+BG174*0.5,0))</f>
        <v/>
      </c>
      <c r="BO174" s="31" t="str">
        <f aca="false">IF(BN174="","",ROUND(MIN(100,MAX(0,(100-BN174)+IF(AL174="Yes",15,0)+IF(AM174="Yes",15,0)+IF(AND(U174&lt;&gt;"",U174&lt;18.5),20,0))),0))</f>
        <v/>
      </c>
      <c r="BP174" s="28" t="str">
        <f aca="false">IF(BM174="","",IF(BM174&gt;=90,"Green - Healthy",IF(BM174&gt;=75,"Light Green - Mild Watch",IF(BM174&gt;=60,"Yellow - Mild Risk",IF(BM174&gt;=40,"Orange - Moderate Risk","Red - High Risk")))))</f>
        <v/>
      </c>
      <c r="BQ174" s="28" t="str">
        <f aca="false">IF(BM174="","",IF(OR(BM174&lt;60,BO174&gt;=60,AJ174="Yes"),"Yes","No"))</f>
        <v/>
      </c>
      <c r="BR174" s="28" t="str">
        <f aca="false">IF(BM174="","",IF(OR(BP174="Orange - Moderate Risk",BP174="Red - High Risk",BQ174="Yes"),"Yes","No"))</f>
        <v/>
      </c>
    </row>
    <row r="175" customFormat="false" ht="15" hidden="false" customHeight="false" outlineLevel="0" collapsed="false">
      <c r="A175" s="32" t="str">
        <f aca="false">IF(I175="","","STU"&amp;TEXT(ROW()-3,"000000"))</f>
        <v/>
      </c>
      <c r="B175" s="32"/>
      <c r="C175" s="32"/>
      <c r="D175" s="32"/>
      <c r="E175" s="32"/>
      <c r="F175" s="32"/>
      <c r="G175" s="32"/>
      <c r="H175" s="32"/>
      <c r="I175" s="32"/>
      <c r="J175" s="34"/>
      <c r="K175" s="32"/>
      <c r="L175" s="32"/>
      <c r="M175" s="32"/>
      <c r="N175" s="32"/>
      <c r="O175" s="32"/>
      <c r="P175" s="32"/>
      <c r="Q175" s="34"/>
      <c r="R175" s="34"/>
      <c r="S175" s="35" t="str">
        <f aca="false">IF(OR(Q175="",R175=""),"",ROUND(R175/((Q175/100)^2),1))</f>
        <v/>
      </c>
      <c r="T175" s="32" t="str">
        <f aca="false">IF(S175="","",IF(S175&lt;18.5,"Underweight",IF(S175&lt;25,"Normal",IF(S175&lt;30,"Overweight","Obese"))))</f>
        <v/>
      </c>
      <c r="U175" s="34"/>
      <c r="V175" s="34"/>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5" t="str">
        <f aca="false">IF(T175="","",IF(T175="Normal",100,IF(T175="Overweight",65,IF(T175="Obese",50,IF(AND(U175&lt;&gt;"",U175&lt;18.5),30,45)))))</f>
        <v/>
      </c>
      <c r="BG175" s="35" t="str">
        <f aca="false">IF(COUNTBLANK(W175:AC175)&gt;0,"",ROUND(AVERAGE(INDEX('SCORING MASTER'!$D$5:$D$7,MATCH(W175,'SCORING MASTER'!$C$5:$C$7,0)),INDEX('SCORING MASTER'!$D$9:$D$11,MATCH(X175,'SCORING MASTER'!$C$9:$C$11,0)),INDEX('SCORING MASTER'!$D$13:$D$15,MATCH(Y175,'SCORING MASTER'!$C$13:$C$15,0)),INDEX('SCORING MASTER'!$D$17:$D$19,MATCH(Z175,'SCORING MASTER'!$C$17:$C$19,0)),INDEX('SCORING MASTER'!$D$21:$D$23,MATCH(AA175,'SCORING MASTER'!$C$21:$C$23,0)),INDEX('SCORING MASTER'!$D$25:$D$27,MATCH(AB175,'SCORING MASTER'!$C$25:$C$27,0)),INDEX('SCORING MASTER'!$D$29:$D$31,MATCH(AC175,'SCORING MASTER'!$C$29:$C$31,0)))*20,0))</f>
        <v/>
      </c>
      <c r="BH175" s="35" t="str">
        <f aca="false">IF(COUNTBLANK(AD175:AI175)&gt;0,"",ROUND(AVERAGE(INDEX('SCORING MASTER'!$D$33:$D$35,MATCH(AD175,'SCORING MASTER'!$C$33:$C$35,0)),INDEX('SCORING MASTER'!$D$37:$D$39,MATCH(AE175,'SCORING MASTER'!$C$37:$C$39,0)),INDEX('SCORING MASTER'!$D$41:$D$43,MATCH(AF175,'SCORING MASTER'!$C$41:$C$43,0)),INDEX('SCORING MASTER'!$D$45:$D$47,MATCH(AG175,'SCORING MASTER'!$C$45:$C$47,0)),INDEX('SCORING MASTER'!$D$49:$D$52,MATCH(AH175,'SCORING MASTER'!$C$49:$C$52,0)),INDEX('SCORING MASTER'!$D$54:$D$57,MATCH(AI175,'SCORING MASTER'!$C$54:$C$57,0)))*20,0))</f>
        <v/>
      </c>
      <c r="BI175" s="35" t="str">
        <f aca="false">IF(COUNTBLANK(AJ175:AP175)&gt;0,"",ROUND(AVERAGE(INDEX('SCORING MASTER'!$D$59:$D$60,MATCH(AJ175,'SCORING MASTER'!$C$59:$C$60,0)),INDEX('SCORING MASTER'!$D$62:$D$63,MATCH(AK175,'SCORING MASTER'!$C$62:$C$63,0)),INDEX('SCORING MASTER'!$D$65:$D$66,MATCH(AL175,'SCORING MASTER'!$C$65:$C$66,0)),INDEX('SCORING MASTER'!$D$68:$D$69,MATCH(AM175,'SCORING MASTER'!$C$68:$C$69,0)),INDEX('SCORING MASTER'!$D$71:$D$72,MATCH(AN175,'SCORING MASTER'!$C$71:$C$72,0)),INDEX('SCORING MASTER'!$D$74:$D$75,MATCH(AO175,'SCORING MASTER'!$C$74:$C$75,0)),INDEX('SCORING MASTER'!$D$77:$D$78,MATCH(AP175,'SCORING MASTER'!$C$77:$C$78,0)))*20,0))</f>
        <v/>
      </c>
      <c r="BJ175" s="35" t="str">
        <f aca="false">IF(COUNTBLANK(AU175:AZ175)&gt;0,"",ROUND(AVERAGE(INDEX('SCORING MASTER'!$D$95:$D$96,MATCH(AU175,'SCORING MASTER'!$C$95:$C$96,0)),INDEX('SCORING MASTER'!$D$98:$D$99,MATCH(AV175,'SCORING MASTER'!$C$98:$C$99,0)),INDEX('SCORING MASTER'!$D$101:$D$102,MATCH(AW175,'SCORING MASTER'!$C$101:$C$102,0)),INDEX('SCORING MASTER'!$D$104:$D$105,MATCH(AX175,'SCORING MASTER'!$C$104:$C$105,0)),INDEX('SCORING MASTER'!$D$107:$D$108,MATCH(AY175,'SCORING MASTER'!$C$107:$C$108,0)),INDEX('SCORING MASTER'!$D$110:$D$111,MATCH(AZ175,'SCORING MASTER'!$C$110:$C$111,0)))*20,0))</f>
        <v/>
      </c>
      <c r="BK175" s="35" t="str">
        <f aca="false">IF(COUNTBLANK(AQ175:AT175)&gt;0,"",ROUND(AVERAGE(INDEX('SCORING MASTER'!$D$80:$D$82,MATCH(AQ175,'SCORING MASTER'!$C$80:$C$82,0)),INDEX('SCORING MASTER'!$D$84:$D$86,MATCH(AR175,'SCORING MASTER'!$C$84:$C$86,0)),INDEX('SCORING MASTER'!$D$88:$D$90,MATCH(AS175,'SCORING MASTER'!$C$88:$C$90,0)),INDEX('SCORING MASTER'!$D$92:$D$93,MATCH(AT175,'SCORING MASTER'!$C$92:$C$93,0)))*20,0))</f>
        <v/>
      </c>
      <c r="BL175" s="35" t="str">
        <f aca="false">IF(COUNTBLANK(BA175:BE175)&gt;0,"",ROUND(AVERAGE(INDEX('SCORING MASTER'!$D$113:$D$115,MATCH(BA175,'SCORING MASTER'!$C$113:$C$115,0)),INDEX('SCORING MASTER'!$D$117:$D$119,MATCH(BB175,'SCORING MASTER'!$C$117:$C$119,0)),INDEX('SCORING MASTER'!$D$121:$D$123,MATCH(BC175,'SCORING MASTER'!$C$121:$C$123,0)),INDEX('SCORING MASTER'!$D$125:$D$126,MATCH(BD175,'SCORING MASTER'!$C$125:$C$126,0)),INDEX('SCORING MASTER'!$D$128:$D$129,MATCH(BE175,'SCORING MASTER'!$C$128:$C$129,0)))*20,0))</f>
        <v/>
      </c>
      <c r="BM175" s="35" t="str">
        <f aca="false">IF(OR(BF175="",BG175="",BH175="",BI175="",BJ175="",BK175="",BL175=""),"",ROUND(BF175*0.25+BG175*0.2+BH175*0.15+BI175*0.15+BJ175*0.1+BK175*0.1+BL175*0.05,0))</f>
        <v/>
      </c>
      <c r="BN175" s="35" t="str">
        <f aca="false">IF(OR(BF175="",BG175=""),"",ROUND(BF175*0.5+BG175*0.5,0))</f>
        <v/>
      </c>
      <c r="BO175" s="35" t="str">
        <f aca="false">IF(BN175="","",ROUND(MIN(100,MAX(0,(100-BN175)+IF(AL175="Yes",15,0)+IF(AM175="Yes",15,0)+IF(AND(U175&lt;&gt;"",U175&lt;18.5),20,0))),0))</f>
        <v/>
      </c>
      <c r="BP175" s="32" t="str">
        <f aca="false">IF(BM175="","",IF(BM175&gt;=90,"Green - Healthy",IF(BM175&gt;=75,"Light Green - Mild Watch",IF(BM175&gt;=60,"Yellow - Mild Risk",IF(BM175&gt;=40,"Orange - Moderate Risk","Red - High Risk")))))</f>
        <v/>
      </c>
      <c r="BQ175" s="32" t="str">
        <f aca="false">IF(BM175="","",IF(OR(BM175&lt;60,BO175&gt;=60,AJ175="Yes"),"Yes","No"))</f>
        <v/>
      </c>
      <c r="BR175" s="32" t="str">
        <f aca="false">IF(BM175="","",IF(OR(BP175="Orange - Moderate Risk",BP175="Red - High Risk",BQ175="Yes"),"Yes","No"))</f>
        <v/>
      </c>
    </row>
    <row r="176" customFormat="false" ht="15" hidden="false" customHeight="false" outlineLevel="0" collapsed="false">
      <c r="A176" s="28" t="str">
        <f aca="false">IF(I176="","","STU"&amp;TEXT(ROW()-3,"000000"))</f>
        <v/>
      </c>
      <c r="B176" s="28"/>
      <c r="C176" s="28"/>
      <c r="D176" s="28"/>
      <c r="E176" s="28"/>
      <c r="F176" s="28"/>
      <c r="G176" s="28"/>
      <c r="H176" s="28"/>
      <c r="I176" s="28"/>
      <c r="J176" s="30"/>
      <c r="K176" s="28"/>
      <c r="L176" s="28"/>
      <c r="M176" s="28"/>
      <c r="N176" s="28"/>
      <c r="O176" s="28"/>
      <c r="P176" s="28"/>
      <c r="Q176" s="30"/>
      <c r="R176" s="30"/>
      <c r="S176" s="31" t="str">
        <f aca="false">IF(OR(Q176="",R176=""),"",ROUND(R176/((Q176/100)^2),1))</f>
        <v/>
      </c>
      <c r="T176" s="28" t="str">
        <f aca="false">IF(S176="","",IF(S176&lt;18.5,"Underweight",IF(S176&lt;25,"Normal",IF(S176&lt;30,"Overweight","Obese"))))</f>
        <v/>
      </c>
      <c r="U176" s="30"/>
      <c r="V176" s="30"/>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c r="BD176" s="28"/>
      <c r="BE176" s="28"/>
      <c r="BF176" s="31" t="str">
        <f aca="false">IF(T176="","",IF(T176="Normal",100,IF(T176="Overweight",65,IF(T176="Obese",50,IF(AND(U176&lt;&gt;"",U176&lt;18.5),30,45)))))</f>
        <v/>
      </c>
      <c r="BG176" s="31" t="str">
        <f aca="false">IF(COUNTBLANK(W176:AC176)&gt;0,"",ROUND(AVERAGE(INDEX('SCORING MASTER'!$D$5:$D$7,MATCH(W176,'SCORING MASTER'!$C$5:$C$7,0)),INDEX('SCORING MASTER'!$D$9:$D$11,MATCH(X176,'SCORING MASTER'!$C$9:$C$11,0)),INDEX('SCORING MASTER'!$D$13:$D$15,MATCH(Y176,'SCORING MASTER'!$C$13:$C$15,0)),INDEX('SCORING MASTER'!$D$17:$D$19,MATCH(Z176,'SCORING MASTER'!$C$17:$C$19,0)),INDEX('SCORING MASTER'!$D$21:$D$23,MATCH(AA176,'SCORING MASTER'!$C$21:$C$23,0)),INDEX('SCORING MASTER'!$D$25:$D$27,MATCH(AB176,'SCORING MASTER'!$C$25:$C$27,0)),INDEX('SCORING MASTER'!$D$29:$D$31,MATCH(AC176,'SCORING MASTER'!$C$29:$C$31,0)))*20,0))</f>
        <v/>
      </c>
      <c r="BH176" s="31" t="str">
        <f aca="false">IF(COUNTBLANK(AD176:AI176)&gt;0,"",ROUND(AVERAGE(INDEX('SCORING MASTER'!$D$33:$D$35,MATCH(AD176,'SCORING MASTER'!$C$33:$C$35,0)),INDEX('SCORING MASTER'!$D$37:$D$39,MATCH(AE176,'SCORING MASTER'!$C$37:$C$39,0)),INDEX('SCORING MASTER'!$D$41:$D$43,MATCH(AF176,'SCORING MASTER'!$C$41:$C$43,0)),INDEX('SCORING MASTER'!$D$45:$D$47,MATCH(AG176,'SCORING MASTER'!$C$45:$C$47,0)),INDEX('SCORING MASTER'!$D$49:$D$52,MATCH(AH176,'SCORING MASTER'!$C$49:$C$52,0)),INDEX('SCORING MASTER'!$D$54:$D$57,MATCH(AI176,'SCORING MASTER'!$C$54:$C$57,0)))*20,0))</f>
        <v/>
      </c>
      <c r="BI176" s="31" t="str">
        <f aca="false">IF(COUNTBLANK(AJ176:AP176)&gt;0,"",ROUND(AVERAGE(INDEX('SCORING MASTER'!$D$59:$D$60,MATCH(AJ176,'SCORING MASTER'!$C$59:$C$60,0)),INDEX('SCORING MASTER'!$D$62:$D$63,MATCH(AK176,'SCORING MASTER'!$C$62:$C$63,0)),INDEX('SCORING MASTER'!$D$65:$D$66,MATCH(AL176,'SCORING MASTER'!$C$65:$C$66,0)),INDEX('SCORING MASTER'!$D$68:$D$69,MATCH(AM176,'SCORING MASTER'!$C$68:$C$69,0)),INDEX('SCORING MASTER'!$D$71:$D$72,MATCH(AN176,'SCORING MASTER'!$C$71:$C$72,0)),INDEX('SCORING MASTER'!$D$74:$D$75,MATCH(AO176,'SCORING MASTER'!$C$74:$C$75,0)),INDEX('SCORING MASTER'!$D$77:$D$78,MATCH(AP176,'SCORING MASTER'!$C$77:$C$78,0)))*20,0))</f>
        <v/>
      </c>
      <c r="BJ176" s="31" t="str">
        <f aca="false">IF(COUNTBLANK(AU176:AZ176)&gt;0,"",ROUND(AVERAGE(INDEX('SCORING MASTER'!$D$95:$D$96,MATCH(AU176,'SCORING MASTER'!$C$95:$C$96,0)),INDEX('SCORING MASTER'!$D$98:$D$99,MATCH(AV176,'SCORING MASTER'!$C$98:$C$99,0)),INDEX('SCORING MASTER'!$D$101:$D$102,MATCH(AW176,'SCORING MASTER'!$C$101:$C$102,0)),INDEX('SCORING MASTER'!$D$104:$D$105,MATCH(AX176,'SCORING MASTER'!$C$104:$C$105,0)),INDEX('SCORING MASTER'!$D$107:$D$108,MATCH(AY176,'SCORING MASTER'!$C$107:$C$108,0)),INDEX('SCORING MASTER'!$D$110:$D$111,MATCH(AZ176,'SCORING MASTER'!$C$110:$C$111,0)))*20,0))</f>
        <v/>
      </c>
      <c r="BK176" s="31" t="str">
        <f aca="false">IF(COUNTBLANK(AQ176:AT176)&gt;0,"",ROUND(AVERAGE(INDEX('SCORING MASTER'!$D$80:$D$82,MATCH(AQ176,'SCORING MASTER'!$C$80:$C$82,0)),INDEX('SCORING MASTER'!$D$84:$D$86,MATCH(AR176,'SCORING MASTER'!$C$84:$C$86,0)),INDEX('SCORING MASTER'!$D$88:$D$90,MATCH(AS176,'SCORING MASTER'!$C$88:$C$90,0)),INDEX('SCORING MASTER'!$D$92:$D$93,MATCH(AT176,'SCORING MASTER'!$C$92:$C$93,0)))*20,0))</f>
        <v/>
      </c>
      <c r="BL176" s="31" t="str">
        <f aca="false">IF(COUNTBLANK(BA176:BE176)&gt;0,"",ROUND(AVERAGE(INDEX('SCORING MASTER'!$D$113:$D$115,MATCH(BA176,'SCORING MASTER'!$C$113:$C$115,0)),INDEX('SCORING MASTER'!$D$117:$D$119,MATCH(BB176,'SCORING MASTER'!$C$117:$C$119,0)),INDEX('SCORING MASTER'!$D$121:$D$123,MATCH(BC176,'SCORING MASTER'!$C$121:$C$123,0)),INDEX('SCORING MASTER'!$D$125:$D$126,MATCH(BD176,'SCORING MASTER'!$C$125:$C$126,0)),INDEX('SCORING MASTER'!$D$128:$D$129,MATCH(BE176,'SCORING MASTER'!$C$128:$C$129,0)))*20,0))</f>
        <v/>
      </c>
      <c r="BM176" s="31" t="str">
        <f aca="false">IF(OR(BF176="",BG176="",BH176="",BI176="",BJ176="",BK176="",BL176=""),"",ROUND(BF176*0.25+BG176*0.2+BH176*0.15+BI176*0.15+BJ176*0.1+BK176*0.1+BL176*0.05,0))</f>
        <v/>
      </c>
      <c r="BN176" s="31" t="str">
        <f aca="false">IF(OR(BF176="",BG176=""),"",ROUND(BF176*0.5+BG176*0.5,0))</f>
        <v/>
      </c>
      <c r="BO176" s="31" t="str">
        <f aca="false">IF(BN176="","",ROUND(MIN(100,MAX(0,(100-BN176)+IF(AL176="Yes",15,0)+IF(AM176="Yes",15,0)+IF(AND(U176&lt;&gt;"",U176&lt;18.5),20,0))),0))</f>
        <v/>
      </c>
      <c r="BP176" s="28" t="str">
        <f aca="false">IF(BM176="","",IF(BM176&gt;=90,"Green - Healthy",IF(BM176&gt;=75,"Light Green - Mild Watch",IF(BM176&gt;=60,"Yellow - Mild Risk",IF(BM176&gt;=40,"Orange - Moderate Risk","Red - High Risk")))))</f>
        <v/>
      </c>
      <c r="BQ176" s="28" t="str">
        <f aca="false">IF(BM176="","",IF(OR(BM176&lt;60,BO176&gt;=60,AJ176="Yes"),"Yes","No"))</f>
        <v/>
      </c>
      <c r="BR176" s="28" t="str">
        <f aca="false">IF(BM176="","",IF(OR(BP176="Orange - Moderate Risk",BP176="Red - High Risk",BQ176="Yes"),"Yes","No"))</f>
        <v/>
      </c>
    </row>
    <row r="177" customFormat="false" ht="15" hidden="false" customHeight="false" outlineLevel="0" collapsed="false">
      <c r="A177" s="32" t="str">
        <f aca="false">IF(I177="","","STU"&amp;TEXT(ROW()-3,"000000"))</f>
        <v/>
      </c>
      <c r="B177" s="32"/>
      <c r="C177" s="32"/>
      <c r="D177" s="32"/>
      <c r="E177" s="32"/>
      <c r="F177" s="32"/>
      <c r="G177" s="32"/>
      <c r="H177" s="32"/>
      <c r="I177" s="32"/>
      <c r="J177" s="34"/>
      <c r="K177" s="32"/>
      <c r="L177" s="32"/>
      <c r="M177" s="32"/>
      <c r="N177" s="32"/>
      <c r="O177" s="32"/>
      <c r="P177" s="32"/>
      <c r="Q177" s="34"/>
      <c r="R177" s="34"/>
      <c r="S177" s="35" t="str">
        <f aca="false">IF(OR(Q177="",R177=""),"",ROUND(R177/((Q177/100)^2),1))</f>
        <v/>
      </c>
      <c r="T177" s="32" t="str">
        <f aca="false">IF(S177="","",IF(S177&lt;18.5,"Underweight",IF(S177&lt;25,"Normal",IF(S177&lt;30,"Overweight","Obese"))))</f>
        <v/>
      </c>
      <c r="U177" s="34"/>
      <c r="V177" s="34"/>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5" t="str">
        <f aca="false">IF(T177="","",IF(T177="Normal",100,IF(T177="Overweight",65,IF(T177="Obese",50,IF(AND(U177&lt;&gt;"",U177&lt;18.5),30,45)))))</f>
        <v/>
      </c>
      <c r="BG177" s="35" t="str">
        <f aca="false">IF(COUNTBLANK(W177:AC177)&gt;0,"",ROUND(AVERAGE(INDEX('SCORING MASTER'!$D$5:$D$7,MATCH(W177,'SCORING MASTER'!$C$5:$C$7,0)),INDEX('SCORING MASTER'!$D$9:$D$11,MATCH(X177,'SCORING MASTER'!$C$9:$C$11,0)),INDEX('SCORING MASTER'!$D$13:$D$15,MATCH(Y177,'SCORING MASTER'!$C$13:$C$15,0)),INDEX('SCORING MASTER'!$D$17:$D$19,MATCH(Z177,'SCORING MASTER'!$C$17:$C$19,0)),INDEX('SCORING MASTER'!$D$21:$D$23,MATCH(AA177,'SCORING MASTER'!$C$21:$C$23,0)),INDEX('SCORING MASTER'!$D$25:$D$27,MATCH(AB177,'SCORING MASTER'!$C$25:$C$27,0)),INDEX('SCORING MASTER'!$D$29:$D$31,MATCH(AC177,'SCORING MASTER'!$C$29:$C$31,0)))*20,0))</f>
        <v/>
      </c>
      <c r="BH177" s="35" t="str">
        <f aca="false">IF(COUNTBLANK(AD177:AI177)&gt;0,"",ROUND(AVERAGE(INDEX('SCORING MASTER'!$D$33:$D$35,MATCH(AD177,'SCORING MASTER'!$C$33:$C$35,0)),INDEX('SCORING MASTER'!$D$37:$D$39,MATCH(AE177,'SCORING MASTER'!$C$37:$C$39,0)),INDEX('SCORING MASTER'!$D$41:$D$43,MATCH(AF177,'SCORING MASTER'!$C$41:$C$43,0)),INDEX('SCORING MASTER'!$D$45:$D$47,MATCH(AG177,'SCORING MASTER'!$C$45:$C$47,0)),INDEX('SCORING MASTER'!$D$49:$D$52,MATCH(AH177,'SCORING MASTER'!$C$49:$C$52,0)),INDEX('SCORING MASTER'!$D$54:$D$57,MATCH(AI177,'SCORING MASTER'!$C$54:$C$57,0)))*20,0))</f>
        <v/>
      </c>
      <c r="BI177" s="35" t="str">
        <f aca="false">IF(COUNTBLANK(AJ177:AP177)&gt;0,"",ROUND(AVERAGE(INDEX('SCORING MASTER'!$D$59:$D$60,MATCH(AJ177,'SCORING MASTER'!$C$59:$C$60,0)),INDEX('SCORING MASTER'!$D$62:$D$63,MATCH(AK177,'SCORING MASTER'!$C$62:$C$63,0)),INDEX('SCORING MASTER'!$D$65:$D$66,MATCH(AL177,'SCORING MASTER'!$C$65:$C$66,0)),INDEX('SCORING MASTER'!$D$68:$D$69,MATCH(AM177,'SCORING MASTER'!$C$68:$C$69,0)),INDEX('SCORING MASTER'!$D$71:$D$72,MATCH(AN177,'SCORING MASTER'!$C$71:$C$72,0)),INDEX('SCORING MASTER'!$D$74:$D$75,MATCH(AO177,'SCORING MASTER'!$C$74:$C$75,0)),INDEX('SCORING MASTER'!$D$77:$D$78,MATCH(AP177,'SCORING MASTER'!$C$77:$C$78,0)))*20,0))</f>
        <v/>
      </c>
      <c r="BJ177" s="35" t="str">
        <f aca="false">IF(COUNTBLANK(AU177:AZ177)&gt;0,"",ROUND(AVERAGE(INDEX('SCORING MASTER'!$D$95:$D$96,MATCH(AU177,'SCORING MASTER'!$C$95:$C$96,0)),INDEX('SCORING MASTER'!$D$98:$D$99,MATCH(AV177,'SCORING MASTER'!$C$98:$C$99,0)),INDEX('SCORING MASTER'!$D$101:$D$102,MATCH(AW177,'SCORING MASTER'!$C$101:$C$102,0)),INDEX('SCORING MASTER'!$D$104:$D$105,MATCH(AX177,'SCORING MASTER'!$C$104:$C$105,0)),INDEX('SCORING MASTER'!$D$107:$D$108,MATCH(AY177,'SCORING MASTER'!$C$107:$C$108,0)),INDEX('SCORING MASTER'!$D$110:$D$111,MATCH(AZ177,'SCORING MASTER'!$C$110:$C$111,0)))*20,0))</f>
        <v/>
      </c>
      <c r="BK177" s="35" t="str">
        <f aca="false">IF(COUNTBLANK(AQ177:AT177)&gt;0,"",ROUND(AVERAGE(INDEX('SCORING MASTER'!$D$80:$D$82,MATCH(AQ177,'SCORING MASTER'!$C$80:$C$82,0)),INDEX('SCORING MASTER'!$D$84:$D$86,MATCH(AR177,'SCORING MASTER'!$C$84:$C$86,0)),INDEX('SCORING MASTER'!$D$88:$D$90,MATCH(AS177,'SCORING MASTER'!$C$88:$C$90,0)),INDEX('SCORING MASTER'!$D$92:$D$93,MATCH(AT177,'SCORING MASTER'!$C$92:$C$93,0)))*20,0))</f>
        <v/>
      </c>
      <c r="BL177" s="35" t="str">
        <f aca="false">IF(COUNTBLANK(BA177:BE177)&gt;0,"",ROUND(AVERAGE(INDEX('SCORING MASTER'!$D$113:$D$115,MATCH(BA177,'SCORING MASTER'!$C$113:$C$115,0)),INDEX('SCORING MASTER'!$D$117:$D$119,MATCH(BB177,'SCORING MASTER'!$C$117:$C$119,0)),INDEX('SCORING MASTER'!$D$121:$D$123,MATCH(BC177,'SCORING MASTER'!$C$121:$C$123,0)),INDEX('SCORING MASTER'!$D$125:$D$126,MATCH(BD177,'SCORING MASTER'!$C$125:$C$126,0)),INDEX('SCORING MASTER'!$D$128:$D$129,MATCH(BE177,'SCORING MASTER'!$C$128:$C$129,0)))*20,0))</f>
        <v/>
      </c>
      <c r="BM177" s="35" t="str">
        <f aca="false">IF(OR(BF177="",BG177="",BH177="",BI177="",BJ177="",BK177="",BL177=""),"",ROUND(BF177*0.25+BG177*0.2+BH177*0.15+BI177*0.15+BJ177*0.1+BK177*0.1+BL177*0.05,0))</f>
        <v/>
      </c>
      <c r="BN177" s="35" t="str">
        <f aca="false">IF(OR(BF177="",BG177=""),"",ROUND(BF177*0.5+BG177*0.5,0))</f>
        <v/>
      </c>
      <c r="BO177" s="35" t="str">
        <f aca="false">IF(BN177="","",ROUND(MIN(100,MAX(0,(100-BN177)+IF(AL177="Yes",15,0)+IF(AM177="Yes",15,0)+IF(AND(U177&lt;&gt;"",U177&lt;18.5),20,0))),0))</f>
        <v/>
      </c>
      <c r="BP177" s="32" t="str">
        <f aca="false">IF(BM177="","",IF(BM177&gt;=90,"Green - Healthy",IF(BM177&gt;=75,"Light Green - Mild Watch",IF(BM177&gt;=60,"Yellow - Mild Risk",IF(BM177&gt;=40,"Orange - Moderate Risk","Red - High Risk")))))</f>
        <v/>
      </c>
      <c r="BQ177" s="32" t="str">
        <f aca="false">IF(BM177="","",IF(OR(BM177&lt;60,BO177&gt;=60,AJ177="Yes"),"Yes","No"))</f>
        <v/>
      </c>
      <c r="BR177" s="32" t="str">
        <f aca="false">IF(BM177="","",IF(OR(BP177="Orange - Moderate Risk",BP177="Red - High Risk",BQ177="Yes"),"Yes","No"))</f>
        <v/>
      </c>
    </row>
    <row r="178" customFormat="false" ht="15" hidden="false" customHeight="false" outlineLevel="0" collapsed="false">
      <c r="A178" s="28" t="str">
        <f aca="false">IF(I178="","","STU"&amp;TEXT(ROW()-3,"000000"))</f>
        <v/>
      </c>
      <c r="B178" s="28"/>
      <c r="C178" s="28"/>
      <c r="D178" s="28"/>
      <c r="E178" s="28"/>
      <c r="F178" s="28"/>
      <c r="G178" s="28"/>
      <c r="H178" s="28"/>
      <c r="I178" s="28"/>
      <c r="J178" s="30"/>
      <c r="K178" s="28"/>
      <c r="L178" s="28"/>
      <c r="M178" s="28"/>
      <c r="N178" s="28"/>
      <c r="O178" s="28"/>
      <c r="P178" s="28"/>
      <c r="Q178" s="30"/>
      <c r="R178" s="30"/>
      <c r="S178" s="31" t="str">
        <f aca="false">IF(OR(Q178="",R178=""),"",ROUND(R178/((Q178/100)^2),1))</f>
        <v/>
      </c>
      <c r="T178" s="28" t="str">
        <f aca="false">IF(S178="","",IF(S178&lt;18.5,"Underweight",IF(S178&lt;25,"Normal",IF(S178&lt;30,"Overweight","Obese"))))</f>
        <v/>
      </c>
      <c r="U178" s="30"/>
      <c r="V178" s="30"/>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c r="BD178" s="28"/>
      <c r="BE178" s="28"/>
      <c r="BF178" s="31" t="str">
        <f aca="false">IF(T178="","",IF(T178="Normal",100,IF(T178="Overweight",65,IF(T178="Obese",50,IF(AND(U178&lt;&gt;"",U178&lt;18.5),30,45)))))</f>
        <v/>
      </c>
      <c r="BG178" s="31" t="str">
        <f aca="false">IF(COUNTBLANK(W178:AC178)&gt;0,"",ROUND(AVERAGE(INDEX('SCORING MASTER'!$D$5:$D$7,MATCH(W178,'SCORING MASTER'!$C$5:$C$7,0)),INDEX('SCORING MASTER'!$D$9:$D$11,MATCH(X178,'SCORING MASTER'!$C$9:$C$11,0)),INDEX('SCORING MASTER'!$D$13:$D$15,MATCH(Y178,'SCORING MASTER'!$C$13:$C$15,0)),INDEX('SCORING MASTER'!$D$17:$D$19,MATCH(Z178,'SCORING MASTER'!$C$17:$C$19,0)),INDEX('SCORING MASTER'!$D$21:$D$23,MATCH(AA178,'SCORING MASTER'!$C$21:$C$23,0)),INDEX('SCORING MASTER'!$D$25:$D$27,MATCH(AB178,'SCORING MASTER'!$C$25:$C$27,0)),INDEX('SCORING MASTER'!$D$29:$D$31,MATCH(AC178,'SCORING MASTER'!$C$29:$C$31,0)))*20,0))</f>
        <v/>
      </c>
      <c r="BH178" s="31" t="str">
        <f aca="false">IF(COUNTBLANK(AD178:AI178)&gt;0,"",ROUND(AVERAGE(INDEX('SCORING MASTER'!$D$33:$D$35,MATCH(AD178,'SCORING MASTER'!$C$33:$C$35,0)),INDEX('SCORING MASTER'!$D$37:$D$39,MATCH(AE178,'SCORING MASTER'!$C$37:$C$39,0)),INDEX('SCORING MASTER'!$D$41:$D$43,MATCH(AF178,'SCORING MASTER'!$C$41:$C$43,0)),INDEX('SCORING MASTER'!$D$45:$D$47,MATCH(AG178,'SCORING MASTER'!$C$45:$C$47,0)),INDEX('SCORING MASTER'!$D$49:$D$52,MATCH(AH178,'SCORING MASTER'!$C$49:$C$52,0)),INDEX('SCORING MASTER'!$D$54:$D$57,MATCH(AI178,'SCORING MASTER'!$C$54:$C$57,0)))*20,0))</f>
        <v/>
      </c>
      <c r="BI178" s="31" t="str">
        <f aca="false">IF(COUNTBLANK(AJ178:AP178)&gt;0,"",ROUND(AVERAGE(INDEX('SCORING MASTER'!$D$59:$D$60,MATCH(AJ178,'SCORING MASTER'!$C$59:$C$60,0)),INDEX('SCORING MASTER'!$D$62:$D$63,MATCH(AK178,'SCORING MASTER'!$C$62:$C$63,0)),INDEX('SCORING MASTER'!$D$65:$D$66,MATCH(AL178,'SCORING MASTER'!$C$65:$C$66,0)),INDEX('SCORING MASTER'!$D$68:$D$69,MATCH(AM178,'SCORING MASTER'!$C$68:$C$69,0)),INDEX('SCORING MASTER'!$D$71:$D$72,MATCH(AN178,'SCORING MASTER'!$C$71:$C$72,0)),INDEX('SCORING MASTER'!$D$74:$D$75,MATCH(AO178,'SCORING MASTER'!$C$74:$C$75,0)),INDEX('SCORING MASTER'!$D$77:$D$78,MATCH(AP178,'SCORING MASTER'!$C$77:$C$78,0)))*20,0))</f>
        <v/>
      </c>
      <c r="BJ178" s="31" t="str">
        <f aca="false">IF(COUNTBLANK(AU178:AZ178)&gt;0,"",ROUND(AVERAGE(INDEX('SCORING MASTER'!$D$95:$D$96,MATCH(AU178,'SCORING MASTER'!$C$95:$C$96,0)),INDEX('SCORING MASTER'!$D$98:$D$99,MATCH(AV178,'SCORING MASTER'!$C$98:$C$99,0)),INDEX('SCORING MASTER'!$D$101:$D$102,MATCH(AW178,'SCORING MASTER'!$C$101:$C$102,0)),INDEX('SCORING MASTER'!$D$104:$D$105,MATCH(AX178,'SCORING MASTER'!$C$104:$C$105,0)),INDEX('SCORING MASTER'!$D$107:$D$108,MATCH(AY178,'SCORING MASTER'!$C$107:$C$108,0)),INDEX('SCORING MASTER'!$D$110:$D$111,MATCH(AZ178,'SCORING MASTER'!$C$110:$C$111,0)))*20,0))</f>
        <v/>
      </c>
      <c r="BK178" s="31" t="str">
        <f aca="false">IF(COUNTBLANK(AQ178:AT178)&gt;0,"",ROUND(AVERAGE(INDEX('SCORING MASTER'!$D$80:$D$82,MATCH(AQ178,'SCORING MASTER'!$C$80:$C$82,0)),INDEX('SCORING MASTER'!$D$84:$D$86,MATCH(AR178,'SCORING MASTER'!$C$84:$C$86,0)),INDEX('SCORING MASTER'!$D$88:$D$90,MATCH(AS178,'SCORING MASTER'!$C$88:$C$90,0)),INDEX('SCORING MASTER'!$D$92:$D$93,MATCH(AT178,'SCORING MASTER'!$C$92:$C$93,0)))*20,0))</f>
        <v/>
      </c>
      <c r="BL178" s="31" t="str">
        <f aca="false">IF(COUNTBLANK(BA178:BE178)&gt;0,"",ROUND(AVERAGE(INDEX('SCORING MASTER'!$D$113:$D$115,MATCH(BA178,'SCORING MASTER'!$C$113:$C$115,0)),INDEX('SCORING MASTER'!$D$117:$D$119,MATCH(BB178,'SCORING MASTER'!$C$117:$C$119,0)),INDEX('SCORING MASTER'!$D$121:$D$123,MATCH(BC178,'SCORING MASTER'!$C$121:$C$123,0)),INDEX('SCORING MASTER'!$D$125:$D$126,MATCH(BD178,'SCORING MASTER'!$C$125:$C$126,0)),INDEX('SCORING MASTER'!$D$128:$D$129,MATCH(BE178,'SCORING MASTER'!$C$128:$C$129,0)))*20,0))</f>
        <v/>
      </c>
      <c r="BM178" s="31" t="str">
        <f aca="false">IF(OR(BF178="",BG178="",BH178="",BI178="",BJ178="",BK178="",BL178=""),"",ROUND(BF178*0.25+BG178*0.2+BH178*0.15+BI178*0.15+BJ178*0.1+BK178*0.1+BL178*0.05,0))</f>
        <v/>
      </c>
      <c r="BN178" s="31" t="str">
        <f aca="false">IF(OR(BF178="",BG178=""),"",ROUND(BF178*0.5+BG178*0.5,0))</f>
        <v/>
      </c>
      <c r="BO178" s="31" t="str">
        <f aca="false">IF(BN178="","",ROUND(MIN(100,MAX(0,(100-BN178)+IF(AL178="Yes",15,0)+IF(AM178="Yes",15,0)+IF(AND(U178&lt;&gt;"",U178&lt;18.5),20,0))),0))</f>
        <v/>
      </c>
      <c r="BP178" s="28" t="str">
        <f aca="false">IF(BM178="","",IF(BM178&gt;=90,"Green - Healthy",IF(BM178&gt;=75,"Light Green - Mild Watch",IF(BM178&gt;=60,"Yellow - Mild Risk",IF(BM178&gt;=40,"Orange - Moderate Risk","Red - High Risk")))))</f>
        <v/>
      </c>
      <c r="BQ178" s="28" t="str">
        <f aca="false">IF(BM178="","",IF(OR(BM178&lt;60,BO178&gt;=60,AJ178="Yes"),"Yes","No"))</f>
        <v/>
      </c>
      <c r="BR178" s="28" t="str">
        <f aca="false">IF(BM178="","",IF(OR(BP178="Orange - Moderate Risk",BP178="Red - High Risk",BQ178="Yes"),"Yes","No"))</f>
        <v/>
      </c>
    </row>
    <row r="179" customFormat="false" ht="15" hidden="false" customHeight="false" outlineLevel="0" collapsed="false">
      <c r="A179" s="32" t="str">
        <f aca="false">IF(I179="","","STU"&amp;TEXT(ROW()-3,"000000"))</f>
        <v/>
      </c>
      <c r="B179" s="32"/>
      <c r="C179" s="32"/>
      <c r="D179" s="32"/>
      <c r="E179" s="32"/>
      <c r="F179" s="32"/>
      <c r="G179" s="32"/>
      <c r="H179" s="32"/>
      <c r="I179" s="32"/>
      <c r="J179" s="34"/>
      <c r="K179" s="32"/>
      <c r="L179" s="32"/>
      <c r="M179" s="32"/>
      <c r="N179" s="32"/>
      <c r="O179" s="32"/>
      <c r="P179" s="32"/>
      <c r="Q179" s="34"/>
      <c r="R179" s="34"/>
      <c r="S179" s="35" t="str">
        <f aca="false">IF(OR(Q179="",R179=""),"",ROUND(R179/((Q179/100)^2),1))</f>
        <v/>
      </c>
      <c r="T179" s="32" t="str">
        <f aca="false">IF(S179="","",IF(S179&lt;18.5,"Underweight",IF(S179&lt;25,"Normal",IF(S179&lt;30,"Overweight","Obese"))))</f>
        <v/>
      </c>
      <c r="U179" s="34"/>
      <c r="V179" s="34"/>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5" t="str">
        <f aca="false">IF(T179="","",IF(T179="Normal",100,IF(T179="Overweight",65,IF(T179="Obese",50,IF(AND(U179&lt;&gt;"",U179&lt;18.5),30,45)))))</f>
        <v/>
      </c>
      <c r="BG179" s="35" t="str">
        <f aca="false">IF(COUNTBLANK(W179:AC179)&gt;0,"",ROUND(AVERAGE(INDEX('SCORING MASTER'!$D$5:$D$7,MATCH(W179,'SCORING MASTER'!$C$5:$C$7,0)),INDEX('SCORING MASTER'!$D$9:$D$11,MATCH(X179,'SCORING MASTER'!$C$9:$C$11,0)),INDEX('SCORING MASTER'!$D$13:$D$15,MATCH(Y179,'SCORING MASTER'!$C$13:$C$15,0)),INDEX('SCORING MASTER'!$D$17:$D$19,MATCH(Z179,'SCORING MASTER'!$C$17:$C$19,0)),INDEX('SCORING MASTER'!$D$21:$D$23,MATCH(AA179,'SCORING MASTER'!$C$21:$C$23,0)),INDEX('SCORING MASTER'!$D$25:$D$27,MATCH(AB179,'SCORING MASTER'!$C$25:$C$27,0)),INDEX('SCORING MASTER'!$D$29:$D$31,MATCH(AC179,'SCORING MASTER'!$C$29:$C$31,0)))*20,0))</f>
        <v/>
      </c>
      <c r="BH179" s="35" t="str">
        <f aca="false">IF(COUNTBLANK(AD179:AI179)&gt;0,"",ROUND(AVERAGE(INDEX('SCORING MASTER'!$D$33:$D$35,MATCH(AD179,'SCORING MASTER'!$C$33:$C$35,0)),INDEX('SCORING MASTER'!$D$37:$D$39,MATCH(AE179,'SCORING MASTER'!$C$37:$C$39,0)),INDEX('SCORING MASTER'!$D$41:$D$43,MATCH(AF179,'SCORING MASTER'!$C$41:$C$43,0)),INDEX('SCORING MASTER'!$D$45:$D$47,MATCH(AG179,'SCORING MASTER'!$C$45:$C$47,0)),INDEX('SCORING MASTER'!$D$49:$D$52,MATCH(AH179,'SCORING MASTER'!$C$49:$C$52,0)),INDEX('SCORING MASTER'!$D$54:$D$57,MATCH(AI179,'SCORING MASTER'!$C$54:$C$57,0)))*20,0))</f>
        <v/>
      </c>
      <c r="BI179" s="35" t="str">
        <f aca="false">IF(COUNTBLANK(AJ179:AP179)&gt;0,"",ROUND(AVERAGE(INDEX('SCORING MASTER'!$D$59:$D$60,MATCH(AJ179,'SCORING MASTER'!$C$59:$C$60,0)),INDEX('SCORING MASTER'!$D$62:$D$63,MATCH(AK179,'SCORING MASTER'!$C$62:$C$63,0)),INDEX('SCORING MASTER'!$D$65:$D$66,MATCH(AL179,'SCORING MASTER'!$C$65:$C$66,0)),INDEX('SCORING MASTER'!$D$68:$D$69,MATCH(AM179,'SCORING MASTER'!$C$68:$C$69,0)),INDEX('SCORING MASTER'!$D$71:$D$72,MATCH(AN179,'SCORING MASTER'!$C$71:$C$72,0)),INDEX('SCORING MASTER'!$D$74:$D$75,MATCH(AO179,'SCORING MASTER'!$C$74:$C$75,0)),INDEX('SCORING MASTER'!$D$77:$D$78,MATCH(AP179,'SCORING MASTER'!$C$77:$C$78,0)))*20,0))</f>
        <v/>
      </c>
      <c r="BJ179" s="35" t="str">
        <f aca="false">IF(COUNTBLANK(AU179:AZ179)&gt;0,"",ROUND(AVERAGE(INDEX('SCORING MASTER'!$D$95:$D$96,MATCH(AU179,'SCORING MASTER'!$C$95:$C$96,0)),INDEX('SCORING MASTER'!$D$98:$D$99,MATCH(AV179,'SCORING MASTER'!$C$98:$C$99,0)),INDEX('SCORING MASTER'!$D$101:$D$102,MATCH(AW179,'SCORING MASTER'!$C$101:$C$102,0)),INDEX('SCORING MASTER'!$D$104:$D$105,MATCH(AX179,'SCORING MASTER'!$C$104:$C$105,0)),INDEX('SCORING MASTER'!$D$107:$D$108,MATCH(AY179,'SCORING MASTER'!$C$107:$C$108,0)),INDEX('SCORING MASTER'!$D$110:$D$111,MATCH(AZ179,'SCORING MASTER'!$C$110:$C$111,0)))*20,0))</f>
        <v/>
      </c>
      <c r="BK179" s="35" t="str">
        <f aca="false">IF(COUNTBLANK(AQ179:AT179)&gt;0,"",ROUND(AVERAGE(INDEX('SCORING MASTER'!$D$80:$D$82,MATCH(AQ179,'SCORING MASTER'!$C$80:$C$82,0)),INDEX('SCORING MASTER'!$D$84:$D$86,MATCH(AR179,'SCORING MASTER'!$C$84:$C$86,0)),INDEX('SCORING MASTER'!$D$88:$D$90,MATCH(AS179,'SCORING MASTER'!$C$88:$C$90,0)),INDEX('SCORING MASTER'!$D$92:$D$93,MATCH(AT179,'SCORING MASTER'!$C$92:$C$93,0)))*20,0))</f>
        <v/>
      </c>
      <c r="BL179" s="35" t="str">
        <f aca="false">IF(COUNTBLANK(BA179:BE179)&gt;0,"",ROUND(AVERAGE(INDEX('SCORING MASTER'!$D$113:$D$115,MATCH(BA179,'SCORING MASTER'!$C$113:$C$115,0)),INDEX('SCORING MASTER'!$D$117:$D$119,MATCH(BB179,'SCORING MASTER'!$C$117:$C$119,0)),INDEX('SCORING MASTER'!$D$121:$D$123,MATCH(BC179,'SCORING MASTER'!$C$121:$C$123,0)),INDEX('SCORING MASTER'!$D$125:$D$126,MATCH(BD179,'SCORING MASTER'!$C$125:$C$126,0)),INDEX('SCORING MASTER'!$D$128:$D$129,MATCH(BE179,'SCORING MASTER'!$C$128:$C$129,0)))*20,0))</f>
        <v/>
      </c>
      <c r="BM179" s="35" t="str">
        <f aca="false">IF(OR(BF179="",BG179="",BH179="",BI179="",BJ179="",BK179="",BL179=""),"",ROUND(BF179*0.25+BG179*0.2+BH179*0.15+BI179*0.15+BJ179*0.1+BK179*0.1+BL179*0.05,0))</f>
        <v/>
      </c>
      <c r="BN179" s="35" t="str">
        <f aca="false">IF(OR(BF179="",BG179=""),"",ROUND(BF179*0.5+BG179*0.5,0))</f>
        <v/>
      </c>
      <c r="BO179" s="35" t="str">
        <f aca="false">IF(BN179="","",ROUND(MIN(100,MAX(0,(100-BN179)+IF(AL179="Yes",15,0)+IF(AM179="Yes",15,0)+IF(AND(U179&lt;&gt;"",U179&lt;18.5),20,0))),0))</f>
        <v/>
      </c>
      <c r="BP179" s="32" t="str">
        <f aca="false">IF(BM179="","",IF(BM179&gt;=90,"Green - Healthy",IF(BM179&gt;=75,"Light Green - Mild Watch",IF(BM179&gt;=60,"Yellow - Mild Risk",IF(BM179&gt;=40,"Orange - Moderate Risk","Red - High Risk")))))</f>
        <v/>
      </c>
      <c r="BQ179" s="32" t="str">
        <f aca="false">IF(BM179="","",IF(OR(BM179&lt;60,BO179&gt;=60,AJ179="Yes"),"Yes","No"))</f>
        <v/>
      </c>
      <c r="BR179" s="32" t="str">
        <f aca="false">IF(BM179="","",IF(OR(BP179="Orange - Moderate Risk",BP179="Red - High Risk",BQ179="Yes"),"Yes","No"))</f>
        <v/>
      </c>
    </row>
    <row r="180" customFormat="false" ht="15" hidden="false" customHeight="false" outlineLevel="0" collapsed="false">
      <c r="A180" s="28" t="str">
        <f aca="false">IF(I180="","","STU"&amp;TEXT(ROW()-3,"000000"))</f>
        <v/>
      </c>
      <c r="B180" s="28"/>
      <c r="C180" s="28"/>
      <c r="D180" s="28"/>
      <c r="E180" s="28"/>
      <c r="F180" s="28"/>
      <c r="G180" s="28"/>
      <c r="H180" s="28"/>
      <c r="I180" s="28"/>
      <c r="J180" s="30"/>
      <c r="K180" s="28"/>
      <c r="L180" s="28"/>
      <c r="M180" s="28"/>
      <c r="N180" s="28"/>
      <c r="O180" s="28"/>
      <c r="P180" s="28"/>
      <c r="Q180" s="30"/>
      <c r="R180" s="30"/>
      <c r="S180" s="31" t="str">
        <f aca="false">IF(OR(Q180="",R180=""),"",ROUND(R180/((Q180/100)^2),1))</f>
        <v/>
      </c>
      <c r="T180" s="28" t="str">
        <f aca="false">IF(S180="","",IF(S180&lt;18.5,"Underweight",IF(S180&lt;25,"Normal",IF(S180&lt;30,"Overweight","Obese"))))</f>
        <v/>
      </c>
      <c r="U180" s="30"/>
      <c r="V180" s="30"/>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c r="BE180" s="28"/>
      <c r="BF180" s="31" t="str">
        <f aca="false">IF(T180="","",IF(T180="Normal",100,IF(T180="Overweight",65,IF(T180="Obese",50,IF(AND(U180&lt;&gt;"",U180&lt;18.5),30,45)))))</f>
        <v/>
      </c>
      <c r="BG180" s="31" t="str">
        <f aca="false">IF(COUNTBLANK(W180:AC180)&gt;0,"",ROUND(AVERAGE(INDEX('SCORING MASTER'!$D$5:$D$7,MATCH(W180,'SCORING MASTER'!$C$5:$C$7,0)),INDEX('SCORING MASTER'!$D$9:$D$11,MATCH(X180,'SCORING MASTER'!$C$9:$C$11,0)),INDEX('SCORING MASTER'!$D$13:$D$15,MATCH(Y180,'SCORING MASTER'!$C$13:$C$15,0)),INDEX('SCORING MASTER'!$D$17:$D$19,MATCH(Z180,'SCORING MASTER'!$C$17:$C$19,0)),INDEX('SCORING MASTER'!$D$21:$D$23,MATCH(AA180,'SCORING MASTER'!$C$21:$C$23,0)),INDEX('SCORING MASTER'!$D$25:$D$27,MATCH(AB180,'SCORING MASTER'!$C$25:$C$27,0)),INDEX('SCORING MASTER'!$D$29:$D$31,MATCH(AC180,'SCORING MASTER'!$C$29:$C$31,0)))*20,0))</f>
        <v/>
      </c>
      <c r="BH180" s="31" t="str">
        <f aca="false">IF(COUNTBLANK(AD180:AI180)&gt;0,"",ROUND(AVERAGE(INDEX('SCORING MASTER'!$D$33:$D$35,MATCH(AD180,'SCORING MASTER'!$C$33:$C$35,0)),INDEX('SCORING MASTER'!$D$37:$D$39,MATCH(AE180,'SCORING MASTER'!$C$37:$C$39,0)),INDEX('SCORING MASTER'!$D$41:$D$43,MATCH(AF180,'SCORING MASTER'!$C$41:$C$43,0)),INDEX('SCORING MASTER'!$D$45:$D$47,MATCH(AG180,'SCORING MASTER'!$C$45:$C$47,0)),INDEX('SCORING MASTER'!$D$49:$D$52,MATCH(AH180,'SCORING MASTER'!$C$49:$C$52,0)),INDEX('SCORING MASTER'!$D$54:$D$57,MATCH(AI180,'SCORING MASTER'!$C$54:$C$57,0)))*20,0))</f>
        <v/>
      </c>
      <c r="BI180" s="31" t="str">
        <f aca="false">IF(COUNTBLANK(AJ180:AP180)&gt;0,"",ROUND(AVERAGE(INDEX('SCORING MASTER'!$D$59:$D$60,MATCH(AJ180,'SCORING MASTER'!$C$59:$C$60,0)),INDEX('SCORING MASTER'!$D$62:$D$63,MATCH(AK180,'SCORING MASTER'!$C$62:$C$63,0)),INDEX('SCORING MASTER'!$D$65:$D$66,MATCH(AL180,'SCORING MASTER'!$C$65:$C$66,0)),INDEX('SCORING MASTER'!$D$68:$D$69,MATCH(AM180,'SCORING MASTER'!$C$68:$C$69,0)),INDEX('SCORING MASTER'!$D$71:$D$72,MATCH(AN180,'SCORING MASTER'!$C$71:$C$72,0)),INDEX('SCORING MASTER'!$D$74:$D$75,MATCH(AO180,'SCORING MASTER'!$C$74:$C$75,0)),INDEX('SCORING MASTER'!$D$77:$D$78,MATCH(AP180,'SCORING MASTER'!$C$77:$C$78,0)))*20,0))</f>
        <v/>
      </c>
      <c r="BJ180" s="31" t="str">
        <f aca="false">IF(COUNTBLANK(AU180:AZ180)&gt;0,"",ROUND(AVERAGE(INDEX('SCORING MASTER'!$D$95:$D$96,MATCH(AU180,'SCORING MASTER'!$C$95:$C$96,0)),INDEX('SCORING MASTER'!$D$98:$D$99,MATCH(AV180,'SCORING MASTER'!$C$98:$C$99,0)),INDEX('SCORING MASTER'!$D$101:$D$102,MATCH(AW180,'SCORING MASTER'!$C$101:$C$102,0)),INDEX('SCORING MASTER'!$D$104:$D$105,MATCH(AX180,'SCORING MASTER'!$C$104:$C$105,0)),INDEX('SCORING MASTER'!$D$107:$D$108,MATCH(AY180,'SCORING MASTER'!$C$107:$C$108,0)),INDEX('SCORING MASTER'!$D$110:$D$111,MATCH(AZ180,'SCORING MASTER'!$C$110:$C$111,0)))*20,0))</f>
        <v/>
      </c>
      <c r="BK180" s="31" t="str">
        <f aca="false">IF(COUNTBLANK(AQ180:AT180)&gt;0,"",ROUND(AVERAGE(INDEX('SCORING MASTER'!$D$80:$D$82,MATCH(AQ180,'SCORING MASTER'!$C$80:$C$82,0)),INDEX('SCORING MASTER'!$D$84:$D$86,MATCH(AR180,'SCORING MASTER'!$C$84:$C$86,0)),INDEX('SCORING MASTER'!$D$88:$D$90,MATCH(AS180,'SCORING MASTER'!$C$88:$C$90,0)),INDEX('SCORING MASTER'!$D$92:$D$93,MATCH(AT180,'SCORING MASTER'!$C$92:$C$93,0)))*20,0))</f>
        <v/>
      </c>
      <c r="BL180" s="31" t="str">
        <f aca="false">IF(COUNTBLANK(BA180:BE180)&gt;0,"",ROUND(AVERAGE(INDEX('SCORING MASTER'!$D$113:$D$115,MATCH(BA180,'SCORING MASTER'!$C$113:$C$115,0)),INDEX('SCORING MASTER'!$D$117:$D$119,MATCH(BB180,'SCORING MASTER'!$C$117:$C$119,0)),INDEX('SCORING MASTER'!$D$121:$D$123,MATCH(BC180,'SCORING MASTER'!$C$121:$C$123,0)),INDEX('SCORING MASTER'!$D$125:$D$126,MATCH(BD180,'SCORING MASTER'!$C$125:$C$126,0)),INDEX('SCORING MASTER'!$D$128:$D$129,MATCH(BE180,'SCORING MASTER'!$C$128:$C$129,0)))*20,0))</f>
        <v/>
      </c>
      <c r="BM180" s="31" t="str">
        <f aca="false">IF(OR(BF180="",BG180="",BH180="",BI180="",BJ180="",BK180="",BL180=""),"",ROUND(BF180*0.25+BG180*0.2+BH180*0.15+BI180*0.15+BJ180*0.1+BK180*0.1+BL180*0.05,0))</f>
        <v/>
      </c>
      <c r="BN180" s="31" t="str">
        <f aca="false">IF(OR(BF180="",BG180=""),"",ROUND(BF180*0.5+BG180*0.5,0))</f>
        <v/>
      </c>
      <c r="BO180" s="31" t="str">
        <f aca="false">IF(BN180="","",ROUND(MIN(100,MAX(0,(100-BN180)+IF(AL180="Yes",15,0)+IF(AM180="Yes",15,0)+IF(AND(U180&lt;&gt;"",U180&lt;18.5),20,0))),0))</f>
        <v/>
      </c>
      <c r="BP180" s="28" t="str">
        <f aca="false">IF(BM180="","",IF(BM180&gt;=90,"Green - Healthy",IF(BM180&gt;=75,"Light Green - Mild Watch",IF(BM180&gt;=60,"Yellow - Mild Risk",IF(BM180&gt;=40,"Orange - Moderate Risk","Red - High Risk")))))</f>
        <v/>
      </c>
      <c r="BQ180" s="28" t="str">
        <f aca="false">IF(BM180="","",IF(OR(BM180&lt;60,BO180&gt;=60,AJ180="Yes"),"Yes","No"))</f>
        <v/>
      </c>
      <c r="BR180" s="28" t="str">
        <f aca="false">IF(BM180="","",IF(OR(BP180="Orange - Moderate Risk",BP180="Red - High Risk",BQ180="Yes"),"Yes","No"))</f>
        <v/>
      </c>
    </row>
    <row r="181" customFormat="false" ht="15" hidden="false" customHeight="false" outlineLevel="0" collapsed="false">
      <c r="A181" s="32" t="str">
        <f aca="false">IF(I181="","","STU"&amp;TEXT(ROW()-3,"000000"))</f>
        <v/>
      </c>
      <c r="B181" s="32"/>
      <c r="C181" s="32"/>
      <c r="D181" s="32"/>
      <c r="E181" s="32"/>
      <c r="F181" s="32"/>
      <c r="G181" s="32"/>
      <c r="H181" s="32"/>
      <c r="I181" s="32"/>
      <c r="J181" s="34"/>
      <c r="K181" s="32"/>
      <c r="L181" s="32"/>
      <c r="M181" s="32"/>
      <c r="N181" s="32"/>
      <c r="O181" s="32"/>
      <c r="P181" s="32"/>
      <c r="Q181" s="34"/>
      <c r="R181" s="34"/>
      <c r="S181" s="35" t="str">
        <f aca="false">IF(OR(Q181="",R181=""),"",ROUND(R181/((Q181/100)^2),1))</f>
        <v/>
      </c>
      <c r="T181" s="32" t="str">
        <f aca="false">IF(S181="","",IF(S181&lt;18.5,"Underweight",IF(S181&lt;25,"Normal",IF(S181&lt;30,"Overweight","Obese"))))</f>
        <v/>
      </c>
      <c r="U181" s="34"/>
      <c r="V181" s="34"/>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5" t="str">
        <f aca="false">IF(T181="","",IF(T181="Normal",100,IF(T181="Overweight",65,IF(T181="Obese",50,IF(AND(U181&lt;&gt;"",U181&lt;18.5),30,45)))))</f>
        <v/>
      </c>
      <c r="BG181" s="35" t="str">
        <f aca="false">IF(COUNTBLANK(W181:AC181)&gt;0,"",ROUND(AVERAGE(INDEX('SCORING MASTER'!$D$5:$D$7,MATCH(W181,'SCORING MASTER'!$C$5:$C$7,0)),INDEX('SCORING MASTER'!$D$9:$D$11,MATCH(X181,'SCORING MASTER'!$C$9:$C$11,0)),INDEX('SCORING MASTER'!$D$13:$D$15,MATCH(Y181,'SCORING MASTER'!$C$13:$C$15,0)),INDEX('SCORING MASTER'!$D$17:$D$19,MATCH(Z181,'SCORING MASTER'!$C$17:$C$19,0)),INDEX('SCORING MASTER'!$D$21:$D$23,MATCH(AA181,'SCORING MASTER'!$C$21:$C$23,0)),INDEX('SCORING MASTER'!$D$25:$D$27,MATCH(AB181,'SCORING MASTER'!$C$25:$C$27,0)),INDEX('SCORING MASTER'!$D$29:$D$31,MATCH(AC181,'SCORING MASTER'!$C$29:$C$31,0)))*20,0))</f>
        <v/>
      </c>
      <c r="BH181" s="35" t="str">
        <f aca="false">IF(COUNTBLANK(AD181:AI181)&gt;0,"",ROUND(AVERAGE(INDEX('SCORING MASTER'!$D$33:$D$35,MATCH(AD181,'SCORING MASTER'!$C$33:$C$35,0)),INDEX('SCORING MASTER'!$D$37:$D$39,MATCH(AE181,'SCORING MASTER'!$C$37:$C$39,0)),INDEX('SCORING MASTER'!$D$41:$D$43,MATCH(AF181,'SCORING MASTER'!$C$41:$C$43,0)),INDEX('SCORING MASTER'!$D$45:$D$47,MATCH(AG181,'SCORING MASTER'!$C$45:$C$47,0)),INDEX('SCORING MASTER'!$D$49:$D$52,MATCH(AH181,'SCORING MASTER'!$C$49:$C$52,0)),INDEX('SCORING MASTER'!$D$54:$D$57,MATCH(AI181,'SCORING MASTER'!$C$54:$C$57,0)))*20,0))</f>
        <v/>
      </c>
      <c r="BI181" s="35" t="str">
        <f aca="false">IF(COUNTBLANK(AJ181:AP181)&gt;0,"",ROUND(AVERAGE(INDEX('SCORING MASTER'!$D$59:$D$60,MATCH(AJ181,'SCORING MASTER'!$C$59:$C$60,0)),INDEX('SCORING MASTER'!$D$62:$D$63,MATCH(AK181,'SCORING MASTER'!$C$62:$C$63,0)),INDEX('SCORING MASTER'!$D$65:$D$66,MATCH(AL181,'SCORING MASTER'!$C$65:$C$66,0)),INDEX('SCORING MASTER'!$D$68:$D$69,MATCH(AM181,'SCORING MASTER'!$C$68:$C$69,0)),INDEX('SCORING MASTER'!$D$71:$D$72,MATCH(AN181,'SCORING MASTER'!$C$71:$C$72,0)),INDEX('SCORING MASTER'!$D$74:$D$75,MATCH(AO181,'SCORING MASTER'!$C$74:$C$75,0)),INDEX('SCORING MASTER'!$D$77:$D$78,MATCH(AP181,'SCORING MASTER'!$C$77:$C$78,0)))*20,0))</f>
        <v/>
      </c>
      <c r="BJ181" s="35" t="str">
        <f aca="false">IF(COUNTBLANK(AU181:AZ181)&gt;0,"",ROUND(AVERAGE(INDEX('SCORING MASTER'!$D$95:$D$96,MATCH(AU181,'SCORING MASTER'!$C$95:$C$96,0)),INDEX('SCORING MASTER'!$D$98:$D$99,MATCH(AV181,'SCORING MASTER'!$C$98:$C$99,0)),INDEX('SCORING MASTER'!$D$101:$D$102,MATCH(AW181,'SCORING MASTER'!$C$101:$C$102,0)),INDEX('SCORING MASTER'!$D$104:$D$105,MATCH(AX181,'SCORING MASTER'!$C$104:$C$105,0)),INDEX('SCORING MASTER'!$D$107:$D$108,MATCH(AY181,'SCORING MASTER'!$C$107:$C$108,0)),INDEX('SCORING MASTER'!$D$110:$D$111,MATCH(AZ181,'SCORING MASTER'!$C$110:$C$111,0)))*20,0))</f>
        <v/>
      </c>
      <c r="BK181" s="35" t="str">
        <f aca="false">IF(COUNTBLANK(AQ181:AT181)&gt;0,"",ROUND(AVERAGE(INDEX('SCORING MASTER'!$D$80:$D$82,MATCH(AQ181,'SCORING MASTER'!$C$80:$C$82,0)),INDEX('SCORING MASTER'!$D$84:$D$86,MATCH(AR181,'SCORING MASTER'!$C$84:$C$86,0)),INDEX('SCORING MASTER'!$D$88:$D$90,MATCH(AS181,'SCORING MASTER'!$C$88:$C$90,0)),INDEX('SCORING MASTER'!$D$92:$D$93,MATCH(AT181,'SCORING MASTER'!$C$92:$C$93,0)))*20,0))</f>
        <v/>
      </c>
      <c r="BL181" s="35" t="str">
        <f aca="false">IF(COUNTBLANK(BA181:BE181)&gt;0,"",ROUND(AVERAGE(INDEX('SCORING MASTER'!$D$113:$D$115,MATCH(BA181,'SCORING MASTER'!$C$113:$C$115,0)),INDEX('SCORING MASTER'!$D$117:$D$119,MATCH(BB181,'SCORING MASTER'!$C$117:$C$119,0)),INDEX('SCORING MASTER'!$D$121:$D$123,MATCH(BC181,'SCORING MASTER'!$C$121:$C$123,0)),INDEX('SCORING MASTER'!$D$125:$D$126,MATCH(BD181,'SCORING MASTER'!$C$125:$C$126,0)),INDEX('SCORING MASTER'!$D$128:$D$129,MATCH(BE181,'SCORING MASTER'!$C$128:$C$129,0)))*20,0))</f>
        <v/>
      </c>
      <c r="BM181" s="35" t="str">
        <f aca="false">IF(OR(BF181="",BG181="",BH181="",BI181="",BJ181="",BK181="",BL181=""),"",ROUND(BF181*0.25+BG181*0.2+BH181*0.15+BI181*0.15+BJ181*0.1+BK181*0.1+BL181*0.05,0))</f>
        <v/>
      </c>
      <c r="BN181" s="35" t="str">
        <f aca="false">IF(OR(BF181="",BG181=""),"",ROUND(BF181*0.5+BG181*0.5,0))</f>
        <v/>
      </c>
      <c r="BO181" s="35" t="str">
        <f aca="false">IF(BN181="","",ROUND(MIN(100,MAX(0,(100-BN181)+IF(AL181="Yes",15,0)+IF(AM181="Yes",15,0)+IF(AND(U181&lt;&gt;"",U181&lt;18.5),20,0))),0))</f>
        <v/>
      </c>
      <c r="BP181" s="32" t="str">
        <f aca="false">IF(BM181="","",IF(BM181&gt;=90,"Green - Healthy",IF(BM181&gt;=75,"Light Green - Mild Watch",IF(BM181&gt;=60,"Yellow - Mild Risk",IF(BM181&gt;=40,"Orange - Moderate Risk","Red - High Risk")))))</f>
        <v/>
      </c>
      <c r="BQ181" s="32" t="str">
        <f aca="false">IF(BM181="","",IF(OR(BM181&lt;60,BO181&gt;=60,AJ181="Yes"),"Yes","No"))</f>
        <v/>
      </c>
      <c r="BR181" s="32" t="str">
        <f aca="false">IF(BM181="","",IF(OR(BP181="Orange - Moderate Risk",BP181="Red - High Risk",BQ181="Yes"),"Yes","No"))</f>
        <v/>
      </c>
    </row>
    <row r="182" customFormat="false" ht="15" hidden="false" customHeight="false" outlineLevel="0" collapsed="false">
      <c r="A182" s="28" t="str">
        <f aca="false">IF(I182="","","STU"&amp;TEXT(ROW()-3,"000000"))</f>
        <v/>
      </c>
      <c r="B182" s="28"/>
      <c r="C182" s="28"/>
      <c r="D182" s="28"/>
      <c r="E182" s="28"/>
      <c r="F182" s="28"/>
      <c r="G182" s="28"/>
      <c r="H182" s="28"/>
      <c r="I182" s="28"/>
      <c r="J182" s="30"/>
      <c r="K182" s="28"/>
      <c r="L182" s="28"/>
      <c r="M182" s="28"/>
      <c r="N182" s="28"/>
      <c r="O182" s="28"/>
      <c r="P182" s="28"/>
      <c r="Q182" s="30"/>
      <c r="R182" s="30"/>
      <c r="S182" s="31" t="str">
        <f aca="false">IF(OR(Q182="",R182=""),"",ROUND(R182/((Q182/100)^2),1))</f>
        <v/>
      </c>
      <c r="T182" s="28" t="str">
        <f aca="false">IF(S182="","",IF(S182&lt;18.5,"Underweight",IF(S182&lt;25,"Normal",IF(S182&lt;30,"Overweight","Obese"))))</f>
        <v/>
      </c>
      <c r="U182" s="30"/>
      <c r="V182" s="30"/>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31" t="str">
        <f aca="false">IF(T182="","",IF(T182="Normal",100,IF(T182="Overweight",65,IF(T182="Obese",50,IF(AND(U182&lt;&gt;"",U182&lt;18.5),30,45)))))</f>
        <v/>
      </c>
      <c r="BG182" s="31" t="str">
        <f aca="false">IF(COUNTBLANK(W182:AC182)&gt;0,"",ROUND(AVERAGE(INDEX('SCORING MASTER'!$D$5:$D$7,MATCH(W182,'SCORING MASTER'!$C$5:$C$7,0)),INDEX('SCORING MASTER'!$D$9:$D$11,MATCH(X182,'SCORING MASTER'!$C$9:$C$11,0)),INDEX('SCORING MASTER'!$D$13:$D$15,MATCH(Y182,'SCORING MASTER'!$C$13:$C$15,0)),INDEX('SCORING MASTER'!$D$17:$D$19,MATCH(Z182,'SCORING MASTER'!$C$17:$C$19,0)),INDEX('SCORING MASTER'!$D$21:$D$23,MATCH(AA182,'SCORING MASTER'!$C$21:$C$23,0)),INDEX('SCORING MASTER'!$D$25:$D$27,MATCH(AB182,'SCORING MASTER'!$C$25:$C$27,0)),INDEX('SCORING MASTER'!$D$29:$D$31,MATCH(AC182,'SCORING MASTER'!$C$29:$C$31,0)))*20,0))</f>
        <v/>
      </c>
      <c r="BH182" s="31" t="str">
        <f aca="false">IF(COUNTBLANK(AD182:AI182)&gt;0,"",ROUND(AVERAGE(INDEX('SCORING MASTER'!$D$33:$D$35,MATCH(AD182,'SCORING MASTER'!$C$33:$C$35,0)),INDEX('SCORING MASTER'!$D$37:$D$39,MATCH(AE182,'SCORING MASTER'!$C$37:$C$39,0)),INDEX('SCORING MASTER'!$D$41:$D$43,MATCH(AF182,'SCORING MASTER'!$C$41:$C$43,0)),INDEX('SCORING MASTER'!$D$45:$D$47,MATCH(AG182,'SCORING MASTER'!$C$45:$C$47,0)),INDEX('SCORING MASTER'!$D$49:$D$52,MATCH(AH182,'SCORING MASTER'!$C$49:$C$52,0)),INDEX('SCORING MASTER'!$D$54:$D$57,MATCH(AI182,'SCORING MASTER'!$C$54:$C$57,0)))*20,0))</f>
        <v/>
      </c>
      <c r="BI182" s="31" t="str">
        <f aca="false">IF(COUNTBLANK(AJ182:AP182)&gt;0,"",ROUND(AVERAGE(INDEX('SCORING MASTER'!$D$59:$D$60,MATCH(AJ182,'SCORING MASTER'!$C$59:$C$60,0)),INDEX('SCORING MASTER'!$D$62:$D$63,MATCH(AK182,'SCORING MASTER'!$C$62:$C$63,0)),INDEX('SCORING MASTER'!$D$65:$D$66,MATCH(AL182,'SCORING MASTER'!$C$65:$C$66,0)),INDEX('SCORING MASTER'!$D$68:$D$69,MATCH(AM182,'SCORING MASTER'!$C$68:$C$69,0)),INDEX('SCORING MASTER'!$D$71:$D$72,MATCH(AN182,'SCORING MASTER'!$C$71:$C$72,0)),INDEX('SCORING MASTER'!$D$74:$D$75,MATCH(AO182,'SCORING MASTER'!$C$74:$C$75,0)),INDEX('SCORING MASTER'!$D$77:$D$78,MATCH(AP182,'SCORING MASTER'!$C$77:$C$78,0)))*20,0))</f>
        <v/>
      </c>
      <c r="BJ182" s="31" t="str">
        <f aca="false">IF(COUNTBLANK(AU182:AZ182)&gt;0,"",ROUND(AVERAGE(INDEX('SCORING MASTER'!$D$95:$D$96,MATCH(AU182,'SCORING MASTER'!$C$95:$C$96,0)),INDEX('SCORING MASTER'!$D$98:$D$99,MATCH(AV182,'SCORING MASTER'!$C$98:$C$99,0)),INDEX('SCORING MASTER'!$D$101:$D$102,MATCH(AW182,'SCORING MASTER'!$C$101:$C$102,0)),INDEX('SCORING MASTER'!$D$104:$D$105,MATCH(AX182,'SCORING MASTER'!$C$104:$C$105,0)),INDEX('SCORING MASTER'!$D$107:$D$108,MATCH(AY182,'SCORING MASTER'!$C$107:$C$108,0)),INDEX('SCORING MASTER'!$D$110:$D$111,MATCH(AZ182,'SCORING MASTER'!$C$110:$C$111,0)))*20,0))</f>
        <v/>
      </c>
      <c r="BK182" s="31" t="str">
        <f aca="false">IF(COUNTBLANK(AQ182:AT182)&gt;0,"",ROUND(AVERAGE(INDEX('SCORING MASTER'!$D$80:$D$82,MATCH(AQ182,'SCORING MASTER'!$C$80:$C$82,0)),INDEX('SCORING MASTER'!$D$84:$D$86,MATCH(AR182,'SCORING MASTER'!$C$84:$C$86,0)),INDEX('SCORING MASTER'!$D$88:$D$90,MATCH(AS182,'SCORING MASTER'!$C$88:$C$90,0)),INDEX('SCORING MASTER'!$D$92:$D$93,MATCH(AT182,'SCORING MASTER'!$C$92:$C$93,0)))*20,0))</f>
        <v/>
      </c>
      <c r="BL182" s="31" t="str">
        <f aca="false">IF(COUNTBLANK(BA182:BE182)&gt;0,"",ROUND(AVERAGE(INDEX('SCORING MASTER'!$D$113:$D$115,MATCH(BA182,'SCORING MASTER'!$C$113:$C$115,0)),INDEX('SCORING MASTER'!$D$117:$D$119,MATCH(BB182,'SCORING MASTER'!$C$117:$C$119,0)),INDEX('SCORING MASTER'!$D$121:$D$123,MATCH(BC182,'SCORING MASTER'!$C$121:$C$123,0)),INDEX('SCORING MASTER'!$D$125:$D$126,MATCH(BD182,'SCORING MASTER'!$C$125:$C$126,0)),INDEX('SCORING MASTER'!$D$128:$D$129,MATCH(BE182,'SCORING MASTER'!$C$128:$C$129,0)))*20,0))</f>
        <v/>
      </c>
      <c r="BM182" s="31" t="str">
        <f aca="false">IF(OR(BF182="",BG182="",BH182="",BI182="",BJ182="",BK182="",BL182=""),"",ROUND(BF182*0.25+BG182*0.2+BH182*0.15+BI182*0.15+BJ182*0.1+BK182*0.1+BL182*0.05,0))</f>
        <v/>
      </c>
      <c r="BN182" s="31" t="str">
        <f aca="false">IF(OR(BF182="",BG182=""),"",ROUND(BF182*0.5+BG182*0.5,0))</f>
        <v/>
      </c>
      <c r="BO182" s="31" t="str">
        <f aca="false">IF(BN182="","",ROUND(MIN(100,MAX(0,(100-BN182)+IF(AL182="Yes",15,0)+IF(AM182="Yes",15,0)+IF(AND(U182&lt;&gt;"",U182&lt;18.5),20,0))),0))</f>
        <v/>
      </c>
      <c r="BP182" s="28" t="str">
        <f aca="false">IF(BM182="","",IF(BM182&gt;=90,"Green - Healthy",IF(BM182&gt;=75,"Light Green - Mild Watch",IF(BM182&gt;=60,"Yellow - Mild Risk",IF(BM182&gt;=40,"Orange - Moderate Risk","Red - High Risk")))))</f>
        <v/>
      </c>
      <c r="BQ182" s="28" t="str">
        <f aca="false">IF(BM182="","",IF(OR(BM182&lt;60,BO182&gt;=60,AJ182="Yes"),"Yes","No"))</f>
        <v/>
      </c>
      <c r="BR182" s="28" t="str">
        <f aca="false">IF(BM182="","",IF(OR(BP182="Orange - Moderate Risk",BP182="Red - High Risk",BQ182="Yes"),"Yes","No"))</f>
        <v/>
      </c>
    </row>
    <row r="183" customFormat="false" ht="15" hidden="false" customHeight="false" outlineLevel="0" collapsed="false">
      <c r="A183" s="32" t="str">
        <f aca="false">IF(I183="","","STU"&amp;TEXT(ROW()-3,"000000"))</f>
        <v/>
      </c>
      <c r="B183" s="32"/>
      <c r="C183" s="32"/>
      <c r="D183" s="32"/>
      <c r="E183" s="32"/>
      <c r="F183" s="32"/>
      <c r="G183" s="32"/>
      <c r="H183" s="32"/>
      <c r="I183" s="32"/>
      <c r="J183" s="34"/>
      <c r="K183" s="32"/>
      <c r="L183" s="32"/>
      <c r="M183" s="32"/>
      <c r="N183" s="32"/>
      <c r="O183" s="32"/>
      <c r="P183" s="32"/>
      <c r="Q183" s="34"/>
      <c r="R183" s="34"/>
      <c r="S183" s="35" t="str">
        <f aca="false">IF(OR(Q183="",R183=""),"",ROUND(R183/((Q183/100)^2),1))</f>
        <v/>
      </c>
      <c r="T183" s="32" t="str">
        <f aca="false">IF(S183="","",IF(S183&lt;18.5,"Underweight",IF(S183&lt;25,"Normal",IF(S183&lt;30,"Overweight","Obese"))))</f>
        <v/>
      </c>
      <c r="U183" s="34"/>
      <c r="V183" s="34"/>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5" t="str">
        <f aca="false">IF(T183="","",IF(T183="Normal",100,IF(T183="Overweight",65,IF(T183="Obese",50,IF(AND(U183&lt;&gt;"",U183&lt;18.5),30,45)))))</f>
        <v/>
      </c>
      <c r="BG183" s="35" t="str">
        <f aca="false">IF(COUNTBLANK(W183:AC183)&gt;0,"",ROUND(AVERAGE(INDEX('SCORING MASTER'!$D$5:$D$7,MATCH(W183,'SCORING MASTER'!$C$5:$C$7,0)),INDEX('SCORING MASTER'!$D$9:$D$11,MATCH(X183,'SCORING MASTER'!$C$9:$C$11,0)),INDEX('SCORING MASTER'!$D$13:$D$15,MATCH(Y183,'SCORING MASTER'!$C$13:$C$15,0)),INDEX('SCORING MASTER'!$D$17:$D$19,MATCH(Z183,'SCORING MASTER'!$C$17:$C$19,0)),INDEX('SCORING MASTER'!$D$21:$D$23,MATCH(AA183,'SCORING MASTER'!$C$21:$C$23,0)),INDEX('SCORING MASTER'!$D$25:$D$27,MATCH(AB183,'SCORING MASTER'!$C$25:$C$27,0)),INDEX('SCORING MASTER'!$D$29:$D$31,MATCH(AC183,'SCORING MASTER'!$C$29:$C$31,0)))*20,0))</f>
        <v/>
      </c>
      <c r="BH183" s="35" t="str">
        <f aca="false">IF(COUNTBLANK(AD183:AI183)&gt;0,"",ROUND(AVERAGE(INDEX('SCORING MASTER'!$D$33:$D$35,MATCH(AD183,'SCORING MASTER'!$C$33:$C$35,0)),INDEX('SCORING MASTER'!$D$37:$D$39,MATCH(AE183,'SCORING MASTER'!$C$37:$C$39,0)),INDEX('SCORING MASTER'!$D$41:$D$43,MATCH(AF183,'SCORING MASTER'!$C$41:$C$43,0)),INDEX('SCORING MASTER'!$D$45:$D$47,MATCH(AG183,'SCORING MASTER'!$C$45:$C$47,0)),INDEX('SCORING MASTER'!$D$49:$D$52,MATCH(AH183,'SCORING MASTER'!$C$49:$C$52,0)),INDEX('SCORING MASTER'!$D$54:$D$57,MATCH(AI183,'SCORING MASTER'!$C$54:$C$57,0)))*20,0))</f>
        <v/>
      </c>
      <c r="BI183" s="35" t="str">
        <f aca="false">IF(COUNTBLANK(AJ183:AP183)&gt;0,"",ROUND(AVERAGE(INDEX('SCORING MASTER'!$D$59:$D$60,MATCH(AJ183,'SCORING MASTER'!$C$59:$C$60,0)),INDEX('SCORING MASTER'!$D$62:$D$63,MATCH(AK183,'SCORING MASTER'!$C$62:$C$63,0)),INDEX('SCORING MASTER'!$D$65:$D$66,MATCH(AL183,'SCORING MASTER'!$C$65:$C$66,0)),INDEX('SCORING MASTER'!$D$68:$D$69,MATCH(AM183,'SCORING MASTER'!$C$68:$C$69,0)),INDEX('SCORING MASTER'!$D$71:$D$72,MATCH(AN183,'SCORING MASTER'!$C$71:$C$72,0)),INDEX('SCORING MASTER'!$D$74:$D$75,MATCH(AO183,'SCORING MASTER'!$C$74:$C$75,0)),INDEX('SCORING MASTER'!$D$77:$D$78,MATCH(AP183,'SCORING MASTER'!$C$77:$C$78,0)))*20,0))</f>
        <v/>
      </c>
      <c r="BJ183" s="35" t="str">
        <f aca="false">IF(COUNTBLANK(AU183:AZ183)&gt;0,"",ROUND(AVERAGE(INDEX('SCORING MASTER'!$D$95:$D$96,MATCH(AU183,'SCORING MASTER'!$C$95:$C$96,0)),INDEX('SCORING MASTER'!$D$98:$D$99,MATCH(AV183,'SCORING MASTER'!$C$98:$C$99,0)),INDEX('SCORING MASTER'!$D$101:$D$102,MATCH(AW183,'SCORING MASTER'!$C$101:$C$102,0)),INDEX('SCORING MASTER'!$D$104:$D$105,MATCH(AX183,'SCORING MASTER'!$C$104:$C$105,0)),INDEX('SCORING MASTER'!$D$107:$D$108,MATCH(AY183,'SCORING MASTER'!$C$107:$C$108,0)),INDEX('SCORING MASTER'!$D$110:$D$111,MATCH(AZ183,'SCORING MASTER'!$C$110:$C$111,0)))*20,0))</f>
        <v/>
      </c>
      <c r="BK183" s="35" t="str">
        <f aca="false">IF(COUNTBLANK(AQ183:AT183)&gt;0,"",ROUND(AVERAGE(INDEX('SCORING MASTER'!$D$80:$D$82,MATCH(AQ183,'SCORING MASTER'!$C$80:$C$82,0)),INDEX('SCORING MASTER'!$D$84:$D$86,MATCH(AR183,'SCORING MASTER'!$C$84:$C$86,0)),INDEX('SCORING MASTER'!$D$88:$D$90,MATCH(AS183,'SCORING MASTER'!$C$88:$C$90,0)),INDEX('SCORING MASTER'!$D$92:$D$93,MATCH(AT183,'SCORING MASTER'!$C$92:$C$93,0)))*20,0))</f>
        <v/>
      </c>
      <c r="BL183" s="35" t="str">
        <f aca="false">IF(COUNTBLANK(BA183:BE183)&gt;0,"",ROUND(AVERAGE(INDEX('SCORING MASTER'!$D$113:$D$115,MATCH(BA183,'SCORING MASTER'!$C$113:$C$115,0)),INDEX('SCORING MASTER'!$D$117:$D$119,MATCH(BB183,'SCORING MASTER'!$C$117:$C$119,0)),INDEX('SCORING MASTER'!$D$121:$D$123,MATCH(BC183,'SCORING MASTER'!$C$121:$C$123,0)),INDEX('SCORING MASTER'!$D$125:$D$126,MATCH(BD183,'SCORING MASTER'!$C$125:$C$126,0)),INDEX('SCORING MASTER'!$D$128:$D$129,MATCH(BE183,'SCORING MASTER'!$C$128:$C$129,0)))*20,0))</f>
        <v/>
      </c>
      <c r="BM183" s="35" t="str">
        <f aca="false">IF(OR(BF183="",BG183="",BH183="",BI183="",BJ183="",BK183="",BL183=""),"",ROUND(BF183*0.25+BG183*0.2+BH183*0.15+BI183*0.15+BJ183*0.1+BK183*0.1+BL183*0.05,0))</f>
        <v/>
      </c>
      <c r="BN183" s="35" t="str">
        <f aca="false">IF(OR(BF183="",BG183=""),"",ROUND(BF183*0.5+BG183*0.5,0))</f>
        <v/>
      </c>
      <c r="BO183" s="35" t="str">
        <f aca="false">IF(BN183="","",ROUND(MIN(100,MAX(0,(100-BN183)+IF(AL183="Yes",15,0)+IF(AM183="Yes",15,0)+IF(AND(U183&lt;&gt;"",U183&lt;18.5),20,0))),0))</f>
        <v/>
      </c>
      <c r="BP183" s="32" t="str">
        <f aca="false">IF(BM183="","",IF(BM183&gt;=90,"Green - Healthy",IF(BM183&gt;=75,"Light Green - Mild Watch",IF(BM183&gt;=60,"Yellow - Mild Risk",IF(BM183&gt;=40,"Orange - Moderate Risk","Red - High Risk")))))</f>
        <v/>
      </c>
      <c r="BQ183" s="32" t="str">
        <f aca="false">IF(BM183="","",IF(OR(BM183&lt;60,BO183&gt;=60,AJ183="Yes"),"Yes","No"))</f>
        <v/>
      </c>
      <c r="BR183" s="32" t="str">
        <f aca="false">IF(BM183="","",IF(OR(BP183="Orange - Moderate Risk",BP183="Red - High Risk",BQ183="Yes"),"Yes","No"))</f>
        <v/>
      </c>
    </row>
    <row r="184" customFormat="false" ht="15" hidden="false" customHeight="false" outlineLevel="0" collapsed="false">
      <c r="A184" s="28" t="str">
        <f aca="false">IF(I184="","","STU"&amp;TEXT(ROW()-3,"000000"))</f>
        <v/>
      </c>
      <c r="B184" s="28"/>
      <c r="C184" s="28"/>
      <c r="D184" s="28"/>
      <c r="E184" s="28"/>
      <c r="F184" s="28"/>
      <c r="G184" s="28"/>
      <c r="H184" s="28"/>
      <c r="I184" s="28"/>
      <c r="J184" s="30"/>
      <c r="K184" s="28"/>
      <c r="L184" s="28"/>
      <c r="M184" s="28"/>
      <c r="N184" s="28"/>
      <c r="O184" s="28"/>
      <c r="P184" s="28"/>
      <c r="Q184" s="30"/>
      <c r="R184" s="30"/>
      <c r="S184" s="31" t="str">
        <f aca="false">IF(OR(Q184="",R184=""),"",ROUND(R184/((Q184/100)^2),1))</f>
        <v/>
      </c>
      <c r="T184" s="28" t="str">
        <f aca="false">IF(S184="","",IF(S184&lt;18.5,"Underweight",IF(S184&lt;25,"Normal",IF(S184&lt;30,"Overweight","Obese"))))</f>
        <v/>
      </c>
      <c r="U184" s="30"/>
      <c r="V184" s="30"/>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c r="BE184" s="28"/>
      <c r="BF184" s="31" t="str">
        <f aca="false">IF(T184="","",IF(T184="Normal",100,IF(T184="Overweight",65,IF(T184="Obese",50,IF(AND(U184&lt;&gt;"",U184&lt;18.5),30,45)))))</f>
        <v/>
      </c>
      <c r="BG184" s="31" t="str">
        <f aca="false">IF(COUNTBLANK(W184:AC184)&gt;0,"",ROUND(AVERAGE(INDEX('SCORING MASTER'!$D$5:$D$7,MATCH(W184,'SCORING MASTER'!$C$5:$C$7,0)),INDEX('SCORING MASTER'!$D$9:$D$11,MATCH(X184,'SCORING MASTER'!$C$9:$C$11,0)),INDEX('SCORING MASTER'!$D$13:$D$15,MATCH(Y184,'SCORING MASTER'!$C$13:$C$15,0)),INDEX('SCORING MASTER'!$D$17:$D$19,MATCH(Z184,'SCORING MASTER'!$C$17:$C$19,0)),INDEX('SCORING MASTER'!$D$21:$D$23,MATCH(AA184,'SCORING MASTER'!$C$21:$C$23,0)),INDEX('SCORING MASTER'!$D$25:$D$27,MATCH(AB184,'SCORING MASTER'!$C$25:$C$27,0)),INDEX('SCORING MASTER'!$D$29:$D$31,MATCH(AC184,'SCORING MASTER'!$C$29:$C$31,0)))*20,0))</f>
        <v/>
      </c>
      <c r="BH184" s="31" t="str">
        <f aca="false">IF(COUNTBLANK(AD184:AI184)&gt;0,"",ROUND(AVERAGE(INDEX('SCORING MASTER'!$D$33:$D$35,MATCH(AD184,'SCORING MASTER'!$C$33:$C$35,0)),INDEX('SCORING MASTER'!$D$37:$D$39,MATCH(AE184,'SCORING MASTER'!$C$37:$C$39,0)),INDEX('SCORING MASTER'!$D$41:$D$43,MATCH(AF184,'SCORING MASTER'!$C$41:$C$43,0)),INDEX('SCORING MASTER'!$D$45:$D$47,MATCH(AG184,'SCORING MASTER'!$C$45:$C$47,0)),INDEX('SCORING MASTER'!$D$49:$D$52,MATCH(AH184,'SCORING MASTER'!$C$49:$C$52,0)),INDEX('SCORING MASTER'!$D$54:$D$57,MATCH(AI184,'SCORING MASTER'!$C$54:$C$57,0)))*20,0))</f>
        <v/>
      </c>
      <c r="BI184" s="31" t="str">
        <f aca="false">IF(COUNTBLANK(AJ184:AP184)&gt;0,"",ROUND(AVERAGE(INDEX('SCORING MASTER'!$D$59:$D$60,MATCH(AJ184,'SCORING MASTER'!$C$59:$C$60,0)),INDEX('SCORING MASTER'!$D$62:$D$63,MATCH(AK184,'SCORING MASTER'!$C$62:$C$63,0)),INDEX('SCORING MASTER'!$D$65:$D$66,MATCH(AL184,'SCORING MASTER'!$C$65:$C$66,0)),INDEX('SCORING MASTER'!$D$68:$D$69,MATCH(AM184,'SCORING MASTER'!$C$68:$C$69,0)),INDEX('SCORING MASTER'!$D$71:$D$72,MATCH(AN184,'SCORING MASTER'!$C$71:$C$72,0)),INDEX('SCORING MASTER'!$D$74:$D$75,MATCH(AO184,'SCORING MASTER'!$C$74:$C$75,0)),INDEX('SCORING MASTER'!$D$77:$D$78,MATCH(AP184,'SCORING MASTER'!$C$77:$C$78,0)))*20,0))</f>
        <v/>
      </c>
      <c r="BJ184" s="31" t="str">
        <f aca="false">IF(COUNTBLANK(AU184:AZ184)&gt;0,"",ROUND(AVERAGE(INDEX('SCORING MASTER'!$D$95:$D$96,MATCH(AU184,'SCORING MASTER'!$C$95:$C$96,0)),INDEX('SCORING MASTER'!$D$98:$D$99,MATCH(AV184,'SCORING MASTER'!$C$98:$C$99,0)),INDEX('SCORING MASTER'!$D$101:$D$102,MATCH(AW184,'SCORING MASTER'!$C$101:$C$102,0)),INDEX('SCORING MASTER'!$D$104:$D$105,MATCH(AX184,'SCORING MASTER'!$C$104:$C$105,0)),INDEX('SCORING MASTER'!$D$107:$D$108,MATCH(AY184,'SCORING MASTER'!$C$107:$C$108,0)),INDEX('SCORING MASTER'!$D$110:$D$111,MATCH(AZ184,'SCORING MASTER'!$C$110:$C$111,0)))*20,0))</f>
        <v/>
      </c>
      <c r="BK184" s="31" t="str">
        <f aca="false">IF(COUNTBLANK(AQ184:AT184)&gt;0,"",ROUND(AVERAGE(INDEX('SCORING MASTER'!$D$80:$D$82,MATCH(AQ184,'SCORING MASTER'!$C$80:$C$82,0)),INDEX('SCORING MASTER'!$D$84:$D$86,MATCH(AR184,'SCORING MASTER'!$C$84:$C$86,0)),INDEX('SCORING MASTER'!$D$88:$D$90,MATCH(AS184,'SCORING MASTER'!$C$88:$C$90,0)),INDEX('SCORING MASTER'!$D$92:$D$93,MATCH(AT184,'SCORING MASTER'!$C$92:$C$93,0)))*20,0))</f>
        <v/>
      </c>
      <c r="BL184" s="31" t="str">
        <f aca="false">IF(COUNTBLANK(BA184:BE184)&gt;0,"",ROUND(AVERAGE(INDEX('SCORING MASTER'!$D$113:$D$115,MATCH(BA184,'SCORING MASTER'!$C$113:$C$115,0)),INDEX('SCORING MASTER'!$D$117:$D$119,MATCH(BB184,'SCORING MASTER'!$C$117:$C$119,0)),INDEX('SCORING MASTER'!$D$121:$D$123,MATCH(BC184,'SCORING MASTER'!$C$121:$C$123,0)),INDEX('SCORING MASTER'!$D$125:$D$126,MATCH(BD184,'SCORING MASTER'!$C$125:$C$126,0)),INDEX('SCORING MASTER'!$D$128:$D$129,MATCH(BE184,'SCORING MASTER'!$C$128:$C$129,0)))*20,0))</f>
        <v/>
      </c>
      <c r="BM184" s="31" t="str">
        <f aca="false">IF(OR(BF184="",BG184="",BH184="",BI184="",BJ184="",BK184="",BL184=""),"",ROUND(BF184*0.25+BG184*0.2+BH184*0.15+BI184*0.15+BJ184*0.1+BK184*0.1+BL184*0.05,0))</f>
        <v/>
      </c>
      <c r="BN184" s="31" t="str">
        <f aca="false">IF(OR(BF184="",BG184=""),"",ROUND(BF184*0.5+BG184*0.5,0))</f>
        <v/>
      </c>
      <c r="BO184" s="31" t="str">
        <f aca="false">IF(BN184="","",ROUND(MIN(100,MAX(0,(100-BN184)+IF(AL184="Yes",15,0)+IF(AM184="Yes",15,0)+IF(AND(U184&lt;&gt;"",U184&lt;18.5),20,0))),0))</f>
        <v/>
      </c>
      <c r="BP184" s="28" t="str">
        <f aca="false">IF(BM184="","",IF(BM184&gt;=90,"Green - Healthy",IF(BM184&gt;=75,"Light Green - Mild Watch",IF(BM184&gt;=60,"Yellow - Mild Risk",IF(BM184&gt;=40,"Orange - Moderate Risk","Red - High Risk")))))</f>
        <v/>
      </c>
      <c r="BQ184" s="28" t="str">
        <f aca="false">IF(BM184="","",IF(OR(BM184&lt;60,BO184&gt;=60,AJ184="Yes"),"Yes","No"))</f>
        <v/>
      </c>
      <c r="BR184" s="28" t="str">
        <f aca="false">IF(BM184="","",IF(OR(BP184="Orange - Moderate Risk",BP184="Red - High Risk",BQ184="Yes"),"Yes","No"))</f>
        <v/>
      </c>
    </row>
    <row r="185" customFormat="false" ht="15" hidden="false" customHeight="false" outlineLevel="0" collapsed="false">
      <c r="A185" s="32" t="str">
        <f aca="false">IF(I185="","","STU"&amp;TEXT(ROW()-3,"000000"))</f>
        <v/>
      </c>
      <c r="B185" s="32"/>
      <c r="C185" s="32"/>
      <c r="D185" s="32"/>
      <c r="E185" s="32"/>
      <c r="F185" s="32"/>
      <c r="G185" s="32"/>
      <c r="H185" s="32"/>
      <c r="I185" s="32"/>
      <c r="J185" s="34"/>
      <c r="K185" s="32"/>
      <c r="L185" s="32"/>
      <c r="M185" s="32"/>
      <c r="N185" s="32"/>
      <c r="O185" s="32"/>
      <c r="P185" s="32"/>
      <c r="Q185" s="34"/>
      <c r="R185" s="34"/>
      <c r="S185" s="35" t="str">
        <f aca="false">IF(OR(Q185="",R185=""),"",ROUND(R185/((Q185/100)^2),1))</f>
        <v/>
      </c>
      <c r="T185" s="32" t="str">
        <f aca="false">IF(S185="","",IF(S185&lt;18.5,"Underweight",IF(S185&lt;25,"Normal",IF(S185&lt;30,"Overweight","Obese"))))</f>
        <v/>
      </c>
      <c r="U185" s="34"/>
      <c r="V185" s="34"/>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5" t="str">
        <f aca="false">IF(T185="","",IF(T185="Normal",100,IF(T185="Overweight",65,IF(T185="Obese",50,IF(AND(U185&lt;&gt;"",U185&lt;18.5),30,45)))))</f>
        <v/>
      </c>
      <c r="BG185" s="35" t="str">
        <f aca="false">IF(COUNTBLANK(W185:AC185)&gt;0,"",ROUND(AVERAGE(INDEX('SCORING MASTER'!$D$5:$D$7,MATCH(W185,'SCORING MASTER'!$C$5:$C$7,0)),INDEX('SCORING MASTER'!$D$9:$D$11,MATCH(X185,'SCORING MASTER'!$C$9:$C$11,0)),INDEX('SCORING MASTER'!$D$13:$D$15,MATCH(Y185,'SCORING MASTER'!$C$13:$C$15,0)),INDEX('SCORING MASTER'!$D$17:$D$19,MATCH(Z185,'SCORING MASTER'!$C$17:$C$19,0)),INDEX('SCORING MASTER'!$D$21:$D$23,MATCH(AA185,'SCORING MASTER'!$C$21:$C$23,0)),INDEX('SCORING MASTER'!$D$25:$D$27,MATCH(AB185,'SCORING MASTER'!$C$25:$C$27,0)),INDEX('SCORING MASTER'!$D$29:$D$31,MATCH(AC185,'SCORING MASTER'!$C$29:$C$31,0)))*20,0))</f>
        <v/>
      </c>
      <c r="BH185" s="35" t="str">
        <f aca="false">IF(COUNTBLANK(AD185:AI185)&gt;0,"",ROUND(AVERAGE(INDEX('SCORING MASTER'!$D$33:$D$35,MATCH(AD185,'SCORING MASTER'!$C$33:$C$35,0)),INDEX('SCORING MASTER'!$D$37:$D$39,MATCH(AE185,'SCORING MASTER'!$C$37:$C$39,0)),INDEX('SCORING MASTER'!$D$41:$D$43,MATCH(AF185,'SCORING MASTER'!$C$41:$C$43,0)),INDEX('SCORING MASTER'!$D$45:$D$47,MATCH(AG185,'SCORING MASTER'!$C$45:$C$47,0)),INDEX('SCORING MASTER'!$D$49:$D$52,MATCH(AH185,'SCORING MASTER'!$C$49:$C$52,0)),INDEX('SCORING MASTER'!$D$54:$D$57,MATCH(AI185,'SCORING MASTER'!$C$54:$C$57,0)))*20,0))</f>
        <v/>
      </c>
      <c r="BI185" s="35" t="str">
        <f aca="false">IF(COUNTBLANK(AJ185:AP185)&gt;0,"",ROUND(AVERAGE(INDEX('SCORING MASTER'!$D$59:$D$60,MATCH(AJ185,'SCORING MASTER'!$C$59:$C$60,0)),INDEX('SCORING MASTER'!$D$62:$D$63,MATCH(AK185,'SCORING MASTER'!$C$62:$C$63,0)),INDEX('SCORING MASTER'!$D$65:$D$66,MATCH(AL185,'SCORING MASTER'!$C$65:$C$66,0)),INDEX('SCORING MASTER'!$D$68:$D$69,MATCH(AM185,'SCORING MASTER'!$C$68:$C$69,0)),INDEX('SCORING MASTER'!$D$71:$D$72,MATCH(AN185,'SCORING MASTER'!$C$71:$C$72,0)),INDEX('SCORING MASTER'!$D$74:$D$75,MATCH(AO185,'SCORING MASTER'!$C$74:$C$75,0)),INDEX('SCORING MASTER'!$D$77:$D$78,MATCH(AP185,'SCORING MASTER'!$C$77:$C$78,0)))*20,0))</f>
        <v/>
      </c>
      <c r="BJ185" s="35" t="str">
        <f aca="false">IF(COUNTBLANK(AU185:AZ185)&gt;0,"",ROUND(AVERAGE(INDEX('SCORING MASTER'!$D$95:$D$96,MATCH(AU185,'SCORING MASTER'!$C$95:$C$96,0)),INDEX('SCORING MASTER'!$D$98:$D$99,MATCH(AV185,'SCORING MASTER'!$C$98:$C$99,0)),INDEX('SCORING MASTER'!$D$101:$D$102,MATCH(AW185,'SCORING MASTER'!$C$101:$C$102,0)),INDEX('SCORING MASTER'!$D$104:$D$105,MATCH(AX185,'SCORING MASTER'!$C$104:$C$105,0)),INDEX('SCORING MASTER'!$D$107:$D$108,MATCH(AY185,'SCORING MASTER'!$C$107:$C$108,0)),INDEX('SCORING MASTER'!$D$110:$D$111,MATCH(AZ185,'SCORING MASTER'!$C$110:$C$111,0)))*20,0))</f>
        <v/>
      </c>
      <c r="BK185" s="35" t="str">
        <f aca="false">IF(COUNTBLANK(AQ185:AT185)&gt;0,"",ROUND(AVERAGE(INDEX('SCORING MASTER'!$D$80:$D$82,MATCH(AQ185,'SCORING MASTER'!$C$80:$C$82,0)),INDEX('SCORING MASTER'!$D$84:$D$86,MATCH(AR185,'SCORING MASTER'!$C$84:$C$86,0)),INDEX('SCORING MASTER'!$D$88:$D$90,MATCH(AS185,'SCORING MASTER'!$C$88:$C$90,0)),INDEX('SCORING MASTER'!$D$92:$D$93,MATCH(AT185,'SCORING MASTER'!$C$92:$C$93,0)))*20,0))</f>
        <v/>
      </c>
      <c r="BL185" s="35" t="str">
        <f aca="false">IF(COUNTBLANK(BA185:BE185)&gt;0,"",ROUND(AVERAGE(INDEX('SCORING MASTER'!$D$113:$D$115,MATCH(BA185,'SCORING MASTER'!$C$113:$C$115,0)),INDEX('SCORING MASTER'!$D$117:$D$119,MATCH(BB185,'SCORING MASTER'!$C$117:$C$119,0)),INDEX('SCORING MASTER'!$D$121:$D$123,MATCH(BC185,'SCORING MASTER'!$C$121:$C$123,0)),INDEX('SCORING MASTER'!$D$125:$D$126,MATCH(BD185,'SCORING MASTER'!$C$125:$C$126,0)),INDEX('SCORING MASTER'!$D$128:$D$129,MATCH(BE185,'SCORING MASTER'!$C$128:$C$129,0)))*20,0))</f>
        <v/>
      </c>
      <c r="BM185" s="35" t="str">
        <f aca="false">IF(OR(BF185="",BG185="",BH185="",BI185="",BJ185="",BK185="",BL185=""),"",ROUND(BF185*0.25+BG185*0.2+BH185*0.15+BI185*0.15+BJ185*0.1+BK185*0.1+BL185*0.05,0))</f>
        <v/>
      </c>
      <c r="BN185" s="35" t="str">
        <f aca="false">IF(OR(BF185="",BG185=""),"",ROUND(BF185*0.5+BG185*0.5,0))</f>
        <v/>
      </c>
      <c r="BO185" s="35" t="str">
        <f aca="false">IF(BN185="","",ROUND(MIN(100,MAX(0,(100-BN185)+IF(AL185="Yes",15,0)+IF(AM185="Yes",15,0)+IF(AND(U185&lt;&gt;"",U185&lt;18.5),20,0))),0))</f>
        <v/>
      </c>
      <c r="BP185" s="32" t="str">
        <f aca="false">IF(BM185="","",IF(BM185&gt;=90,"Green - Healthy",IF(BM185&gt;=75,"Light Green - Mild Watch",IF(BM185&gt;=60,"Yellow - Mild Risk",IF(BM185&gt;=40,"Orange - Moderate Risk","Red - High Risk")))))</f>
        <v/>
      </c>
      <c r="BQ185" s="32" t="str">
        <f aca="false">IF(BM185="","",IF(OR(BM185&lt;60,BO185&gt;=60,AJ185="Yes"),"Yes","No"))</f>
        <v/>
      </c>
      <c r="BR185" s="32" t="str">
        <f aca="false">IF(BM185="","",IF(OR(BP185="Orange - Moderate Risk",BP185="Red - High Risk",BQ185="Yes"),"Yes","No"))</f>
        <v/>
      </c>
    </row>
    <row r="186" customFormat="false" ht="15" hidden="false" customHeight="false" outlineLevel="0" collapsed="false">
      <c r="A186" s="28" t="str">
        <f aca="false">IF(I186="","","STU"&amp;TEXT(ROW()-3,"000000"))</f>
        <v/>
      </c>
      <c r="B186" s="28"/>
      <c r="C186" s="28"/>
      <c r="D186" s="28"/>
      <c r="E186" s="28"/>
      <c r="F186" s="28"/>
      <c r="G186" s="28"/>
      <c r="H186" s="28"/>
      <c r="I186" s="28"/>
      <c r="J186" s="30"/>
      <c r="K186" s="28"/>
      <c r="L186" s="28"/>
      <c r="M186" s="28"/>
      <c r="N186" s="28"/>
      <c r="O186" s="28"/>
      <c r="P186" s="28"/>
      <c r="Q186" s="30"/>
      <c r="R186" s="30"/>
      <c r="S186" s="31" t="str">
        <f aca="false">IF(OR(Q186="",R186=""),"",ROUND(R186/((Q186/100)^2),1))</f>
        <v/>
      </c>
      <c r="T186" s="28" t="str">
        <f aca="false">IF(S186="","",IF(S186&lt;18.5,"Underweight",IF(S186&lt;25,"Normal",IF(S186&lt;30,"Overweight","Obese"))))</f>
        <v/>
      </c>
      <c r="U186" s="30"/>
      <c r="V186" s="30"/>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c r="BD186" s="28"/>
      <c r="BE186" s="28"/>
      <c r="BF186" s="31" t="str">
        <f aca="false">IF(T186="","",IF(T186="Normal",100,IF(T186="Overweight",65,IF(T186="Obese",50,IF(AND(U186&lt;&gt;"",U186&lt;18.5),30,45)))))</f>
        <v/>
      </c>
      <c r="BG186" s="31" t="str">
        <f aca="false">IF(COUNTBLANK(W186:AC186)&gt;0,"",ROUND(AVERAGE(INDEX('SCORING MASTER'!$D$5:$D$7,MATCH(W186,'SCORING MASTER'!$C$5:$C$7,0)),INDEX('SCORING MASTER'!$D$9:$D$11,MATCH(X186,'SCORING MASTER'!$C$9:$C$11,0)),INDEX('SCORING MASTER'!$D$13:$D$15,MATCH(Y186,'SCORING MASTER'!$C$13:$C$15,0)),INDEX('SCORING MASTER'!$D$17:$D$19,MATCH(Z186,'SCORING MASTER'!$C$17:$C$19,0)),INDEX('SCORING MASTER'!$D$21:$D$23,MATCH(AA186,'SCORING MASTER'!$C$21:$C$23,0)),INDEX('SCORING MASTER'!$D$25:$D$27,MATCH(AB186,'SCORING MASTER'!$C$25:$C$27,0)),INDEX('SCORING MASTER'!$D$29:$D$31,MATCH(AC186,'SCORING MASTER'!$C$29:$C$31,0)))*20,0))</f>
        <v/>
      </c>
      <c r="BH186" s="31" t="str">
        <f aca="false">IF(COUNTBLANK(AD186:AI186)&gt;0,"",ROUND(AVERAGE(INDEX('SCORING MASTER'!$D$33:$D$35,MATCH(AD186,'SCORING MASTER'!$C$33:$C$35,0)),INDEX('SCORING MASTER'!$D$37:$D$39,MATCH(AE186,'SCORING MASTER'!$C$37:$C$39,0)),INDEX('SCORING MASTER'!$D$41:$D$43,MATCH(AF186,'SCORING MASTER'!$C$41:$C$43,0)),INDEX('SCORING MASTER'!$D$45:$D$47,MATCH(AG186,'SCORING MASTER'!$C$45:$C$47,0)),INDEX('SCORING MASTER'!$D$49:$D$52,MATCH(AH186,'SCORING MASTER'!$C$49:$C$52,0)),INDEX('SCORING MASTER'!$D$54:$D$57,MATCH(AI186,'SCORING MASTER'!$C$54:$C$57,0)))*20,0))</f>
        <v/>
      </c>
      <c r="BI186" s="31" t="str">
        <f aca="false">IF(COUNTBLANK(AJ186:AP186)&gt;0,"",ROUND(AVERAGE(INDEX('SCORING MASTER'!$D$59:$D$60,MATCH(AJ186,'SCORING MASTER'!$C$59:$C$60,0)),INDEX('SCORING MASTER'!$D$62:$D$63,MATCH(AK186,'SCORING MASTER'!$C$62:$C$63,0)),INDEX('SCORING MASTER'!$D$65:$D$66,MATCH(AL186,'SCORING MASTER'!$C$65:$C$66,0)),INDEX('SCORING MASTER'!$D$68:$D$69,MATCH(AM186,'SCORING MASTER'!$C$68:$C$69,0)),INDEX('SCORING MASTER'!$D$71:$D$72,MATCH(AN186,'SCORING MASTER'!$C$71:$C$72,0)),INDEX('SCORING MASTER'!$D$74:$D$75,MATCH(AO186,'SCORING MASTER'!$C$74:$C$75,0)),INDEX('SCORING MASTER'!$D$77:$D$78,MATCH(AP186,'SCORING MASTER'!$C$77:$C$78,0)))*20,0))</f>
        <v/>
      </c>
      <c r="BJ186" s="31" t="str">
        <f aca="false">IF(COUNTBLANK(AU186:AZ186)&gt;0,"",ROUND(AVERAGE(INDEX('SCORING MASTER'!$D$95:$D$96,MATCH(AU186,'SCORING MASTER'!$C$95:$C$96,0)),INDEX('SCORING MASTER'!$D$98:$D$99,MATCH(AV186,'SCORING MASTER'!$C$98:$C$99,0)),INDEX('SCORING MASTER'!$D$101:$D$102,MATCH(AW186,'SCORING MASTER'!$C$101:$C$102,0)),INDEX('SCORING MASTER'!$D$104:$D$105,MATCH(AX186,'SCORING MASTER'!$C$104:$C$105,0)),INDEX('SCORING MASTER'!$D$107:$D$108,MATCH(AY186,'SCORING MASTER'!$C$107:$C$108,0)),INDEX('SCORING MASTER'!$D$110:$D$111,MATCH(AZ186,'SCORING MASTER'!$C$110:$C$111,0)))*20,0))</f>
        <v/>
      </c>
      <c r="BK186" s="31" t="str">
        <f aca="false">IF(COUNTBLANK(AQ186:AT186)&gt;0,"",ROUND(AVERAGE(INDEX('SCORING MASTER'!$D$80:$D$82,MATCH(AQ186,'SCORING MASTER'!$C$80:$C$82,0)),INDEX('SCORING MASTER'!$D$84:$D$86,MATCH(AR186,'SCORING MASTER'!$C$84:$C$86,0)),INDEX('SCORING MASTER'!$D$88:$D$90,MATCH(AS186,'SCORING MASTER'!$C$88:$C$90,0)),INDEX('SCORING MASTER'!$D$92:$D$93,MATCH(AT186,'SCORING MASTER'!$C$92:$C$93,0)))*20,0))</f>
        <v/>
      </c>
      <c r="BL186" s="31" t="str">
        <f aca="false">IF(COUNTBLANK(BA186:BE186)&gt;0,"",ROUND(AVERAGE(INDEX('SCORING MASTER'!$D$113:$D$115,MATCH(BA186,'SCORING MASTER'!$C$113:$C$115,0)),INDEX('SCORING MASTER'!$D$117:$D$119,MATCH(BB186,'SCORING MASTER'!$C$117:$C$119,0)),INDEX('SCORING MASTER'!$D$121:$D$123,MATCH(BC186,'SCORING MASTER'!$C$121:$C$123,0)),INDEX('SCORING MASTER'!$D$125:$D$126,MATCH(BD186,'SCORING MASTER'!$C$125:$C$126,0)),INDEX('SCORING MASTER'!$D$128:$D$129,MATCH(BE186,'SCORING MASTER'!$C$128:$C$129,0)))*20,0))</f>
        <v/>
      </c>
      <c r="BM186" s="31" t="str">
        <f aca="false">IF(OR(BF186="",BG186="",BH186="",BI186="",BJ186="",BK186="",BL186=""),"",ROUND(BF186*0.25+BG186*0.2+BH186*0.15+BI186*0.15+BJ186*0.1+BK186*0.1+BL186*0.05,0))</f>
        <v/>
      </c>
      <c r="BN186" s="31" t="str">
        <f aca="false">IF(OR(BF186="",BG186=""),"",ROUND(BF186*0.5+BG186*0.5,0))</f>
        <v/>
      </c>
      <c r="BO186" s="31" t="str">
        <f aca="false">IF(BN186="","",ROUND(MIN(100,MAX(0,(100-BN186)+IF(AL186="Yes",15,0)+IF(AM186="Yes",15,0)+IF(AND(U186&lt;&gt;"",U186&lt;18.5),20,0))),0))</f>
        <v/>
      </c>
      <c r="BP186" s="28" t="str">
        <f aca="false">IF(BM186="","",IF(BM186&gt;=90,"Green - Healthy",IF(BM186&gt;=75,"Light Green - Mild Watch",IF(BM186&gt;=60,"Yellow - Mild Risk",IF(BM186&gt;=40,"Orange - Moderate Risk","Red - High Risk")))))</f>
        <v/>
      </c>
      <c r="BQ186" s="28" t="str">
        <f aca="false">IF(BM186="","",IF(OR(BM186&lt;60,BO186&gt;=60,AJ186="Yes"),"Yes","No"))</f>
        <v/>
      </c>
      <c r="BR186" s="28" t="str">
        <f aca="false">IF(BM186="","",IF(OR(BP186="Orange - Moderate Risk",BP186="Red - High Risk",BQ186="Yes"),"Yes","No"))</f>
        <v/>
      </c>
    </row>
    <row r="187" customFormat="false" ht="15" hidden="false" customHeight="false" outlineLevel="0" collapsed="false">
      <c r="A187" s="32" t="str">
        <f aca="false">IF(I187="","","STU"&amp;TEXT(ROW()-3,"000000"))</f>
        <v/>
      </c>
      <c r="B187" s="32"/>
      <c r="C187" s="32"/>
      <c r="D187" s="32"/>
      <c r="E187" s="32"/>
      <c r="F187" s="32"/>
      <c r="G187" s="32"/>
      <c r="H187" s="32"/>
      <c r="I187" s="32"/>
      <c r="J187" s="34"/>
      <c r="K187" s="32"/>
      <c r="L187" s="32"/>
      <c r="M187" s="32"/>
      <c r="N187" s="32"/>
      <c r="O187" s="32"/>
      <c r="P187" s="32"/>
      <c r="Q187" s="34"/>
      <c r="R187" s="34"/>
      <c r="S187" s="35" t="str">
        <f aca="false">IF(OR(Q187="",R187=""),"",ROUND(R187/((Q187/100)^2),1))</f>
        <v/>
      </c>
      <c r="T187" s="32" t="str">
        <f aca="false">IF(S187="","",IF(S187&lt;18.5,"Underweight",IF(S187&lt;25,"Normal",IF(S187&lt;30,"Overweight","Obese"))))</f>
        <v/>
      </c>
      <c r="U187" s="34"/>
      <c r="V187" s="34"/>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5" t="str">
        <f aca="false">IF(T187="","",IF(T187="Normal",100,IF(T187="Overweight",65,IF(T187="Obese",50,IF(AND(U187&lt;&gt;"",U187&lt;18.5),30,45)))))</f>
        <v/>
      </c>
      <c r="BG187" s="35" t="str">
        <f aca="false">IF(COUNTBLANK(W187:AC187)&gt;0,"",ROUND(AVERAGE(INDEX('SCORING MASTER'!$D$5:$D$7,MATCH(W187,'SCORING MASTER'!$C$5:$C$7,0)),INDEX('SCORING MASTER'!$D$9:$D$11,MATCH(X187,'SCORING MASTER'!$C$9:$C$11,0)),INDEX('SCORING MASTER'!$D$13:$D$15,MATCH(Y187,'SCORING MASTER'!$C$13:$C$15,0)),INDEX('SCORING MASTER'!$D$17:$D$19,MATCH(Z187,'SCORING MASTER'!$C$17:$C$19,0)),INDEX('SCORING MASTER'!$D$21:$D$23,MATCH(AA187,'SCORING MASTER'!$C$21:$C$23,0)),INDEX('SCORING MASTER'!$D$25:$D$27,MATCH(AB187,'SCORING MASTER'!$C$25:$C$27,0)),INDEX('SCORING MASTER'!$D$29:$D$31,MATCH(AC187,'SCORING MASTER'!$C$29:$C$31,0)))*20,0))</f>
        <v/>
      </c>
      <c r="BH187" s="35" t="str">
        <f aca="false">IF(COUNTBLANK(AD187:AI187)&gt;0,"",ROUND(AVERAGE(INDEX('SCORING MASTER'!$D$33:$D$35,MATCH(AD187,'SCORING MASTER'!$C$33:$C$35,0)),INDEX('SCORING MASTER'!$D$37:$D$39,MATCH(AE187,'SCORING MASTER'!$C$37:$C$39,0)),INDEX('SCORING MASTER'!$D$41:$D$43,MATCH(AF187,'SCORING MASTER'!$C$41:$C$43,0)),INDEX('SCORING MASTER'!$D$45:$D$47,MATCH(AG187,'SCORING MASTER'!$C$45:$C$47,0)),INDEX('SCORING MASTER'!$D$49:$D$52,MATCH(AH187,'SCORING MASTER'!$C$49:$C$52,0)),INDEX('SCORING MASTER'!$D$54:$D$57,MATCH(AI187,'SCORING MASTER'!$C$54:$C$57,0)))*20,0))</f>
        <v/>
      </c>
      <c r="BI187" s="35" t="str">
        <f aca="false">IF(COUNTBLANK(AJ187:AP187)&gt;0,"",ROUND(AVERAGE(INDEX('SCORING MASTER'!$D$59:$D$60,MATCH(AJ187,'SCORING MASTER'!$C$59:$C$60,0)),INDEX('SCORING MASTER'!$D$62:$D$63,MATCH(AK187,'SCORING MASTER'!$C$62:$C$63,0)),INDEX('SCORING MASTER'!$D$65:$D$66,MATCH(AL187,'SCORING MASTER'!$C$65:$C$66,0)),INDEX('SCORING MASTER'!$D$68:$D$69,MATCH(AM187,'SCORING MASTER'!$C$68:$C$69,0)),INDEX('SCORING MASTER'!$D$71:$D$72,MATCH(AN187,'SCORING MASTER'!$C$71:$C$72,0)),INDEX('SCORING MASTER'!$D$74:$D$75,MATCH(AO187,'SCORING MASTER'!$C$74:$C$75,0)),INDEX('SCORING MASTER'!$D$77:$D$78,MATCH(AP187,'SCORING MASTER'!$C$77:$C$78,0)))*20,0))</f>
        <v/>
      </c>
      <c r="BJ187" s="35" t="str">
        <f aca="false">IF(COUNTBLANK(AU187:AZ187)&gt;0,"",ROUND(AVERAGE(INDEX('SCORING MASTER'!$D$95:$D$96,MATCH(AU187,'SCORING MASTER'!$C$95:$C$96,0)),INDEX('SCORING MASTER'!$D$98:$D$99,MATCH(AV187,'SCORING MASTER'!$C$98:$C$99,0)),INDEX('SCORING MASTER'!$D$101:$D$102,MATCH(AW187,'SCORING MASTER'!$C$101:$C$102,0)),INDEX('SCORING MASTER'!$D$104:$D$105,MATCH(AX187,'SCORING MASTER'!$C$104:$C$105,0)),INDEX('SCORING MASTER'!$D$107:$D$108,MATCH(AY187,'SCORING MASTER'!$C$107:$C$108,0)),INDEX('SCORING MASTER'!$D$110:$D$111,MATCH(AZ187,'SCORING MASTER'!$C$110:$C$111,0)))*20,0))</f>
        <v/>
      </c>
      <c r="BK187" s="35" t="str">
        <f aca="false">IF(COUNTBLANK(AQ187:AT187)&gt;0,"",ROUND(AVERAGE(INDEX('SCORING MASTER'!$D$80:$D$82,MATCH(AQ187,'SCORING MASTER'!$C$80:$C$82,0)),INDEX('SCORING MASTER'!$D$84:$D$86,MATCH(AR187,'SCORING MASTER'!$C$84:$C$86,0)),INDEX('SCORING MASTER'!$D$88:$D$90,MATCH(AS187,'SCORING MASTER'!$C$88:$C$90,0)),INDEX('SCORING MASTER'!$D$92:$D$93,MATCH(AT187,'SCORING MASTER'!$C$92:$C$93,0)))*20,0))</f>
        <v/>
      </c>
      <c r="BL187" s="35" t="str">
        <f aca="false">IF(COUNTBLANK(BA187:BE187)&gt;0,"",ROUND(AVERAGE(INDEX('SCORING MASTER'!$D$113:$D$115,MATCH(BA187,'SCORING MASTER'!$C$113:$C$115,0)),INDEX('SCORING MASTER'!$D$117:$D$119,MATCH(BB187,'SCORING MASTER'!$C$117:$C$119,0)),INDEX('SCORING MASTER'!$D$121:$D$123,MATCH(BC187,'SCORING MASTER'!$C$121:$C$123,0)),INDEX('SCORING MASTER'!$D$125:$D$126,MATCH(BD187,'SCORING MASTER'!$C$125:$C$126,0)),INDEX('SCORING MASTER'!$D$128:$D$129,MATCH(BE187,'SCORING MASTER'!$C$128:$C$129,0)))*20,0))</f>
        <v/>
      </c>
      <c r="BM187" s="35" t="str">
        <f aca="false">IF(OR(BF187="",BG187="",BH187="",BI187="",BJ187="",BK187="",BL187=""),"",ROUND(BF187*0.25+BG187*0.2+BH187*0.15+BI187*0.15+BJ187*0.1+BK187*0.1+BL187*0.05,0))</f>
        <v/>
      </c>
      <c r="BN187" s="35" t="str">
        <f aca="false">IF(OR(BF187="",BG187=""),"",ROUND(BF187*0.5+BG187*0.5,0))</f>
        <v/>
      </c>
      <c r="BO187" s="35" t="str">
        <f aca="false">IF(BN187="","",ROUND(MIN(100,MAX(0,(100-BN187)+IF(AL187="Yes",15,0)+IF(AM187="Yes",15,0)+IF(AND(U187&lt;&gt;"",U187&lt;18.5),20,0))),0))</f>
        <v/>
      </c>
      <c r="BP187" s="32" t="str">
        <f aca="false">IF(BM187="","",IF(BM187&gt;=90,"Green - Healthy",IF(BM187&gt;=75,"Light Green - Mild Watch",IF(BM187&gt;=60,"Yellow - Mild Risk",IF(BM187&gt;=40,"Orange - Moderate Risk","Red - High Risk")))))</f>
        <v/>
      </c>
      <c r="BQ187" s="32" t="str">
        <f aca="false">IF(BM187="","",IF(OR(BM187&lt;60,BO187&gt;=60,AJ187="Yes"),"Yes","No"))</f>
        <v/>
      </c>
      <c r="BR187" s="32" t="str">
        <f aca="false">IF(BM187="","",IF(OR(BP187="Orange - Moderate Risk",BP187="Red - High Risk",BQ187="Yes"),"Yes","No"))</f>
        <v/>
      </c>
    </row>
    <row r="188" customFormat="false" ht="15" hidden="false" customHeight="false" outlineLevel="0" collapsed="false">
      <c r="A188" s="28" t="str">
        <f aca="false">IF(I188="","","STU"&amp;TEXT(ROW()-3,"000000"))</f>
        <v/>
      </c>
      <c r="B188" s="28"/>
      <c r="C188" s="28"/>
      <c r="D188" s="28"/>
      <c r="E188" s="28"/>
      <c r="F188" s="28"/>
      <c r="G188" s="28"/>
      <c r="H188" s="28"/>
      <c r="I188" s="28"/>
      <c r="J188" s="30"/>
      <c r="K188" s="28"/>
      <c r="L188" s="28"/>
      <c r="M188" s="28"/>
      <c r="N188" s="28"/>
      <c r="O188" s="28"/>
      <c r="P188" s="28"/>
      <c r="Q188" s="30"/>
      <c r="R188" s="30"/>
      <c r="S188" s="31" t="str">
        <f aca="false">IF(OR(Q188="",R188=""),"",ROUND(R188/((Q188/100)^2),1))</f>
        <v/>
      </c>
      <c r="T188" s="28" t="str">
        <f aca="false">IF(S188="","",IF(S188&lt;18.5,"Underweight",IF(S188&lt;25,"Normal",IF(S188&lt;30,"Overweight","Obese"))))</f>
        <v/>
      </c>
      <c r="U188" s="30"/>
      <c r="V188" s="30"/>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c r="BF188" s="31" t="str">
        <f aca="false">IF(T188="","",IF(T188="Normal",100,IF(T188="Overweight",65,IF(T188="Obese",50,IF(AND(U188&lt;&gt;"",U188&lt;18.5),30,45)))))</f>
        <v/>
      </c>
      <c r="BG188" s="31" t="str">
        <f aca="false">IF(COUNTBLANK(W188:AC188)&gt;0,"",ROUND(AVERAGE(INDEX('SCORING MASTER'!$D$5:$D$7,MATCH(W188,'SCORING MASTER'!$C$5:$C$7,0)),INDEX('SCORING MASTER'!$D$9:$D$11,MATCH(X188,'SCORING MASTER'!$C$9:$C$11,0)),INDEX('SCORING MASTER'!$D$13:$D$15,MATCH(Y188,'SCORING MASTER'!$C$13:$C$15,0)),INDEX('SCORING MASTER'!$D$17:$D$19,MATCH(Z188,'SCORING MASTER'!$C$17:$C$19,0)),INDEX('SCORING MASTER'!$D$21:$D$23,MATCH(AA188,'SCORING MASTER'!$C$21:$C$23,0)),INDEX('SCORING MASTER'!$D$25:$D$27,MATCH(AB188,'SCORING MASTER'!$C$25:$C$27,0)),INDEX('SCORING MASTER'!$D$29:$D$31,MATCH(AC188,'SCORING MASTER'!$C$29:$C$31,0)))*20,0))</f>
        <v/>
      </c>
      <c r="BH188" s="31" t="str">
        <f aca="false">IF(COUNTBLANK(AD188:AI188)&gt;0,"",ROUND(AVERAGE(INDEX('SCORING MASTER'!$D$33:$D$35,MATCH(AD188,'SCORING MASTER'!$C$33:$C$35,0)),INDEX('SCORING MASTER'!$D$37:$D$39,MATCH(AE188,'SCORING MASTER'!$C$37:$C$39,0)),INDEX('SCORING MASTER'!$D$41:$D$43,MATCH(AF188,'SCORING MASTER'!$C$41:$C$43,0)),INDEX('SCORING MASTER'!$D$45:$D$47,MATCH(AG188,'SCORING MASTER'!$C$45:$C$47,0)),INDEX('SCORING MASTER'!$D$49:$D$52,MATCH(AH188,'SCORING MASTER'!$C$49:$C$52,0)),INDEX('SCORING MASTER'!$D$54:$D$57,MATCH(AI188,'SCORING MASTER'!$C$54:$C$57,0)))*20,0))</f>
        <v/>
      </c>
      <c r="BI188" s="31" t="str">
        <f aca="false">IF(COUNTBLANK(AJ188:AP188)&gt;0,"",ROUND(AVERAGE(INDEX('SCORING MASTER'!$D$59:$D$60,MATCH(AJ188,'SCORING MASTER'!$C$59:$C$60,0)),INDEX('SCORING MASTER'!$D$62:$D$63,MATCH(AK188,'SCORING MASTER'!$C$62:$C$63,0)),INDEX('SCORING MASTER'!$D$65:$D$66,MATCH(AL188,'SCORING MASTER'!$C$65:$C$66,0)),INDEX('SCORING MASTER'!$D$68:$D$69,MATCH(AM188,'SCORING MASTER'!$C$68:$C$69,0)),INDEX('SCORING MASTER'!$D$71:$D$72,MATCH(AN188,'SCORING MASTER'!$C$71:$C$72,0)),INDEX('SCORING MASTER'!$D$74:$D$75,MATCH(AO188,'SCORING MASTER'!$C$74:$C$75,0)),INDEX('SCORING MASTER'!$D$77:$D$78,MATCH(AP188,'SCORING MASTER'!$C$77:$C$78,0)))*20,0))</f>
        <v/>
      </c>
      <c r="BJ188" s="31" t="str">
        <f aca="false">IF(COUNTBLANK(AU188:AZ188)&gt;0,"",ROUND(AVERAGE(INDEX('SCORING MASTER'!$D$95:$D$96,MATCH(AU188,'SCORING MASTER'!$C$95:$C$96,0)),INDEX('SCORING MASTER'!$D$98:$D$99,MATCH(AV188,'SCORING MASTER'!$C$98:$C$99,0)),INDEX('SCORING MASTER'!$D$101:$D$102,MATCH(AW188,'SCORING MASTER'!$C$101:$C$102,0)),INDEX('SCORING MASTER'!$D$104:$D$105,MATCH(AX188,'SCORING MASTER'!$C$104:$C$105,0)),INDEX('SCORING MASTER'!$D$107:$D$108,MATCH(AY188,'SCORING MASTER'!$C$107:$C$108,0)),INDEX('SCORING MASTER'!$D$110:$D$111,MATCH(AZ188,'SCORING MASTER'!$C$110:$C$111,0)))*20,0))</f>
        <v/>
      </c>
      <c r="BK188" s="31" t="str">
        <f aca="false">IF(COUNTBLANK(AQ188:AT188)&gt;0,"",ROUND(AVERAGE(INDEX('SCORING MASTER'!$D$80:$D$82,MATCH(AQ188,'SCORING MASTER'!$C$80:$C$82,0)),INDEX('SCORING MASTER'!$D$84:$D$86,MATCH(AR188,'SCORING MASTER'!$C$84:$C$86,0)),INDEX('SCORING MASTER'!$D$88:$D$90,MATCH(AS188,'SCORING MASTER'!$C$88:$C$90,0)),INDEX('SCORING MASTER'!$D$92:$D$93,MATCH(AT188,'SCORING MASTER'!$C$92:$C$93,0)))*20,0))</f>
        <v/>
      </c>
      <c r="BL188" s="31" t="str">
        <f aca="false">IF(COUNTBLANK(BA188:BE188)&gt;0,"",ROUND(AVERAGE(INDEX('SCORING MASTER'!$D$113:$D$115,MATCH(BA188,'SCORING MASTER'!$C$113:$C$115,0)),INDEX('SCORING MASTER'!$D$117:$D$119,MATCH(BB188,'SCORING MASTER'!$C$117:$C$119,0)),INDEX('SCORING MASTER'!$D$121:$D$123,MATCH(BC188,'SCORING MASTER'!$C$121:$C$123,0)),INDEX('SCORING MASTER'!$D$125:$D$126,MATCH(BD188,'SCORING MASTER'!$C$125:$C$126,0)),INDEX('SCORING MASTER'!$D$128:$D$129,MATCH(BE188,'SCORING MASTER'!$C$128:$C$129,0)))*20,0))</f>
        <v/>
      </c>
      <c r="BM188" s="31" t="str">
        <f aca="false">IF(OR(BF188="",BG188="",BH188="",BI188="",BJ188="",BK188="",BL188=""),"",ROUND(BF188*0.25+BG188*0.2+BH188*0.15+BI188*0.15+BJ188*0.1+BK188*0.1+BL188*0.05,0))</f>
        <v/>
      </c>
      <c r="BN188" s="31" t="str">
        <f aca="false">IF(OR(BF188="",BG188=""),"",ROUND(BF188*0.5+BG188*0.5,0))</f>
        <v/>
      </c>
      <c r="BO188" s="31" t="str">
        <f aca="false">IF(BN188="","",ROUND(MIN(100,MAX(0,(100-BN188)+IF(AL188="Yes",15,0)+IF(AM188="Yes",15,0)+IF(AND(U188&lt;&gt;"",U188&lt;18.5),20,0))),0))</f>
        <v/>
      </c>
      <c r="BP188" s="28" t="str">
        <f aca="false">IF(BM188="","",IF(BM188&gt;=90,"Green - Healthy",IF(BM188&gt;=75,"Light Green - Mild Watch",IF(BM188&gt;=60,"Yellow - Mild Risk",IF(BM188&gt;=40,"Orange - Moderate Risk","Red - High Risk")))))</f>
        <v/>
      </c>
      <c r="BQ188" s="28" t="str">
        <f aca="false">IF(BM188="","",IF(OR(BM188&lt;60,BO188&gt;=60,AJ188="Yes"),"Yes","No"))</f>
        <v/>
      </c>
      <c r="BR188" s="28" t="str">
        <f aca="false">IF(BM188="","",IF(OR(BP188="Orange - Moderate Risk",BP188="Red - High Risk",BQ188="Yes"),"Yes","No"))</f>
        <v/>
      </c>
    </row>
    <row r="189" customFormat="false" ht="15" hidden="false" customHeight="false" outlineLevel="0" collapsed="false">
      <c r="A189" s="32" t="str">
        <f aca="false">IF(I189="","","STU"&amp;TEXT(ROW()-3,"000000"))</f>
        <v/>
      </c>
      <c r="B189" s="32"/>
      <c r="C189" s="32"/>
      <c r="D189" s="32"/>
      <c r="E189" s="32"/>
      <c r="F189" s="32"/>
      <c r="G189" s="32"/>
      <c r="H189" s="32"/>
      <c r="I189" s="32"/>
      <c r="J189" s="34"/>
      <c r="K189" s="32"/>
      <c r="L189" s="32"/>
      <c r="M189" s="32"/>
      <c r="N189" s="32"/>
      <c r="O189" s="32"/>
      <c r="P189" s="32"/>
      <c r="Q189" s="34"/>
      <c r="R189" s="34"/>
      <c r="S189" s="35" t="str">
        <f aca="false">IF(OR(Q189="",R189=""),"",ROUND(R189/((Q189/100)^2),1))</f>
        <v/>
      </c>
      <c r="T189" s="32" t="str">
        <f aca="false">IF(S189="","",IF(S189&lt;18.5,"Underweight",IF(S189&lt;25,"Normal",IF(S189&lt;30,"Overweight","Obese"))))</f>
        <v/>
      </c>
      <c r="U189" s="34"/>
      <c r="V189" s="34"/>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5" t="str">
        <f aca="false">IF(T189="","",IF(T189="Normal",100,IF(T189="Overweight",65,IF(T189="Obese",50,IF(AND(U189&lt;&gt;"",U189&lt;18.5),30,45)))))</f>
        <v/>
      </c>
      <c r="BG189" s="35" t="str">
        <f aca="false">IF(COUNTBLANK(W189:AC189)&gt;0,"",ROUND(AVERAGE(INDEX('SCORING MASTER'!$D$5:$D$7,MATCH(W189,'SCORING MASTER'!$C$5:$C$7,0)),INDEX('SCORING MASTER'!$D$9:$D$11,MATCH(X189,'SCORING MASTER'!$C$9:$C$11,0)),INDEX('SCORING MASTER'!$D$13:$D$15,MATCH(Y189,'SCORING MASTER'!$C$13:$C$15,0)),INDEX('SCORING MASTER'!$D$17:$D$19,MATCH(Z189,'SCORING MASTER'!$C$17:$C$19,0)),INDEX('SCORING MASTER'!$D$21:$D$23,MATCH(AA189,'SCORING MASTER'!$C$21:$C$23,0)),INDEX('SCORING MASTER'!$D$25:$D$27,MATCH(AB189,'SCORING MASTER'!$C$25:$C$27,0)),INDEX('SCORING MASTER'!$D$29:$D$31,MATCH(AC189,'SCORING MASTER'!$C$29:$C$31,0)))*20,0))</f>
        <v/>
      </c>
      <c r="BH189" s="35" t="str">
        <f aca="false">IF(COUNTBLANK(AD189:AI189)&gt;0,"",ROUND(AVERAGE(INDEX('SCORING MASTER'!$D$33:$D$35,MATCH(AD189,'SCORING MASTER'!$C$33:$C$35,0)),INDEX('SCORING MASTER'!$D$37:$D$39,MATCH(AE189,'SCORING MASTER'!$C$37:$C$39,0)),INDEX('SCORING MASTER'!$D$41:$D$43,MATCH(AF189,'SCORING MASTER'!$C$41:$C$43,0)),INDEX('SCORING MASTER'!$D$45:$D$47,MATCH(AG189,'SCORING MASTER'!$C$45:$C$47,0)),INDEX('SCORING MASTER'!$D$49:$D$52,MATCH(AH189,'SCORING MASTER'!$C$49:$C$52,0)),INDEX('SCORING MASTER'!$D$54:$D$57,MATCH(AI189,'SCORING MASTER'!$C$54:$C$57,0)))*20,0))</f>
        <v/>
      </c>
      <c r="BI189" s="35" t="str">
        <f aca="false">IF(COUNTBLANK(AJ189:AP189)&gt;0,"",ROUND(AVERAGE(INDEX('SCORING MASTER'!$D$59:$D$60,MATCH(AJ189,'SCORING MASTER'!$C$59:$C$60,0)),INDEX('SCORING MASTER'!$D$62:$D$63,MATCH(AK189,'SCORING MASTER'!$C$62:$C$63,0)),INDEX('SCORING MASTER'!$D$65:$D$66,MATCH(AL189,'SCORING MASTER'!$C$65:$C$66,0)),INDEX('SCORING MASTER'!$D$68:$D$69,MATCH(AM189,'SCORING MASTER'!$C$68:$C$69,0)),INDEX('SCORING MASTER'!$D$71:$D$72,MATCH(AN189,'SCORING MASTER'!$C$71:$C$72,0)),INDEX('SCORING MASTER'!$D$74:$D$75,MATCH(AO189,'SCORING MASTER'!$C$74:$C$75,0)),INDEX('SCORING MASTER'!$D$77:$D$78,MATCH(AP189,'SCORING MASTER'!$C$77:$C$78,0)))*20,0))</f>
        <v/>
      </c>
      <c r="BJ189" s="35" t="str">
        <f aca="false">IF(COUNTBLANK(AU189:AZ189)&gt;0,"",ROUND(AVERAGE(INDEX('SCORING MASTER'!$D$95:$D$96,MATCH(AU189,'SCORING MASTER'!$C$95:$C$96,0)),INDEX('SCORING MASTER'!$D$98:$D$99,MATCH(AV189,'SCORING MASTER'!$C$98:$C$99,0)),INDEX('SCORING MASTER'!$D$101:$D$102,MATCH(AW189,'SCORING MASTER'!$C$101:$C$102,0)),INDEX('SCORING MASTER'!$D$104:$D$105,MATCH(AX189,'SCORING MASTER'!$C$104:$C$105,0)),INDEX('SCORING MASTER'!$D$107:$D$108,MATCH(AY189,'SCORING MASTER'!$C$107:$C$108,0)),INDEX('SCORING MASTER'!$D$110:$D$111,MATCH(AZ189,'SCORING MASTER'!$C$110:$C$111,0)))*20,0))</f>
        <v/>
      </c>
      <c r="BK189" s="35" t="str">
        <f aca="false">IF(COUNTBLANK(AQ189:AT189)&gt;0,"",ROUND(AVERAGE(INDEX('SCORING MASTER'!$D$80:$D$82,MATCH(AQ189,'SCORING MASTER'!$C$80:$C$82,0)),INDEX('SCORING MASTER'!$D$84:$D$86,MATCH(AR189,'SCORING MASTER'!$C$84:$C$86,0)),INDEX('SCORING MASTER'!$D$88:$D$90,MATCH(AS189,'SCORING MASTER'!$C$88:$C$90,0)),INDEX('SCORING MASTER'!$D$92:$D$93,MATCH(AT189,'SCORING MASTER'!$C$92:$C$93,0)))*20,0))</f>
        <v/>
      </c>
      <c r="BL189" s="35" t="str">
        <f aca="false">IF(COUNTBLANK(BA189:BE189)&gt;0,"",ROUND(AVERAGE(INDEX('SCORING MASTER'!$D$113:$D$115,MATCH(BA189,'SCORING MASTER'!$C$113:$C$115,0)),INDEX('SCORING MASTER'!$D$117:$D$119,MATCH(BB189,'SCORING MASTER'!$C$117:$C$119,0)),INDEX('SCORING MASTER'!$D$121:$D$123,MATCH(BC189,'SCORING MASTER'!$C$121:$C$123,0)),INDEX('SCORING MASTER'!$D$125:$D$126,MATCH(BD189,'SCORING MASTER'!$C$125:$C$126,0)),INDEX('SCORING MASTER'!$D$128:$D$129,MATCH(BE189,'SCORING MASTER'!$C$128:$C$129,0)))*20,0))</f>
        <v/>
      </c>
      <c r="BM189" s="35" t="str">
        <f aca="false">IF(OR(BF189="",BG189="",BH189="",BI189="",BJ189="",BK189="",BL189=""),"",ROUND(BF189*0.25+BG189*0.2+BH189*0.15+BI189*0.15+BJ189*0.1+BK189*0.1+BL189*0.05,0))</f>
        <v/>
      </c>
      <c r="BN189" s="35" t="str">
        <f aca="false">IF(OR(BF189="",BG189=""),"",ROUND(BF189*0.5+BG189*0.5,0))</f>
        <v/>
      </c>
      <c r="BO189" s="35" t="str">
        <f aca="false">IF(BN189="","",ROUND(MIN(100,MAX(0,(100-BN189)+IF(AL189="Yes",15,0)+IF(AM189="Yes",15,0)+IF(AND(U189&lt;&gt;"",U189&lt;18.5),20,0))),0))</f>
        <v/>
      </c>
      <c r="BP189" s="32" t="str">
        <f aca="false">IF(BM189="","",IF(BM189&gt;=90,"Green - Healthy",IF(BM189&gt;=75,"Light Green - Mild Watch",IF(BM189&gt;=60,"Yellow - Mild Risk",IF(BM189&gt;=40,"Orange - Moderate Risk","Red - High Risk")))))</f>
        <v/>
      </c>
      <c r="BQ189" s="32" t="str">
        <f aca="false">IF(BM189="","",IF(OR(BM189&lt;60,BO189&gt;=60,AJ189="Yes"),"Yes","No"))</f>
        <v/>
      </c>
      <c r="BR189" s="32" t="str">
        <f aca="false">IF(BM189="","",IF(OR(BP189="Orange - Moderate Risk",BP189="Red - High Risk",BQ189="Yes"),"Yes","No"))</f>
        <v/>
      </c>
    </row>
    <row r="190" customFormat="false" ht="15" hidden="false" customHeight="false" outlineLevel="0" collapsed="false">
      <c r="A190" s="28" t="str">
        <f aca="false">IF(I190="","","STU"&amp;TEXT(ROW()-3,"000000"))</f>
        <v/>
      </c>
      <c r="B190" s="28"/>
      <c r="C190" s="28"/>
      <c r="D190" s="28"/>
      <c r="E190" s="28"/>
      <c r="F190" s="28"/>
      <c r="G190" s="28"/>
      <c r="H190" s="28"/>
      <c r="I190" s="28"/>
      <c r="J190" s="30"/>
      <c r="K190" s="28"/>
      <c r="L190" s="28"/>
      <c r="M190" s="28"/>
      <c r="N190" s="28"/>
      <c r="O190" s="28"/>
      <c r="P190" s="28"/>
      <c r="Q190" s="30"/>
      <c r="R190" s="30"/>
      <c r="S190" s="31" t="str">
        <f aca="false">IF(OR(Q190="",R190=""),"",ROUND(R190/((Q190/100)^2),1))</f>
        <v/>
      </c>
      <c r="T190" s="28" t="str">
        <f aca="false">IF(S190="","",IF(S190&lt;18.5,"Underweight",IF(S190&lt;25,"Normal",IF(S190&lt;30,"Overweight","Obese"))))</f>
        <v/>
      </c>
      <c r="U190" s="30"/>
      <c r="V190" s="30"/>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31" t="str">
        <f aca="false">IF(T190="","",IF(T190="Normal",100,IF(T190="Overweight",65,IF(T190="Obese",50,IF(AND(U190&lt;&gt;"",U190&lt;18.5),30,45)))))</f>
        <v/>
      </c>
      <c r="BG190" s="31" t="str">
        <f aca="false">IF(COUNTBLANK(W190:AC190)&gt;0,"",ROUND(AVERAGE(INDEX('SCORING MASTER'!$D$5:$D$7,MATCH(W190,'SCORING MASTER'!$C$5:$C$7,0)),INDEX('SCORING MASTER'!$D$9:$D$11,MATCH(X190,'SCORING MASTER'!$C$9:$C$11,0)),INDEX('SCORING MASTER'!$D$13:$D$15,MATCH(Y190,'SCORING MASTER'!$C$13:$C$15,0)),INDEX('SCORING MASTER'!$D$17:$D$19,MATCH(Z190,'SCORING MASTER'!$C$17:$C$19,0)),INDEX('SCORING MASTER'!$D$21:$D$23,MATCH(AA190,'SCORING MASTER'!$C$21:$C$23,0)),INDEX('SCORING MASTER'!$D$25:$D$27,MATCH(AB190,'SCORING MASTER'!$C$25:$C$27,0)),INDEX('SCORING MASTER'!$D$29:$D$31,MATCH(AC190,'SCORING MASTER'!$C$29:$C$31,0)))*20,0))</f>
        <v/>
      </c>
      <c r="BH190" s="31" t="str">
        <f aca="false">IF(COUNTBLANK(AD190:AI190)&gt;0,"",ROUND(AVERAGE(INDEX('SCORING MASTER'!$D$33:$D$35,MATCH(AD190,'SCORING MASTER'!$C$33:$C$35,0)),INDEX('SCORING MASTER'!$D$37:$D$39,MATCH(AE190,'SCORING MASTER'!$C$37:$C$39,0)),INDEX('SCORING MASTER'!$D$41:$D$43,MATCH(AF190,'SCORING MASTER'!$C$41:$C$43,0)),INDEX('SCORING MASTER'!$D$45:$D$47,MATCH(AG190,'SCORING MASTER'!$C$45:$C$47,0)),INDEX('SCORING MASTER'!$D$49:$D$52,MATCH(AH190,'SCORING MASTER'!$C$49:$C$52,0)),INDEX('SCORING MASTER'!$D$54:$D$57,MATCH(AI190,'SCORING MASTER'!$C$54:$C$57,0)))*20,0))</f>
        <v/>
      </c>
      <c r="BI190" s="31" t="str">
        <f aca="false">IF(COUNTBLANK(AJ190:AP190)&gt;0,"",ROUND(AVERAGE(INDEX('SCORING MASTER'!$D$59:$D$60,MATCH(AJ190,'SCORING MASTER'!$C$59:$C$60,0)),INDEX('SCORING MASTER'!$D$62:$D$63,MATCH(AK190,'SCORING MASTER'!$C$62:$C$63,0)),INDEX('SCORING MASTER'!$D$65:$D$66,MATCH(AL190,'SCORING MASTER'!$C$65:$C$66,0)),INDEX('SCORING MASTER'!$D$68:$D$69,MATCH(AM190,'SCORING MASTER'!$C$68:$C$69,0)),INDEX('SCORING MASTER'!$D$71:$D$72,MATCH(AN190,'SCORING MASTER'!$C$71:$C$72,0)),INDEX('SCORING MASTER'!$D$74:$D$75,MATCH(AO190,'SCORING MASTER'!$C$74:$C$75,0)),INDEX('SCORING MASTER'!$D$77:$D$78,MATCH(AP190,'SCORING MASTER'!$C$77:$C$78,0)))*20,0))</f>
        <v/>
      </c>
      <c r="BJ190" s="31" t="str">
        <f aca="false">IF(COUNTBLANK(AU190:AZ190)&gt;0,"",ROUND(AVERAGE(INDEX('SCORING MASTER'!$D$95:$D$96,MATCH(AU190,'SCORING MASTER'!$C$95:$C$96,0)),INDEX('SCORING MASTER'!$D$98:$D$99,MATCH(AV190,'SCORING MASTER'!$C$98:$C$99,0)),INDEX('SCORING MASTER'!$D$101:$D$102,MATCH(AW190,'SCORING MASTER'!$C$101:$C$102,0)),INDEX('SCORING MASTER'!$D$104:$D$105,MATCH(AX190,'SCORING MASTER'!$C$104:$C$105,0)),INDEX('SCORING MASTER'!$D$107:$D$108,MATCH(AY190,'SCORING MASTER'!$C$107:$C$108,0)),INDEX('SCORING MASTER'!$D$110:$D$111,MATCH(AZ190,'SCORING MASTER'!$C$110:$C$111,0)))*20,0))</f>
        <v/>
      </c>
      <c r="BK190" s="31" t="str">
        <f aca="false">IF(COUNTBLANK(AQ190:AT190)&gt;0,"",ROUND(AVERAGE(INDEX('SCORING MASTER'!$D$80:$D$82,MATCH(AQ190,'SCORING MASTER'!$C$80:$C$82,0)),INDEX('SCORING MASTER'!$D$84:$D$86,MATCH(AR190,'SCORING MASTER'!$C$84:$C$86,0)),INDEX('SCORING MASTER'!$D$88:$D$90,MATCH(AS190,'SCORING MASTER'!$C$88:$C$90,0)),INDEX('SCORING MASTER'!$D$92:$D$93,MATCH(AT190,'SCORING MASTER'!$C$92:$C$93,0)))*20,0))</f>
        <v/>
      </c>
      <c r="BL190" s="31" t="str">
        <f aca="false">IF(COUNTBLANK(BA190:BE190)&gt;0,"",ROUND(AVERAGE(INDEX('SCORING MASTER'!$D$113:$D$115,MATCH(BA190,'SCORING MASTER'!$C$113:$C$115,0)),INDEX('SCORING MASTER'!$D$117:$D$119,MATCH(BB190,'SCORING MASTER'!$C$117:$C$119,0)),INDEX('SCORING MASTER'!$D$121:$D$123,MATCH(BC190,'SCORING MASTER'!$C$121:$C$123,0)),INDEX('SCORING MASTER'!$D$125:$D$126,MATCH(BD190,'SCORING MASTER'!$C$125:$C$126,0)),INDEX('SCORING MASTER'!$D$128:$D$129,MATCH(BE190,'SCORING MASTER'!$C$128:$C$129,0)))*20,0))</f>
        <v/>
      </c>
      <c r="BM190" s="31" t="str">
        <f aca="false">IF(OR(BF190="",BG190="",BH190="",BI190="",BJ190="",BK190="",BL190=""),"",ROUND(BF190*0.25+BG190*0.2+BH190*0.15+BI190*0.15+BJ190*0.1+BK190*0.1+BL190*0.05,0))</f>
        <v/>
      </c>
      <c r="BN190" s="31" t="str">
        <f aca="false">IF(OR(BF190="",BG190=""),"",ROUND(BF190*0.5+BG190*0.5,0))</f>
        <v/>
      </c>
      <c r="BO190" s="31" t="str">
        <f aca="false">IF(BN190="","",ROUND(MIN(100,MAX(0,(100-BN190)+IF(AL190="Yes",15,0)+IF(AM190="Yes",15,0)+IF(AND(U190&lt;&gt;"",U190&lt;18.5),20,0))),0))</f>
        <v/>
      </c>
      <c r="BP190" s="28" t="str">
        <f aca="false">IF(BM190="","",IF(BM190&gt;=90,"Green - Healthy",IF(BM190&gt;=75,"Light Green - Mild Watch",IF(BM190&gt;=60,"Yellow - Mild Risk",IF(BM190&gt;=40,"Orange - Moderate Risk","Red - High Risk")))))</f>
        <v/>
      </c>
      <c r="BQ190" s="28" t="str">
        <f aca="false">IF(BM190="","",IF(OR(BM190&lt;60,BO190&gt;=60,AJ190="Yes"),"Yes","No"))</f>
        <v/>
      </c>
      <c r="BR190" s="28" t="str">
        <f aca="false">IF(BM190="","",IF(OR(BP190="Orange - Moderate Risk",BP190="Red - High Risk",BQ190="Yes"),"Yes","No"))</f>
        <v/>
      </c>
    </row>
    <row r="191" customFormat="false" ht="15" hidden="false" customHeight="false" outlineLevel="0" collapsed="false">
      <c r="A191" s="32" t="str">
        <f aca="false">IF(I191="","","STU"&amp;TEXT(ROW()-3,"000000"))</f>
        <v/>
      </c>
      <c r="B191" s="32"/>
      <c r="C191" s="32"/>
      <c r="D191" s="32"/>
      <c r="E191" s="32"/>
      <c r="F191" s="32"/>
      <c r="G191" s="32"/>
      <c r="H191" s="32"/>
      <c r="I191" s="32"/>
      <c r="J191" s="34"/>
      <c r="K191" s="32"/>
      <c r="L191" s="32"/>
      <c r="M191" s="32"/>
      <c r="N191" s="32"/>
      <c r="O191" s="32"/>
      <c r="P191" s="32"/>
      <c r="Q191" s="34"/>
      <c r="R191" s="34"/>
      <c r="S191" s="35" t="str">
        <f aca="false">IF(OR(Q191="",R191=""),"",ROUND(R191/((Q191/100)^2),1))</f>
        <v/>
      </c>
      <c r="T191" s="32" t="str">
        <f aca="false">IF(S191="","",IF(S191&lt;18.5,"Underweight",IF(S191&lt;25,"Normal",IF(S191&lt;30,"Overweight","Obese"))))</f>
        <v/>
      </c>
      <c r="U191" s="34"/>
      <c r="V191" s="34"/>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5" t="str">
        <f aca="false">IF(T191="","",IF(T191="Normal",100,IF(T191="Overweight",65,IF(T191="Obese",50,IF(AND(U191&lt;&gt;"",U191&lt;18.5),30,45)))))</f>
        <v/>
      </c>
      <c r="BG191" s="35" t="str">
        <f aca="false">IF(COUNTBLANK(W191:AC191)&gt;0,"",ROUND(AVERAGE(INDEX('SCORING MASTER'!$D$5:$D$7,MATCH(W191,'SCORING MASTER'!$C$5:$C$7,0)),INDEX('SCORING MASTER'!$D$9:$D$11,MATCH(X191,'SCORING MASTER'!$C$9:$C$11,0)),INDEX('SCORING MASTER'!$D$13:$D$15,MATCH(Y191,'SCORING MASTER'!$C$13:$C$15,0)),INDEX('SCORING MASTER'!$D$17:$D$19,MATCH(Z191,'SCORING MASTER'!$C$17:$C$19,0)),INDEX('SCORING MASTER'!$D$21:$D$23,MATCH(AA191,'SCORING MASTER'!$C$21:$C$23,0)),INDEX('SCORING MASTER'!$D$25:$D$27,MATCH(AB191,'SCORING MASTER'!$C$25:$C$27,0)),INDEX('SCORING MASTER'!$D$29:$D$31,MATCH(AC191,'SCORING MASTER'!$C$29:$C$31,0)))*20,0))</f>
        <v/>
      </c>
      <c r="BH191" s="35" t="str">
        <f aca="false">IF(COUNTBLANK(AD191:AI191)&gt;0,"",ROUND(AVERAGE(INDEX('SCORING MASTER'!$D$33:$D$35,MATCH(AD191,'SCORING MASTER'!$C$33:$C$35,0)),INDEX('SCORING MASTER'!$D$37:$D$39,MATCH(AE191,'SCORING MASTER'!$C$37:$C$39,0)),INDEX('SCORING MASTER'!$D$41:$D$43,MATCH(AF191,'SCORING MASTER'!$C$41:$C$43,0)),INDEX('SCORING MASTER'!$D$45:$D$47,MATCH(AG191,'SCORING MASTER'!$C$45:$C$47,0)),INDEX('SCORING MASTER'!$D$49:$D$52,MATCH(AH191,'SCORING MASTER'!$C$49:$C$52,0)),INDEX('SCORING MASTER'!$D$54:$D$57,MATCH(AI191,'SCORING MASTER'!$C$54:$C$57,0)))*20,0))</f>
        <v/>
      </c>
      <c r="BI191" s="35" t="str">
        <f aca="false">IF(COUNTBLANK(AJ191:AP191)&gt;0,"",ROUND(AVERAGE(INDEX('SCORING MASTER'!$D$59:$D$60,MATCH(AJ191,'SCORING MASTER'!$C$59:$C$60,0)),INDEX('SCORING MASTER'!$D$62:$D$63,MATCH(AK191,'SCORING MASTER'!$C$62:$C$63,0)),INDEX('SCORING MASTER'!$D$65:$D$66,MATCH(AL191,'SCORING MASTER'!$C$65:$C$66,0)),INDEX('SCORING MASTER'!$D$68:$D$69,MATCH(AM191,'SCORING MASTER'!$C$68:$C$69,0)),INDEX('SCORING MASTER'!$D$71:$D$72,MATCH(AN191,'SCORING MASTER'!$C$71:$C$72,0)),INDEX('SCORING MASTER'!$D$74:$D$75,MATCH(AO191,'SCORING MASTER'!$C$74:$C$75,0)),INDEX('SCORING MASTER'!$D$77:$D$78,MATCH(AP191,'SCORING MASTER'!$C$77:$C$78,0)))*20,0))</f>
        <v/>
      </c>
      <c r="BJ191" s="35" t="str">
        <f aca="false">IF(COUNTBLANK(AU191:AZ191)&gt;0,"",ROUND(AVERAGE(INDEX('SCORING MASTER'!$D$95:$D$96,MATCH(AU191,'SCORING MASTER'!$C$95:$C$96,0)),INDEX('SCORING MASTER'!$D$98:$D$99,MATCH(AV191,'SCORING MASTER'!$C$98:$C$99,0)),INDEX('SCORING MASTER'!$D$101:$D$102,MATCH(AW191,'SCORING MASTER'!$C$101:$C$102,0)),INDEX('SCORING MASTER'!$D$104:$D$105,MATCH(AX191,'SCORING MASTER'!$C$104:$C$105,0)),INDEX('SCORING MASTER'!$D$107:$D$108,MATCH(AY191,'SCORING MASTER'!$C$107:$C$108,0)),INDEX('SCORING MASTER'!$D$110:$D$111,MATCH(AZ191,'SCORING MASTER'!$C$110:$C$111,0)))*20,0))</f>
        <v/>
      </c>
      <c r="BK191" s="35" t="str">
        <f aca="false">IF(COUNTBLANK(AQ191:AT191)&gt;0,"",ROUND(AVERAGE(INDEX('SCORING MASTER'!$D$80:$D$82,MATCH(AQ191,'SCORING MASTER'!$C$80:$C$82,0)),INDEX('SCORING MASTER'!$D$84:$D$86,MATCH(AR191,'SCORING MASTER'!$C$84:$C$86,0)),INDEX('SCORING MASTER'!$D$88:$D$90,MATCH(AS191,'SCORING MASTER'!$C$88:$C$90,0)),INDEX('SCORING MASTER'!$D$92:$D$93,MATCH(AT191,'SCORING MASTER'!$C$92:$C$93,0)))*20,0))</f>
        <v/>
      </c>
      <c r="BL191" s="35" t="str">
        <f aca="false">IF(COUNTBLANK(BA191:BE191)&gt;0,"",ROUND(AVERAGE(INDEX('SCORING MASTER'!$D$113:$D$115,MATCH(BA191,'SCORING MASTER'!$C$113:$C$115,0)),INDEX('SCORING MASTER'!$D$117:$D$119,MATCH(BB191,'SCORING MASTER'!$C$117:$C$119,0)),INDEX('SCORING MASTER'!$D$121:$D$123,MATCH(BC191,'SCORING MASTER'!$C$121:$C$123,0)),INDEX('SCORING MASTER'!$D$125:$D$126,MATCH(BD191,'SCORING MASTER'!$C$125:$C$126,0)),INDEX('SCORING MASTER'!$D$128:$D$129,MATCH(BE191,'SCORING MASTER'!$C$128:$C$129,0)))*20,0))</f>
        <v/>
      </c>
      <c r="BM191" s="35" t="str">
        <f aca="false">IF(OR(BF191="",BG191="",BH191="",BI191="",BJ191="",BK191="",BL191=""),"",ROUND(BF191*0.25+BG191*0.2+BH191*0.15+BI191*0.15+BJ191*0.1+BK191*0.1+BL191*0.05,0))</f>
        <v/>
      </c>
      <c r="BN191" s="35" t="str">
        <f aca="false">IF(OR(BF191="",BG191=""),"",ROUND(BF191*0.5+BG191*0.5,0))</f>
        <v/>
      </c>
      <c r="BO191" s="35" t="str">
        <f aca="false">IF(BN191="","",ROUND(MIN(100,MAX(0,(100-BN191)+IF(AL191="Yes",15,0)+IF(AM191="Yes",15,0)+IF(AND(U191&lt;&gt;"",U191&lt;18.5),20,0))),0))</f>
        <v/>
      </c>
      <c r="BP191" s="32" t="str">
        <f aca="false">IF(BM191="","",IF(BM191&gt;=90,"Green - Healthy",IF(BM191&gt;=75,"Light Green - Mild Watch",IF(BM191&gt;=60,"Yellow - Mild Risk",IF(BM191&gt;=40,"Orange - Moderate Risk","Red - High Risk")))))</f>
        <v/>
      </c>
      <c r="BQ191" s="32" t="str">
        <f aca="false">IF(BM191="","",IF(OR(BM191&lt;60,BO191&gt;=60,AJ191="Yes"),"Yes","No"))</f>
        <v/>
      </c>
      <c r="BR191" s="32" t="str">
        <f aca="false">IF(BM191="","",IF(OR(BP191="Orange - Moderate Risk",BP191="Red - High Risk",BQ191="Yes"),"Yes","No"))</f>
        <v/>
      </c>
    </row>
    <row r="192" customFormat="false" ht="15" hidden="false" customHeight="false" outlineLevel="0" collapsed="false">
      <c r="A192" s="28" t="str">
        <f aca="false">IF(I192="","","STU"&amp;TEXT(ROW()-3,"000000"))</f>
        <v/>
      </c>
      <c r="B192" s="28"/>
      <c r="C192" s="28"/>
      <c r="D192" s="28"/>
      <c r="E192" s="28"/>
      <c r="F192" s="28"/>
      <c r="G192" s="28"/>
      <c r="H192" s="28"/>
      <c r="I192" s="28"/>
      <c r="J192" s="30"/>
      <c r="K192" s="28"/>
      <c r="L192" s="28"/>
      <c r="M192" s="28"/>
      <c r="N192" s="28"/>
      <c r="O192" s="28"/>
      <c r="P192" s="28"/>
      <c r="Q192" s="30"/>
      <c r="R192" s="30"/>
      <c r="S192" s="31" t="str">
        <f aca="false">IF(OR(Q192="",R192=""),"",ROUND(R192/((Q192/100)^2),1))</f>
        <v/>
      </c>
      <c r="T192" s="28" t="str">
        <f aca="false">IF(S192="","",IF(S192&lt;18.5,"Underweight",IF(S192&lt;25,"Normal",IF(S192&lt;30,"Overweight","Obese"))))</f>
        <v/>
      </c>
      <c r="U192" s="30"/>
      <c r="V192" s="30"/>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31" t="str">
        <f aca="false">IF(T192="","",IF(T192="Normal",100,IF(T192="Overweight",65,IF(T192="Obese",50,IF(AND(U192&lt;&gt;"",U192&lt;18.5),30,45)))))</f>
        <v/>
      </c>
      <c r="BG192" s="31" t="str">
        <f aca="false">IF(COUNTBLANK(W192:AC192)&gt;0,"",ROUND(AVERAGE(INDEX('SCORING MASTER'!$D$5:$D$7,MATCH(W192,'SCORING MASTER'!$C$5:$C$7,0)),INDEX('SCORING MASTER'!$D$9:$D$11,MATCH(X192,'SCORING MASTER'!$C$9:$C$11,0)),INDEX('SCORING MASTER'!$D$13:$D$15,MATCH(Y192,'SCORING MASTER'!$C$13:$C$15,0)),INDEX('SCORING MASTER'!$D$17:$D$19,MATCH(Z192,'SCORING MASTER'!$C$17:$C$19,0)),INDEX('SCORING MASTER'!$D$21:$D$23,MATCH(AA192,'SCORING MASTER'!$C$21:$C$23,0)),INDEX('SCORING MASTER'!$D$25:$D$27,MATCH(AB192,'SCORING MASTER'!$C$25:$C$27,0)),INDEX('SCORING MASTER'!$D$29:$D$31,MATCH(AC192,'SCORING MASTER'!$C$29:$C$31,0)))*20,0))</f>
        <v/>
      </c>
      <c r="BH192" s="31" t="str">
        <f aca="false">IF(COUNTBLANK(AD192:AI192)&gt;0,"",ROUND(AVERAGE(INDEX('SCORING MASTER'!$D$33:$D$35,MATCH(AD192,'SCORING MASTER'!$C$33:$C$35,0)),INDEX('SCORING MASTER'!$D$37:$D$39,MATCH(AE192,'SCORING MASTER'!$C$37:$C$39,0)),INDEX('SCORING MASTER'!$D$41:$D$43,MATCH(AF192,'SCORING MASTER'!$C$41:$C$43,0)),INDEX('SCORING MASTER'!$D$45:$D$47,MATCH(AG192,'SCORING MASTER'!$C$45:$C$47,0)),INDEX('SCORING MASTER'!$D$49:$D$52,MATCH(AH192,'SCORING MASTER'!$C$49:$C$52,0)),INDEX('SCORING MASTER'!$D$54:$D$57,MATCH(AI192,'SCORING MASTER'!$C$54:$C$57,0)))*20,0))</f>
        <v/>
      </c>
      <c r="BI192" s="31" t="str">
        <f aca="false">IF(COUNTBLANK(AJ192:AP192)&gt;0,"",ROUND(AVERAGE(INDEX('SCORING MASTER'!$D$59:$D$60,MATCH(AJ192,'SCORING MASTER'!$C$59:$C$60,0)),INDEX('SCORING MASTER'!$D$62:$D$63,MATCH(AK192,'SCORING MASTER'!$C$62:$C$63,0)),INDEX('SCORING MASTER'!$D$65:$D$66,MATCH(AL192,'SCORING MASTER'!$C$65:$C$66,0)),INDEX('SCORING MASTER'!$D$68:$D$69,MATCH(AM192,'SCORING MASTER'!$C$68:$C$69,0)),INDEX('SCORING MASTER'!$D$71:$D$72,MATCH(AN192,'SCORING MASTER'!$C$71:$C$72,0)),INDEX('SCORING MASTER'!$D$74:$D$75,MATCH(AO192,'SCORING MASTER'!$C$74:$C$75,0)),INDEX('SCORING MASTER'!$D$77:$D$78,MATCH(AP192,'SCORING MASTER'!$C$77:$C$78,0)))*20,0))</f>
        <v/>
      </c>
      <c r="BJ192" s="31" t="str">
        <f aca="false">IF(COUNTBLANK(AU192:AZ192)&gt;0,"",ROUND(AVERAGE(INDEX('SCORING MASTER'!$D$95:$D$96,MATCH(AU192,'SCORING MASTER'!$C$95:$C$96,0)),INDEX('SCORING MASTER'!$D$98:$D$99,MATCH(AV192,'SCORING MASTER'!$C$98:$C$99,0)),INDEX('SCORING MASTER'!$D$101:$D$102,MATCH(AW192,'SCORING MASTER'!$C$101:$C$102,0)),INDEX('SCORING MASTER'!$D$104:$D$105,MATCH(AX192,'SCORING MASTER'!$C$104:$C$105,0)),INDEX('SCORING MASTER'!$D$107:$D$108,MATCH(AY192,'SCORING MASTER'!$C$107:$C$108,0)),INDEX('SCORING MASTER'!$D$110:$D$111,MATCH(AZ192,'SCORING MASTER'!$C$110:$C$111,0)))*20,0))</f>
        <v/>
      </c>
      <c r="BK192" s="31" t="str">
        <f aca="false">IF(COUNTBLANK(AQ192:AT192)&gt;0,"",ROUND(AVERAGE(INDEX('SCORING MASTER'!$D$80:$D$82,MATCH(AQ192,'SCORING MASTER'!$C$80:$C$82,0)),INDEX('SCORING MASTER'!$D$84:$D$86,MATCH(AR192,'SCORING MASTER'!$C$84:$C$86,0)),INDEX('SCORING MASTER'!$D$88:$D$90,MATCH(AS192,'SCORING MASTER'!$C$88:$C$90,0)),INDEX('SCORING MASTER'!$D$92:$D$93,MATCH(AT192,'SCORING MASTER'!$C$92:$C$93,0)))*20,0))</f>
        <v/>
      </c>
      <c r="BL192" s="31" t="str">
        <f aca="false">IF(COUNTBLANK(BA192:BE192)&gt;0,"",ROUND(AVERAGE(INDEX('SCORING MASTER'!$D$113:$D$115,MATCH(BA192,'SCORING MASTER'!$C$113:$C$115,0)),INDEX('SCORING MASTER'!$D$117:$D$119,MATCH(BB192,'SCORING MASTER'!$C$117:$C$119,0)),INDEX('SCORING MASTER'!$D$121:$D$123,MATCH(BC192,'SCORING MASTER'!$C$121:$C$123,0)),INDEX('SCORING MASTER'!$D$125:$D$126,MATCH(BD192,'SCORING MASTER'!$C$125:$C$126,0)),INDEX('SCORING MASTER'!$D$128:$D$129,MATCH(BE192,'SCORING MASTER'!$C$128:$C$129,0)))*20,0))</f>
        <v/>
      </c>
      <c r="BM192" s="31" t="str">
        <f aca="false">IF(OR(BF192="",BG192="",BH192="",BI192="",BJ192="",BK192="",BL192=""),"",ROUND(BF192*0.25+BG192*0.2+BH192*0.15+BI192*0.15+BJ192*0.1+BK192*0.1+BL192*0.05,0))</f>
        <v/>
      </c>
      <c r="BN192" s="31" t="str">
        <f aca="false">IF(OR(BF192="",BG192=""),"",ROUND(BF192*0.5+BG192*0.5,0))</f>
        <v/>
      </c>
      <c r="BO192" s="31" t="str">
        <f aca="false">IF(BN192="","",ROUND(MIN(100,MAX(0,(100-BN192)+IF(AL192="Yes",15,0)+IF(AM192="Yes",15,0)+IF(AND(U192&lt;&gt;"",U192&lt;18.5),20,0))),0))</f>
        <v/>
      </c>
      <c r="BP192" s="28" t="str">
        <f aca="false">IF(BM192="","",IF(BM192&gt;=90,"Green - Healthy",IF(BM192&gt;=75,"Light Green - Mild Watch",IF(BM192&gt;=60,"Yellow - Mild Risk",IF(BM192&gt;=40,"Orange - Moderate Risk","Red - High Risk")))))</f>
        <v/>
      </c>
      <c r="BQ192" s="28" t="str">
        <f aca="false">IF(BM192="","",IF(OR(BM192&lt;60,BO192&gt;=60,AJ192="Yes"),"Yes","No"))</f>
        <v/>
      </c>
      <c r="BR192" s="28" t="str">
        <f aca="false">IF(BM192="","",IF(OR(BP192="Orange - Moderate Risk",BP192="Red - High Risk",BQ192="Yes"),"Yes","No"))</f>
        <v/>
      </c>
    </row>
    <row r="193" customFormat="false" ht="15" hidden="false" customHeight="false" outlineLevel="0" collapsed="false">
      <c r="A193" s="32" t="str">
        <f aca="false">IF(I193="","","STU"&amp;TEXT(ROW()-3,"000000"))</f>
        <v/>
      </c>
      <c r="B193" s="32"/>
      <c r="C193" s="32"/>
      <c r="D193" s="32"/>
      <c r="E193" s="32"/>
      <c r="F193" s="32"/>
      <c r="G193" s="32"/>
      <c r="H193" s="32"/>
      <c r="I193" s="32"/>
      <c r="J193" s="34"/>
      <c r="K193" s="32"/>
      <c r="L193" s="32"/>
      <c r="M193" s="32"/>
      <c r="N193" s="32"/>
      <c r="O193" s="32"/>
      <c r="P193" s="32"/>
      <c r="Q193" s="34"/>
      <c r="R193" s="34"/>
      <c r="S193" s="35" t="str">
        <f aca="false">IF(OR(Q193="",R193=""),"",ROUND(R193/((Q193/100)^2),1))</f>
        <v/>
      </c>
      <c r="T193" s="32" t="str">
        <f aca="false">IF(S193="","",IF(S193&lt;18.5,"Underweight",IF(S193&lt;25,"Normal",IF(S193&lt;30,"Overweight","Obese"))))</f>
        <v/>
      </c>
      <c r="U193" s="34"/>
      <c r="V193" s="34"/>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5" t="str">
        <f aca="false">IF(T193="","",IF(T193="Normal",100,IF(T193="Overweight",65,IF(T193="Obese",50,IF(AND(U193&lt;&gt;"",U193&lt;18.5),30,45)))))</f>
        <v/>
      </c>
      <c r="BG193" s="35" t="str">
        <f aca="false">IF(COUNTBLANK(W193:AC193)&gt;0,"",ROUND(AVERAGE(INDEX('SCORING MASTER'!$D$5:$D$7,MATCH(W193,'SCORING MASTER'!$C$5:$C$7,0)),INDEX('SCORING MASTER'!$D$9:$D$11,MATCH(X193,'SCORING MASTER'!$C$9:$C$11,0)),INDEX('SCORING MASTER'!$D$13:$D$15,MATCH(Y193,'SCORING MASTER'!$C$13:$C$15,0)),INDEX('SCORING MASTER'!$D$17:$D$19,MATCH(Z193,'SCORING MASTER'!$C$17:$C$19,0)),INDEX('SCORING MASTER'!$D$21:$D$23,MATCH(AA193,'SCORING MASTER'!$C$21:$C$23,0)),INDEX('SCORING MASTER'!$D$25:$D$27,MATCH(AB193,'SCORING MASTER'!$C$25:$C$27,0)),INDEX('SCORING MASTER'!$D$29:$D$31,MATCH(AC193,'SCORING MASTER'!$C$29:$C$31,0)))*20,0))</f>
        <v/>
      </c>
      <c r="BH193" s="35" t="str">
        <f aca="false">IF(COUNTBLANK(AD193:AI193)&gt;0,"",ROUND(AVERAGE(INDEX('SCORING MASTER'!$D$33:$D$35,MATCH(AD193,'SCORING MASTER'!$C$33:$C$35,0)),INDEX('SCORING MASTER'!$D$37:$D$39,MATCH(AE193,'SCORING MASTER'!$C$37:$C$39,0)),INDEX('SCORING MASTER'!$D$41:$D$43,MATCH(AF193,'SCORING MASTER'!$C$41:$C$43,0)),INDEX('SCORING MASTER'!$D$45:$D$47,MATCH(AG193,'SCORING MASTER'!$C$45:$C$47,0)),INDEX('SCORING MASTER'!$D$49:$D$52,MATCH(AH193,'SCORING MASTER'!$C$49:$C$52,0)),INDEX('SCORING MASTER'!$D$54:$D$57,MATCH(AI193,'SCORING MASTER'!$C$54:$C$57,0)))*20,0))</f>
        <v/>
      </c>
      <c r="BI193" s="35" t="str">
        <f aca="false">IF(COUNTBLANK(AJ193:AP193)&gt;0,"",ROUND(AVERAGE(INDEX('SCORING MASTER'!$D$59:$D$60,MATCH(AJ193,'SCORING MASTER'!$C$59:$C$60,0)),INDEX('SCORING MASTER'!$D$62:$D$63,MATCH(AK193,'SCORING MASTER'!$C$62:$C$63,0)),INDEX('SCORING MASTER'!$D$65:$D$66,MATCH(AL193,'SCORING MASTER'!$C$65:$C$66,0)),INDEX('SCORING MASTER'!$D$68:$D$69,MATCH(AM193,'SCORING MASTER'!$C$68:$C$69,0)),INDEX('SCORING MASTER'!$D$71:$D$72,MATCH(AN193,'SCORING MASTER'!$C$71:$C$72,0)),INDEX('SCORING MASTER'!$D$74:$D$75,MATCH(AO193,'SCORING MASTER'!$C$74:$C$75,0)),INDEX('SCORING MASTER'!$D$77:$D$78,MATCH(AP193,'SCORING MASTER'!$C$77:$C$78,0)))*20,0))</f>
        <v/>
      </c>
      <c r="BJ193" s="35" t="str">
        <f aca="false">IF(COUNTBLANK(AU193:AZ193)&gt;0,"",ROUND(AVERAGE(INDEX('SCORING MASTER'!$D$95:$D$96,MATCH(AU193,'SCORING MASTER'!$C$95:$C$96,0)),INDEX('SCORING MASTER'!$D$98:$D$99,MATCH(AV193,'SCORING MASTER'!$C$98:$C$99,0)),INDEX('SCORING MASTER'!$D$101:$D$102,MATCH(AW193,'SCORING MASTER'!$C$101:$C$102,0)),INDEX('SCORING MASTER'!$D$104:$D$105,MATCH(AX193,'SCORING MASTER'!$C$104:$C$105,0)),INDEX('SCORING MASTER'!$D$107:$D$108,MATCH(AY193,'SCORING MASTER'!$C$107:$C$108,0)),INDEX('SCORING MASTER'!$D$110:$D$111,MATCH(AZ193,'SCORING MASTER'!$C$110:$C$111,0)))*20,0))</f>
        <v/>
      </c>
      <c r="BK193" s="35" t="str">
        <f aca="false">IF(COUNTBLANK(AQ193:AT193)&gt;0,"",ROUND(AVERAGE(INDEX('SCORING MASTER'!$D$80:$D$82,MATCH(AQ193,'SCORING MASTER'!$C$80:$C$82,0)),INDEX('SCORING MASTER'!$D$84:$D$86,MATCH(AR193,'SCORING MASTER'!$C$84:$C$86,0)),INDEX('SCORING MASTER'!$D$88:$D$90,MATCH(AS193,'SCORING MASTER'!$C$88:$C$90,0)),INDEX('SCORING MASTER'!$D$92:$D$93,MATCH(AT193,'SCORING MASTER'!$C$92:$C$93,0)))*20,0))</f>
        <v/>
      </c>
      <c r="BL193" s="35" t="str">
        <f aca="false">IF(COUNTBLANK(BA193:BE193)&gt;0,"",ROUND(AVERAGE(INDEX('SCORING MASTER'!$D$113:$D$115,MATCH(BA193,'SCORING MASTER'!$C$113:$C$115,0)),INDEX('SCORING MASTER'!$D$117:$D$119,MATCH(BB193,'SCORING MASTER'!$C$117:$C$119,0)),INDEX('SCORING MASTER'!$D$121:$D$123,MATCH(BC193,'SCORING MASTER'!$C$121:$C$123,0)),INDEX('SCORING MASTER'!$D$125:$D$126,MATCH(BD193,'SCORING MASTER'!$C$125:$C$126,0)),INDEX('SCORING MASTER'!$D$128:$D$129,MATCH(BE193,'SCORING MASTER'!$C$128:$C$129,0)))*20,0))</f>
        <v/>
      </c>
      <c r="BM193" s="35" t="str">
        <f aca="false">IF(OR(BF193="",BG193="",BH193="",BI193="",BJ193="",BK193="",BL193=""),"",ROUND(BF193*0.25+BG193*0.2+BH193*0.15+BI193*0.15+BJ193*0.1+BK193*0.1+BL193*0.05,0))</f>
        <v/>
      </c>
      <c r="BN193" s="35" t="str">
        <f aca="false">IF(OR(BF193="",BG193=""),"",ROUND(BF193*0.5+BG193*0.5,0))</f>
        <v/>
      </c>
      <c r="BO193" s="35" t="str">
        <f aca="false">IF(BN193="","",ROUND(MIN(100,MAX(0,(100-BN193)+IF(AL193="Yes",15,0)+IF(AM193="Yes",15,0)+IF(AND(U193&lt;&gt;"",U193&lt;18.5),20,0))),0))</f>
        <v/>
      </c>
      <c r="BP193" s="32" t="str">
        <f aca="false">IF(BM193="","",IF(BM193&gt;=90,"Green - Healthy",IF(BM193&gt;=75,"Light Green - Mild Watch",IF(BM193&gt;=60,"Yellow - Mild Risk",IF(BM193&gt;=40,"Orange - Moderate Risk","Red - High Risk")))))</f>
        <v/>
      </c>
      <c r="BQ193" s="32" t="str">
        <f aca="false">IF(BM193="","",IF(OR(BM193&lt;60,BO193&gt;=60,AJ193="Yes"),"Yes","No"))</f>
        <v/>
      </c>
      <c r="BR193" s="32" t="str">
        <f aca="false">IF(BM193="","",IF(OR(BP193="Orange - Moderate Risk",BP193="Red - High Risk",BQ193="Yes"),"Yes","No"))</f>
        <v/>
      </c>
    </row>
    <row r="194" customFormat="false" ht="15" hidden="false" customHeight="false" outlineLevel="0" collapsed="false">
      <c r="A194" s="28" t="str">
        <f aca="false">IF(I194="","","STU"&amp;TEXT(ROW()-3,"000000"))</f>
        <v/>
      </c>
      <c r="B194" s="28"/>
      <c r="C194" s="28"/>
      <c r="D194" s="28"/>
      <c r="E194" s="28"/>
      <c r="F194" s="28"/>
      <c r="G194" s="28"/>
      <c r="H194" s="28"/>
      <c r="I194" s="28"/>
      <c r="J194" s="30"/>
      <c r="K194" s="28"/>
      <c r="L194" s="28"/>
      <c r="M194" s="28"/>
      <c r="N194" s="28"/>
      <c r="O194" s="28"/>
      <c r="P194" s="28"/>
      <c r="Q194" s="30"/>
      <c r="R194" s="30"/>
      <c r="S194" s="31" t="str">
        <f aca="false">IF(OR(Q194="",R194=""),"",ROUND(R194/((Q194/100)^2),1))</f>
        <v/>
      </c>
      <c r="T194" s="28" t="str">
        <f aca="false">IF(S194="","",IF(S194&lt;18.5,"Underweight",IF(S194&lt;25,"Normal",IF(S194&lt;30,"Overweight","Obese"))))</f>
        <v/>
      </c>
      <c r="U194" s="30"/>
      <c r="V194" s="30"/>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31" t="str">
        <f aca="false">IF(T194="","",IF(T194="Normal",100,IF(T194="Overweight",65,IF(T194="Obese",50,IF(AND(U194&lt;&gt;"",U194&lt;18.5),30,45)))))</f>
        <v/>
      </c>
      <c r="BG194" s="31" t="str">
        <f aca="false">IF(COUNTBLANK(W194:AC194)&gt;0,"",ROUND(AVERAGE(INDEX('SCORING MASTER'!$D$5:$D$7,MATCH(W194,'SCORING MASTER'!$C$5:$C$7,0)),INDEX('SCORING MASTER'!$D$9:$D$11,MATCH(X194,'SCORING MASTER'!$C$9:$C$11,0)),INDEX('SCORING MASTER'!$D$13:$D$15,MATCH(Y194,'SCORING MASTER'!$C$13:$C$15,0)),INDEX('SCORING MASTER'!$D$17:$D$19,MATCH(Z194,'SCORING MASTER'!$C$17:$C$19,0)),INDEX('SCORING MASTER'!$D$21:$D$23,MATCH(AA194,'SCORING MASTER'!$C$21:$C$23,0)),INDEX('SCORING MASTER'!$D$25:$D$27,MATCH(AB194,'SCORING MASTER'!$C$25:$C$27,0)),INDEX('SCORING MASTER'!$D$29:$D$31,MATCH(AC194,'SCORING MASTER'!$C$29:$C$31,0)))*20,0))</f>
        <v/>
      </c>
      <c r="BH194" s="31" t="str">
        <f aca="false">IF(COUNTBLANK(AD194:AI194)&gt;0,"",ROUND(AVERAGE(INDEX('SCORING MASTER'!$D$33:$D$35,MATCH(AD194,'SCORING MASTER'!$C$33:$C$35,0)),INDEX('SCORING MASTER'!$D$37:$D$39,MATCH(AE194,'SCORING MASTER'!$C$37:$C$39,0)),INDEX('SCORING MASTER'!$D$41:$D$43,MATCH(AF194,'SCORING MASTER'!$C$41:$C$43,0)),INDEX('SCORING MASTER'!$D$45:$D$47,MATCH(AG194,'SCORING MASTER'!$C$45:$C$47,0)),INDEX('SCORING MASTER'!$D$49:$D$52,MATCH(AH194,'SCORING MASTER'!$C$49:$C$52,0)),INDEX('SCORING MASTER'!$D$54:$D$57,MATCH(AI194,'SCORING MASTER'!$C$54:$C$57,0)))*20,0))</f>
        <v/>
      </c>
      <c r="BI194" s="31" t="str">
        <f aca="false">IF(COUNTBLANK(AJ194:AP194)&gt;0,"",ROUND(AVERAGE(INDEX('SCORING MASTER'!$D$59:$D$60,MATCH(AJ194,'SCORING MASTER'!$C$59:$C$60,0)),INDEX('SCORING MASTER'!$D$62:$D$63,MATCH(AK194,'SCORING MASTER'!$C$62:$C$63,0)),INDEX('SCORING MASTER'!$D$65:$D$66,MATCH(AL194,'SCORING MASTER'!$C$65:$C$66,0)),INDEX('SCORING MASTER'!$D$68:$D$69,MATCH(AM194,'SCORING MASTER'!$C$68:$C$69,0)),INDEX('SCORING MASTER'!$D$71:$D$72,MATCH(AN194,'SCORING MASTER'!$C$71:$C$72,0)),INDEX('SCORING MASTER'!$D$74:$D$75,MATCH(AO194,'SCORING MASTER'!$C$74:$C$75,0)),INDEX('SCORING MASTER'!$D$77:$D$78,MATCH(AP194,'SCORING MASTER'!$C$77:$C$78,0)))*20,0))</f>
        <v/>
      </c>
      <c r="BJ194" s="31" t="str">
        <f aca="false">IF(COUNTBLANK(AU194:AZ194)&gt;0,"",ROUND(AVERAGE(INDEX('SCORING MASTER'!$D$95:$D$96,MATCH(AU194,'SCORING MASTER'!$C$95:$C$96,0)),INDEX('SCORING MASTER'!$D$98:$D$99,MATCH(AV194,'SCORING MASTER'!$C$98:$C$99,0)),INDEX('SCORING MASTER'!$D$101:$D$102,MATCH(AW194,'SCORING MASTER'!$C$101:$C$102,0)),INDEX('SCORING MASTER'!$D$104:$D$105,MATCH(AX194,'SCORING MASTER'!$C$104:$C$105,0)),INDEX('SCORING MASTER'!$D$107:$D$108,MATCH(AY194,'SCORING MASTER'!$C$107:$C$108,0)),INDEX('SCORING MASTER'!$D$110:$D$111,MATCH(AZ194,'SCORING MASTER'!$C$110:$C$111,0)))*20,0))</f>
        <v/>
      </c>
      <c r="BK194" s="31" t="str">
        <f aca="false">IF(COUNTBLANK(AQ194:AT194)&gt;0,"",ROUND(AVERAGE(INDEX('SCORING MASTER'!$D$80:$D$82,MATCH(AQ194,'SCORING MASTER'!$C$80:$C$82,0)),INDEX('SCORING MASTER'!$D$84:$D$86,MATCH(AR194,'SCORING MASTER'!$C$84:$C$86,0)),INDEX('SCORING MASTER'!$D$88:$D$90,MATCH(AS194,'SCORING MASTER'!$C$88:$C$90,0)),INDEX('SCORING MASTER'!$D$92:$D$93,MATCH(AT194,'SCORING MASTER'!$C$92:$C$93,0)))*20,0))</f>
        <v/>
      </c>
      <c r="BL194" s="31" t="str">
        <f aca="false">IF(COUNTBLANK(BA194:BE194)&gt;0,"",ROUND(AVERAGE(INDEX('SCORING MASTER'!$D$113:$D$115,MATCH(BA194,'SCORING MASTER'!$C$113:$C$115,0)),INDEX('SCORING MASTER'!$D$117:$D$119,MATCH(BB194,'SCORING MASTER'!$C$117:$C$119,0)),INDEX('SCORING MASTER'!$D$121:$D$123,MATCH(BC194,'SCORING MASTER'!$C$121:$C$123,0)),INDEX('SCORING MASTER'!$D$125:$D$126,MATCH(BD194,'SCORING MASTER'!$C$125:$C$126,0)),INDEX('SCORING MASTER'!$D$128:$D$129,MATCH(BE194,'SCORING MASTER'!$C$128:$C$129,0)))*20,0))</f>
        <v/>
      </c>
      <c r="BM194" s="31" t="str">
        <f aca="false">IF(OR(BF194="",BG194="",BH194="",BI194="",BJ194="",BK194="",BL194=""),"",ROUND(BF194*0.25+BG194*0.2+BH194*0.15+BI194*0.15+BJ194*0.1+BK194*0.1+BL194*0.05,0))</f>
        <v/>
      </c>
      <c r="BN194" s="31" t="str">
        <f aca="false">IF(OR(BF194="",BG194=""),"",ROUND(BF194*0.5+BG194*0.5,0))</f>
        <v/>
      </c>
      <c r="BO194" s="31" t="str">
        <f aca="false">IF(BN194="","",ROUND(MIN(100,MAX(0,(100-BN194)+IF(AL194="Yes",15,0)+IF(AM194="Yes",15,0)+IF(AND(U194&lt;&gt;"",U194&lt;18.5),20,0))),0))</f>
        <v/>
      </c>
      <c r="BP194" s="28" t="str">
        <f aca="false">IF(BM194="","",IF(BM194&gt;=90,"Green - Healthy",IF(BM194&gt;=75,"Light Green - Mild Watch",IF(BM194&gt;=60,"Yellow - Mild Risk",IF(BM194&gt;=40,"Orange - Moderate Risk","Red - High Risk")))))</f>
        <v/>
      </c>
      <c r="BQ194" s="28" t="str">
        <f aca="false">IF(BM194="","",IF(OR(BM194&lt;60,BO194&gt;=60,AJ194="Yes"),"Yes","No"))</f>
        <v/>
      </c>
      <c r="BR194" s="28" t="str">
        <f aca="false">IF(BM194="","",IF(OR(BP194="Orange - Moderate Risk",BP194="Red - High Risk",BQ194="Yes"),"Yes","No"))</f>
        <v/>
      </c>
    </row>
    <row r="195" customFormat="false" ht="15" hidden="false" customHeight="false" outlineLevel="0" collapsed="false">
      <c r="A195" s="32" t="str">
        <f aca="false">IF(I195="","","STU"&amp;TEXT(ROW()-3,"000000"))</f>
        <v/>
      </c>
      <c r="B195" s="32"/>
      <c r="C195" s="32"/>
      <c r="D195" s="32"/>
      <c r="E195" s="32"/>
      <c r="F195" s="32"/>
      <c r="G195" s="32"/>
      <c r="H195" s="32"/>
      <c r="I195" s="32"/>
      <c r="J195" s="34"/>
      <c r="K195" s="32"/>
      <c r="L195" s="32"/>
      <c r="M195" s="32"/>
      <c r="N195" s="32"/>
      <c r="O195" s="32"/>
      <c r="P195" s="32"/>
      <c r="Q195" s="34"/>
      <c r="R195" s="34"/>
      <c r="S195" s="35" t="str">
        <f aca="false">IF(OR(Q195="",R195=""),"",ROUND(R195/((Q195/100)^2),1))</f>
        <v/>
      </c>
      <c r="T195" s="32" t="str">
        <f aca="false">IF(S195="","",IF(S195&lt;18.5,"Underweight",IF(S195&lt;25,"Normal",IF(S195&lt;30,"Overweight","Obese"))))</f>
        <v/>
      </c>
      <c r="U195" s="34"/>
      <c r="V195" s="34"/>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5" t="str">
        <f aca="false">IF(T195="","",IF(T195="Normal",100,IF(T195="Overweight",65,IF(T195="Obese",50,IF(AND(U195&lt;&gt;"",U195&lt;18.5),30,45)))))</f>
        <v/>
      </c>
      <c r="BG195" s="35" t="str">
        <f aca="false">IF(COUNTBLANK(W195:AC195)&gt;0,"",ROUND(AVERAGE(INDEX('SCORING MASTER'!$D$5:$D$7,MATCH(W195,'SCORING MASTER'!$C$5:$C$7,0)),INDEX('SCORING MASTER'!$D$9:$D$11,MATCH(X195,'SCORING MASTER'!$C$9:$C$11,0)),INDEX('SCORING MASTER'!$D$13:$D$15,MATCH(Y195,'SCORING MASTER'!$C$13:$C$15,0)),INDEX('SCORING MASTER'!$D$17:$D$19,MATCH(Z195,'SCORING MASTER'!$C$17:$C$19,0)),INDEX('SCORING MASTER'!$D$21:$D$23,MATCH(AA195,'SCORING MASTER'!$C$21:$C$23,0)),INDEX('SCORING MASTER'!$D$25:$D$27,MATCH(AB195,'SCORING MASTER'!$C$25:$C$27,0)),INDEX('SCORING MASTER'!$D$29:$D$31,MATCH(AC195,'SCORING MASTER'!$C$29:$C$31,0)))*20,0))</f>
        <v/>
      </c>
      <c r="BH195" s="35" t="str">
        <f aca="false">IF(COUNTBLANK(AD195:AI195)&gt;0,"",ROUND(AVERAGE(INDEX('SCORING MASTER'!$D$33:$D$35,MATCH(AD195,'SCORING MASTER'!$C$33:$C$35,0)),INDEX('SCORING MASTER'!$D$37:$D$39,MATCH(AE195,'SCORING MASTER'!$C$37:$C$39,0)),INDEX('SCORING MASTER'!$D$41:$D$43,MATCH(AF195,'SCORING MASTER'!$C$41:$C$43,0)),INDEX('SCORING MASTER'!$D$45:$D$47,MATCH(AG195,'SCORING MASTER'!$C$45:$C$47,0)),INDEX('SCORING MASTER'!$D$49:$D$52,MATCH(AH195,'SCORING MASTER'!$C$49:$C$52,0)),INDEX('SCORING MASTER'!$D$54:$D$57,MATCH(AI195,'SCORING MASTER'!$C$54:$C$57,0)))*20,0))</f>
        <v/>
      </c>
      <c r="BI195" s="35" t="str">
        <f aca="false">IF(COUNTBLANK(AJ195:AP195)&gt;0,"",ROUND(AVERAGE(INDEX('SCORING MASTER'!$D$59:$D$60,MATCH(AJ195,'SCORING MASTER'!$C$59:$C$60,0)),INDEX('SCORING MASTER'!$D$62:$D$63,MATCH(AK195,'SCORING MASTER'!$C$62:$C$63,0)),INDEX('SCORING MASTER'!$D$65:$D$66,MATCH(AL195,'SCORING MASTER'!$C$65:$C$66,0)),INDEX('SCORING MASTER'!$D$68:$D$69,MATCH(AM195,'SCORING MASTER'!$C$68:$C$69,0)),INDEX('SCORING MASTER'!$D$71:$D$72,MATCH(AN195,'SCORING MASTER'!$C$71:$C$72,0)),INDEX('SCORING MASTER'!$D$74:$D$75,MATCH(AO195,'SCORING MASTER'!$C$74:$C$75,0)),INDEX('SCORING MASTER'!$D$77:$D$78,MATCH(AP195,'SCORING MASTER'!$C$77:$C$78,0)))*20,0))</f>
        <v/>
      </c>
      <c r="BJ195" s="35" t="str">
        <f aca="false">IF(COUNTBLANK(AU195:AZ195)&gt;0,"",ROUND(AVERAGE(INDEX('SCORING MASTER'!$D$95:$D$96,MATCH(AU195,'SCORING MASTER'!$C$95:$C$96,0)),INDEX('SCORING MASTER'!$D$98:$D$99,MATCH(AV195,'SCORING MASTER'!$C$98:$C$99,0)),INDEX('SCORING MASTER'!$D$101:$D$102,MATCH(AW195,'SCORING MASTER'!$C$101:$C$102,0)),INDEX('SCORING MASTER'!$D$104:$D$105,MATCH(AX195,'SCORING MASTER'!$C$104:$C$105,0)),INDEX('SCORING MASTER'!$D$107:$D$108,MATCH(AY195,'SCORING MASTER'!$C$107:$C$108,0)),INDEX('SCORING MASTER'!$D$110:$D$111,MATCH(AZ195,'SCORING MASTER'!$C$110:$C$111,0)))*20,0))</f>
        <v/>
      </c>
      <c r="BK195" s="35" t="str">
        <f aca="false">IF(COUNTBLANK(AQ195:AT195)&gt;0,"",ROUND(AVERAGE(INDEX('SCORING MASTER'!$D$80:$D$82,MATCH(AQ195,'SCORING MASTER'!$C$80:$C$82,0)),INDEX('SCORING MASTER'!$D$84:$D$86,MATCH(AR195,'SCORING MASTER'!$C$84:$C$86,0)),INDEX('SCORING MASTER'!$D$88:$D$90,MATCH(AS195,'SCORING MASTER'!$C$88:$C$90,0)),INDEX('SCORING MASTER'!$D$92:$D$93,MATCH(AT195,'SCORING MASTER'!$C$92:$C$93,0)))*20,0))</f>
        <v/>
      </c>
      <c r="BL195" s="35" t="str">
        <f aca="false">IF(COUNTBLANK(BA195:BE195)&gt;0,"",ROUND(AVERAGE(INDEX('SCORING MASTER'!$D$113:$D$115,MATCH(BA195,'SCORING MASTER'!$C$113:$C$115,0)),INDEX('SCORING MASTER'!$D$117:$D$119,MATCH(BB195,'SCORING MASTER'!$C$117:$C$119,0)),INDEX('SCORING MASTER'!$D$121:$D$123,MATCH(BC195,'SCORING MASTER'!$C$121:$C$123,0)),INDEX('SCORING MASTER'!$D$125:$D$126,MATCH(BD195,'SCORING MASTER'!$C$125:$C$126,0)),INDEX('SCORING MASTER'!$D$128:$D$129,MATCH(BE195,'SCORING MASTER'!$C$128:$C$129,0)))*20,0))</f>
        <v/>
      </c>
      <c r="BM195" s="35" t="str">
        <f aca="false">IF(OR(BF195="",BG195="",BH195="",BI195="",BJ195="",BK195="",BL195=""),"",ROUND(BF195*0.25+BG195*0.2+BH195*0.15+BI195*0.15+BJ195*0.1+BK195*0.1+BL195*0.05,0))</f>
        <v/>
      </c>
      <c r="BN195" s="35" t="str">
        <f aca="false">IF(OR(BF195="",BG195=""),"",ROUND(BF195*0.5+BG195*0.5,0))</f>
        <v/>
      </c>
      <c r="BO195" s="35" t="str">
        <f aca="false">IF(BN195="","",ROUND(MIN(100,MAX(0,(100-BN195)+IF(AL195="Yes",15,0)+IF(AM195="Yes",15,0)+IF(AND(U195&lt;&gt;"",U195&lt;18.5),20,0))),0))</f>
        <v/>
      </c>
      <c r="BP195" s="32" t="str">
        <f aca="false">IF(BM195="","",IF(BM195&gt;=90,"Green - Healthy",IF(BM195&gt;=75,"Light Green - Mild Watch",IF(BM195&gt;=60,"Yellow - Mild Risk",IF(BM195&gt;=40,"Orange - Moderate Risk","Red - High Risk")))))</f>
        <v/>
      </c>
      <c r="BQ195" s="32" t="str">
        <f aca="false">IF(BM195="","",IF(OR(BM195&lt;60,BO195&gt;=60,AJ195="Yes"),"Yes","No"))</f>
        <v/>
      </c>
      <c r="BR195" s="32" t="str">
        <f aca="false">IF(BM195="","",IF(OR(BP195="Orange - Moderate Risk",BP195="Red - High Risk",BQ195="Yes"),"Yes","No"))</f>
        <v/>
      </c>
    </row>
    <row r="196" customFormat="false" ht="15" hidden="false" customHeight="false" outlineLevel="0" collapsed="false">
      <c r="A196" s="28" t="str">
        <f aca="false">IF(I196="","","STU"&amp;TEXT(ROW()-3,"000000"))</f>
        <v/>
      </c>
      <c r="B196" s="28"/>
      <c r="C196" s="28"/>
      <c r="D196" s="28"/>
      <c r="E196" s="28"/>
      <c r="F196" s="28"/>
      <c r="G196" s="28"/>
      <c r="H196" s="28"/>
      <c r="I196" s="28"/>
      <c r="J196" s="30"/>
      <c r="K196" s="28"/>
      <c r="L196" s="28"/>
      <c r="M196" s="28"/>
      <c r="N196" s="28"/>
      <c r="O196" s="28"/>
      <c r="P196" s="28"/>
      <c r="Q196" s="30"/>
      <c r="R196" s="30"/>
      <c r="S196" s="31" t="str">
        <f aca="false">IF(OR(Q196="",R196=""),"",ROUND(R196/((Q196/100)^2),1))</f>
        <v/>
      </c>
      <c r="T196" s="28" t="str">
        <f aca="false">IF(S196="","",IF(S196&lt;18.5,"Underweight",IF(S196&lt;25,"Normal",IF(S196&lt;30,"Overweight","Obese"))))</f>
        <v/>
      </c>
      <c r="U196" s="30"/>
      <c r="V196" s="30"/>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31" t="str">
        <f aca="false">IF(T196="","",IF(T196="Normal",100,IF(T196="Overweight",65,IF(T196="Obese",50,IF(AND(U196&lt;&gt;"",U196&lt;18.5),30,45)))))</f>
        <v/>
      </c>
      <c r="BG196" s="31" t="str">
        <f aca="false">IF(COUNTBLANK(W196:AC196)&gt;0,"",ROUND(AVERAGE(INDEX('SCORING MASTER'!$D$5:$D$7,MATCH(W196,'SCORING MASTER'!$C$5:$C$7,0)),INDEX('SCORING MASTER'!$D$9:$D$11,MATCH(X196,'SCORING MASTER'!$C$9:$C$11,0)),INDEX('SCORING MASTER'!$D$13:$D$15,MATCH(Y196,'SCORING MASTER'!$C$13:$C$15,0)),INDEX('SCORING MASTER'!$D$17:$D$19,MATCH(Z196,'SCORING MASTER'!$C$17:$C$19,0)),INDEX('SCORING MASTER'!$D$21:$D$23,MATCH(AA196,'SCORING MASTER'!$C$21:$C$23,0)),INDEX('SCORING MASTER'!$D$25:$D$27,MATCH(AB196,'SCORING MASTER'!$C$25:$C$27,0)),INDEX('SCORING MASTER'!$D$29:$D$31,MATCH(AC196,'SCORING MASTER'!$C$29:$C$31,0)))*20,0))</f>
        <v/>
      </c>
      <c r="BH196" s="31" t="str">
        <f aca="false">IF(COUNTBLANK(AD196:AI196)&gt;0,"",ROUND(AVERAGE(INDEX('SCORING MASTER'!$D$33:$D$35,MATCH(AD196,'SCORING MASTER'!$C$33:$C$35,0)),INDEX('SCORING MASTER'!$D$37:$D$39,MATCH(AE196,'SCORING MASTER'!$C$37:$C$39,0)),INDEX('SCORING MASTER'!$D$41:$D$43,MATCH(AF196,'SCORING MASTER'!$C$41:$C$43,0)),INDEX('SCORING MASTER'!$D$45:$D$47,MATCH(AG196,'SCORING MASTER'!$C$45:$C$47,0)),INDEX('SCORING MASTER'!$D$49:$D$52,MATCH(AH196,'SCORING MASTER'!$C$49:$C$52,0)),INDEX('SCORING MASTER'!$D$54:$D$57,MATCH(AI196,'SCORING MASTER'!$C$54:$C$57,0)))*20,0))</f>
        <v/>
      </c>
      <c r="BI196" s="31" t="str">
        <f aca="false">IF(COUNTBLANK(AJ196:AP196)&gt;0,"",ROUND(AVERAGE(INDEX('SCORING MASTER'!$D$59:$D$60,MATCH(AJ196,'SCORING MASTER'!$C$59:$C$60,0)),INDEX('SCORING MASTER'!$D$62:$D$63,MATCH(AK196,'SCORING MASTER'!$C$62:$C$63,0)),INDEX('SCORING MASTER'!$D$65:$D$66,MATCH(AL196,'SCORING MASTER'!$C$65:$C$66,0)),INDEX('SCORING MASTER'!$D$68:$D$69,MATCH(AM196,'SCORING MASTER'!$C$68:$C$69,0)),INDEX('SCORING MASTER'!$D$71:$D$72,MATCH(AN196,'SCORING MASTER'!$C$71:$C$72,0)),INDEX('SCORING MASTER'!$D$74:$D$75,MATCH(AO196,'SCORING MASTER'!$C$74:$C$75,0)),INDEX('SCORING MASTER'!$D$77:$D$78,MATCH(AP196,'SCORING MASTER'!$C$77:$C$78,0)))*20,0))</f>
        <v/>
      </c>
      <c r="BJ196" s="31" t="str">
        <f aca="false">IF(COUNTBLANK(AU196:AZ196)&gt;0,"",ROUND(AVERAGE(INDEX('SCORING MASTER'!$D$95:$D$96,MATCH(AU196,'SCORING MASTER'!$C$95:$C$96,0)),INDEX('SCORING MASTER'!$D$98:$D$99,MATCH(AV196,'SCORING MASTER'!$C$98:$C$99,0)),INDEX('SCORING MASTER'!$D$101:$D$102,MATCH(AW196,'SCORING MASTER'!$C$101:$C$102,0)),INDEX('SCORING MASTER'!$D$104:$D$105,MATCH(AX196,'SCORING MASTER'!$C$104:$C$105,0)),INDEX('SCORING MASTER'!$D$107:$D$108,MATCH(AY196,'SCORING MASTER'!$C$107:$C$108,0)),INDEX('SCORING MASTER'!$D$110:$D$111,MATCH(AZ196,'SCORING MASTER'!$C$110:$C$111,0)))*20,0))</f>
        <v/>
      </c>
      <c r="BK196" s="31" t="str">
        <f aca="false">IF(COUNTBLANK(AQ196:AT196)&gt;0,"",ROUND(AVERAGE(INDEX('SCORING MASTER'!$D$80:$D$82,MATCH(AQ196,'SCORING MASTER'!$C$80:$C$82,0)),INDEX('SCORING MASTER'!$D$84:$D$86,MATCH(AR196,'SCORING MASTER'!$C$84:$C$86,0)),INDEX('SCORING MASTER'!$D$88:$D$90,MATCH(AS196,'SCORING MASTER'!$C$88:$C$90,0)),INDEX('SCORING MASTER'!$D$92:$D$93,MATCH(AT196,'SCORING MASTER'!$C$92:$C$93,0)))*20,0))</f>
        <v/>
      </c>
      <c r="BL196" s="31" t="str">
        <f aca="false">IF(COUNTBLANK(BA196:BE196)&gt;0,"",ROUND(AVERAGE(INDEX('SCORING MASTER'!$D$113:$D$115,MATCH(BA196,'SCORING MASTER'!$C$113:$C$115,0)),INDEX('SCORING MASTER'!$D$117:$D$119,MATCH(BB196,'SCORING MASTER'!$C$117:$C$119,0)),INDEX('SCORING MASTER'!$D$121:$D$123,MATCH(BC196,'SCORING MASTER'!$C$121:$C$123,0)),INDEX('SCORING MASTER'!$D$125:$D$126,MATCH(BD196,'SCORING MASTER'!$C$125:$C$126,0)),INDEX('SCORING MASTER'!$D$128:$D$129,MATCH(BE196,'SCORING MASTER'!$C$128:$C$129,0)))*20,0))</f>
        <v/>
      </c>
      <c r="BM196" s="31" t="str">
        <f aca="false">IF(OR(BF196="",BG196="",BH196="",BI196="",BJ196="",BK196="",BL196=""),"",ROUND(BF196*0.25+BG196*0.2+BH196*0.15+BI196*0.15+BJ196*0.1+BK196*0.1+BL196*0.05,0))</f>
        <v/>
      </c>
      <c r="BN196" s="31" t="str">
        <f aca="false">IF(OR(BF196="",BG196=""),"",ROUND(BF196*0.5+BG196*0.5,0))</f>
        <v/>
      </c>
      <c r="BO196" s="31" t="str">
        <f aca="false">IF(BN196="","",ROUND(MIN(100,MAX(0,(100-BN196)+IF(AL196="Yes",15,0)+IF(AM196="Yes",15,0)+IF(AND(U196&lt;&gt;"",U196&lt;18.5),20,0))),0))</f>
        <v/>
      </c>
      <c r="BP196" s="28" t="str">
        <f aca="false">IF(BM196="","",IF(BM196&gt;=90,"Green - Healthy",IF(BM196&gt;=75,"Light Green - Mild Watch",IF(BM196&gt;=60,"Yellow - Mild Risk",IF(BM196&gt;=40,"Orange - Moderate Risk","Red - High Risk")))))</f>
        <v/>
      </c>
      <c r="BQ196" s="28" t="str">
        <f aca="false">IF(BM196="","",IF(OR(BM196&lt;60,BO196&gt;=60,AJ196="Yes"),"Yes","No"))</f>
        <v/>
      </c>
      <c r="BR196" s="28" t="str">
        <f aca="false">IF(BM196="","",IF(OR(BP196="Orange - Moderate Risk",BP196="Red - High Risk",BQ196="Yes"),"Yes","No"))</f>
        <v/>
      </c>
    </row>
    <row r="197" customFormat="false" ht="15" hidden="false" customHeight="false" outlineLevel="0" collapsed="false">
      <c r="A197" s="32" t="str">
        <f aca="false">IF(I197="","","STU"&amp;TEXT(ROW()-3,"000000"))</f>
        <v/>
      </c>
      <c r="B197" s="32"/>
      <c r="C197" s="32"/>
      <c r="D197" s="32"/>
      <c r="E197" s="32"/>
      <c r="F197" s="32"/>
      <c r="G197" s="32"/>
      <c r="H197" s="32"/>
      <c r="I197" s="32"/>
      <c r="J197" s="34"/>
      <c r="K197" s="32"/>
      <c r="L197" s="32"/>
      <c r="M197" s="32"/>
      <c r="N197" s="32"/>
      <c r="O197" s="32"/>
      <c r="P197" s="32"/>
      <c r="Q197" s="34"/>
      <c r="R197" s="34"/>
      <c r="S197" s="35" t="str">
        <f aca="false">IF(OR(Q197="",R197=""),"",ROUND(R197/((Q197/100)^2),1))</f>
        <v/>
      </c>
      <c r="T197" s="32" t="str">
        <f aca="false">IF(S197="","",IF(S197&lt;18.5,"Underweight",IF(S197&lt;25,"Normal",IF(S197&lt;30,"Overweight","Obese"))))</f>
        <v/>
      </c>
      <c r="U197" s="34"/>
      <c r="V197" s="34"/>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5" t="str">
        <f aca="false">IF(T197="","",IF(T197="Normal",100,IF(T197="Overweight",65,IF(T197="Obese",50,IF(AND(U197&lt;&gt;"",U197&lt;18.5),30,45)))))</f>
        <v/>
      </c>
      <c r="BG197" s="35" t="str">
        <f aca="false">IF(COUNTBLANK(W197:AC197)&gt;0,"",ROUND(AVERAGE(INDEX('SCORING MASTER'!$D$5:$D$7,MATCH(W197,'SCORING MASTER'!$C$5:$C$7,0)),INDEX('SCORING MASTER'!$D$9:$D$11,MATCH(X197,'SCORING MASTER'!$C$9:$C$11,0)),INDEX('SCORING MASTER'!$D$13:$D$15,MATCH(Y197,'SCORING MASTER'!$C$13:$C$15,0)),INDEX('SCORING MASTER'!$D$17:$D$19,MATCH(Z197,'SCORING MASTER'!$C$17:$C$19,0)),INDEX('SCORING MASTER'!$D$21:$D$23,MATCH(AA197,'SCORING MASTER'!$C$21:$C$23,0)),INDEX('SCORING MASTER'!$D$25:$D$27,MATCH(AB197,'SCORING MASTER'!$C$25:$C$27,0)),INDEX('SCORING MASTER'!$D$29:$D$31,MATCH(AC197,'SCORING MASTER'!$C$29:$C$31,0)))*20,0))</f>
        <v/>
      </c>
      <c r="BH197" s="35" t="str">
        <f aca="false">IF(COUNTBLANK(AD197:AI197)&gt;0,"",ROUND(AVERAGE(INDEX('SCORING MASTER'!$D$33:$D$35,MATCH(AD197,'SCORING MASTER'!$C$33:$C$35,0)),INDEX('SCORING MASTER'!$D$37:$D$39,MATCH(AE197,'SCORING MASTER'!$C$37:$C$39,0)),INDEX('SCORING MASTER'!$D$41:$D$43,MATCH(AF197,'SCORING MASTER'!$C$41:$C$43,0)),INDEX('SCORING MASTER'!$D$45:$D$47,MATCH(AG197,'SCORING MASTER'!$C$45:$C$47,0)),INDEX('SCORING MASTER'!$D$49:$D$52,MATCH(AH197,'SCORING MASTER'!$C$49:$C$52,0)),INDEX('SCORING MASTER'!$D$54:$D$57,MATCH(AI197,'SCORING MASTER'!$C$54:$C$57,0)))*20,0))</f>
        <v/>
      </c>
      <c r="BI197" s="35" t="str">
        <f aca="false">IF(COUNTBLANK(AJ197:AP197)&gt;0,"",ROUND(AVERAGE(INDEX('SCORING MASTER'!$D$59:$D$60,MATCH(AJ197,'SCORING MASTER'!$C$59:$C$60,0)),INDEX('SCORING MASTER'!$D$62:$D$63,MATCH(AK197,'SCORING MASTER'!$C$62:$C$63,0)),INDEX('SCORING MASTER'!$D$65:$D$66,MATCH(AL197,'SCORING MASTER'!$C$65:$C$66,0)),INDEX('SCORING MASTER'!$D$68:$D$69,MATCH(AM197,'SCORING MASTER'!$C$68:$C$69,0)),INDEX('SCORING MASTER'!$D$71:$D$72,MATCH(AN197,'SCORING MASTER'!$C$71:$C$72,0)),INDEX('SCORING MASTER'!$D$74:$D$75,MATCH(AO197,'SCORING MASTER'!$C$74:$C$75,0)),INDEX('SCORING MASTER'!$D$77:$D$78,MATCH(AP197,'SCORING MASTER'!$C$77:$C$78,0)))*20,0))</f>
        <v/>
      </c>
      <c r="BJ197" s="35" t="str">
        <f aca="false">IF(COUNTBLANK(AU197:AZ197)&gt;0,"",ROUND(AVERAGE(INDEX('SCORING MASTER'!$D$95:$D$96,MATCH(AU197,'SCORING MASTER'!$C$95:$C$96,0)),INDEX('SCORING MASTER'!$D$98:$D$99,MATCH(AV197,'SCORING MASTER'!$C$98:$C$99,0)),INDEX('SCORING MASTER'!$D$101:$D$102,MATCH(AW197,'SCORING MASTER'!$C$101:$C$102,0)),INDEX('SCORING MASTER'!$D$104:$D$105,MATCH(AX197,'SCORING MASTER'!$C$104:$C$105,0)),INDEX('SCORING MASTER'!$D$107:$D$108,MATCH(AY197,'SCORING MASTER'!$C$107:$C$108,0)),INDEX('SCORING MASTER'!$D$110:$D$111,MATCH(AZ197,'SCORING MASTER'!$C$110:$C$111,0)))*20,0))</f>
        <v/>
      </c>
      <c r="BK197" s="35" t="str">
        <f aca="false">IF(COUNTBLANK(AQ197:AT197)&gt;0,"",ROUND(AVERAGE(INDEX('SCORING MASTER'!$D$80:$D$82,MATCH(AQ197,'SCORING MASTER'!$C$80:$C$82,0)),INDEX('SCORING MASTER'!$D$84:$D$86,MATCH(AR197,'SCORING MASTER'!$C$84:$C$86,0)),INDEX('SCORING MASTER'!$D$88:$D$90,MATCH(AS197,'SCORING MASTER'!$C$88:$C$90,0)),INDEX('SCORING MASTER'!$D$92:$D$93,MATCH(AT197,'SCORING MASTER'!$C$92:$C$93,0)))*20,0))</f>
        <v/>
      </c>
      <c r="BL197" s="35" t="str">
        <f aca="false">IF(COUNTBLANK(BA197:BE197)&gt;0,"",ROUND(AVERAGE(INDEX('SCORING MASTER'!$D$113:$D$115,MATCH(BA197,'SCORING MASTER'!$C$113:$C$115,0)),INDEX('SCORING MASTER'!$D$117:$D$119,MATCH(BB197,'SCORING MASTER'!$C$117:$C$119,0)),INDEX('SCORING MASTER'!$D$121:$D$123,MATCH(BC197,'SCORING MASTER'!$C$121:$C$123,0)),INDEX('SCORING MASTER'!$D$125:$D$126,MATCH(BD197,'SCORING MASTER'!$C$125:$C$126,0)),INDEX('SCORING MASTER'!$D$128:$D$129,MATCH(BE197,'SCORING MASTER'!$C$128:$C$129,0)))*20,0))</f>
        <v/>
      </c>
      <c r="BM197" s="35" t="str">
        <f aca="false">IF(OR(BF197="",BG197="",BH197="",BI197="",BJ197="",BK197="",BL197=""),"",ROUND(BF197*0.25+BG197*0.2+BH197*0.15+BI197*0.15+BJ197*0.1+BK197*0.1+BL197*0.05,0))</f>
        <v/>
      </c>
      <c r="BN197" s="35" t="str">
        <f aca="false">IF(OR(BF197="",BG197=""),"",ROUND(BF197*0.5+BG197*0.5,0))</f>
        <v/>
      </c>
      <c r="BO197" s="35" t="str">
        <f aca="false">IF(BN197="","",ROUND(MIN(100,MAX(0,(100-BN197)+IF(AL197="Yes",15,0)+IF(AM197="Yes",15,0)+IF(AND(U197&lt;&gt;"",U197&lt;18.5),20,0))),0))</f>
        <v/>
      </c>
      <c r="BP197" s="32" t="str">
        <f aca="false">IF(BM197="","",IF(BM197&gt;=90,"Green - Healthy",IF(BM197&gt;=75,"Light Green - Mild Watch",IF(BM197&gt;=60,"Yellow - Mild Risk",IF(BM197&gt;=40,"Orange - Moderate Risk","Red - High Risk")))))</f>
        <v/>
      </c>
      <c r="BQ197" s="32" t="str">
        <f aca="false">IF(BM197="","",IF(OR(BM197&lt;60,BO197&gt;=60,AJ197="Yes"),"Yes","No"))</f>
        <v/>
      </c>
      <c r="BR197" s="32" t="str">
        <f aca="false">IF(BM197="","",IF(OR(BP197="Orange - Moderate Risk",BP197="Red - High Risk",BQ197="Yes"),"Yes","No"))</f>
        <v/>
      </c>
    </row>
    <row r="198" customFormat="false" ht="15" hidden="false" customHeight="false" outlineLevel="0" collapsed="false">
      <c r="A198" s="28" t="str">
        <f aca="false">IF(I198="","","STU"&amp;TEXT(ROW()-3,"000000"))</f>
        <v/>
      </c>
      <c r="B198" s="28"/>
      <c r="C198" s="28"/>
      <c r="D198" s="28"/>
      <c r="E198" s="28"/>
      <c r="F198" s="28"/>
      <c r="G198" s="28"/>
      <c r="H198" s="28"/>
      <c r="I198" s="28"/>
      <c r="J198" s="30"/>
      <c r="K198" s="28"/>
      <c r="L198" s="28"/>
      <c r="M198" s="28"/>
      <c r="N198" s="28"/>
      <c r="O198" s="28"/>
      <c r="P198" s="28"/>
      <c r="Q198" s="30"/>
      <c r="R198" s="30"/>
      <c r="S198" s="31" t="str">
        <f aca="false">IF(OR(Q198="",R198=""),"",ROUND(R198/((Q198/100)^2),1))</f>
        <v/>
      </c>
      <c r="T198" s="28" t="str">
        <f aca="false">IF(S198="","",IF(S198&lt;18.5,"Underweight",IF(S198&lt;25,"Normal",IF(S198&lt;30,"Overweight","Obese"))))</f>
        <v/>
      </c>
      <c r="U198" s="30"/>
      <c r="V198" s="30"/>
      <c r="W198" s="28"/>
      <c r="X198" s="28"/>
      <c r="Y198" s="28"/>
      <c r="Z198" s="28"/>
      <c r="AA198" s="28"/>
      <c r="AB198" s="28"/>
      <c r="AC198" s="28"/>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c r="BD198" s="28"/>
      <c r="BE198" s="28"/>
      <c r="BF198" s="31" t="str">
        <f aca="false">IF(T198="","",IF(T198="Normal",100,IF(T198="Overweight",65,IF(T198="Obese",50,IF(AND(U198&lt;&gt;"",U198&lt;18.5),30,45)))))</f>
        <v/>
      </c>
      <c r="BG198" s="31" t="str">
        <f aca="false">IF(COUNTBLANK(W198:AC198)&gt;0,"",ROUND(AVERAGE(INDEX('SCORING MASTER'!$D$5:$D$7,MATCH(W198,'SCORING MASTER'!$C$5:$C$7,0)),INDEX('SCORING MASTER'!$D$9:$D$11,MATCH(X198,'SCORING MASTER'!$C$9:$C$11,0)),INDEX('SCORING MASTER'!$D$13:$D$15,MATCH(Y198,'SCORING MASTER'!$C$13:$C$15,0)),INDEX('SCORING MASTER'!$D$17:$D$19,MATCH(Z198,'SCORING MASTER'!$C$17:$C$19,0)),INDEX('SCORING MASTER'!$D$21:$D$23,MATCH(AA198,'SCORING MASTER'!$C$21:$C$23,0)),INDEX('SCORING MASTER'!$D$25:$D$27,MATCH(AB198,'SCORING MASTER'!$C$25:$C$27,0)),INDEX('SCORING MASTER'!$D$29:$D$31,MATCH(AC198,'SCORING MASTER'!$C$29:$C$31,0)))*20,0))</f>
        <v/>
      </c>
      <c r="BH198" s="31" t="str">
        <f aca="false">IF(COUNTBLANK(AD198:AI198)&gt;0,"",ROUND(AVERAGE(INDEX('SCORING MASTER'!$D$33:$D$35,MATCH(AD198,'SCORING MASTER'!$C$33:$C$35,0)),INDEX('SCORING MASTER'!$D$37:$D$39,MATCH(AE198,'SCORING MASTER'!$C$37:$C$39,0)),INDEX('SCORING MASTER'!$D$41:$D$43,MATCH(AF198,'SCORING MASTER'!$C$41:$C$43,0)),INDEX('SCORING MASTER'!$D$45:$D$47,MATCH(AG198,'SCORING MASTER'!$C$45:$C$47,0)),INDEX('SCORING MASTER'!$D$49:$D$52,MATCH(AH198,'SCORING MASTER'!$C$49:$C$52,0)),INDEX('SCORING MASTER'!$D$54:$D$57,MATCH(AI198,'SCORING MASTER'!$C$54:$C$57,0)))*20,0))</f>
        <v/>
      </c>
      <c r="BI198" s="31" t="str">
        <f aca="false">IF(COUNTBLANK(AJ198:AP198)&gt;0,"",ROUND(AVERAGE(INDEX('SCORING MASTER'!$D$59:$D$60,MATCH(AJ198,'SCORING MASTER'!$C$59:$C$60,0)),INDEX('SCORING MASTER'!$D$62:$D$63,MATCH(AK198,'SCORING MASTER'!$C$62:$C$63,0)),INDEX('SCORING MASTER'!$D$65:$D$66,MATCH(AL198,'SCORING MASTER'!$C$65:$C$66,0)),INDEX('SCORING MASTER'!$D$68:$D$69,MATCH(AM198,'SCORING MASTER'!$C$68:$C$69,0)),INDEX('SCORING MASTER'!$D$71:$D$72,MATCH(AN198,'SCORING MASTER'!$C$71:$C$72,0)),INDEX('SCORING MASTER'!$D$74:$D$75,MATCH(AO198,'SCORING MASTER'!$C$74:$C$75,0)),INDEX('SCORING MASTER'!$D$77:$D$78,MATCH(AP198,'SCORING MASTER'!$C$77:$C$78,0)))*20,0))</f>
        <v/>
      </c>
      <c r="BJ198" s="31" t="str">
        <f aca="false">IF(COUNTBLANK(AU198:AZ198)&gt;0,"",ROUND(AVERAGE(INDEX('SCORING MASTER'!$D$95:$D$96,MATCH(AU198,'SCORING MASTER'!$C$95:$C$96,0)),INDEX('SCORING MASTER'!$D$98:$D$99,MATCH(AV198,'SCORING MASTER'!$C$98:$C$99,0)),INDEX('SCORING MASTER'!$D$101:$D$102,MATCH(AW198,'SCORING MASTER'!$C$101:$C$102,0)),INDEX('SCORING MASTER'!$D$104:$D$105,MATCH(AX198,'SCORING MASTER'!$C$104:$C$105,0)),INDEX('SCORING MASTER'!$D$107:$D$108,MATCH(AY198,'SCORING MASTER'!$C$107:$C$108,0)),INDEX('SCORING MASTER'!$D$110:$D$111,MATCH(AZ198,'SCORING MASTER'!$C$110:$C$111,0)))*20,0))</f>
        <v/>
      </c>
      <c r="BK198" s="31" t="str">
        <f aca="false">IF(COUNTBLANK(AQ198:AT198)&gt;0,"",ROUND(AVERAGE(INDEX('SCORING MASTER'!$D$80:$D$82,MATCH(AQ198,'SCORING MASTER'!$C$80:$C$82,0)),INDEX('SCORING MASTER'!$D$84:$D$86,MATCH(AR198,'SCORING MASTER'!$C$84:$C$86,0)),INDEX('SCORING MASTER'!$D$88:$D$90,MATCH(AS198,'SCORING MASTER'!$C$88:$C$90,0)),INDEX('SCORING MASTER'!$D$92:$D$93,MATCH(AT198,'SCORING MASTER'!$C$92:$C$93,0)))*20,0))</f>
        <v/>
      </c>
      <c r="BL198" s="31" t="str">
        <f aca="false">IF(COUNTBLANK(BA198:BE198)&gt;0,"",ROUND(AVERAGE(INDEX('SCORING MASTER'!$D$113:$D$115,MATCH(BA198,'SCORING MASTER'!$C$113:$C$115,0)),INDEX('SCORING MASTER'!$D$117:$D$119,MATCH(BB198,'SCORING MASTER'!$C$117:$C$119,0)),INDEX('SCORING MASTER'!$D$121:$D$123,MATCH(BC198,'SCORING MASTER'!$C$121:$C$123,0)),INDEX('SCORING MASTER'!$D$125:$D$126,MATCH(BD198,'SCORING MASTER'!$C$125:$C$126,0)),INDEX('SCORING MASTER'!$D$128:$D$129,MATCH(BE198,'SCORING MASTER'!$C$128:$C$129,0)))*20,0))</f>
        <v/>
      </c>
      <c r="BM198" s="31" t="str">
        <f aca="false">IF(OR(BF198="",BG198="",BH198="",BI198="",BJ198="",BK198="",BL198=""),"",ROUND(BF198*0.25+BG198*0.2+BH198*0.15+BI198*0.15+BJ198*0.1+BK198*0.1+BL198*0.05,0))</f>
        <v/>
      </c>
      <c r="BN198" s="31" t="str">
        <f aca="false">IF(OR(BF198="",BG198=""),"",ROUND(BF198*0.5+BG198*0.5,0))</f>
        <v/>
      </c>
      <c r="BO198" s="31" t="str">
        <f aca="false">IF(BN198="","",ROUND(MIN(100,MAX(0,(100-BN198)+IF(AL198="Yes",15,0)+IF(AM198="Yes",15,0)+IF(AND(U198&lt;&gt;"",U198&lt;18.5),20,0))),0))</f>
        <v/>
      </c>
      <c r="BP198" s="28" t="str">
        <f aca="false">IF(BM198="","",IF(BM198&gt;=90,"Green - Healthy",IF(BM198&gt;=75,"Light Green - Mild Watch",IF(BM198&gt;=60,"Yellow - Mild Risk",IF(BM198&gt;=40,"Orange - Moderate Risk","Red - High Risk")))))</f>
        <v/>
      </c>
      <c r="BQ198" s="28" t="str">
        <f aca="false">IF(BM198="","",IF(OR(BM198&lt;60,BO198&gt;=60,AJ198="Yes"),"Yes","No"))</f>
        <v/>
      </c>
      <c r="BR198" s="28" t="str">
        <f aca="false">IF(BM198="","",IF(OR(BP198="Orange - Moderate Risk",BP198="Red - High Risk",BQ198="Yes"),"Yes","No"))</f>
        <v/>
      </c>
    </row>
    <row r="199" customFormat="false" ht="15" hidden="false" customHeight="false" outlineLevel="0" collapsed="false">
      <c r="A199" s="32" t="str">
        <f aca="false">IF(I199="","","STU"&amp;TEXT(ROW()-3,"000000"))</f>
        <v/>
      </c>
      <c r="B199" s="32"/>
      <c r="C199" s="32"/>
      <c r="D199" s="32"/>
      <c r="E199" s="32"/>
      <c r="F199" s="32"/>
      <c r="G199" s="32"/>
      <c r="H199" s="32"/>
      <c r="I199" s="32"/>
      <c r="J199" s="34"/>
      <c r="K199" s="32"/>
      <c r="L199" s="32"/>
      <c r="M199" s="32"/>
      <c r="N199" s="32"/>
      <c r="O199" s="32"/>
      <c r="P199" s="32"/>
      <c r="Q199" s="34"/>
      <c r="R199" s="34"/>
      <c r="S199" s="35" t="str">
        <f aca="false">IF(OR(Q199="",R199=""),"",ROUND(R199/((Q199/100)^2),1))</f>
        <v/>
      </c>
      <c r="T199" s="32" t="str">
        <f aca="false">IF(S199="","",IF(S199&lt;18.5,"Underweight",IF(S199&lt;25,"Normal",IF(S199&lt;30,"Overweight","Obese"))))</f>
        <v/>
      </c>
      <c r="U199" s="34"/>
      <c r="V199" s="34"/>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5" t="str">
        <f aca="false">IF(T199="","",IF(T199="Normal",100,IF(T199="Overweight",65,IF(T199="Obese",50,IF(AND(U199&lt;&gt;"",U199&lt;18.5),30,45)))))</f>
        <v/>
      </c>
      <c r="BG199" s="35" t="str">
        <f aca="false">IF(COUNTBLANK(W199:AC199)&gt;0,"",ROUND(AVERAGE(INDEX('SCORING MASTER'!$D$5:$D$7,MATCH(W199,'SCORING MASTER'!$C$5:$C$7,0)),INDEX('SCORING MASTER'!$D$9:$D$11,MATCH(X199,'SCORING MASTER'!$C$9:$C$11,0)),INDEX('SCORING MASTER'!$D$13:$D$15,MATCH(Y199,'SCORING MASTER'!$C$13:$C$15,0)),INDEX('SCORING MASTER'!$D$17:$D$19,MATCH(Z199,'SCORING MASTER'!$C$17:$C$19,0)),INDEX('SCORING MASTER'!$D$21:$D$23,MATCH(AA199,'SCORING MASTER'!$C$21:$C$23,0)),INDEX('SCORING MASTER'!$D$25:$D$27,MATCH(AB199,'SCORING MASTER'!$C$25:$C$27,0)),INDEX('SCORING MASTER'!$D$29:$D$31,MATCH(AC199,'SCORING MASTER'!$C$29:$C$31,0)))*20,0))</f>
        <v/>
      </c>
      <c r="BH199" s="35" t="str">
        <f aca="false">IF(COUNTBLANK(AD199:AI199)&gt;0,"",ROUND(AVERAGE(INDEX('SCORING MASTER'!$D$33:$D$35,MATCH(AD199,'SCORING MASTER'!$C$33:$C$35,0)),INDEX('SCORING MASTER'!$D$37:$D$39,MATCH(AE199,'SCORING MASTER'!$C$37:$C$39,0)),INDEX('SCORING MASTER'!$D$41:$D$43,MATCH(AF199,'SCORING MASTER'!$C$41:$C$43,0)),INDEX('SCORING MASTER'!$D$45:$D$47,MATCH(AG199,'SCORING MASTER'!$C$45:$C$47,0)),INDEX('SCORING MASTER'!$D$49:$D$52,MATCH(AH199,'SCORING MASTER'!$C$49:$C$52,0)),INDEX('SCORING MASTER'!$D$54:$D$57,MATCH(AI199,'SCORING MASTER'!$C$54:$C$57,0)))*20,0))</f>
        <v/>
      </c>
      <c r="BI199" s="35" t="str">
        <f aca="false">IF(COUNTBLANK(AJ199:AP199)&gt;0,"",ROUND(AVERAGE(INDEX('SCORING MASTER'!$D$59:$D$60,MATCH(AJ199,'SCORING MASTER'!$C$59:$C$60,0)),INDEX('SCORING MASTER'!$D$62:$D$63,MATCH(AK199,'SCORING MASTER'!$C$62:$C$63,0)),INDEX('SCORING MASTER'!$D$65:$D$66,MATCH(AL199,'SCORING MASTER'!$C$65:$C$66,0)),INDEX('SCORING MASTER'!$D$68:$D$69,MATCH(AM199,'SCORING MASTER'!$C$68:$C$69,0)),INDEX('SCORING MASTER'!$D$71:$D$72,MATCH(AN199,'SCORING MASTER'!$C$71:$C$72,0)),INDEX('SCORING MASTER'!$D$74:$D$75,MATCH(AO199,'SCORING MASTER'!$C$74:$C$75,0)),INDEX('SCORING MASTER'!$D$77:$D$78,MATCH(AP199,'SCORING MASTER'!$C$77:$C$78,0)))*20,0))</f>
        <v/>
      </c>
      <c r="BJ199" s="35" t="str">
        <f aca="false">IF(COUNTBLANK(AU199:AZ199)&gt;0,"",ROUND(AVERAGE(INDEX('SCORING MASTER'!$D$95:$D$96,MATCH(AU199,'SCORING MASTER'!$C$95:$C$96,0)),INDEX('SCORING MASTER'!$D$98:$D$99,MATCH(AV199,'SCORING MASTER'!$C$98:$C$99,0)),INDEX('SCORING MASTER'!$D$101:$D$102,MATCH(AW199,'SCORING MASTER'!$C$101:$C$102,0)),INDEX('SCORING MASTER'!$D$104:$D$105,MATCH(AX199,'SCORING MASTER'!$C$104:$C$105,0)),INDEX('SCORING MASTER'!$D$107:$D$108,MATCH(AY199,'SCORING MASTER'!$C$107:$C$108,0)),INDEX('SCORING MASTER'!$D$110:$D$111,MATCH(AZ199,'SCORING MASTER'!$C$110:$C$111,0)))*20,0))</f>
        <v/>
      </c>
      <c r="BK199" s="35" t="str">
        <f aca="false">IF(COUNTBLANK(AQ199:AT199)&gt;0,"",ROUND(AVERAGE(INDEX('SCORING MASTER'!$D$80:$D$82,MATCH(AQ199,'SCORING MASTER'!$C$80:$C$82,0)),INDEX('SCORING MASTER'!$D$84:$D$86,MATCH(AR199,'SCORING MASTER'!$C$84:$C$86,0)),INDEX('SCORING MASTER'!$D$88:$D$90,MATCH(AS199,'SCORING MASTER'!$C$88:$C$90,0)),INDEX('SCORING MASTER'!$D$92:$D$93,MATCH(AT199,'SCORING MASTER'!$C$92:$C$93,0)))*20,0))</f>
        <v/>
      </c>
      <c r="BL199" s="35" t="str">
        <f aca="false">IF(COUNTBLANK(BA199:BE199)&gt;0,"",ROUND(AVERAGE(INDEX('SCORING MASTER'!$D$113:$D$115,MATCH(BA199,'SCORING MASTER'!$C$113:$C$115,0)),INDEX('SCORING MASTER'!$D$117:$D$119,MATCH(BB199,'SCORING MASTER'!$C$117:$C$119,0)),INDEX('SCORING MASTER'!$D$121:$D$123,MATCH(BC199,'SCORING MASTER'!$C$121:$C$123,0)),INDEX('SCORING MASTER'!$D$125:$D$126,MATCH(BD199,'SCORING MASTER'!$C$125:$C$126,0)),INDEX('SCORING MASTER'!$D$128:$D$129,MATCH(BE199,'SCORING MASTER'!$C$128:$C$129,0)))*20,0))</f>
        <v/>
      </c>
      <c r="BM199" s="35" t="str">
        <f aca="false">IF(OR(BF199="",BG199="",BH199="",BI199="",BJ199="",BK199="",BL199=""),"",ROUND(BF199*0.25+BG199*0.2+BH199*0.15+BI199*0.15+BJ199*0.1+BK199*0.1+BL199*0.05,0))</f>
        <v/>
      </c>
      <c r="BN199" s="35" t="str">
        <f aca="false">IF(OR(BF199="",BG199=""),"",ROUND(BF199*0.5+BG199*0.5,0))</f>
        <v/>
      </c>
      <c r="BO199" s="35" t="str">
        <f aca="false">IF(BN199="","",ROUND(MIN(100,MAX(0,(100-BN199)+IF(AL199="Yes",15,0)+IF(AM199="Yes",15,0)+IF(AND(U199&lt;&gt;"",U199&lt;18.5),20,0))),0))</f>
        <v/>
      </c>
      <c r="BP199" s="32" t="str">
        <f aca="false">IF(BM199="","",IF(BM199&gt;=90,"Green - Healthy",IF(BM199&gt;=75,"Light Green - Mild Watch",IF(BM199&gt;=60,"Yellow - Mild Risk",IF(BM199&gt;=40,"Orange - Moderate Risk","Red - High Risk")))))</f>
        <v/>
      </c>
      <c r="BQ199" s="32" t="str">
        <f aca="false">IF(BM199="","",IF(OR(BM199&lt;60,BO199&gt;=60,AJ199="Yes"),"Yes","No"))</f>
        <v/>
      </c>
      <c r="BR199" s="32" t="str">
        <f aca="false">IF(BM199="","",IF(OR(BP199="Orange - Moderate Risk",BP199="Red - High Risk",BQ199="Yes"),"Yes","No"))</f>
        <v/>
      </c>
    </row>
    <row r="200" customFormat="false" ht="15" hidden="false" customHeight="false" outlineLevel="0" collapsed="false">
      <c r="A200" s="28" t="str">
        <f aca="false">IF(I200="","","STU"&amp;TEXT(ROW()-3,"000000"))</f>
        <v/>
      </c>
      <c r="B200" s="28"/>
      <c r="C200" s="28"/>
      <c r="D200" s="28"/>
      <c r="E200" s="28"/>
      <c r="F200" s="28"/>
      <c r="G200" s="28"/>
      <c r="H200" s="28"/>
      <c r="I200" s="28"/>
      <c r="J200" s="30"/>
      <c r="K200" s="28"/>
      <c r="L200" s="28"/>
      <c r="M200" s="28"/>
      <c r="N200" s="28"/>
      <c r="O200" s="28"/>
      <c r="P200" s="28"/>
      <c r="Q200" s="30"/>
      <c r="R200" s="30"/>
      <c r="S200" s="31" t="str">
        <f aca="false">IF(OR(Q200="",R200=""),"",ROUND(R200/((Q200/100)^2),1))</f>
        <v/>
      </c>
      <c r="T200" s="28" t="str">
        <f aca="false">IF(S200="","",IF(S200&lt;18.5,"Underweight",IF(S200&lt;25,"Normal",IF(S200&lt;30,"Overweight","Obese"))))</f>
        <v/>
      </c>
      <c r="U200" s="30"/>
      <c r="V200" s="30"/>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c r="BE200" s="28"/>
      <c r="BF200" s="31" t="str">
        <f aca="false">IF(T200="","",IF(T200="Normal",100,IF(T200="Overweight",65,IF(T200="Obese",50,IF(AND(U200&lt;&gt;"",U200&lt;18.5),30,45)))))</f>
        <v/>
      </c>
      <c r="BG200" s="31" t="str">
        <f aca="false">IF(COUNTBLANK(W200:AC200)&gt;0,"",ROUND(AVERAGE(INDEX('SCORING MASTER'!$D$5:$D$7,MATCH(W200,'SCORING MASTER'!$C$5:$C$7,0)),INDEX('SCORING MASTER'!$D$9:$D$11,MATCH(X200,'SCORING MASTER'!$C$9:$C$11,0)),INDEX('SCORING MASTER'!$D$13:$D$15,MATCH(Y200,'SCORING MASTER'!$C$13:$C$15,0)),INDEX('SCORING MASTER'!$D$17:$D$19,MATCH(Z200,'SCORING MASTER'!$C$17:$C$19,0)),INDEX('SCORING MASTER'!$D$21:$D$23,MATCH(AA200,'SCORING MASTER'!$C$21:$C$23,0)),INDEX('SCORING MASTER'!$D$25:$D$27,MATCH(AB200,'SCORING MASTER'!$C$25:$C$27,0)),INDEX('SCORING MASTER'!$D$29:$D$31,MATCH(AC200,'SCORING MASTER'!$C$29:$C$31,0)))*20,0))</f>
        <v/>
      </c>
      <c r="BH200" s="31" t="str">
        <f aca="false">IF(COUNTBLANK(AD200:AI200)&gt;0,"",ROUND(AVERAGE(INDEX('SCORING MASTER'!$D$33:$D$35,MATCH(AD200,'SCORING MASTER'!$C$33:$C$35,0)),INDEX('SCORING MASTER'!$D$37:$D$39,MATCH(AE200,'SCORING MASTER'!$C$37:$C$39,0)),INDEX('SCORING MASTER'!$D$41:$D$43,MATCH(AF200,'SCORING MASTER'!$C$41:$C$43,0)),INDEX('SCORING MASTER'!$D$45:$D$47,MATCH(AG200,'SCORING MASTER'!$C$45:$C$47,0)),INDEX('SCORING MASTER'!$D$49:$D$52,MATCH(AH200,'SCORING MASTER'!$C$49:$C$52,0)),INDEX('SCORING MASTER'!$D$54:$D$57,MATCH(AI200,'SCORING MASTER'!$C$54:$C$57,0)))*20,0))</f>
        <v/>
      </c>
      <c r="BI200" s="31" t="str">
        <f aca="false">IF(COUNTBLANK(AJ200:AP200)&gt;0,"",ROUND(AVERAGE(INDEX('SCORING MASTER'!$D$59:$D$60,MATCH(AJ200,'SCORING MASTER'!$C$59:$C$60,0)),INDEX('SCORING MASTER'!$D$62:$D$63,MATCH(AK200,'SCORING MASTER'!$C$62:$C$63,0)),INDEX('SCORING MASTER'!$D$65:$D$66,MATCH(AL200,'SCORING MASTER'!$C$65:$C$66,0)),INDEX('SCORING MASTER'!$D$68:$D$69,MATCH(AM200,'SCORING MASTER'!$C$68:$C$69,0)),INDEX('SCORING MASTER'!$D$71:$D$72,MATCH(AN200,'SCORING MASTER'!$C$71:$C$72,0)),INDEX('SCORING MASTER'!$D$74:$D$75,MATCH(AO200,'SCORING MASTER'!$C$74:$C$75,0)),INDEX('SCORING MASTER'!$D$77:$D$78,MATCH(AP200,'SCORING MASTER'!$C$77:$C$78,0)))*20,0))</f>
        <v/>
      </c>
      <c r="BJ200" s="31" t="str">
        <f aca="false">IF(COUNTBLANK(AU200:AZ200)&gt;0,"",ROUND(AVERAGE(INDEX('SCORING MASTER'!$D$95:$D$96,MATCH(AU200,'SCORING MASTER'!$C$95:$C$96,0)),INDEX('SCORING MASTER'!$D$98:$D$99,MATCH(AV200,'SCORING MASTER'!$C$98:$C$99,0)),INDEX('SCORING MASTER'!$D$101:$D$102,MATCH(AW200,'SCORING MASTER'!$C$101:$C$102,0)),INDEX('SCORING MASTER'!$D$104:$D$105,MATCH(AX200,'SCORING MASTER'!$C$104:$C$105,0)),INDEX('SCORING MASTER'!$D$107:$D$108,MATCH(AY200,'SCORING MASTER'!$C$107:$C$108,0)),INDEX('SCORING MASTER'!$D$110:$D$111,MATCH(AZ200,'SCORING MASTER'!$C$110:$C$111,0)))*20,0))</f>
        <v/>
      </c>
      <c r="BK200" s="31" t="str">
        <f aca="false">IF(COUNTBLANK(AQ200:AT200)&gt;0,"",ROUND(AVERAGE(INDEX('SCORING MASTER'!$D$80:$D$82,MATCH(AQ200,'SCORING MASTER'!$C$80:$C$82,0)),INDEX('SCORING MASTER'!$D$84:$D$86,MATCH(AR200,'SCORING MASTER'!$C$84:$C$86,0)),INDEX('SCORING MASTER'!$D$88:$D$90,MATCH(AS200,'SCORING MASTER'!$C$88:$C$90,0)),INDEX('SCORING MASTER'!$D$92:$D$93,MATCH(AT200,'SCORING MASTER'!$C$92:$C$93,0)))*20,0))</f>
        <v/>
      </c>
      <c r="BL200" s="31" t="str">
        <f aca="false">IF(COUNTBLANK(BA200:BE200)&gt;0,"",ROUND(AVERAGE(INDEX('SCORING MASTER'!$D$113:$D$115,MATCH(BA200,'SCORING MASTER'!$C$113:$C$115,0)),INDEX('SCORING MASTER'!$D$117:$D$119,MATCH(BB200,'SCORING MASTER'!$C$117:$C$119,0)),INDEX('SCORING MASTER'!$D$121:$D$123,MATCH(BC200,'SCORING MASTER'!$C$121:$C$123,0)),INDEX('SCORING MASTER'!$D$125:$D$126,MATCH(BD200,'SCORING MASTER'!$C$125:$C$126,0)),INDEX('SCORING MASTER'!$D$128:$D$129,MATCH(BE200,'SCORING MASTER'!$C$128:$C$129,0)))*20,0))</f>
        <v/>
      </c>
      <c r="BM200" s="31" t="str">
        <f aca="false">IF(OR(BF200="",BG200="",BH200="",BI200="",BJ200="",BK200="",BL200=""),"",ROUND(BF200*0.25+BG200*0.2+BH200*0.15+BI200*0.15+BJ200*0.1+BK200*0.1+BL200*0.05,0))</f>
        <v/>
      </c>
      <c r="BN200" s="31" t="str">
        <f aca="false">IF(OR(BF200="",BG200=""),"",ROUND(BF200*0.5+BG200*0.5,0))</f>
        <v/>
      </c>
      <c r="BO200" s="31" t="str">
        <f aca="false">IF(BN200="","",ROUND(MIN(100,MAX(0,(100-BN200)+IF(AL200="Yes",15,0)+IF(AM200="Yes",15,0)+IF(AND(U200&lt;&gt;"",U200&lt;18.5),20,0))),0))</f>
        <v/>
      </c>
      <c r="BP200" s="28" t="str">
        <f aca="false">IF(BM200="","",IF(BM200&gt;=90,"Green - Healthy",IF(BM200&gt;=75,"Light Green - Mild Watch",IF(BM200&gt;=60,"Yellow - Mild Risk",IF(BM200&gt;=40,"Orange - Moderate Risk","Red - High Risk")))))</f>
        <v/>
      </c>
      <c r="BQ200" s="28" t="str">
        <f aca="false">IF(BM200="","",IF(OR(BM200&lt;60,BO200&gt;=60,AJ200="Yes"),"Yes","No"))</f>
        <v/>
      </c>
      <c r="BR200" s="28" t="str">
        <f aca="false">IF(BM200="","",IF(OR(BP200="Orange - Moderate Risk",BP200="Red - High Risk",BQ200="Yes"),"Yes","No"))</f>
        <v/>
      </c>
    </row>
    <row r="201" customFormat="false" ht="15" hidden="false" customHeight="false" outlineLevel="0" collapsed="false">
      <c r="A201" s="32" t="str">
        <f aca="false">IF(I201="","","STU"&amp;TEXT(ROW()-3,"000000"))</f>
        <v/>
      </c>
      <c r="B201" s="32"/>
      <c r="C201" s="32"/>
      <c r="D201" s="32"/>
      <c r="E201" s="32"/>
      <c r="F201" s="32"/>
      <c r="G201" s="32"/>
      <c r="H201" s="32"/>
      <c r="I201" s="32"/>
      <c r="J201" s="34"/>
      <c r="K201" s="32"/>
      <c r="L201" s="32"/>
      <c r="M201" s="32"/>
      <c r="N201" s="32"/>
      <c r="O201" s="32"/>
      <c r="P201" s="32"/>
      <c r="Q201" s="34"/>
      <c r="R201" s="34"/>
      <c r="S201" s="35" t="str">
        <f aca="false">IF(OR(Q201="",R201=""),"",ROUND(R201/((Q201/100)^2),1))</f>
        <v/>
      </c>
      <c r="T201" s="32" t="str">
        <f aca="false">IF(S201="","",IF(S201&lt;18.5,"Underweight",IF(S201&lt;25,"Normal",IF(S201&lt;30,"Overweight","Obese"))))</f>
        <v/>
      </c>
      <c r="U201" s="34"/>
      <c r="V201" s="34"/>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c r="BF201" s="35" t="str">
        <f aca="false">IF(T201="","",IF(T201="Normal",100,IF(T201="Overweight",65,IF(T201="Obese",50,IF(AND(U201&lt;&gt;"",U201&lt;18.5),30,45)))))</f>
        <v/>
      </c>
      <c r="BG201" s="35" t="str">
        <f aca="false">IF(COUNTBLANK(W201:AC201)&gt;0,"",ROUND(AVERAGE(INDEX('SCORING MASTER'!$D$5:$D$7,MATCH(W201,'SCORING MASTER'!$C$5:$C$7,0)),INDEX('SCORING MASTER'!$D$9:$D$11,MATCH(X201,'SCORING MASTER'!$C$9:$C$11,0)),INDEX('SCORING MASTER'!$D$13:$D$15,MATCH(Y201,'SCORING MASTER'!$C$13:$C$15,0)),INDEX('SCORING MASTER'!$D$17:$D$19,MATCH(Z201,'SCORING MASTER'!$C$17:$C$19,0)),INDEX('SCORING MASTER'!$D$21:$D$23,MATCH(AA201,'SCORING MASTER'!$C$21:$C$23,0)),INDEX('SCORING MASTER'!$D$25:$D$27,MATCH(AB201,'SCORING MASTER'!$C$25:$C$27,0)),INDEX('SCORING MASTER'!$D$29:$D$31,MATCH(AC201,'SCORING MASTER'!$C$29:$C$31,0)))*20,0))</f>
        <v/>
      </c>
      <c r="BH201" s="35" t="str">
        <f aca="false">IF(COUNTBLANK(AD201:AI201)&gt;0,"",ROUND(AVERAGE(INDEX('SCORING MASTER'!$D$33:$D$35,MATCH(AD201,'SCORING MASTER'!$C$33:$C$35,0)),INDEX('SCORING MASTER'!$D$37:$D$39,MATCH(AE201,'SCORING MASTER'!$C$37:$C$39,0)),INDEX('SCORING MASTER'!$D$41:$D$43,MATCH(AF201,'SCORING MASTER'!$C$41:$C$43,0)),INDEX('SCORING MASTER'!$D$45:$D$47,MATCH(AG201,'SCORING MASTER'!$C$45:$C$47,0)),INDEX('SCORING MASTER'!$D$49:$D$52,MATCH(AH201,'SCORING MASTER'!$C$49:$C$52,0)),INDEX('SCORING MASTER'!$D$54:$D$57,MATCH(AI201,'SCORING MASTER'!$C$54:$C$57,0)))*20,0))</f>
        <v/>
      </c>
      <c r="BI201" s="35" t="str">
        <f aca="false">IF(COUNTBLANK(AJ201:AP201)&gt;0,"",ROUND(AVERAGE(INDEX('SCORING MASTER'!$D$59:$D$60,MATCH(AJ201,'SCORING MASTER'!$C$59:$C$60,0)),INDEX('SCORING MASTER'!$D$62:$D$63,MATCH(AK201,'SCORING MASTER'!$C$62:$C$63,0)),INDEX('SCORING MASTER'!$D$65:$D$66,MATCH(AL201,'SCORING MASTER'!$C$65:$C$66,0)),INDEX('SCORING MASTER'!$D$68:$D$69,MATCH(AM201,'SCORING MASTER'!$C$68:$C$69,0)),INDEX('SCORING MASTER'!$D$71:$D$72,MATCH(AN201,'SCORING MASTER'!$C$71:$C$72,0)),INDEX('SCORING MASTER'!$D$74:$D$75,MATCH(AO201,'SCORING MASTER'!$C$74:$C$75,0)),INDEX('SCORING MASTER'!$D$77:$D$78,MATCH(AP201,'SCORING MASTER'!$C$77:$C$78,0)))*20,0))</f>
        <v/>
      </c>
      <c r="BJ201" s="35" t="str">
        <f aca="false">IF(COUNTBLANK(AU201:AZ201)&gt;0,"",ROUND(AVERAGE(INDEX('SCORING MASTER'!$D$95:$D$96,MATCH(AU201,'SCORING MASTER'!$C$95:$C$96,0)),INDEX('SCORING MASTER'!$D$98:$D$99,MATCH(AV201,'SCORING MASTER'!$C$98:$C$99,0)),INDEX('SCORING MASTER'!$D$101:$D$102,MATCH(AW201,'SCORING MASTER'!$C$101:$C$102,0)),INDEX('SCORING MASTER'!$D$104:$D$105,MATCH(AX201,'SCORING MASTER'!$C$104:$C$105,0)),INDEX('SCORING MASTER'!$D$107:$D$108,MATCH(AY201,'SCORING MASTER'!$C$107:$C$108,0)),INDEX('SCORING MASTER'!$D$110:$D$111,MATCH(AZ201,'SCORING MASTER'!$C$110:$C$111,0)))*20,0))</f>
        <v/>
      </c>
      <c r="BK201" s="35" t="str">
        <f aca="false">IF(COUNTBLANK(AQ201:AT201)&gt;0,"",ROUND(AVERAGE(INDEX('SCORING MASTER'!$D$80:$D$82,MATCH(AQ201,'SCORING MASTER'!$C$80:$C$82,0)),INDEX('SCORING MASTER'!$D$84:$D$86,MATCH(AR201,'SCORING MASTER'!$C$84:$C$86,0)),INDEX('SCORING MASTER'!$D$88:$D$90,MATCH(AS201,'SCORING MASTER'!$C$88:$C$90,0)),INDEX('SCORING MASTER'!$D$92:$D$93,MATCH(AT201,'SCORING MASTER'!$C$92:$C$93,0)))*20,0))</f>
        <v/>
      </c>
      <c r="BL201" s="35" t="str">
        <f aca="false">IF(COUNTBLANK(BA201:BE201)&gt;0,"",ROUND(AVERAGE(INDEX('SCORING MASTER'!$D$113:$D$115,MATCH(BA201,'SCORING MASTER'!$C$113:$C$115,0)),INDEX('SCORING MASTER'!$D$117:$D$119,MATCH(BB201,'SCORING MASTER'!$C$117:$C$119,0)),INDEX('SCORING MASTER'!$D$121:$D$123,MATCH(BC201,'SCORING MASTER'!$C$121:$C$123,0)),INDEX('SCORING MASTER'!$D$125:$D$126,MATCH(BD201,'SCORING MASTER'!$C$125:$C$126,0)),INDEX('SCORING MASTER'!$D$128:$D$129,MATCH(BE201,'SCORING MASTER'!$C$128:$C$129,0)))*20,0))</f>
        <v/>
      </c>
      <c r="BM201" s="35" t="str">
        <f aca="false">IF(OR(BF201="",BG201="",BH201="",BI201="",BJ201="",BK201="",BL201=""),"",ROUND(BF201*0.25+BG201*0.2+BH201*0.15+BI201*0.15+BJ201*0.1+BK201*0.1+BL201*0.05,0))</f>
        <v/>
      </c>
      <c r="BN201" s="35" t="str">
        <f aca="false">IF(OR(BF201="",BG201=""),"",ROUND(BF201*0.5+BG201*0.5,0))</f>
        <v/>
      </c>
      <c r="BO201" s="35" t="str">
        <f aca="false">IF(BN201="","",ROUND(MIN(100,MAX(0,(100-BN201)+IF(AL201="Yes",15,0)+IF(AM201="Yes",15,0)+IF(AND(U201&lt;&gt;"",U201&lt;18.5),20,0))),0))</f>
        <v/>
      </c>
      <c r="BP201" s="32" t="str">
        <f aca="false">IF(BM201="","",IF(BM201&gt;=90,"Green - Healthy",IF(BM201&gt;=75,"Light Green - Mild Watch",IF(BM201&gt;=60,"Yellow - Mild Risk",IF(BM201&gt;=40,"Orange - Moderate Risk","Red - High Risk")))))</f>
        <v/>
      </c>
      <c r="BQ201" s="32" t="str">
        <f aca="false">IF(BM201="","",IF(OR(BM201&lt;60,BO201&gt;=60,AJ201="Yes"),"Yes","No"))</f>
        <v/>
      </c>
      <c r="BR201" s="32" t="str">
        <f aca="false">IF(BM201="","",IF(OR(BP201="Orange - Moderate Risk",BP201="Red - High Risk",BQ201="Yes"),"Yes","No"))</f>
        <v/>
      </c>
    </row>
    <row r="202" customFormat="false" ht="15" hidden="false" customHeight="false" outlineLevel="0" collapsed="false">
      <c r="A202" s="28" t="str">
        <f aca="false">IF(I202="","","STU"&amp;TEXT(ROW()-3,"000000"))</f>
        <v/>
      </c>
      <c r="B202" s="28"/>
      <c r="C202" s="28"/>
      <c r="D202" s="28"/>
      <c r="E202" s="28"/>
      <c r="F202" s="28"/>
      <c r="G202" s="28"/>
      <c r="H202" s="28"/>
      <c r="I202" s="28"/>
      <c r="J202" s="30"/>
      <c r="K202" s="28"/>
      <c r="L202" s="28"/>
      <c r="M202" s="28"/>
      <c r="N202" s="28"/>
      <c r="O202" s="28"/>
      <c r="P202" s="28"/>
      <c r="Q202" s="30"/>
      <c r="R202" s="30"/>
      <c r="S202" s="31" t="str">
        <f aca="false">IF(OR(Q202="",R202=""),"",ROUND(R202/((Q202/100)^2),1))</f>
        <v/>
      </c>
      <c r="T202" s="28" t="str">
        <f aca="false">IF(S202="","",IF(S202&lt;18.5,"Underweight",IF(S202&lt;25,"Normal",IF(S202&lt;30,"Overweight","Obese"))))</f>
        <v/>
      </c>
      <c r="U202" s="30"/>
      <c r="V202" s="30"/>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c r="BF202" s="31" t="str">
        <f aca="false">IF(T202="","",IF(T202="Normal",100,IF(T202="Overweight",65,IF(T202="Obese",50,IF(AND(U202&lt;&gt;"",U202&lt;18.5),30,45)))))</f>
        <v/>
      </c>
      <c r="BG202" s="31" t="str">
        <f aca="false">IF(COUNTBLANK(W202:AC202)&gt;0,"",ROUND(AVERAGE(INDEX('SCORING MASTER'!$D$5:$D$7,MATCH(W202,'SCORING MASTER'!$C$5:$C$7,0)),INDEX('SCORING MASTER'!$D$9:$D$11,MATCH(X202,'SCORING MASTER'!$C$9:$C$11,0)),INDEX('SCORING MASTER'!$D$13:$D$15,MATCH(Y202,'SCORING MASTER'!$C$13:$C$15,0)),INDEX('SCORING MASTER'!$D$17:$D$19,MATCH(Z202,'SCORING MASTER'!$C$17:$C$19,0)),INDEX('SCORING MASTER'!$D$21:$D$23,MATCH(AA202,'SCORING MASTER'!$C$21:$C$23,0)),INDEX('SCORING MASTER'!$D$25:$D$27,MATCH(AB202,'SCORING MASTER'!$C$25:$C$27,0)),INDEX('SCORING MASTER'!$D$29:$D$31,MATCH(AC202,'SCORING MASTER'!$C$29:$C$31,0)))*20,0))</f>
        <v/>
      </c>
      <c r="BH202" s="31" t="str">
        <f aca="false">IF(COUNTBLANK(AD202:AI202)&gt;0,"",ROUND(AVERAGE(INDEX('SCORING MASTER'!$D$33:$D$35,MATCH(AD202,'SCORING MASTER'!$C$33:$C$35,0)),INDEX('SCORING MASTER'!$D$37:$D$39,MATCH(AE202,'SCORING MASTER'!$C$37:$C$39,0)),INDEX('SCORING MASTER'!$D$41:$D$43,MATCH(AF202,'SCORING MASTER'!$C$41:$C$43,0)),INDEX('SCORING MASTER'!$D$45:$D$47,MATCH(AG202,'SCORING MASTER'!$C$45:$C$47,0)),INDEX('SCORING MASTER'!$D$49:$D$52,MATCH(AH202,'SCORING MASTER'!$C$49:$C$52,0)),INDEX('SCORING MASTER'!$D$54:$D$57,MATCH(AI202,'SCORING MASTER'!$C$54:$C$57,0)))*20,0))</f>
        <v/>
      </c>
      <c r="BI202" s="31" t="str">
        <f aca="false">IF(COUNTBLANK(AJ202:AP202)&gt;0,"",ROUND(AVERAGE(INDEX('SCORING MASTER'!$D$59:$D$60,MATCH(AJ202,'SCORING MASTER'!$C$59:$C$60,0)),INDEX('SCORING MASTER'!$D$62:$D$63,MATCH(AK202,'SCORING MASTER'!$C$62:$C$63,0)),INDEX('SCORING MASTER'!$D$65:$D$66,MATCH(AL202,'SCORING MASTER'!$C$65:$C$66,0)),INDEX('SCORING MASTER'!$D$68:$D$69,MATCH(AM202,'SCORING MASTER'!$C$68:$C$69,0)),INDEX('SCORING MASTER'!$D$71:$D$72,MATCH(AN202,'SCORING MASTER'!$C$71:$C$72,0)),INDEX('SCORING MASTER'!$D$74:$D$75,MATCH(AO202,'SCORING MASTER'!$C$74:$C$75,0)),INDEX('SCORING MASTER'!$D$77:$D$78,MATCH(AP202,'SCORING MASTER'!$C$77:$C$78,0)))*20,0))</f>
        <v/>
      </c>
      <c r="BJ202" s="31" t="str">
        <f aca="false">IF(COUNTBLANK(AU202:AZ202)&gt;0,"",ROUND(AVERAGE(INDEX('SCORING MASTER'!$D$95:$D$96,MATCH(AU202,'SCORING MASTER'!$C$95:$C$96,0)),INDEX('SCORING MASTER'!$D$98:$D$99,MATCH(AV202,'SCORING MASTER'!$C$98:$C$99,0)),INDEX('SCORING MASTER'!$D$101:$D$102,MATCH(AW202,'SCORING MASTER'!$C$101:$C$102,0)),INDEX('SCORING MASTER'!$D$104:$D$105,MATCH(AX202,'SCORING MASTER'!$C$104:$C$105,0)),INDEX('SCORING MASTER'!$D$107:$D$108,MATCH(AY202,'SCORING MASTER'!$C$107:$C$108,0)),INDEX('SCORING MASTER'!$D$110:$D$111,MATCH(AZ202,'SCORING MASTER'!$C$110:$C$111,0)))*20,0))</f>
        <v/>
      </c>
      <c r="BK202" s="31" t="str">
        <f aca="false">IF(COUNTBLANK(AQ202:AT202)&gt;0,"",ROUND(AVERAGE(INDEX('SCORING MASTER'!$D$80:$D$82,MATCH(AQ202,'SCORING MASTER'!$C$80:$C$82,0)),INDEX('SCORING MASTER'!$D$84:$D$86,MATCH(AR202,'SCORING MASTER'!$C$84:$C$86,0)),INDEX('SCORING MASTER'!$D$88:$D$90,MATCH(AS202,'SCORING MASTER'!$C$88:$C$90,0)),INDEX('SCORING MASTER'!$D$92:$D$93,MATCH(AT202,'SCORING MASTER'!$C$92:$C$93,0)))*20,0))</f>
        <v/>
      </c>
      <c r="BL202" s="31" t="str">
        <f aca="false">IF(COUNTBLANK(BA202:BE202)&gt;0,"",ROUND(AVERAGE(INDEX('SCORING MASTER'!$D$113:$D$115,MATCH(BA202,'SCORING MASTER'!$C$113:$C$115,0)),INDEX('SCORING MASTER'!$D$117:$D$119,MATCH(BB202,'SCORING MASTER'!$C$117:$C$119,0)),INDEX('SCORING MASTER'!$D$121:$D$123,MATCH(BC202,'SCORING MASTER'!$C$121:$C$123,0)),INDEX('SCORING MASTER'!$D$125:$D$126,MATCH(BD202,'SCORING MASTER'!$C$125:$C$126,0)),INDEX('SCORING MASTER'!$D$128:$D$129,MATCH(BE202,'SCORING MASTER'!$C$128:$C$129,0)))*20,0))</f>
        <v/>
      </c>
      <c r="BM202" s="31" t="str">
        <f aca="false">IF(OR(BF202="",BG202="",BH202="",BI202="",BJ202="",BK202="",BL202=""),"",ROUND(BF202*0.25+BG202*0.2+BH202*0.15+BI202*0.15+BJ202*0.1+BK202*0.1+BL202*0.05,0))</f>
        <v/>
      </c>
      <c r="BN202" s="31" t="str">
        <f aca="false">IF(OR(BF202="",BG202=""),"",ROUND(BF202*0.5+BG202*0.5,0))</f>
        <v/>
      </c>
      <c r="BO202" s="31" t="str">
        <f aca="false">IF(BN202="","",ROUND(MIN(100,MAX(0,(100-BN202)+IF(AL202="Yes",15,0)+IF(AM202="Yes",15,0)+IF(AND(U202&lt;&gt;"",U202&lt;18.5),20,0))),0))</f>
        <v/>
      </c>
      <c r="BP202" s="28" t="str">
        <f aca="false">IF(BM202="","",IF(BM202&gt;=90,"Green - Healthy",IF(BM202&gt;=75,"Light Green - Mild Watch",IF(BM202&gt;=60,"Yellow - Mild Risk",IF(BM202&gt;=40,"Orange - Moderate Risk","Red - High Risk")))))</f>
        <v/>
      </c>
      <c r="BQ202" s="28" t="str">
        <f aca="false">IF(BM202="","",IF(OR(BM202&lt;60,BO202&gt;=60,AJ202="Yes"),"Yes","No"))</f>
        <v/>
      </c>
      <c r="BR202" s="28" t="str">
        <f aca="false">IF(BM202="","",IF(OR(BP202="Orange - Moderate Risk",BP202="Red - High Risk",BQ202="Yes"),"Yes","No"))</f>
        <v/>
      </c>
    </row>
    <row r="203" customFormat="false" ht="15" hidden="false" customHeight="false" outlineLevel="0" collapsed="false">
      <c r="A203" s="32" t="str">
        <f aca="false">IF(I203="","","STU"&amp;TEXT(ROW()-3,"000000"))</f>
        <v/>
      </c>
      <c r="B203" s="32"/>
      <c r="C203" s="32"/>
      <c r="D203" s="32"/>
      <c r="E203" s="32"/>
      <c r="F203" s="32"/>
      <c r="G203" s="32"/>
      <c r="H203" s="32"/>
      <c r="I203" s="32"/>
      <c r="J203" s="34"/>
      <c r="K203" s="32"/>
      <c r="L203" s="32"/>
      <c r="M203" s="32"/>
      <c r="N203" s="32"/>
      <c r="O203" s="32"/>
      <c r="P203" s="32"/>
      <c r="Q203" s="34"/>
      <c r="R203" s="34"/>
      <c r="S203" s="35" t="str">
        <f aca="false">IF(OR(Q203="",R203=""),"",ROUND(R203/((Q203/100)^2),1))</f>
        <v/>
      </c>
      <c r="T203" s="32" t="str">
        <f aca="false">IF(S203="","",IF(S203&lt;18.5,"Underweight",IF(S203&lt;25,"Normal",IF(S203&lt;30,"Overweight","Obese"))))</f>
        <v/>
      </c>
      <c r="U203" s="34"/>
      <c r="V203" s="34"/>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c r="BC203" s="32"/>
      <c r="BD203" s="32"/>
      <c r="BE203" s="32"/>
      <c r="BF203" s="35" t="str">
        <f aca="false">IF(T203="","",IF(T203="Normal",100,IF(T203="Overweight",65,IF(T203="Obese",50,IF(AND(U203&lt;&gt;"",U203&lt;18.5),30,45)))))</f>
        <v/>
      </c>
      <c r="BG203" s="35" t="str">
        <f aca="false">IF(COUNTBLANK(W203:AC203)&gt;0,"",ROUND(AVERAGE(INDEX('SCORING MASTER'!$D$5:$D$7,MATCH(W203,'SCORING MASTER'!$C$5:$C$7,0)),INDEX('SCORING MASTER'!$D$9:$D$11,MATCH(X203,'SCORING MASTER'!$C$9:$C$11,0)),INDEX('SCORING MASTER'!$D$13:$D$15,MATCH(Y203,'SCORING MASTER'!$C$13:$C$15,0)),INDEX('SCORING MASTER'!$D$17:$D$19,MATCH(Z203,'SCORING MASTER'!$C$17:$C$19,0)),INDEX('SCORING MASTER'!$D$21:$D$23,MATCH(AA203,'SCORING MASTER'!$C$21:$C$23,0)),INDEX('SCORING MASTER'!$D$25:$D$27,MATCH(AB203,'SCORING MASTER'!$C$25:$C$27,0)),INDEX('SCORING MASTER'!$D$29:$D$31,MATCH(AC203,'SCORING MASTER'!$C$29:$C$31,0)))*20,0))</f>
        <v/>
      </c>
      <c r="BH203" s="35" t="str">
        <f aca="false">IF(COUNTBLANK(AD203:AI203)&gt;0,"",ROUND(AVERAGE(INDEX('SCORING MASTER'!$D$33:$D$35,MATCH(AD203,'SCORING MASTER'!$C$33:$C$35,0)),INDEX('SCORING MASTER'!$D$37:$D$39,MATCH(AE203,'SCORING MASTER'!$C$37:$C$39,0)),INDEX('SCORING MASTER'!$D$41:$D$43,MATCH(AF203,'SCORING MASTER'!$C$41:$C$43,0)),INDEX('SCORING MASTER'!$D$45:$D$47,MATCH(AG203,'SCORING MASTER'!$C$45:$C$47,0)),INDEX('SCORING MASTER'!$D$49:$D$52,MATCH(AH203,'SCORING MASTER'!$C$49:$C$52,0)),INDEX('SCORING MASTER'!$D$54:$D$57,MATCH(AI203,'SCORING MASTER'!$C$54:$C$57,0)))*20,0))</f>
        <v/>
      </c>
      <c r="BI203" s="35" t="str">
        <f aca="false">IF(COUNTBLANK(AJ203:AP203)&gt;0,"",ROUND(AVERAGE(INDEX('SCORING MASTER'!$D$59:$D$60,MATCH(AJ203,'SCORING MASTER'!$C$59:$C$60,0)),INDEX('SCORING MASTER'!$D$62:$D$63,MATCH(AK203,'SCORING MASTER'!$C$62:$C$63,0)),INDEX('SCORING MASTER'!$D$65:$D$66,MATCH(AL203,'SCORING MASTER'!$C$65:$C$66,0)),INDEX('SCORING MASTER'!$D$68:$D$69,MATCH(AM203,'SCORING MASTER'!$C$68:$C$69,0)),INDEX('SCORING MASTER'!$D$71:$D$72,MATCH(AN203,'SCORING MASTER'!$C$71:$C$72,0)),INDEX('SCORING MASTER'!$D$74:$D$75,MATCH(AO203,'SCORING MASTER'!$C$74:$C$75,0)),INDEX('SCORING MASTER'!$D$77:$D$78,MATCH(AP203,'SCORING MASTER'!$C$77:$C$78,0)))*20,0))</f>
        <v/>
      </c>
      <c r="BJ203" s="35" t="str">
        <f aca="false">IF(COUNTBLANK(AU203:AZ203)&gt;0,"",ROUND(AVERAGE(INDEX('SCORING MASTER'!$D$95:$D$96,MATCH(AU203,'SCORING MASTER'!$C$95:$C$96,0)),INDEX('SCORING MASTER'!$D$98:$D$99,MATCH(AV203,'SCORING MASTER'!$C$98:$C$99,0)),INDEX('SCORING MASTER'!$D$101:$D$102,MATCH(AW203,'SCORING MASTER'!$C$101:$C$102,0)),INDEX('SCORING MASTER'!$D$104:$D$105,MATCH(AX203,'SCORING MASTER'!$C$104:$C$105,0)),INDEX('SCORING MASTER'!$D$107:$D$108,MATCH(AY203,'SCORING MASTER'!$C$107:$C$108,0)),INDEX('SCORING MASTER'!$D$110:$D$111,MATCH(AZ203,'SCORING MASTER'!$C$110:$C$111,0)))*20,0))</f>
        <v/>
      </c>
      <c r="BK203" s="35" t="str">
        <f aca="false">IF(COUNTBLANK(AQ203:AT203)&gt;0,"",ROUND(AVERAGE(INDEX('SCORING MASTER'!$D$80:$D$82,MATCH(AQ203,'SCORING MASTER'!$C$80:$C$82,0)),INDEX('SCORING MASTER'!$D$84:$D$86,MATCH(AR203,'SCORING MASTER'!$C$84:$C$86,0)),INDEX('SCORING MASTER'!$D$88:$D$90,MATCH(AS203,'SCORING MASTER'!$C$88:$C$90,0)),INDEX('SCORING MASTER'!$D$92:$D$93,MATCH(AT203,'SCORING MASTER'!$C$92:$C$93,0)))*20,0))</f>
        <v/>
      </c>
      <c r="BL203" s="35" t="str">
        <f aca="false">IF(COUNTBLANK(BA203:BE203)&gt;0,"",ROUND(AVERAGE(INDEX('SCORING MASTER'!$D$113:$D$115,MATCH(BA203,'SCORING MASTER'!$C$113:$C$115,0)),INDEX('SCORING MASTER'!$D$117:$D$119,MATCH(BB203,'SCORING MASTER'!$C$117:$C$119,0)),INDEX('SCORING MASTER'!$D$121:$D$123,MATCH(BC203,'SCORING MASTER'!$C$121:$C$123,0)),INDEX('SCORING MASTER'!$D$125:$D$126,MATCH(BD203,'SCORING MASTER'!$C$125:$C$126,0)),INDEX('SCORING MASTER'!$D$128:$D$129,MATCH(BE203,'SCORING MASTER'!$C$128:$C$129,0)))*20,0))</f>
        <v/>
      </c>
      <c r="BM203" s="35" t="str">
        <f aca="false">IF(OR(BF203="",BG203="",BH203="",BI203="",BJ203="",BK203="",BL203=""),"",ROUND(BF203*0.25+BG203*0.2+BH203*0.15+BI203*0.15+BJ203*0.1+BK203*0.1+BL203*0.05,0))</f>
        <v/>
      </c>
      <c r="BN203" s="35" t="str">
        <f aca="false">IF(OR(BF203="",BG203=""),"",ROUND(BF203*0.5+BG203*0.5,0))</f>
        <v/>
      </c>
      <c r="BO203" s="35" t="str">
        <f aca="false">IF(BN203="","",ROUND(MIN(100,MAX(0,(100-BN203)+IF(AL203="Yes",15,0)+IF(AM203="Yes",15,0)+IF(AND(U203&lt;&gt;"",U203&lt;18.5),20,0))),0))</f>
        <v/>
      </c>
      <c r="BP203" s="32" t="str">
        <f aca="false">IF(BM203="","",IF(BM203&gt;=90,"Green - Healthy",IF(BM203&gt;=75,"Light Green - Mild Watch",IF(BM203&gt;=60,"Yellow - Mild Risk",IF(BM203&gt;=40,"Orange - Moderate Risk","Red - High Risk")))))</f>
        <v/>
      </c>
      <c r="BQ203" s="32" t="str">
        <f aca="false">IF(BM203="","",IF(OR(BM203&lt;60,BO203&gt;=60,AJ203="Yes"),"Yes","No"))</f>
        <v/>
      </c>
      <c r="BR203" s="32" t="str">
        <f aca="false">IF(BM203="","",IF(OR(BP203="Orange - Moderate Risk",BP203="Red - High Risk",BQ203="Yes"),"Yes","No"))</f>
        <v/>
      </c>
    </row>
    <row r="204" customFormat="false" ht="15" hidden="false" customHeight="false" outlineLevel="0" collapsed="false">
      <c r="A204" s="28" t="str">
        <f aca="false">IF(I204="","","STU"&amp;TEXT(ROW()-3,"000000"))</f>
        <v/>
      </c>
      <c r="B204" s="28"/>
      <c r="C204" s="28"/>
      <c r="D204" s="28"/>
      <c r="E204" s="28"/>
      <c r="F204" s="28"/>
      <c r="G204" s="28"/>
      <c r="H204" s="28"/>
      <c r="I204" s="28"/>
      <c r="J204" s="30"/>
      <c r="K204" s="28"/>
      <c r="L204" s="28"/>
      <c r="M204" s="28"/>
      <c r="N204" s="28"/>
      <c r="O204" s="28"/>
      <c r="P204" s="28"/>
      <c r="Q204" s="30"/>
      <c r="R204" s="30"/>
      <c r="S204" s="31" t="str">
        <f aca="false">IF(OR(Q204="",R204=""),"",ROUND(R204/((Q204/100)^2),1))</f>
        <v/>
      </c>
      <c r="T204" s="28" t="str">
        <f aca="false">IF(S204="","",IF(S204&lt;18.5,"Underweight",IF(S204&lt;25,"Normal",IF(S204&lt;30,"Overweight","Obese"))))</f>
        <v/>
      </c>
      <c r="U204" s="30"/>
      <c r="V204" s="30"/>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31" t="str">
        <f aca="false">IF(T204="","",IF(T204="Normal",100,IF(T204="Overweight",65,IF(T204="Obese",50,IF(AND(U204&lt;&gt;"",U204&lt;18.5),30,45)))))</f>
        <v/>
      </c>
      <c r="BG204" s="31" t="str">
        <f aca="false">IF(COUNTBLANK(W204:AC204)&gt;0,"",ROUND(AVERAGE(INDEX('SCORING MASTER'!$D$5:$D$7,MATCH(W204,'SCORING MASTER'!$C$5:$C$7,0)),INDEX('SCORING MASTER'!$D$9:$D$11,MATCH(X204,'SCORING MASTER'!$C$9:$C$11,0)),INDEX('SCORING MASTER'!$D$13:$D$15,MATCH(Y204,'SCORING MASTER'!$C$13:$C$15,0)),INDEX('SCORING MASTER'!$D$17:$D$19,MATCH(Z204,'SCORING MASTER'!$C$17:$C$19,0)),INDEX('SCORING MASTER'!$D$21:$D$23,MATCH(AA204,'SCORING MASTER'!$C$21:$C$23,0)),INDEX('SCORING MASTER'!$D$25:$D$27,MATCH(AB204,'SCORING MASTER'!$C$25:$C$27,0)),INDEX('SCORING MASTER'!$D$29:$D$31,MATCH(AC204,'SCORING MASTER'!$C$29:$C$31,0)))*20,0))</f>
        <v/>
      </c>
      <c r="BH204" s="31" t="str">
        <f aca="false">IF(COUNTBLANK(AD204:AI204)&gt;0,"",ROUND(AVERAGE(INDEX('SCORING MASTER'!$D$33:$D$35,MATCH(AD204,'SCORING MASTER'!$C$33:$C$35,0)),INDEX('SCORING MASTER'!$D$37:$D$39,MATCH(AE204,'SCORING MASTER'!$C$37:$C$39,0)),INDEX('SCORING MASTER'!$D$41:$D$43,MATCH(AF204,'SCORING MASTER'!$C$41:$C$43,0)),INDEX('SCORING MASTER'!$D$45:$D$47,MATCH(AG204,'SCORING MASTER'!$C$45:$C$47,0)),INDEX('SCORING MASTER'!$D$49:$D$52,MATCH(AH204,'SCORING MASTER'!$C$49:$C$52,0)),INDEX('SCORING MASTER'!$D$54:$D$57,MATCH(AI204,'SCORING MASTER'!$C$54:$C$57,0)))*20,0))</f>
        <v/>
      </c>
      <c r="BI204" s="31" t="str">
        <f aca="false">IF(COUNTBLANK(AJ204:AP204)&gt;0,"",ROUND(AVERAGE(INDEX('SCORING MASTER'!$D$59:$D$60,MATCH(AJ204,'SCORING MASTER'!$C$59:$C$60,0)),INDEX('SCORING MASTER'!$D$62:$D$63,MATCH(AK204,'SCORING MASTER'!$C$62:$C$63,0)),INDEX('SCORING MASTER'!$D$65:$D$66,MATCH(AL204,'SCORING MASTER'!$C$65:$C$66,0)),INDEX('SCORING MASTER'!$D$68:$D$69,MATCH(AM204,'SCORING MASTER'!$C$68:$C$69,0)),INDEX('SCORING MASTER'!$D$71:$D$72,MATCH(AN204,'SCORING MASTER'!$C$71:$C$72,0)),INDEX('SCORING MASTER'!$D$74:$D$75,MATCH(AO204,'SCORING MASTER'!$C$74:$C$75,0)),INDEX('SCORING MASTER'!$D$77:$D$78,MATCH(AP204,'SCORING MASTER'!$C$77:$C$78,0)))*20,0))</f>
        <v/>
      </c>
      <c r="BJ204" s="31" t="str">
        <f aca="false">IF(COUNTBLANK(AU204:AZ204)&gt;0,"",ROUND(AVERAGE(INDEX('SCORING MASTER'!$D$95:$D$96,MATCH(AU204,'SCORING MASTER'!$C$95:$C$96,0)),INDEX('SCORING MASTER'!$D$98:$D$99,MATCH(AV204,'SCORING MASTER'!$C$98:$C$99,0)),INDEX('SCORING MASTER'!$D$101:$D$102,MATCH(AW204,'SCORING MASTER'!$C$101:$C$102,0)),INDEX('SCORING MASTER'!$D$104:$D$105,MATCH(AX204,'SCORING MASTER'!$C$104:$C$105,0)),INDEX('SCORING MASTER'!$D$107:$D$108,MATCH(AY204,'SCORING MASTER'!$C$107:$C$108,0)),INDEX('SCORING MASTER'!$D$110:$D$111,MATCH(AZ204,'SCORING MASTER'!$C$110:$C$111,0)))*20,0))</f>
        <v/>
      </c>
      <c r="BK204" s="31" t="str">
        <f aca="false">IF(COUNTBLANK(AQ204:AT204)&gt;0,"",ROUND(AVERAGE(INDEX('SCORING MASTER'!$D$80:$D$82,MATCH(AQ204,'SCORING MASTER'!$C$80:$C$82,0)),INDEX('SCORING MASTER'!$D$84:$D$86,MATCH(AR204,'SCORING MASTER'!$C$84:$C$86,0)),INDEX('SCORING MASTER'!$D$88:$D$90,MATCH(AS204,'SCORING MASTER'!$C$88:$C$90,0)),INDEX('SCORING MASTER'!$D$92:$D$93,MATCH(AT204,'SCORING MASTER'!$C$92:$C$93,0)))*20,0))</f>
        <v/>
      </c>
      <c r="BL204" s="31" t="str">
        <f aca="false">IF(COUNTBLANK(BA204:BE204)&gt;0,"",ROUND(AVERAGE(INDEX('SCORING MASTER'!$D$113:$D$115,MATCH(BA204,'SCORING MASTER'!$C$113:$C$115,0)),INDEX('SCORING MASTER'!$D$117:$D$119,MATCH(BB204,'SCORING MASTER'!$C$117:$C$119,0)),INDEX('SCORING MASTER'!$D$121:$D$123,MATCH(BC204,'SCORING MASTER'!$C$121:$C$123,0)),INDEX('SCORING MASTER'!$D$125:$D$126,MATCH(BD204,'SCORING MASTER'!$C$125:$C$126,0)),INDEX('SCORING MASTER'!$D$128:$D$129,MATCH(BE204,'SCORING MASTER'!$C$128:$C$129,0)))*20,0))</f>
        <v/>
      </c>
      <c r="BM204" s="31" t="str">
        <f aca="false">IF(OR(BF204="",BG204="",BH204="",BI204="",BJ204="",BK204="",BL204=""),"",ROUND(BF204*0.25+BG204*0.2+BH204*0.15+BI204*0.15+BJ204*0.1+BK204*0.1+BL204*0.05,0))</f>
        <v/>
      </c>
      <c r="BN204" s="31" t="str">
        <f aca="false">IF(OR(BF204="",BG204=""),"",ROUND(BF204*0.5+BG204*0.5,0))</f>
        <v/>
      </c>
      <c r="BO204" s="31" t="str">
        <f aca="false">IF(BN204="","",ROUND(MIN(100,MAX(0,(100-BN204)+IF(AL204="Yes",15,0)+IF(AM204="Yes",15,0)+IF(AND(U204&lt;&gt;"",U204&lt;18.5),20,0))),0))</f>
        <v/>
      </c>
      <c r="BP204" s="28" t="str">
        <f aca="false">IF(BM204="","",IF(BM204&gt;=90,"Green - Healthy",IF(BM204&gt;=75,"Light Green - Mild Watch",IF(BM204&gt;=60,"Yellow - Mild Risk",IF(BM204&gt;=40,"Orange - Moderate Risk","Red - High Risk")))))</f>
        <v/>
      </c>
      <c r="BQ204" s="28" t="str">
        <f aca="false">IF(BM204="","",IF(OR(BM204&lt;60,BO204&gt;=60,AJ204="Yes"),"Yes","No"))</f>
        <v/>
      </c>
      <c r="BR204" s="28" t="str">
        <f aca="false">IF(BM204="","",IF(OR(BP204="Orange - Moderate Risk",BP204="Red - High Risk",BQ204="Yes"),"Yes","No"))</f>
        <v/>
      </c>
    </row>
    <row r="205" customFormat="false" ht="15" hidden="false" customHeight="false" outlineLevel="0" collapsed="false">
      <c r="A205" s="32" t="str">
        <f aca="false">IF(I205="","","STU"&amp;TEXT(ROW()-3,"000000"))</f>
        <v/>
      </c>
      <c r="B205" s="32"/>
      <c r="C205" s="32"/>
      <c r="D205" s="32"/>
      <c r="E205" s="32"/>
      <c r="F205" s="32"/>
      <c r="G205" s="32"/>
      <c r="H205" s="32"/>
      <c r="I205" s="32"/>
      <c r="J205" s="34"/>
      <c r="K205" s="32"/>
      <c r="L205" s="32"/>
      <c r="M205" s="32"/>
      <c r="N205" s="32"/>
      <c r="O205" s="32"/>
      <c r="P205" s="32"/>
      <c r="Q205" s="34"/>
      <c r="R205" s="34"/>
      <c r="S205" s="35" t="str">
        <f aca="false">IF(OR(Q205="",R205=""),"",ROUND(R205/((Q205/100)^2),1))</f>
        <v/>
      </c>
      <c r="T205" s="32" t="str">
        <f aca="false">IF(S205="","",IF(S205&lt;18.5,"Underweight",IF(S205&lt;25,"Normal",IF(S205&lt;30,"Overweight","Obese"))))</f>
        <v/>
      </c>
      <c r="U205" s="34"/>
      <c r="V205" s="34"/>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2"/>
      <c r="BF205" s="35" t="str">
        <f aca="false">IF(T205="","",IF(T205="Normal",100,IF(T205="Overweight",65,IF(T205="Obese",50,IF(AND(U205&lt;&gt;"",U205&lt;18.5),30,45)))))</f>
        <v/>
      </c>
      <c r="BG205" s="35" t="str">
        <f aca="false">IF(COUNTBLANK(W205:AC205)&gt;0,"",ROUND(AVERAGE(INDEX('SCORING MASTER'!$D$5:$D$7,MATCH(W205,'SCORING MASTER'!$C$5:$C$7,0)),INDEX('SCORING MASTER'!$D$9:$D$11,MATCH(X205,'SCORING MASTER'!$C$9:$C$11,0)),INDEX('SCORING MASTER'!$D$13:$D$15,MATCH(Y205,'SCORING MASTER'!$C$13:$C$15,0)),INDEX('SCORING MASTER'!$D$17:$D$19,MATCH(Z205,'SCORING MASTER'!$C$17:$C$19,0)),INDEX('SCORING MASTER'!$D$21:$D$23,MATCH(AA205,'SCORING MASTER'!$C$21:$C$23,0)),INDEX('SCORING MASTER'!$D$25:$D$27,MATCH(AB205,'SCORING MASTER'!$C$25:$C$27,0)),INDEX('SCORING MASTER'!$D$29:$D$31,MATCH(AC205,'SCORING MASTER'!$C$29:$C$31,0)))*20,0))</f>
        <v/>
      </c>
      <c r="BH205" s="35" t="str">
        <f aca="false">IF(COUNTBLANK(AD205:AI205)&gt;0,"",ROUND(AVERAGE(INDEX('SCORING MASTER'!$D$33:$D$35,MATCH(AD205,'SCORING MASTER'!$C$33:$C$35,0)),INDEX('SCORING MASTER'!$D$37:$D$39,MATCH(AE205,'SCORING MASTER'!$C$37:$C$39,0)),INDEX('SCORING MASTER'!$D$41:$D$43,MATCH(AF205,'SCORING MASTER'!$C$41:$C$43,0)),INDEX('SCORING MASTER'!$D$45:$D$47,MATCH(AG205,'SCORING MASTER'!$C$45:$C$47,0)),INDEX('SCORING MASTER'!$D$49:$D$52,MATCH(AH205,'SCORING MASTER'!$C$49:$C$52,0)),INDEX('SCORING MASTER'!$D$54:$D$57,MATCH(AI205,'SCORING MASTER'!$C$54:$C$57,0)))*20,0))</f>
        <v/>
      </c>
      <c r="BI205" s="35" t="str">
        <f aca="false">IF(COUNTBLANK(AJ205:AP205)&gt;0,"",ROUND(AVERAGE(INDEX('SCORING MASTER'!$D$59:$D$60,MATCH(AJ205,'SCORING MASTER'!$C$59:$C$60,0)),INDEX('SCORING MASTER'!$D$62:$D$63,MATCH(AK205,'SCORING MASTER'!$C$62:$C$63,0)),INDEX('SCORING MASTER'!$D$65:$D$66,MATCH(AL205,'SCORING MASTER'!$C$65:$C$66,0)),INDEX('SCORING MASTER'!$D$68:$D$69,MATCH(AM205,'SCORING MASTER'!$C$68:$C$69,0)),INDEX('SCORING MASTER'!$D$71:$D$72,MATCH(AN205,'SCORING MASTER'!$C$71:$C$72,0)),INDEX('SCORING MASTER'!$D$74:$D$75,MATCH(AO205,'SCORING MASTER'!$C$74:$C$75,0)),INDEX('SCORING MASTER'!$D$77:$D$78,MATCH(AP205,'SCORING MASTER'!$C$77:$C$78,0)))*20,0))</f>
        <v/>
      </c>
      <c r="BJ205" s="35" t="str">
        <f aca="false">IF(COUNTBLANK(AU205:AZ205)&gt;0,"",ROUND(AVERAGE(INDEX('SCORING MASTER'!$D$95:$D$96,MATCH(AU205,'SCORING MASTER'!$C$95:$C$96,0)),INDEX('SCORING MASTER'!$D$98:$D$99,MATCH(AV205,'SCORING MASTER'!$C$98:$C$99,0)),INDEX('SCORING MASTER'!$D$101:$D$102,MATCH(AW205,'SCORING MASTER'!$C$101:$C$102,0)),INDEX('SCORING MASTER'!$D$104:$D$105,MATCH(AX205,'SCORING MASTER'!$C$104:$C$105,0)),INDEX('SCORING MASTER'!$D$107:$D$108,MATCH(AY205,'SCORING MASTER'!$C$107:$C$108,0)),INDEX('SCORING MASTER'!$D$110:$D$111,MATCH(AZ205,'SCORING MASTER'!$C$110:$C$111,0)))*20,0))</f>
        <v/>
      </c>
      <c r="BK205" s="35" t="str">
        <f aca="false">IF(COUNTBLANK(AQ205:AT205)&gt;0,"",ROUND(AVERAGE(INDEX('SCORING MASTER'!$D$80:$D$82,MATCH(AQ205,'SCORING MASTER'!$C$80:$C$82,0)),INDEX('SCORING MASTER'!$D$84:$D$86,MATCH(AR205,'SCORING MASTER'!$C$84:$C$86,0)),INDEX('SCORING MASTER'!$D$88:$D$90,MATCH(AS205,'SCORING MASTER'!$C$88:$C$90,0)),INDEX('SCORING MASTER'!$D$92:$D$93,MATCH(AT205,'SCORING MASTER'!$C$92:$C$93,0)))*20,0))</f>
        <v/>
      </c>
      <c r="BL205" s="35" t="str">
        <f aca="false">IF(COUNTBLANK(BA205:BE205)&gt;0,"",ROUND(AVERAGE(INDEX('SCORING MASTER'!$D$113:$D$115,MATCH(BA205,'SCORING MASTER'!$C$113:$C$115,0)),INDEX('SCORING MASTER'!$D$117:$D$119,MATCH(BB205,'SCORING MASTER'!$C$117:$C$119,0)),INDEX('SCORING MASTER'!$D$121:$D$123,MATCH(BC205,'SCORING MASTER'!$C$121:$C$123,0)),INDEX('SCORING MASTER'!$D$125:$D$126,MATCH(BD205,'SCORING MASTER'!$C$125:$C$126,0)),INDEX('SCORING MASTER'!$D$128:$D$129,MATCH(BE205,'SCORING MASTER'!$C$128:$C$129,0)))*20,0))</f>
        <v/>
      </c>
      <c r="BM205" s="35" t="str">
        <f aca="false">IF(OR(BF205="",BG205="",BH205="",BI205="",BJ205="",BK205="",BL205=""),"",ROUND(BF205*0.25+BG205*0.2+BH205*0.15+BI205*0.15+BJ205*0.1+BK205*0.1+BL205*0.05,0))</f>
        <v/>
      </c>
      <c r="BN205" s="35" t="str">
        <f aca="false">IF(OR(BF205="",BG205=""),"",ROUND(BF205*0.5+BG205*0.5,0))</f>
        <v/>
      </c>
      <c r="BO205" s="35" t="str">
        <f aca="false">IF(BN205="","",ROUND(MIN(100,MAX(0,(100-BN205)+IF(AL205="Yes",15,0)+IF(AM205="Yes",15,0)+IF(AND(U205&lt;&gt;"",U205&lt;18.5),20,0))),0))</f>
        <v/>
      </c>
      <c r="BP205" s="32" t="str">
        <f aca="false">IF(BM205="","",IF(BM205&gt;=90,"Green - Healthy",IF(BM205&gt;=75,"Light Green - Mild Watch",IF(BM205&gt;=60,"Yellow - Mild Risk",IF(BM205&gt;=40,"Orange - Moderate Risk","Red - High Risk")))))</f>
        <v/>
      </c>
      <c r="BQ205" s="32" t="str">
        <f aca="false">IF(BM205="","",IF(OR(BM205&lt;60,BO205&gt;=60,AJ205="Yes"),"Yes","No"))</f>
        <v/>
      </c>
      <c r="BR205" s="32" t="str">
        <f aca="false">IF(BM205="","",IF(OR(BP205="Orange - Moderate Risk",BP205="Red - High Risk",BQ205="Yes"),"Yes","No"))</f>
        <v/>
      </c>
    </row>
    <row r="206" customFormat="false" ht="15" hidden="false" customHeight="false" outlineLevel="0" collapsed="false">
      <c r="A206" s="28" t="str">
        <f aca="false">IF(I206="","","STU"&amp;TEXT(ROW()-3,"000000"))</f>
        <v/>
      </c>
      <c r="B206" s="28"/>
      <c r="C206" s="28"/>
      <c r="D206" s="28"/>
      <c r="E206" s="28"/>
      <c r="F206" s="28"/>
      <c r="G206" s="28"/>
      <c r="H206" s="28"/>
      <c r="I206" s="28"/>
      <c r="J206" s="30"/>
      <c r="K206" s="28"/>
      <c r="L206" s="28"/>
      <c r="M206" s="28"/>
      <c r="N206" s="28"/>
      <c r="O206" s="28"/>
      <c r="P206" s="28"/>
      <c r="Q206" s="30"/>
      <c r="R206" s="30"/>
      <c r="S206" s="31" t="str">
        <f aca="false">IF(OR(Q206="",R206=""),"",ROUND(R206/((Q206/100)^2),1))</f>
        <v/>
      </c>
      <c r="T206" s="28" t="str">
        <f aca="false">IF(S206="","",IF(S206&lt;18.5,"Underweight",IF(S206&lt;25,"Normal",IF(S206&lt;30,"Overweight","Obese"))))</f>
        <v/>
      </c>
      <c r="U206" s="30"/>
      <c r="V206" s="30"/>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31" t="str">
        <f aca="false">IF(T206="","",IF(T206="Normal",100,IF(T206="Overweight",65,IF(T206="Obese",50,IF(AND(U206&lt;&gt;"",U206&lt;18.5),30,45)))))</f>
        <v/>
      </c>
      <c r="BG206" s="31" t="str">
        <f aca="false">IF(COUNTBLANK(W206:AC206)&gt;0,"",ROUND(AVERAGE(INDEX('SCORING MASTER'!$D$5:$D$7,MATCH(W206,'SCORING MASTER'!$C$5:$C$7,0)),INDEX('SCORING MASTER'!$D$9:$D$11,MATCH(X206,'SCORING MASTER'!$C$9:$C$11,0)),INDEX('SCORING MASTER'!$D$13:$D$15,MATCH(Y206,'SCORING MASTER'!$C$13:$C$15,0)),INDEX('SCORING MASTER'!$D$17:$D$19,MATCH(Z206,'SCORING MASTER'!$C$17:$C$19,0)),INDEX('SCORING MASTER'!$D$21:$D$23,MATCH(AA206,'SCORING MASTER'!$C$21:$C$23,0)),INDEX('SCORING MASTER'!$D$25:$D$27,MATCH(AB206,'SCORING MASTER'!$C$25:$C$27,0)),INDEX('SCORING MASTER'!$D$29:$D$31,MATCH(AC206,'SCORING MASTER'!$C$29:$C$31,0)))*20,0))</f>
        <v/>
      </c>
      <c r="BH206" s="31" t="str">
        <f aca="false">IF(COUNTBLANK(AD206:AI206)&gt;0,"",ROUND(AVERAGE(INDEX('SCORING MASTER'!$D$33:$D$35,MATCH(AD206,'SCORING MASTER'!$C$33:$C$35,0)),INDEX('SCORING MASTER'!$D$37:$D$39,MATCH(AE206,'SCORING MASTER'!$C$37:$C$39,0)),INDEX('SCORING MASTER'!$D$41:$D$43,MATCH(AF206,'SCORING MASTER'!$C$41:$C$43,0)),INDEX('SCORING MASTER'!$D$45:$D$47,MATCH(AG206,'SCORING MASTER'!$C$45:$C$47,0)),INDEX('SCORING MASTER'!$D$49:$D$52,MATCH(AH206,'SCORING MASTER'!$C$49:$C$52,0)),INDEX('SCORING MASTER'!$D$54:$D$57,MATCH(AI206,'SCORING MASTER'!$C$54:$C$57,0)))*20,0))</f>
        <v/>
      </c>
      <c r="BI206" s="31" t="str">
        <f aca="false">IF(COUNTBLANK(AJ206:AP206)&gt;0,"",ROUND(AVERAGE(INDEX('SCORING MASTER'!$D$59:$D$60,MATCH(AJ206,'SCORING MASTER'!$C$59:$C$60,0)),INDEX('SCORING MASTER'!$D$62:$D$63,MATCH(AK206,'SCORING MASTER'!$C$62:$C$63,0)),INDEX('SCORING MASTER'!$D$65:$D$66,MATCH(AL206,'SCORING MASTER'!$C$65:$C$66,0)),INDEX('SCORING MASTER'!$D$68:$D$69,MATCH(AM206,'SCORING MASTER'!$C$68:$C$69,0)),INDEX('SCORING MASTER'!$D$71:$D$72,MATCH(AN206,'SCORING MASTER'!$C$71:$C$72,0)),INDEX('SCORING MASTER'!$D$74:$D$75,MATCH(AO206,'SCORING MASTER'!$C$74:$C$75,0)),INDEX('SCORING MASTER'!$D$77:$D$78,MATCH(AP206,'SCORING MASTER'!$C$77:$C$78,0)))*20,0))</f>
        <v/>
      </c>
      <c r="BJ206" s="31" t="str">
        <f aca="false">IF(COUNTBLANK(AU206:AZ206)&gt;0,"",ROUND(AVERAGE(INDEX('SCORING MASTER'!$D$95:$D$96,MATCH(AU206,'SCORING MASTER'!$C$95:$C$96,0)),INDEX('SCORING MASTER'!$D$98:$D$99,MATCH(AV206,'SCORING MASTER'!$C$98:$C$99,0)),INDEX('SCORING MASTER'!$D$101:$D$102,MATCH(AW206,'SCORING MASTER'!$C$101:$C$102,0)),INDEX('SCORING MASTER'!$D$104:$D$105,MATCH(AX206,'SCORING MASTER'!$C$104:$C$105,0)),INDEX('SCORING MASTER'!$D$107:$D$108,MATCH(AY206,'SCORING MASTER'!$C$107:$C$108,0)),INDEX('SCORING MASTER'!$D$110:$D$111,MATCH(AZ206,'SCORING MASTER'!$C$110:$C$111,0)))*20,0))</f>
        <v/>
      </c>
      <c r="BK206" s="31" t="str">
        <f aca="false">IF(COUNTBLANK(AQ206:AT206)&gt;0,"",ROUND(AVERAGE(INDEX('SCORING MASTER'!$D$80:$D$82,MATCH(AQ206,'SCORING MASTER'!$C$80:$C$82,0)),INDEX('SCORING MASTER'!$D$84:$D$86,MATCH(AR206,'SCORING MASTER'!$C$84:$C$86,0)),INDEX('SCORING MASTER'!$D$88:$D$90,MATCH(AS206,'SCORING MASTER'!$C$88:$C$90,0)),INDEX('SCORING MASTER'!$D$92:$D$93,MATCH(AT206,'SCORING MASTER'!$C$92:$C$93,0)))*20,0))</f>
        <v/>
      </c>
      <c r="BL206" s="31" t="str">
        <f aca="false">IF(COUNTBLANK(BA206:BE206)&gt;0,"",ROUND(AVERAGE(INDEX('SCORING MASTER'!$D$113:$D$115,MATCH(BA206,'SCORING MASTER'!$C$113:$C$115,0)),INDEX('SCORING MASTER'!$D$117:$D$119,MATCH(BB206,'SCORING MASTER'!$C$117:$C$119,0)),INDEX('SCORING MASTER'!$D$121:$D$123,MATCH(BC206,'SCORING MASTER'!$C$121:$C$123,0)),INDEX('SCORING MASTER'!$D$125:$D$126,MATCH(BD206,'SCORING MASTER'!$C$125:$C$126,0)),INDEX('SCORING MASTER'!$D$128:$D$129,MATCH(BE206,'SCORING MASTER'!$C$128:$C$129,0)))*20,0))</f>
        <v/>
      </c>
      <c r="BM206" s="31" t="str">
        <f aca="false">IF(OR(BF206="",BG206="",BH206="",BI206="",BJ206="",BK206="",BL206=""),"",ROUND(BF206*0.25+BG206*0.2+BH206*0.15+BI206*0.15+BJ206*0.1+BK206*0.1+BL206*0.05,0))</f>
        <v/>
      </c>
      <c r="BN206" s="31" t="str">
        <f aca="false">IF(OR(BF206="",BG206=""),"",ROUND(BF206*0.5+BG206*0.5,0))</f>
        <v/>
      </c>
      <c r="BO206" s="31" t="str">
        <f aca="false">IF(BN206="","",ROUND(MIN(100,MAX(0,(100-BN206)+IF(AL206="Yes",15,0)+IF(AM206="Yes",15,0)+IF(AND(U206&lt;&gt;"",U206&lt;18.5),20,0))),0))</f>
        <v/>
      </c>
      <c r="BP206" s="28" t="str">
        <f aca="false">IF(BM206="","",IF(BM206&gt;=90,"Green - Healthy",IF(BM206&gt;=75,"Light Green - Mild Watch",IF(BM206&gt;=60,"Yellow - Mild Risk",IF(BM206&gt;=40,"Orange - Moderate Risk","Red - High Risk")))))</f>
        <v/>
      </c>
      <c r="BQ206" s="28" t="str">
        <f aca="false">IF(BM206="","",IF(OR(BM206&lt;60,BO206&gt;=60,AJ206="Yes"),"Yes","No"))</f>
        <v/>
      </c>
      <c r="BR206" s="28" t="str">
        <f aca="false">IF(BM206="","",IF(OR(BP206="Orange - Moderate Risk",BP206="Red - High Risk",BQ206="Yes"),"Yes","No"))</f>
        <v/>
      </c>
    </row>
    <row r="207" customFormat="false" ht="15" hidden="false" customHeight="false" outlineLevel="0" collapsed="false">
      <c r="A207" s="32" t="str">
        <f aca="false">IF(I207="","","STU"&amp;TEXT(ROW()-3,"000000"))</f>
        <v/>
      </c>
      <c r="B207" s="32"/>
      <c r="C207" s="32"/>
      <c r="D207" s="32"/>
      <c r="E207" s="32"/>
      <c r="F207" s="32"/>
      <c r="G207" s="32"/>
      <c r="H207" s="32"/>
      <c r="I207" s="32"/>
      <c r="J207" s="34"/>
      <c r="K207" s="32"/>
      <c r="L207" s="32"/>
      <c r="M207" s="32"/>
      <c r="N207" s="32"/>
      <c r="O207" s="32"/>
      <c r="P207" s="32"/>
      <c r="Q207" s="34"/>
      <c r="R207" s="34"/>
      <c r="S207" s="35" t="str">
        <f aca="false">IF(OR(Q207="",R207=""),"",ROUND(R207/((Q207/100)^2),1))</f>
        <v/>
      </c>
      <c r="T207" s="32" t="str">
        <f aca="false">IF(S207="","",IF(S207&lt;18.5,"Underweight",IF(S207&lt;25,"Normal",IF(S207&lt;30,"Overweight","Obese"))))</f>
        <v/>
      </c>
      <c r="U207" s="34"/>
      <c r="V207" s="34"/>
      <c r="W207" s="32"/>
      <c r="X207" s="32"/>
      <c r="Y207" s="32"/>
      <c r="Z207" s="32"/>
      <c r="AA207" s="32"/>
      <c r="AB207" s="32"/>
      <c r="AC207" s="32"/>
      <c r="AD207" s="32"/>
      <c r="AE207" s="32"/>
      <c r="AF207" s="32"/>
      <c r="AG207" s="32"/>
      <c r="AH207" s="32"/>
      <c r="AI207" s="32"/>
      <c r="AJ207" s="32"/>
      <c r="AK207" s="32"/>
      <c r="AL207" s="32"/>
      <c r="AM207" s="32"/>
      <c r="AN207" s="32"/>
      <c r="AO207" s="32"/>
      <c r="AP207" s="32"/>
      <c r="AQ207" s="32"/>
      <c r="AR207" s="32"/>
      <c r="AS207" s="32"/>
      <c r="AT207" s="32"/>
      <c r="AU207" s="32"/>
      <c r="AV207" s="32"/>
      <c r="AW207" s="32"/>
      <c r="AX207" s="32"/>
      <c r="AY207" s="32"/>
      <c r="AZ207" s="32"/>
      <c r="BA207" s="32"/>
      <c r="BB207" s="32"/>
      <c r="BC207" s="32"/>
      <c r="BD207" s="32"/>
      <c r="BE207" s="32"/>
      <c r="BF207" s="35" t="str">
        <f aca="false">IF(T207="","",IF(T207="Normal",100,IF(T207="Overweight",65,IF(T207="Obese",50,IF(AND(U207&lt;&gt;"",U207&lt;18.5),30,45)))))</f>
        <v/>
      </c>
      <c r="BG207" s="35" t="str">
        <f aca="false">IF(COUNTBLANK(W207:AC207)&gt;0,"",ROUND(AVERAGE(INDEX('SCORING MASTER'!$D$5:$D$7,MATCH(W207,'SCORING MASTER'!$C$5:$C$7,0)),INDEX('SCORING MASTER'!$D$9:$D$11,MATCH(X207,'SCORING MASTER'!$C$9:$C$11,0)),INDEX('SCORING MASTER'!$D$13:$D$15,MATCH(Y207,'SCORING MASTER'!$C$13:$C$15,0)),INDEX('SCORING MASTER'!$D$17:$D$19,MATCH(Z207,'SCORING MASTER'!$C$17:$C$19,0)),INDEX('SCORING MASTER'!$D$21:$D$23,MATCH(AA207,'SCORING MASTER'!$C$21:$C$23,0)),INDEX('SCORING MASTER'!$D$25:$D$27,MATCH(AB207,'SCORING MASTER'!$C$25:$C$27,0)),INDEX('SCORING MASTER'!$D$29:$D$31,MATCH(AC207,'SCORING MASTER'!$C$29:$C$31,0)))*20,0))</f>
        <v/>
      </c>
      <c r="BH207" s="35" t="str">
        <f aca="false">IF(COUNTBLANK(AD207:AI207)&gt;0,"",ROUND(AVERAGE(INDEX('SCORING MASTER'!$D$33:$D$35,MATCH(AD207,'SCORING MASTER'!$C$33:$C$35,0)),INDEX('SCORING MASTER'!$D$37:$D$39,MATCH(AE207,'SCORING MASTER'!$C$37:$C$39,0)),INDEX('SCORING MASTER'!$D$41:$D$43,MATCH(AF207,'SCORING MASTER'!$C$41:$C$43,0)),INDEX('SCORING MASTER'!$D$45:$D$47,MATCH(AG207,'SCORING MASTER'!$C$45:$C$47,0)),INDEX('SCORING MASTER'!$D$49:$D$52,MATCH(AH207,'SCORING MASTER'!$C$49:$C$52,0)),INDEX('SCORING MASTER'!$D$54:$D$57,MATCH(AI207,'SCORING MASTER'!$C$54:$C$57,0)))*20,0))</f>
        <v/>
      </c>
      <c r="BI207" s="35" t="str">
        <f aca="false">IF(COUNTBLANK(AJ207:AP207)&gt;0,"",ROUND(AVERAGE(INDEX('SCORING MASTER'!$D$59:$D$60,MATCH(AJ207,'SCORING MASTER'!$C$59:$C$60,0)),INDEX('SCORING MASTER'!$D$62:$D$63,MATCH(AK207,'SCORING MASTER'!$C$62:$C$63,0)),INDEX('SCORING MASTER'!$D$65:$D$66,MATCH(AL207,'SCORING MASTER'!$C$65:$C$66,0)),INDEX('SCORING MASTER'!$D$68:$D$69,MATCH(AM207,'SCORING MASTER'!$C$68:$C$69,0)),INDEX('SCORING MASTER'!$D$71:$D$72,MATCH(AN207,'SCORING MASTER'!$C$71:$C$72,0)),INDEX('SCORING MASTER'!$D$74:$D$75,MATCH(AO207,'SCORING MASTER'!$C$74:$C$75,0)),INDEX('SCORING MASTER'!$D$77:$D$78,MATCH(AP207,'SCORING MASTER'!$C$77:$C$78,0)))*20,0))</f>
        <v/>
      </c>
      <c r="BJ207" s="35" t="str">
        <f aca="false">IF(COUNTBLANK(AU207:AZ207)&gt;0,"",ROUND(AVERAGE(INDEX('SCORING MASTER'!$D$95:$D$96,MATCH(AU207,'SCORING MASTER'!$C$95:$C$96,0)),INDEX('SCORING MASTER'!$D$98:$D$99,MATCH(AV207,'SCORING MASTER'!$C$98:$C$99,0)),INDEX('SCORING MASTER'!$D$101:$D$102,MATCH(AW207,'SCORING MASTER'!$C$101:$C$102,0)),INDEX('SCORING MASTER'!$D$104:$D$105,MATCH(AX207,'SCORING MASTER'!$C$104:$C$105,0)),INDEX('SCORING MASTER'!$D$107:$D$108,MATCH(AY207,'SCORING MASTER'!$C$107:$C$108,0)),INDEX('SCORING MASTER'!$D$110:$D$111,MATCH(AZ207,'SCORING MASTER'!$C$110:$C$111,0)))*20,0))</f>
        <v/>
      </c>
      <c r="BK207" s="35" t="str">
        <f aca="false">IF(COUNTBLANK(AQ207:AT207)&gt;0,"",ROUND(AVERAGE(INDEX('SCORING MASTER'!$D$80:$D$82,MATCH(AQ207,'SCORING MASTER'!$C$80:$C$82,0)),INDEX('SCORING MASTER'!$D$84:$D$86,MATCH(AR207,'SCORING MASTER'!$C$84:$C$86,0)),INDEX('SCORING MASTER'!$D$88:$D$90,MATCH(AS207,'SCORING MASTER'!$C$88:$C$90,0)),INDEX('SCORING MASTER'!$D$92:$D$93,MATCH(AT207,'SCORING MASTER'!$C$92:$C$93,0)))*20,0))</f>
        <v/>
      </c>
      <c r="BL207" s="35" t="str">
        <f aca="false">IF(COUNTBLANK(BA207:BE207)&gt;0,"",ROUND(AVERAGE(INDEX('SCORING MASTER'!$D$113:$D$115,MATCH(BA207,'SCORING MASTER'!$C$113:$C$115,0)),INDEX('SCORING MASTER'!$D$117:$D$119,MATCH(BB207,'SCORING MASTER'!$C$117:$C$119,0)),INDEX('SCORING MASTER'!$D$121:$D$123,MATCH(BC207,'SCORING MASTER'!$C$121:$C$123,0)),INDEX('SCORING MASTER'!$D$125:$D$126,MATCH(BD207,'SCORING MASTER'!$C$125:$C$126,0)),INDEX('SCORING MASTER'!$D$128:$D$129,MATCH(BE207,'SCORING MASTER'!$C$128:$C$129,0)))*20,0))</f>
        <v/>
      </c>
      <c r="BM207" s="35" t="str">
        <f aca="false">IF(OR(BF207="",BG207="",BH207="",BI207="",BJ207="",BK207="",BL207=""),"",ROUND(BF207*0.25+BG207*0.2+BH207*0.15+BI207*0.15+BJ207*0.1+BK207*0.1+BL207*0.05,0))</f>
        <v/>
      </c>
      <c r="BN207" s="35" t="str">
        <f aca="false">IF(OR(BF207="",BG207=""),"",ROUND(BF207*0.5+BG207*0.5,0))</f>
        <v/>
      </c>
      <c r="BO207" s="35" t="str">
        <f aca="false">IF(BN207="","",ROUND(MIN(100,MAX(0,(100-BN207)+IF(AL207="Yes",15,0)+IF(AM207="Yes",15,0)+IF(AND(U207&lt;&gt;"",U207&lt;18.5),20,0))),0))</f>
        <v/>
      </c>
      <c r="BP207" s="32" t="str">
        <f aca="false">IF(BM207="","",IF(BM207&gt;=90,"Green - Healthy",IF(BM207&gt;=75,"Light Green - Mild Watch",IF(BM207&gt;=60,"Yellow - Mild Risk",IF(BM207&gt;=40,"Orange - Moderate Risk","Red - High Risk")))))</f>
        <v/>
      </c>
      <c r="BQ207" s="32" t="str">
        <f aca="false">IF(BM207="","",IF(OR(BM207&lt;60,BO207&gt;=60,AJ207="Yes"),"Yes","No"))</f>
        <v/>
      </c>
      <c r="BR207" s="32" t="str">
        <f aca="false">IF(BM207="","",IF(OR(BP207="Orange - Moderate Risk",BP207="Red - High Risk",BQ207="Yes"),"Yes","No"))</f>
        <v/>
      </c>
    </row>
    <row r="208" customFormat="false" ht="15" hidden="false" customHeight="false" outlineLevel="0" collapsed="false">
      <c r="A208" s="28" t="str">
        <f aca="false">IF(I208="","","STU"&amp;TEXT(ROW()-3,"000000"))</f>
        <v/>
      </c>
      <c r="B208" s="28"/>
      <c r="C208" s="28"/>
      <c r="D208" s="28"/>
      <c r="E208" s="28"/>
      <c r="F208" s="28"/>
      <c r="G208" s="28"/>
      <c r="H208" s="28"/>
      <c r="I208" s="28"/>
      <c r="J208" s="30"/>
      <c r="K208" s="28"/>
      <c r="L208" s="28"/>
      <c r="M208" s="28"/>
      <c r="N208" s="28"/>
      <c r="O208" s="28"/>
      <c r="P208" s="28"/>
      <c r="Q208" s="30"/>
      <c r="R208" s="30"/>
      <c r="S208" s="31" t="str">
        <f aca="false">IF(OR(Q208="",R208=""),"",ROUND(R208/((Q208/100)^2),1))</f>
        <v/>
      </c>
      <c r="T208" s="28" t="str">
        <f aca="false">IF(S208="","",IF(S208&lt;18.5,"Underweight",IF(S208&lt;25,"Normal",IF(S208&lt;30,"Overweight","Obese"))))</f>
        <v/>
      </c>
      <c r="U208" s="30"/>
      <c r="V208" s="30"/>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c r="BF208" s="31" t="str">
        <f aca="false">IF(T208="","",IF(T208="Normal",100,IF(T208="Overweight",65,IF(T208="Obese",50,IF(AND(U208&lt;&gt;"",U208&lt;18.5),30,45)))))</f>
        <v/>
      </c>
      <c r="BG208" s="31" t="str">
        <f aca="false">IF(COUNTBLANK(W208:AC208)&gt;0,"",ROUND(AVERAGE(INDEX('SCORING MASTER'!$D$5:$D$7,MATCH(W208,'SCORING MASTER'!$C$5:$C$7,0)),INDEX('SCORING MASTER'!$D$9:$D$11,MATCH(X208,'SCORING MASTER'!$C$9:$C$11,0)),INDEX('SCORING MASTER'!$D$13:$D$15,MATCH(Y208,'SCORING MASTER'!$C$13:$C$15,0)),INDEX('SCORING MASTER'!$D$17:$D$19,MATCH(Z208,'SCORING MASTER'!$C$17:$C$19,0)),INDEX('SCORING MASTER'!$D$21:$D$23,MATCH(AA208,'SCORING MASTER'!$C$21:$C$23,0)),INDEX('SCORING MASTER'!$D$25:$D$27,MATCH(AB208,'SCORING MASTER'!$C$25:$C$27,0)),INDEX('SCORING MASTER'!$D$29:$D$31,MATCH(AC208,'SCORING MASTER'!$C$29:$C$31,0)))*20,0))</f>
        <v/>
      </c>
      <c r="BH208" s="31" t="str">
        <f aca="false">IF(COUNTBLANK(AD208:AI208)&gt;0,"",ROUND(AVERAGE(INDEX('SCORING MASTER'!$D$33:$D$35,MATCH(AD208,'SCORING MASTER'!$C$33:$C$35,0)),INDEX('SCORING MASTER'!$D$37:$D$39,MATCH(AE208,'SCORING MASTER'!$C$37:$C$39,0)),INDEX('SCORING MASTER'!$D$41:$D$43,MATCH(AF208,'SCORING MASTER'!$C$41:$C$43,0)),INDEX('SCORING MASTER'!$D$45:$D$47,MATCH(AG208,'SCORING MASTER'!$C$45:$C$47,0)),INDEX('SCORING MASTER'!$D$49:$D$52,MATCH(AH208,'SCORING MASTER'!$C$49:$C$52,0)),INDEX('SCORING MASTER'!$D$54:$D$57,MATCH(AI208,'SCORING MASTER'!$C$54:$C$57,0)))*20,0))</f>
        <v/>
      </c>
      <c r="BI208" s="31" t="str">
        <f aca="false">IF(COUNTBLANK(AJ208:AP208)&gt;0,"",ROUND(AVERAGE(INDEX('SCORING MASTER'!$D$59:$D$60,MATCH(AJ208,'SCORING MASTER'!$C$59:$C$60,0)),INDEX('SCORING MASTER'!$D$62:$D$63,MATCH(AK208,'SCORING MASTER'!$C$62:$C$63,0)),INDEX('SCORING MASTER'!$D$65:$D$66,MATCH(AL208,'SCORING MASTER'!$C$65:$C$66,0)),INDEX('SCORING MASTER'!$D$68:$D$69,MATCH(AM208,'SCORING MASTER'!$C$68:$C$69,0)),INDEX('SCORING MASTER'!$D$71:$D$72,MATCH(AN208,'SCORING MASTER'!$C$71:$C$72,0)),INDEX('SCORING MASTER'!$D$74:$D$75,MATCH(AO208,'SCORING MASTER'!$C$74:$C$75,0)),INDEX('SCORING MASTER'!$D$77:$D$78,MATCH(AP208,'SCORING MASTER'!$C$77:$C$78,0)))*20,0))</f>
        <v/>
      </c>
      <c r="BJ208" s="31" t="str">
        <f aca="false">IF(COUNTBLANK(AU208:AZ208)&gt;0,"",ROUND(AVERAGE(INDEX('SCORING MASTER'!$D$95:$D$96,MATCH(AU208,'SCORING MASTER'!$C$95:$C$96,0)),INDEX('SCORING MASTER'!$D$98:$D$99,MATCH(AV208,'SCORING MASTER'!$C$98:$C$99,0)),INDEX('SCORING MASTER'!$D$101:$D$102,MATCH(AW208,'SCORING MASTER'!$C$101:$C$102,0)),INDEX('SCORING MASTER'!$D$104:$D$105,MATCH(AX208,'SCORING MASTER'!$C$104:$C$105,0)),INDEX('SCORING MASTER'!$D$107:$D$108,MATCH(AY208,'SCORING MASTER'!$C$107:$C$108,0)),INDEX('SCORING MASTER'!$D$110:$D$111,MATCH(AZ208,'SCORING MASTER'!$C$110:$C$111,0)))*20,0))</f>
        <v/>
      </c>
      <c r="BK208" s="31" t="str">
        <f aca="false">IF(COUNTBLANK(AQ208:AT208)&gt;0,"",ROUND(AVERAGE(INDEX('SCORING MASTER'!$D$80:$D$82,MATCH(AQ208,'SCORING MASTER'!$C$80:$C$82,0)),INDEX('SCORING MASTER'!$D$84:$D$86,MATCH(AR208,'SCORING MASTER'!$C$84:$C$86,0)),INDEX('SCORING MASTER'!$D$88:$D$90,MATCH(AS208,'SCORING MASTER'!$C$88:$C$90,0)),INDEX('SCORING MASTER'!$D$92:$D$93,MATCH(AT208,'SCORING MASTER'!$C$92:$C$93,0)))*20,0))</f>
        <v/>
      </c>
      <c r="BL208" s="31" t="str">
        <f aca="false">IF(COUNTBLANK(BA208:BE208)&gt;0,"",ROUND(AVERAGE(INDEX('SCORING MASTER'!$D$113:$D$115,MATCH(BA208,'SCORING MASTER'!$C$113:$C$115,0)),INDEX('SCORING MASTER'!$D$117:$D$119,MATCH(BB208,'SCORING MASTER'!$C$117:$C$119,0)),INDEX('SCORING MASTER'!$D$121:$D$123,MATCH(BC208,'SCORING MASTER'!$C$121:$C$123,0)),INDEX('SCORING MASTER'!$D$125:$D$126,MATCH(BD208,'SCORING MASTER'!$C$125:$C$126,0)),INDEX('SCORING MASTER'!$D$128:$D$129,MATCH(BE208,'SCORING MASTER'!$C$128:$C$129,0)))*20,0))</f>
        <v/>
      </c>
      <c r="BM208" s="31" t="str">
        <f aca="false">IF(OR(BF208="",BG208="",BH208="",BI208="",BJ208="",BK208="",BL208=""),"",ROUND(BF208*0.25+BG208*0.2+BH208*0.15+BI208*0.15+BJ208*0.1+BK208*0.1+BL208*0.05,0))</f>
        <v/>
      </c>
      <c r="BN208" s="31" t="str">
        <f aca="false">IF(OR(BF208="",BG208=""),"",ROUND(BF208*0.5+BG208*0.5,0))</f>
        <v/>
      </c>
      <c r="BO208" s="31" t="str">
        <f aca="false">IF(BN208="","",ROUND(MIN(100,MAX(0,(100-BN208)+IF(AL208="Yes",15,0)+IF(AM208="Yes",15,0)+IF(AND(U208&lt;&gt;"",U208&lt;18.5),20,0))),0))</f>
        <v/>
      </c>
      <c r="BP208" s="28" t="str">
        <f aca="false">IF(BM208="","",IF(BM208&gt;=90,"Green - Healthy",IF(BM208&gt;=75,"Light Green - Mild Watch",IF(BM208&gt;=60,"Yellow - Mild Risk",IF(BM208&gt;=40,"Orange - Moderate Risk","Red - High Risk")))))</f>
        <v/>
      </c>
      <c r="BQ208" s="28" t="str">
        <f aca="false">IF(BM208="","",IF(OR(BM208&lt;60,BO208&gt;=60,AJ208="Yes"),"Yes","No"))</f>
        <v/>
      </c>
      <c r="BR208" s="28" t="str">
        <f aca="false">IF(BM208="","",IF(OR(BP208="Orange - Moderate Risk",BP208="Red - High Risk",BQ208="Yes"),"Yes","No"))</f>
        <v/>
      </c>
    </row>
    <row r="209" customFormat="false" ht="15" hidden="false" customHeight="false" outlineLevel="0" collapsed="false">
      <c r="A209" s="32" t="str">
        <f aca="false">IF(I209="","","STU"&amp;TEXT(ROW()-3,"000000"))</f>
        <v/>
      </c>
      <c r="B209" s="32"/>
      <c r="C209" s="32"/>
      <c r="D209" s="32"/>
      <c r="E209" s="32"/>
      <c r="F209" s="32"/>
      <c r="G209" s="32"/>
      <c r="H209" s="32"/>
      <c r="I209" s="32"/>
      <c r="J209" s="34"/>
      <c r="K209" s="32"/>
      <c r="L209" s="32"/>
      <c r="M209" s="32"/>
      <c r="N209" s="32"/>
      <c r="O209" s="32"/>
      <c r="P209" s="32"/>
      <c r="Q209" s="34"/>
      <c r="R209" s="34"/>
      <c r="S209" s="35" t="str">
        <f aca="false">IF(OR(Q209="",R209=""),"",ROUND(R209/((Q209/100)^2),1))</f>
        <v/>
      </c>
      <c r="T209" s="32" t="str">
        <f aca="false">IF(S209="","",IF(S209&lt;18.5,"Underweight",IF(S209&lt;25,"Normal",IF(S209&lt;30,"Overweight","Obese"))))</f>
        <v/>
      </c>
      <c r="U209" s="34"/>
      <c r="V209" s="34"/>
      <c r="W209" s="32"/>
      <c r="X209" s="32"/>
      <c r="Y209" s="32"/>
      <c r="Z209" s="32"/>
      <c r="AA209" s="32"/>
      <c r="AB209" s="32"/>
      <c r="AC209" s="32"/>
      <c r="AD209" s="32"/>
      <c r="AE209" s="32"/>
      <c r="AF209" s="32"/>
      <c r="AG209" s="32"/>
      <c r="AH209" s="32"/>
      <c r="AI209" s="32"/>
      <c r="AJ209" s="32"/>
      <c r="AK209" s="32"/>
      <c r="AL209" s="32"/>
      <c r="AM209" s="32"/>
      <c r="AN209" s="32"/>
      <c r="AO209" s="32"/>
      <c r="AP209" s="32"/>
      <c r="AQ209" s="32"/>
      <c r="AR209" s="32"/>
      <c r="AS209" s="32"/>
      <c r="AT209" s="32"/>
      <c r="AU209" s="32"/>
      <c r="AV209" s="32"/>
      <c r="AW209" s="32"/>
      <c r="AX209" s="32"/>
      <c r="AY209" s="32"/>
      <c r="AZ209" s="32"/>
      <c r="BA209" s="32"/>
      <c r="BB209" s="32"/>
      <c r="BC209" s="32"/>
      <c r="BD209" s="32"/>
      <c r="BE209" s="32"/>
      <c r="BF209" s="35" t="str">
        <f aca="false">IF(T209="","",IF(T209="Normal",100,IF(T209="Overweight",65,IF(T209="Obese",50,IF(AND(U209&lt;&gt;"",U209&lt;18.5),30,45)))))</f>
        <v/>
      </c>
      <c r="BG209" s="35" t="str">
        <f aca="false">IF(COUNTBLANK(W209:AC209)&gt;0,"",ROUND(AVERAGE(INDEX('SCORING MASTER'!$D$5:$D$7,MATCH(W209,'SCORING MASTER'!$C$5:$C$7,0)),INDEX('SCORING MASTER'!$D$9:$D$11,MATCH(X209,'SCORING MASTER'!$C$9:$C$11,0)),INDEX('SCORING MASTER'!$D$13:$D$15,MATCH(Y209,'SCORING MASTER'!$C$13:$C$15,0)),INDEX('SCORING MASTER'!$D$17:$D$19,MATCH(Z209,'SCORING MASTER'!$C$17:$C$19,0)),INDEX('SCORING MASTER'!$D$21:$D$23,MATCH(AA209,'SCORING MASTER'!$C$21:$C$23,0)),INDEX('SCORING MASTER'!$D$25:$D$27,MATCH(AB209,'SCORING MASTER'!$C$25:$C$27,0)),INDEX('SCORING MASTER'!$D$29:$D$31,MATCH(AC209,'SCORING MASTER'!$C$29:$C$31,0)))*20,0))</f>
        <v/>
      </c>
      <c r="BH209" s="35" t="str">
        <f aca="false">IF(COUNTBLANK(AD209:AI209)&gt;0,"",ROUND(AVERAGE(INDEX('SCORING MASTER'!$D$33:$D$35,MATCH(AD209,'SCORING MASTER'!$C$33:$C$35,0)),INDEX('SCORING MASTER'!$D$37:$D$39,MATCH(AE209,'SCORING MASTER'!$C$37:$C$39,0)),INDEX('SCORING MASTER'!$D$41:$D$43,MATCH(AF209,'SCORING MASTER'!$C$41:$C$43,0)),INDEX('SCORING MASTER'!$D$45:$D$47,MATCH(AG209,'SCORING MASTER'!$C$45:$C$47,0)),INDEX('SCORING MASTER'!$D$49:$D$52,MATCH(AH209,'SCORING MASTER'!$C$49:$C$52,0)),INDEX('SCORING MASTER'!$D$54:$D$57,MATCH(AI209,'SCORING MASTER'!$C$54:$C$57,0)))*20,0))</f>
        <v/>
      </c>
      <c r="BI209" s="35" t="str">
        <f aca="false">IF(COUNTBLANK(AJ209:AP209)&gt;0,"",ROUND(AVERAGE(INDEX('SCORING MASTER'!$D$59:$D$60,MATCH(AJ209,'SCORING MASTER'!$C$59:$C$60,0)),INDEX('SCORING MASTER'!$D$62:$D$63,MATCH(AK209,'SCORING MASTER'!$C$62:$C$63,0)),INDEX('SCORING MASTER'!$D$65:$D$66,MATCH(AL209,'SCORING MASTER'!$C$65:$C$66,0)),INDEX('SCORING MASTER'!$D$68:$D$69,MATCH(AM209,'SCORING MASTER'!$C$68:$C$69,0)),INDEX('SCORING MASTER'!$D$71:$D$72,MATCH(AN209,'SCORING MASTER'!$C$71:$C$72,0)),INDEX('SCORING MASTER'!$D$74:$D$75,MATCH(AO209,'SCORING MASTER'!$C$74:$C$75,0)),INDEX('SCORING MASTER'!$D$77:$D$78,MATCH(AP209,'SCORING MASTER'!$C$77:$C$78,0)))*20,0))</f>
        <v/>
      </c>
      <c r="BJ209" s="35" t="str">
        <f aca="false">IF(COUNTBLANK(AU209:AZ209)&gt;0,"",ROUND(AVERAGE(INDEX('SCORING MASTER'!$D$95:$D$96,MATCH(AU209,'SCORING MASTER'!$C$95:$C$96,0)),INDEX('SCORING MASTER'!$D$98:$D$99,MATCH(AV209,'SCORING MASTER'!$C$98:$C$99,0)),INDEX('SCORING MASTER'!$D$101:$D$102,MATCH(AW209,'SCORING MASTER'!$C$101:$C$102,0)),INDEX('SCORING MASTER'!$D$104:$D$105,MATCH(AX209,'SCORING MASTER'!$C$104:$C$105,0)),INDEX('SCORING MASTER'!$D$107:$D$108,MATCH(AY209,'SCORING MASTER'!$C$107:$C$108,0)),INDEX('SCORING MASTER'!$D$110:$D$111,MATCH(AZ209,'SCORING MASTER'!$C$110:$C$111,0)))*20,0))</f>
        <v/>
      </c>
      <c r="BK209" s="35" t="str">
        <f aca="false">IF(COUNTBLANK(AQ209:AT209)&gt;0,"",ROUND(AVERAGE(INDEX('SCORING MASTER'!$D$80:$D$82,MATCH(AQ209,'SCORING MASTER'!$C$80:$C$82,0)),INDEX('SCORING MASTER'!$D$84:$D$86,MATCH(AR209,'SCORING MASTER'!$C$84:$C$86,0)),INDEX('SCORING MASTER'!$D$88:$D$90,MATCH(AS209,'SCORING MASTER'!$C$88:$C$90,0)),INDEX('SCORING MASTER'!$D$92:$D$93,MATCH(AT209,'SCORING MASTER'!$C$92:$C$93,0)))*20,0))</f>
        <v/>
      </c>
      <c r="BL209" s="35" t="str">
        <f aca="false">IF(COUNTBLANK(BA209:BE209)&gt;0,"",ROUND(AVERAGE(INDEX('SCORING MASTER'!$D$113:$D$115,MATCH(BA209,'SCORING MASTER'!$C$113:$C$115,0)),INDEX('SCORING MASTER'!$D$117:$D$119,MATCH(BB209,'SCORING MASTER'!$C$117:$C$119,0)),INDEX('SCORING MASTER'!$D$121:$D$123,MATCH(BC209,'SCORING MASTER'!$C$121:$C$123,0)),INDEX('SCORING MASTER'!$D$125:$D$126,MATCH(BD209,'SCORING MASTER'!$C$125:$C$126,0)),INDEX('SCORING MASTER'!$D$128:$D$129,MATCH(BE209,'SCORING MASTER'!$C$128:$C$129,0)))*20,0))</f>
        <v/>
      </c>
      <c r="BM209" s="35" t="str">
        <f aca="false">IF(OR(BF209="",BG209="",BH209="",BI209="",BJ209="",BK209="",BL209=""),"",ROUND(BF209*0.25+BG209*0.2+BH209*0.15+BI209*0.15+BJ209*0.1+BK209*0.1+BL209*0.05,0))</f>
        <v/>
      </c>
      <c r="BN209" s="35" t="str">
        <f aca="false">IF(OR(BF209="",BG209=""),"",ROUND(BF209*0.5+BG209*0.5,0))</f>
        <v/>
      </c>
      <c r="BO209" s="35" t="str">
        <f aca="false">IF(BN209="","",ROUND(MIN(100,MAX(0,(100-BN209)+IF(AL209="Yes",15,0)+IF(AM209="Yes",15,0)+IF(AND(U209&lt;&gt;"",U209&lt;18.5),20,0))),0))</f>
        <v/>
      </c>
      <c r="BP209" s="32" t="str">
        <f aca="false">IF(BM209="","",IF(BM209&gt;=90,"Green - Healthy",IF(BM209&gt;=75,"Light Green - Mild Watch",IF(BM209&gt;=60,"Yellow - Mild Risk",IF(BM209&gt;=40,"Orange - Moderate Risk","Red - High Risk")))))</f>
        <v/>
      </c>
      <c r="BQ209" s="32" t="str">
        <f aca="false">IF(BM209="","",IF(OR(BM209&lt;60,BO209&gt;=60,AJ209="Yes"),"Yes","No"))</f>
        <v/>
      </c>
      <c r="BR209" s="32" t="str">
        <f aca="false">IF(BM209="","",IF(OR(BP209="Orange - Moderate Risk",BP209="Red - High Risk",BQ209="Yes"),"Yes","No"))</f>
        <v/>
      </c>
    </row>
    <row r="210" customFormat="false" ht="15" hidden="false" customHeight="false" outlineLevel="0" collapsed="false">
      <c r="A210" s="28" t="str">
        <f aca="false">IF(I210="","","STU"&amp;TEXT(ROW()-3,"000000"))</f>
        <v/>
      </c>
      <c r="B210" s="28"/>
      <c r="C210" s="28"/>
      <c r="D210" s="28"/>
      <c r="E210" s="28"/>
      <c r="F210" s="28"/>
      <c r="G210" s="28"/>
      <c r="H210" s="28"/>
      <c r="I210" s="28"/>
      <c r="J210" s="30"/>
      <c r="K210" s="28"/>
      <c r="L210" s="28"/>
      <c r="M210" s="28"/>
      <c r="N210" s="28"/>
      <c r="O210" s="28"/>
      <c r="P210" s="28"/>
      <c r="Q210" s="30"/>
      <c r="R210" s="30"/>
      <c r="S210" s="31" t="str">
        <f aca="false">IF(OR(Q210="",R210=""),"",ROUND(R210/((Q210/100)^2),1))</f>
        <v/>
      </c>
      <c r="T210" s="28" t="str">
        <f aca="false">IF(S210="","",IF(S210&lt;18.5,"Underweight",IF(S210&lt;25,"Normal",IF(S210&lt;30,"Overweight","Obese"))))</f>
        <v/>
      </c>
      <c r="U210" s="30"/>
      <c r="V210" s="30"/>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31" t="str">
        <f aca="false">IF(T210="","",IF(T210="Normal",100,IF(T210="Overweight",65,IF(T210="Obese",50,IF(AND(U210&lt;&gt;"",U210&lt;18.5),30,45)))))</f>
        <v/>
      </c>
      <c r="BG210" s="31" t="str">
        <f aca="false">IF(COUNTBLANK(W210:AC210)&gt;0,"",ROUND(AVERAGE(INDEX('SCORING MASTER'!$D$5:$D$7,MATCH(W210,'SCORING MASTER'!$C$5:$C$7,0)),INDEX('SCORING MASTER'!$D$9:$D$11,MATCH(X210,'SCORING MASTER'!$C$9:$C$11,0)),INDEX('SCORING MASTER'!$D$13:$D$15,MATCH(Y210,'SCORING MASTER'!$C$13:$C$15,0)),INDEX('SCORING MASTER'!$D$17:$D$19,MATCH(Z210,'SCORING MASTER'!$C$17:$C$19,0)),INDEX('SCORING MASTER'!$D$21:$D$23,MATCH(AA210,'SCORING MASTER'!$C$21:$C$23,0)),INDEX('SCORING MASTER'!$D$25:$D$27,MATCH(AB210,'SCORING MASTER'!$C$25:$C$27,0)),INDEX('SCORING MASTER'!$D$29:$D$31,MATCH(AC210,'SCORING MASTER'!$C$29:$C$31,0)))*20,0))</f>
        <v/>
      </c>
      <c r="BH210" s="31" t="str">
        <f aca="false">IF(COUNTBLANK(AD210:AI210)&gt;0,"",ROUND(AVERAGE(INDEX('SCORING MASTER'!$D$33:$D$35,MATCH(AD210,'SCORING MASTER'!$C$33:$C$35,0)),INDEX('SCORING MASTER'!$D$37:$D$39,MATCH(AE210,'SCORING MASTER'!$C$37:$C$39,0)),INDEX('SCORING MASTER'!$D$41:$D$43,MATCH(AF210,'SCORING MASTER'!$C$41:$C$43,0)),INDEX('SCORING MASTER'!$D$45:$D$47,MATCH(AG210,'SCORING MASTER'!$C$45:$C$47,0)),INDEX('SCORING MASTER'!$D$49:$D$52,MATCH(AH210,'SCORING MASTER'!$C$49:$C$52,0)),INDEX('SCORING MASTER'!$D$54:$D$57,MATCH(AI210,'SCORING MASTER'!$C$54:$C$57,0)))*20,0))</f>
        <v/>
      </c>
      <c r="BI210" s="31" t="str">
        <f aca="false">IF(COUNTBLANK(AJ210:AP210)&gt;0,"",ROUND(AVERAGE(INDEX('SCORING MASTER'!$D$59:$D$60,MATCH(AJ210,'SCORING MASTER'!$C$59:$C$60,0)),INDEX('SCORING MASTER'!$D$62:$D$63,MATCH(AK210,'SCORING MASTER'!$C$62:$C$63,0)),INDEX('SCORING MASTER'!$D$65:$D$66,MATCH(AL210,'SCORING MASTER'!$C$65:$C$66,0)),INDEX('SCORING MASTER'!$D$68:$D$69,MATCH(AM210,'SCORING MASTER'!$C$68:$C$69,0)),INDEX('SCORING MASTER'!$D$71:$D$72,MATCH(AN210,'SCORING MASTER'!$C$71:$C$72,0)),INDEX('SCORING MASTER'!$D$74:$D$75,MATCH(AO210,'SCORING MASTER'!$C$74:$C$75,0)),INDEX('SCORING MASTER'!$D$77:$D$78,MATCH(AP210,'SCORING MASTER'!$C$77:$C$78,0)))*20,0))</f>
        <v/>
      </c>
      <c r="BJ210" s="31" t="str">
        <f aca="false">IF(COUNTBLANK(AU210:AZ210)&gt;0,"",ROUND(AVERAGE(INDEX('SCORING MASTER'!$D$95:$D$96,MATCH(AU210,'SCORING MASTER'!$C$95:$C$96,0)),INDEX('SCORING MASTER'!$D$98:$D$99,MATCH(AV210,'SCORING MASTER'!$C$98:$C$99,0)),INDEX('SCORING MASTER'!$D$101:$D$102,MATCH(AW210,'SCORING MASTER'!$C$101:$C$102,0)),INDEX('SCORING MASTER'!$D$104:$D$105,MATCH(AX210,'SCORING MASTER'!$C$104:$C$105,0)),INDEX('SCORING MASTER'!$D$107:$D$108,MATCH(AY210,'SCORING MASTER'!$C$107:$C$108,0)),INDEX('SCORING MASTER'!$D$110:$D$111,MATCH(AZ210,'SCORING MASTER'!$C$110:$C$111,0)))*20,0))</f>
        <v/>
      </c>
      <c r="BK210" s="31" t="str">
        <f aca="false">IF(COUNTBLANK(AQ210:AT210)&gt;0,"",ROUND(AVERAGE(INDEX('SCORING MASTER'!$D$80:$D$82,MATCH(AQ210,'SCORING MASTER'!$C$80:$C$82,0)),INDEX('SCORING MASTER'!$D$84:$D$86,MATCH(AR210,'SCORING MASTER'!$C$84:$C$86,0)),INDEX('SCORING MASTER'!$D$88:$D$90,MATCH(AS210,'SCORING MASTER'!$C$88:$C$90,0)),INDEX('SCORING MASTER'!$D$92:$D$93,MATCH(AT210,'SCORING MASTER'!$C$92:$C$93,0)))*20,0))</f>
        <v/>
      </c>
      <c r="BL210" s="31" t="str">
        <f aca="false">IF(COUNTBLANK(BA210:BE210)&gt;0,"",ROUND(AVERAGE(INDEX('SCORING MASTER'!$D$113:$D$115,MATCH(BA210,'SCORING MASTER'!$C$113:$C$115,0)),INDEX('SCORING MASTER'!$D$117:$D$119,MATCH(BB210,'SCORING MASTER'!$C$117:$C$119,0)),INDEX('SCORING MASTER'!$D$121:$D$123,MATCH(BC210,'SCORING MASTER'!$C$121:$C$123,0)),INDEX('SCORING MASTER'!$D$125:$D$126,MATCH(BD210,'SCORING MASTER'!$C$125:$C$126,0)),INDEX('SCORING MASTER'!$D$128:$D$129,MATCH(BE210,'SCORING MASTER'!$C$128:$C$129,0)))*20,0))</f>
        <v/>
      </c>
      <c r="BM210" s="31" t="str">
        <f aca="false">IF(OR(BF210="",BG210="",BH210="",BI210="",BJ210="",BK210="",BL210=""),"",ROUND(BF210*0.25+BG210*0.2+BH210*0.15+BI210*0.15+BJ210*0.1+BK210*0.1+BL210*0.05,0))</f>
        <v/>
      </c>
      <c r="BN210" s="31" t="str">
        <f aca="false">IF(OR(BF210="",BG210=""),"",ROUND(BF210*0.5+BG210*0.5,0))</f>
        <v/>
      </c>
      <c r="BO210" s="31" t="str">
        <f aca="false">IF(BN210="","",ROUND(MIN(100,MAX(0,(100-BN210)+IF(AL210="Yes",15,0)+IF(AM210="Yes",15,0)+IF(AND(U210&lt;&gt;"",U210&lt;18.5),20,0))),0))</f>
        <v/>
      </c>
      <c r="BP210" s="28" t="str">
        <f aca="false">IF(BM210="","",IF(BM210&gt;=90,"Green - Healthy",IF(BM210&gt;=75,"Light Green - Mild Watch",IF(BM210&gt;=60,"Yellow - Mild Risk",IF(BM210&gt;=40,"Orange - Moderate Risk","Red - High Risk")))))</f>
        <v/>
      </c>
      <c r="BQ210" s="28" t="str">
        <f aca="false">IF(BM210="","",IF(OR(BM210&lt;60,BO210&gt;=60,AJ210="Yes"),"Yes","No"))</f>
        <v/>
      </c>
      <c r="BR210" s="28" t="str">
        <f aca="false">IF(BM210="","",IF(OR(BP210="Orange - Moderate Risk",BP210="Red - High Risk",BQ210="Yes"),"Yes","No"))</f>
        <v/>
      </c>
    </row>
    <row r="211" customFormat="false" ht="15" hidden="false" customHeight="false" outlineLevel="0" collapsed="false">
      <c r="A211" s="32" t="str">
        <f aca="false">IF(I211="","","STU"&amp;TEXT(ROW()-3,"000000"))</f>
        <v/>
      </c>
      <c r="B211" s="32"/>
      <c r="C211" s="32"/>
      <c r="D211" s="32"/>
      <c r="E211" s="32"/>
      <c r="F211" s="32"/>
      <c r="G211" s="32"/>
      <c r="H211" s="32"/>
      <c r="I211" s="32"/>
      <c r="J211" s="34"/>
      <c r="K211" s="32"/>
      <c r="L211" s="32"/>
      <c r="M211" s="32"/>
      <c r="N211" s="32"/>
      <c r="O211" s="32"/>
      <c r="P211" s="32"/>
      <c r="Q211" s="34"/>
      <c r="R211" s="34"/>
      <c r="S211" s="35" t="str">
        <f aca="false">IF(OR(Q211="",R211=""),"",ROUND(R211/((Q211/100)^2),1))</f>
        <v/>
      </c>
      <c r="T211" s="32" t="str">
        <f aca="false">IF(S211="","",IF(S211&lt;18.5,"Underweight",IF(S211&lt;25,"Normal",IF(S211&lt;30,"Overweight","Obese"))))</f>
        <v/>
      </c>
      <c r="U211" s="34"/>
      <c r="V211" s="34"/>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c r="BC211" s="32"/>
      <c r="BD211" s="32"/>
      <c r="BE211" s="32"/>
      <c r="BF211" s="35" t="str">
        <f aca="false">IF(T211="","",IF(T211="Normal",100,IF(T211="Overweight",65,IF(T211="Obese",50,IF(AND(U211&lt;&gt;"",U211&lt;18.5),30,45)))))</f>
        <v/>
      </c>
      <c r="BG211" s="35" t="str">
        <f aca="false">IF(COUNTBLANK(W211:AC211)&gt;0,"",ROUND(AVERAGE(INDEX('SCORING MASTER'!$D$5:$D$7,MATCH(W211,'SCORING MASTER'!$C$5:$C$7,0)),INDEX('SCORING MASTER'!$D$9:$D$11,MATCH(X211,'SCORING MASTER'!$C$9:$C$11,0)),INDEX('SCORING MASTER'!$D$13:$D$15,MATCH(Y211,'SCORING MASTER'!$C$13:$C$15,0)),INDEX('SCORING MASTER'!$D$17:$D$19,MATCH(Z211,'SCORING MASTER'!$C$17:$C$19,0)),INDEX('SCORING MASTER'!$D$21:$D$23,MATCH(AA211,'SCORING MASTER'!$C$21:$C$23,0)),INDEX('SCORING MASTER'!$D$25:$D$27,MATCH(AB211,'SCORING MASTER'!$C$25:$C$27,0)),INDEX('SCORING MASTER'!$D$29:$D$31,MATCH(AC211,'SCORING MASTER'!$C$29:$C$31,0)))*20,0))</f>
        <v/>
      </c>
      <c r="BH211" s="35" t="str">
        <f aca="false">IF(COUNTBLANK(AD211:AI211)&gt;0,"",ROUND(AVERAGE(INDEX('SCORING MASTER'!$D$33:$D$35,MATCH(AD211,'SCORING MASTER'!$C$33:$C$35,0)),INDEX('SCORING MASTER'!$D$37:$D$39,MATCH(AE211,'SCORING MASTER'!$C$37:$C$39,0)),INDEX('SCORING MASTER'!$D$41:$D$43,MATCH(AF211,'SCORING MASTER'!$C$41:$C$43,0)),INDEX('SCORING MASTER'!$D$45:$D$47,MATCH(AG211,'SCORING MASTER'!$C$45:$C$47,0)),INDEX('SCORING MASTER'!$D$49:$D$52,MATCH(AH211,'SCORING MASTER'!$C$49:$C$52,0)),INDEX('SCORING MASTER'!$D$54:$D$57,MATCH(AI211,'SCORING MASTER'!$C$54:$C$57,0)))*20,0))</f>
        <v/>
      </c>
      <c r="BI211" s="35" t="str">
        <f aca="false">IF(COUNTBLANK(AJ211:AP211)&gt;0,"",ROUND(AVERAGE(INDEX('SCORING MASTER'!$D$59:$D$60,MATCH(AJ211,'SCORING MASTER'!$C$59:$C$60,0)),INDEX('SCORING MASTER'!$D$62:$D$63,MATCH(AK211,'SCORING MASTER'!$C$62:$C$63,0)),INDEX('SCORING MASTER'!$D$65:$D$66,MATCH(AL211,'SCORING MASTER'!$C$65:$C$66,0)),INDEX('SCORING MASTER'!$D$68:$D$69,MATCH(AM211,'SCORING MASTER'!$C$68:$C$69,0)),INDEX('SCORING MASTER'!$D$71:$D$72,MATCH(AN211,'SCORING MASTER'!$C$71:$C$72,0)),INDEX('SCORING MASTER'!$D$74:$D$75,MATCH(AO211,'SCORING MASTER'!$C$74:$C$75,0)),INDEX('SCORING MASTER'!$D$77:$D$78,MATCH(AP211,'SCORING MASTER'!$C$77:$C$78,0)))*20,0))</f>
        <v/>
      </c>
      <c r="BJ211" s="35" t="str">
        <f aca="false">IF(COUNTBLANK(AU211:AZ211)&gt;0,"",ROUND(AVERAGE(INDEX('SCORING MASTER'!$D$95:$D$96,MATCH(AU211,'SCORING MASTER'!$C$95:$C$96,0)),INDEX('SCORING MASTER'!$D$98:$D$99,MATCH(AV211,'SCORING MASTER'!$C$98:$C$99,0)),INDEX('SCORING MASTER'!$D$101:$D$102,MATCH(AW211,'SCORING MASTER'!$C$101:$C$102,0)),INDEX('SCORING MASTER'!$D$104:$D$105,MATCH(AX211,'SCORING MASTER'!$C$104:$C$105,0)),INDEX('SCORING MASTER'!$D$107:$D$108,MATCH(AY211,'SCORING MASTER'!$C$107:$C$108,0)),INDEX('SCORING MASTER'!$D$110:$D$111,MATCH(AZ211,'SCORING MASTER'!$C$110:$C$111,0)))*20,0))</f>
        <v/>
      </c>
      <c r="BK211" s="35" t="str">
        <f aca="false">IF(COUNTBLANK(AQ211:AT211)&gt;0,"",ROUND(AVERAGE(INDEX('SCORING MASTER'!$D$80:$D$82,MATCH(AQ211,'SCORING MASTER'!$C$80:$C$82,0)),INDEX('SCORING MASTER'!$D$84:$D$86,MATCH(AR211,'SCORING MASTER'!$C$84:$C$86,0)),INDEX('SCORING MASTER'!$D$88:$D$90,MATCH(AS211,'SCORING MASTER'!$C$88:$C$90,0)),INDEX('SCORING MASTER'!$D$92:$D$93,MATCH(AT211,'SCORING MASTER'!$C$92:$C$93,0)))*20,0))</f>
        <v/>
      </c>
      <c r="BL211" s="35" t="str">
        <f aca="false">IF(COUNTBLANK(BA211:BE211)&gt;0,"",ROUND(AVERAGE(INDEX('SCORING MASTER'!$D$113:$D$115,MATCH(BA211,'SCORING MASTER'!$C$113:$C$115,0)),INDEX('SCORING MASTER'!$D$117:$D$119,MATCH(BB211,'SCORING MASTER'!$C$117:$C$119,0)),INDEX('SCORING MASTER'!$D$121:$D$123,MATCH(BC211,'SCORING MASTER'!$C$121:$C$123,0)),INDEX('SCORING MASTER'!$D$125:$D$126,MATCH(BD211,'SCORING MASTER'!$C$125:$C$126,0)),INDEX('SCORING MASTER'!$D$128:$D$129,MATCH(BE211,'SCORING MASTER'!$C$128:$C$129,0)))*20,0))</f>
        <v/>
      </c>
      <c r="BM211" s="35" t="str">
        <f aca="false">IF(OR(BF211="",BG211="",BH211="",BI211="",BJ211="",BK211="",BL211=""),"",ROUND(BF211*0.25+BG211*0.2+BH211*0.15+BI211*0.15+BJ211*0.1+BK211*0.1+BL211*0.05,0))</f>
        <v/>
      </c>
      <c r="BN211" s="35" t="str">
        <f aca="false">IF(OR(BF211="",BG211=""),"",ROUND(BF211*0.5+BG211*0.5,0))</f>
        <v/>
      </c>
      <c r="BO211" s="35" t="str">
        <f aca="false">IF(BN211="","",ROUND(MIN(100,MAX(0,(100-BN211)+IF(AL211="Yes",15,0)+IF(AM211="Yes",15,0)+IF(AND(U211&lt;&gt;"",U211&lt;18.5),20,0))),0))</f>
        <v/>
      </c>
      <c r="BP211" s="32" t="str">
        <f aca="false">IF(BM211="","",IF(BM211&gt;=90,"Green - Healthy",IF(BM211&gt;=75,"Light Green - Mild Watch",IF(BM211&gt;=60,"Yellow - Mild Risk",IF(BM211&gt;=40,"Orange - Moderate Risk","Red - High Risk")))))</f>
        <v/>
      </c>
      <c r="BQ211" s="32" t="str">
        <f aca="false">IF(BM211="","",IF(OR(BM211&lt;60,BO211&gt;=60,AJ211="Yes"),"Yes","No"))</f>
        <v/>
      </c>
      <c r="BR211" s="32" t="str">
        <f aca="false">IF(BM211="","",IF(OR(BP211="Orange - Moderate Risk",BP211="Red - High Risk",BQ211="Yes"),"Yes","No"))</f>
        <v/>
      </c>
    </row>
    <row r="212" customFormat="false" ht="15" hidden="false" customHeight="false" outlineLevel="0" collapsed="false">
      <c r="A212" s="28" t="str">
        <f aca="false">IF(I212="","","STU"&amp;TEXT(ROW()-3,"000000"))</f>
        <v/>
      </c>
      <c r="B212" s="28"/>
      <c r="C212" s="28"/>
      <c r="D212" s="28"/>
      <c r="E212" s="28"/>
      <c r="F212" s="28"/>
      <c r="G212" s="28"/>
      <c r="H212" s="28"/>
      <c r="I212" s="28"/>
      <c r="J212" s="30"/>
      <c r="K212" s="28"/>
      <c r="L212" s="28"/>
      <c r="M212" s="28"/>
      <c r="N212" s="28"/>
      <c r="O212" s="28"/>
      <c r="P212" s="28"/>
      <c r="Q212" s="30"/>
      <c r="R212" s="30"/>
      <c r="S212" s="31" t="str">
        <f aca="false">IF(OR(Q212="",R212=""),"",ROUND(R212/((Q212/100)^2),1))</f>
        <v/>
      </c>
      <c r="T212" s="28" t="str">
        <f aca="false">IF(S212="","",IF(S212&lt;18.5,"Underweight",IF(S212&lt;25,"Normal",IF(S212&lt;30,"Overweight","Obese"))))</f>
        <v/>
      </c>
      <c r="U212" s="30"/>
      <c r="V212" s="30"/>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c r="BF212" s="31" t="str">
        <f aca="false">IF(T212="","",IF(T212="Normal",100,IF(T212="Overweight",65,IF(T212="Obese",50,IF(AND(U212&lt;&gt;"",U212&lt;18.5),30,45)))))</f>
        <v/>
      </c>
      <c r="BG212" s="31" t="str">
        <f aca="false">IF(COUNTBLANK(W212:AC212)&gt;0,"",ROUND(AVERAGE(INDEX('SCORING MASTER'!$D$5:$D$7,MATCH(W212,'SCORING MASTER'!$C$5:$C$7,0)),INDEX('SCORING MASTER'!$D$9:$D$11,MATCH(X212,'SCORING MASTER'!$C$9:$C$11,0)),INDEX('SCORING MASTER'!$D$13:$D$15,MATCH(Y212,'SCORING MASTER'!$C$13:$C$15,0)),INDEX('SCORING MASTER'!$D$17:$D$19,MATCH(Z212,'SCORING MASTER'!$C$17:$C$19,0)),INDEX('SCORING MASTER'!$D$21:$D$23,MATCH(AA212,'SCORING MASTER'!$C$21:$C$23,0)),INDEX('SCORING MASTER'!$D$25:$D$27,MATCH(AB212,'SCORING MASTER'!$C$25:$C$27,0)),INDEX('SCORING MASTER'!$D$29:$D$31,MATCH(AC212,'SCORING MASTER'!$C$29:$C$31,0)))*20,0))</f>
        <v/>
      </c>
      <c r="BH212" s="31" t="str">
        <f aca="false">IF(COUNTBLANK(AD212:AI212)&gt;0,"",ROUND(AVERAGE(INDEX('SCORING MASTER'!$D$33:$D$35,MATCH(AD212,'SCORING MASTER'!$C$33:$C$35,0)),INDEX('SCORING MASTER'!$D$37:$D$39,MATCH(AE212,'SCORING MASTER'!$C$37:$C$39,0)),INDEX('SCORING MASTER'!$D$41:$D$43,MATCH(AF212,'SCORING MASTER'!$C$41:$C$43,0)),INDEX('SCORING MASTER'!$D$45:$D$47,MATCH(AG212,'SCORING MASTER'!$C$45:$C$47,0)),INDEX('SCORING MASTER'!$D$49:$D$52,MATCH(AH212,'SCORING MASTER'!$C$49:$C$52,0)),INDEX('SCORING MASTER'!$D$54:$D$57,MATCH(AI212,'SCORING MASTER'!$C$54:$C$57,0)))*20,0))</f>
        <v/>
      </c>
      <c r="BI212" s="31" t="str">
        <f aca="false">IF(COUNTBLANK(AJ212:AP212)&gt;0,"",ROUND(AVERAGE(INDEX('SCORING MASTER'!$D$59:$D$60,MATCH(AJ212,'SCORING MASTER'!$C$59:$C$60,0)),INDEX('SCORING MASTER'!$D$62:$D$63,MATCH(AK212,'SCORING MASTER'!$C$62:$C$63,0)),INDEX('SCORING MASTER'!$D$65:$D$66,MATCH(AL212,'SCORING MASTER'!$C$65:$C$66,0)),INDEX('SCORING MASTER'!$D$68:$D$69,MATCH(AM212,'SCORING MASTER'!$C$68:$C$69,0)),INDEX('SCORING MASTER'!$D$71:$D$72,MATCH(AN212,'SCORING MASTER'!$C$71:$C$72,0)),INDEX('SCORING MASTER'!$D$74:$D$75,MATCH(AO212,'SCORING MASTER'!$C$74:$C$75,0)),INDEX('SCORING MASTER'!$D$77:$D$78,MATCH(AP212,'SCORING MASTER'!$C$77:$C$78,0)))*20,0))</f>
        <v/>
      </c>
      <c r="BJ212" s="31" t="str">
        <f aca="false">IF(COUNTBLANK(AU212:AZ212)&gt;0,"",ROUND(AVERAGE(INDEX('SCORING MASTER'!$D$95:$D$96,MATCH(AU212,'SCORING MASTER'!$C$95:$C$96,0)),INDEX('SCORING MASTER'!$D$98:$D$99,MATCH(AV212,'SCORING MASTER'!$C$98:$C$99,0)),INDEX('SCORING MASTER'!$D$101:$D$102,MATCH(AW212,'SCORING MASTER'!$C$101:$C$102,0)),INDEX('SCORING MASTER'!$D$104:$D$105,MATCH(AX212,'SCORING MASTER'!$C$104:$C$105,0)),INDEX('SCORING MASTER'!$D$107:$D$108,MATCH(AY212,'SCORING MASTER'!$C$107:$C$108,0)),INDEX('SCORING MASTER'!$D$110:$D$111,MATCH(AZ212,'SCORING MASTER'!$C$110:$C$111,0)))*20,0))</f>
        <v/>
      </c>
      <c r="BK212" s="31" t="str">
        <f aca="false">IF(COUNTBLANK(AQ212:AT212)&gt;0,"",ROUND(AVERAGE(INDEX('SCORING MASTER'!$D$80:$D$82,MATCH(AQ212,'SCORING MASTER'!$C$80:$C$82,0)),INDEX('SCORING MASTER'!$D$84:$D$86,MATCH(AR212,'SCORING MASTER'!$C$84:$C$86,0)),INDEX('SCORING MASTER'!$D$88:$D$90,MATCH(AS212,'SCORING MASTER'!$C$88:$C$90,0)),INDEX('SCORING MASTER'!$D$92:$D$93,MATCH(AT212,'SCORING MASTER'!$C$92:$C$93,0)))*20,0))</f>
        <v/>
      </c>
      <c r="BL212" s="31" t="str">
        <f aca="false">IF(COUNTBLANK(BA212:BE212)&gt;0,"",ROUND(AVERAGE(INDEX('SCORING MASTER'!$D$113:$D$115,MATCH(BA212,'SCORING MASTER'!$C$113:$C$115,0)),INDEX('SCORING MASTER'!$D$117:$D$119,MATCH(BB212,'SCORING MASTER'!$C$117:$C$119,0)),INDEX('SCORING MASTER'!$D$121:$D$123,MATCH(BC212,'SCORING MASTER'!$C$121:$C$123,0)),INDEX('SCORING MASTER'!$D$125:$D$126,MATCH(BD212,'SCORING MASTER'!$C$125:$C$126,0)),INDEX('SCORING MASTER'!$D$128:$D$129,MATCH(BE212,'SCORING MASTER'!$C$128:$C$129,0)))*20,0))</f>
        <v/>
      </c>
      <c r="BM212" s="31" t="str">
        <f aca="false">IF(OR(BF212="",BG212="",BH212="",BI212="",BJ212="",BK212="",BL212=""),"",ROUND(BF212*0.25+BG212*0.2+BH212*0.15+BI212*0.15+BJ212*0.1+BK212*0.1+BL212*0.05,0))</f>
        <v/>
      </c>
      <c r="BN212" s="31" t="str">
        <f aca="false">IF(OR(BF212="",BG212=""),"",ROUND(BF212*0.5+BG212*0.5,0))</f>
        <v/>
      </c>
      <c r="BO212" s="31" t="str">
        <f aca="false">IF(BN212="","",ROUND(MIN(100,MAX(0,(100-BN212)+IF(AL212="Yes",15,0)+IF(AM212="Yes",15,0)+IF(AND(U212&lt;&gt;"",U212&lt;18.5),20,0))),0))</f>
        <v/>
      </c>
      <c r="BP212" s="28" t="str">
        <f aca="false">IF(BM212="","",IF(BM212&gt;=90,"Green - Healthy",IF(BM212&gt;=75,"Light Green - Mild Watch",IF(BM212&gt;=60,"Yellow - Mild Risk",IF(BM212&gt;=40,"Orange - Moderate Risk","Red - High Risk")))))</f>
        <v/>
      </c>
      <c r="BQ212" s="28" t="str">
        <f aca="false">IF(BM212="","",IF(OR(BM212&lt;60,BO212&gt;=60,AJ212="Yes"),"Yes","No"))</f>
        <v/>
      </c>
      <c r="BR212" s="28" t="str">
        <f aca="false">IF(BM212="","",IF(OR(BP212="Orange - Moderate Risk",BP212="Red - High Risk",BQ212="Yes"),"Yes","No"))</f>
        <v/>
      </c>
    </row>
    <row r="213" customFormat="false" ht="15" hidden="false" customHeight="false" outlineLevel="0" collapsed="false">
      <c r="A213" s="32" t="str">
        <f aca="false">IF(I213="","","STU"&amp;TEXT(ROW()-3,"000000"))</f>
        <v/>
      </c>
      <c r="B213" s="32"/>
      <c r="C213" s="32"/>
      <c r="D213" s="32"/>
      <c r="E213" s="32"/>
      <c r="F213" s="32"/>
      <c r="G213" s="32"/>
      <c r="H213" s="32"/>
      <c r="I213" s="32"/>
      <c r="J213" s="34"/>
      <c r="K213" s="32"/>
      <c r="L213" s="32"/>
      <c r="M213" s="32"/>
      <c r="N213" s="32"/>
      <c r="O213" s="32"/>
      <c r="P213" s="32"/>
      <c r="Q213" s="34"/>
      <c r="R213" s="34"/>
      <c r="S213" s="35" t="str">
        <f aca="false">IF(OR(Q213="",R213=""),"",ROUND(R213/((Q213/100)^2),1))</f>
        <v/>
      </c>
      <c r="T213" s="32" t="str">
        <f aca="false">IF(S213="","",IF(S213&lt;18.5,"Underweight",IF(S213&lt;25,"Normal",IF(S213&lt;30,"Overweight","Obese"))))</f>
        <v/>
      </c>
      <c r="U213" s="34"/>
      <c r="V213" s="34"/>
      <c r="W213" s="32"/>
      <c r="X213" s="32"/>
      <c r="Y213" s="32"/>
      <c r="Z213" s="32"/>
      <c r="AA213" s="32"/>
      <c r="AB213" s="32"/>
      <c r="AC213" s="32"/>
      <c r="AD213" s="32"/>
      <c r="AE213" s="32"/>
      <c r="AF213" s="32"/>
      <c r="AG213" s="32"/>
      <c r="AH213" s="32"/>
      <c r="AI213" s="32"/>
      <c r="AJ213" s="32"/>
      <c r="AK213" s="32"/>
      <c r="AL213" s="32"/>
      <c r="AM213" s="32"/>
      <c r="AN213" s="32"/>
      <c r="AO213" s="32"/>
      <c r="AP213" s="32"/>
      <c r="AQ213" s="32"/>
      <c r="AR213" s="32"/>
      <c r="AS213" s="32"/>
      <c r="AT213" s="32"/>
      <c r="AU213" s="32"/>
      <c r="AV213" s="32"/>
      <c r="AW213" s="32"/>
      <c r="AX213" s="32"/>
      <c r="AY213" s="32"/>
      <c r="AZ213" s="32"/>
      <c r="BA213" s="32"/>
      <c r="BB213" s="32"/>
      <c r="BC213" s="32"/>
      <c r="BD213" s="32"/>
      <c r="BE213" s="32"/>
      <c r="BF213" s="35" t="str">
        <f aca="false">IF(T213="","",IF(T213="Normal",100,IF(T213="Overweight",65,IF(T213="Obese",50,IF(AND(U213&lt;&gt;"",U213&lt;18.5),30,45)))))</f>
        <v/>
      </c>
      <c r="BG213" s="35" t="str">
        <f aca="false">IF(COUNTBLANK(W213:AC213)&gt;0,"",ROUND(AVERAGE(INDEX('SCORING MASTER'!$D$5:$D$7,MATCH(W213,'SCORING MASTER'!$C$5:$C$7,0)),INDEX('SCORING MASTER'!$D$9:$D$11,MATCH(X213,'SCORING MASTER'!$C$9:$C$11,0)),INDEX('SCORING MASTER'!$D$13:$D$15,MATCH(Y213,'SCORING MASTER'!$C$13:$C$15,0)),INDEX('SCORING MASTER'!$D$17:$D$19,MATCH(Z213,'SCORING MASTER'!$C$17:$C$19,0)),INDEX('SCORING MASTER'!$D$21:$D$23,MATCH(AA213,'SCORING MASTER'!$C$21:$C$23,0)),INDEX('SCORING MASTER'!$D$25:$D$27,MATCH(AB213,'SCORING MASTER'!$C$25:$C$27,0)),INDEX('SCORING MASTER'!$D$29:$D$31,MATCH(AC213,'SCORING MASTER'!$C$29:$C$31,0)))*20,0))</f>
        <v/>
      </c>
      <c r="BH213" s="35" t="str">
        <f aca="false">IF(COUNTBLANK(AD213:AI213)&gt;0,"",ROUND(AVERAGE(INDEX('SCORING MASTER'!$D$33:$D$35,MATCH(AD213,'SCORING MASTER'!$C$33:$C$35,0)),INDEX('SCORING MASTER'!$D$37:$D$39,MATCH(AE213,'SCORING MASTER'!$C$37:$C$39,0)),INDEX('SCORING MASTER'!$D$41:$D$43,MATCH(AF213,'SCORING MASTER'!$C$41:$C$43,0)),INDEX('SCORING MASTER'!$D$45:$D$47,MATCH(AG213,'SCORING MASTER'!$C$45:$C$47,0)),INDEX('SCORING MASTER'!$D$49:$D$52,MATCH(AH213,'SCORING MASTER'!$C$49:$C$52,0)),INDEX('SCORING MASTER'!$D$54:$D$57,MATCH(AI213,'SCORING MASTER'!$C$54:$C$57,0)))*20,0))</f>
        <v/>
      </c>
      <c r="BI213" s="35" t="str">
        <f aca="false">IF(COUNTBLANK(AJ213:AP213)&gt;0,"",ROUND(AVERAGE(INDEX('SCORING MASTER'!$D$59:$D$60,MATCH(AJ213,'SCORING MASTER'!$C$59:$C$60,0)),INDEX('SCORING MASTER'!$D$62:$D$63,MATCH(AK213,'SCORING MASTER'!$C$62:$C$63,0)),INDEX('SCORING MASTER'!$D$65:$D$66,MATCH(AL213,'SCORING MASTER'!$C$65:$C$66,0)),INDEX('SCORING MASTER'!$D$68:$D$69,MATCH(AM213,'SCORING MASTER'!$C$68:$C$69,0)),INDEX('SCORING MASTER'!$D$71:$D$72,MATCH(AN213,'SCORING MASTER'!$C$71:$C$72,0)),INDEX('SCORING MASTER'!$D$74:$D$75,MATCH(AO213,'SCORING MASTER'!$C$74:$C$75,0)),INDEX('SCORING MASTER'!$D$77:$D$78,MATCH(AP213,'SCORING MASTER'!$C$77:$C$78,0)))*20,0))</f>
        <v/>
      </c>
      <c r="BJ213" s="35" t="str">
        <f aca="false">IF(COUNTBLANK(AU213:AZ213)&gt;0,"",ROUND(AVERAGE(INDEX('SCORING MASTER'!$D$95:$D$96,MATCH(AU213,'SCORING MASTER'!$C$95:$C$96,0)),INDEX('SCORING MASTER'!$D$98:$D$99,MATCH(AV213,'SCORING MASTER'!$C$98:$C$99,0)),INDEX('SCORING MASTER'!$D$101:$D$102,MATCH(AW213,'SCORING MASTER'!$C$101:$C$102,0)),INDEX('SCORING MASTER'!$D$104:$D$105,MATCH(AX213,'SCORING MASTER'!$C$104:$C$105,0)),INDEX('SCORING MASTER'!$D$107:$D$108,MATCH(AY213,'SCORING MASTER'!$C$107:$C$108,0)),INDEX('SCORING MASTER'!$D$110:$D$111,MATCH(AZ213,'SCORING MASTER'!$C$110:$C$111,0)))*20,0))</f>
        <v/>
      </c>
      <c r="BK213" s="35" t="str">
        <f aca="false">IF(COUNTBLANK(AQ213:AT213)&gt;0,"",ROUND(AVERAGE(INDEX('SCORING MASTER'!$D$80:$D$82,MATCH(AQ213,'SCORING MASTER'!$C$80:$C$82,0)),INDEX('SCORING MASTER'!$D$84:$D$86,MATCH(AR213,'SCORING MASTER'!$C$84:$C$86,0)),INDEX('SCORING MASTER'!$D$88:$D$90,MATCH(AS213,'SCORING MASTER'!$C$88:$C$90,0)),INDEX('SCORING MASTER'!$D$92:$D$93,MATCH(AT213,'SCORING MASTER'!$C$92:$C$93,0)))*20,0))</f>
        <v/>
      </c>
      <c r="BL213" s="35" t="str">
        <f aca="false">IF(COUNTBLANK(BA213:BE213)&gt;0,"",ROUND(AVERAGE(INDEX('SCORING MASTER'!$D$113:$D$115,MATCH(BA213,'SCORING MASTER'!$C$113:$C$115,0)),INDEX('SCORING MASTER'!$D$117:$D$119,MATCH(BB213,'SCORING MASTER'!$C$117:$C$119,0)),INDEX('SCORING MASTER'!$D$121:$D$123,MATCH(BC213,'SCORING MASTER'!$C$121:$C$123,0)),INDEX('SCORING MASTER'!$D$125:$D$126,MATCH(BD213,'SCORING MASTER'!$C$125:$C$126,0)),INDEX('SCORING MASTER'!$D$128:$D$129,MATCH(BE213,'SCORING MASTER'!$C$128:$C$129,0)))*20,0))</f>
        <v/>
      </c>
      <c r="BM213" s="35" t="str">
        <f aca="false">IF(OR(BF213="",BG213="",BH213="",BI213="",BJ213="",BK213="",BL213=""),"",ROUND(BF213*0.25+BG213*0.2+BH213*0.15+BI213*0.15+BJ213*0.1+BK213*0.1+BL213*0.05,0))</f>
        <v/>
      </c>
      <c r="BN213" s="35" t="str">
        <f aca="false">IF(OR(BF213="",BG213=""),"",ROUND(BF213*0.5+BG213*0.5,0))</f>
        <v/>
      </c>
      <c r="BO213" s="35" t="str">
        <f aca="false">IF(BN213="","",ROUND(MIN(100,MAX(0,(100-BN213)+IF(AL213="Yes",15,0)+IF(AM213="Yes",15,0)+IF(AND(U213&lt;&gt;"",U213&lt;18.5),20,0))),0))</f>
        <v/>
      </c>
      <c r="BP213" s="32" t="str">
        <f aca="false">IF(BM213="","",IF(BM213&gt;=90,"Green - Healthy",IF(BM213&gt;=75,"Light Green - Mild Watch",IF(BM213&gt;=60,"Yellow - Mild Risk",IF(BM213&gt;=40,"Orange - Moderate Risk","Red - High Risk")))))</f>
        <v/>
      </c>
      <c r="BQ213" s="32" t="str">
        <f aca="false">IF(BM213="","",IF(OR(BM213&lt;60,BO213&gt;=60,AJ213="Yes"),"Yes","No"))</f>
        <v/>
      </c>
      <c r="BR213" s="32" t="str">
        <f aca="false">IF(BM213="","",IF(OR(BP213="Orange - Moderate Risk",BP213="Red - High Risk",BQ213="Yes"),"Yes","No"))</f>
        <v/>
      </c>
    </row>
    <row r="214" customFormat="false" ht="15" hidden="false" customHeight="false" outlineLevel="0" collapsed="false">
      <c r="A214" s="28" t="str">
        <f aca="false">IF(I214="","","STU"&amp;TEXT(ROW()-3,"000000"))</f>
        <v/>
      </c>
      <c r="B214" s="28"/>
      <c r="C214" s="28"/>
      <c r="D214" s="28"/>
      <c r="E214" s="28"/>
      <c r="F214" s="28"/>
      <c r="G214" s="28"/>
      <c r="H214" s="28"/>
      <c r="I214" s="28"/>
      <c r="J214" s="30"/>
      <c r="K214" s="28"/>
      <c r="L214" s="28"/>
      <c r="M214" s="28"/>
      <c r="N214" s="28"/>
      <c r="O214" s="28"/>
      <c r="P214" s="28"/>
      <c r="Q214" s="30"/>
      <c r="R214" s="30"/>
      <c r="S214" s="31" t="str">
        <f aca="false">IF(OR(Q214="",R214=""),"",ROUND(R214/((Q214/100)^2),1))</f>
        <v/>
      </c>
      <c r="T214" s="28" t="str">
        <f aca="false">IF(S214="","",IF(S214&lt;18.5,"Underweight",IF(S214&lt;25,"Normal",IF(S214&lt;30,"Overweight","Obese"))))</f>
        <v/>
      </c>
      <c r="U214" s="30"/>
      <c r="V214" s="30"/>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c r="BF214" s="31" t="str">
        <f aca="false">IF(T214="","",IF(T214="Normal",100,IF(T214="Overweight",65,IF(T214="Obese",50,IF(AND(U214&lt;&gt;"",U214&lt;18.5),30,45)))))</f>
        <v/>
      </c>
      <c r="BG214" s="31" t="str">
        <f aca="false">IF(COUNTBLANK(W214:AC214)&gt;0,"",ROUND(AVERAGE(INDEX('SCORING MASTER'!$D$5:$D$7,MATCH(W214,'SCORING MASTER'!$C$5:$C$7,0)),INDEX('SCORING MASTER'!$D$9:$D$11,MATCH(X214,'SCORING MASTER'!$C$9:$C$11,0)),INDEX('SCORING MASTER'!$D$13:$D$15,MATCH(Y214,'SCORING MASTER'!$C$13:$C$15,0)),INDEX('SCORING MASTER'!$D$17:$D$19,MATCH(Z214,'SCORING MASTER'!$C$17:$C$19,0)),INDEX('SCORING MASTER'!$D$21:$D$23,MATCH(AA214,'SCORING MASTER'!$C$21:$C$23,0)),INDEX('SCORING MASTER'!$D$25:$D$27,MATCH(AB214,'SCORING MASTER'!$C$25:$C$27,0)),INDEX('SCORING MASTER'!$D$29:$D$31,MATCH(AC214,'SCORING MASTER'!$C$29:$C$31,0)))*20,0))</f>
        <v/>
      </c>
      <c r="BH214" s="31" t="str">
        <f aca="false">IF(COUNTBLANK(AD214:AI214)&gt;0,"",ROUND(AVERAGE(INDEX('SCORING MASTER'!$D$33:$D$35,MATCH(AD214,'SCORING MASTER'!$C$33:$C$35,0)),INDEX('SCORING MASTER'!$D$37:$D$39,MATCH(AE214,'SCORING MASTER'!$C$37:$C$39,0)),INDEX('SCORING MASTER'!$D$41:$D$43,MATCH(AF214,'SCORING MASTER'!$C$41:$C$43,0)),INDEX('SCORING MASTER'!$D$45:$D$47,MATCH(AG214,'SCORING MASTER'!$C$45:$C$47,0)),INDEX('SCORING MASTER'!$D$49:$D$52,MATCH(AH214,'SCORING MASTER'!$C$49:$C$52,0)),INDEX('SCORING MASTER'!$D$54:$D$57,MATCH(AI214,'SCORING MASTER'!$C$54:$C$57,0)))*20,0))</f>
        <v/>
      </c>
      <c r="BI214" s="31" t="str">
        <f aca="false">IF(COUNTBLANK(AJ214:AP214)&gt;0,"",ROUND(AVERAGE(INDEX('SCORING MASTER'!$D$59:$D$60,MATCH(AJ214,'SCORING MASTER'!$C$59:$C$60,0)),INDEX('SCORING MASTER'!$D$62:$D$63,MATCH(AK214,'SCORING MASTER'!$C$62:$C$63,0)),INDEX('SCORING MASTER'!$D$65:$D$66,MATCH(AL214,'SCORING MASTER'!$C$65:$C$66,0)),INDEX('SCORING MASTER'!$D$68:$D$69,MATCH(AM214,'SCORING MASTER'!$C$68:$C$69,0)),INDEX('SCORING MASTER'!$D$71:$D$72,MATCH(AN214,'SCORING MASTER'!$C$71:$C$72,0)),INDEX('SCORING MASTER'!$D$74:$D$75,MATCH(AO214,'SCORING MASTER'!$C$74:$C$75,0)),INDEX('SCORING MASTER'!$D$77:$D$78,MATCH(AP214,'SCORING MASTER'!$C$77:$C$78,0)))*20,0))</f>
        <v/>
      </c>
      <c r="BJ214" s="31" t="str">
        <f aca="false">IF(COUNTBLANK(AU214:AZ214)&gt;0,"",ROUND(AVERAGE(INDEX('SCORING MASTER'!$D$95:$D$96,MATCH(AU214,'SCORING MASTER'!$C$95:$C$96,0)),INDEX('SCORING MASTER'!$D$98:$D$99,MATCH(AV214,'SCORING MASTER'!$C$98:$C$99,0)),INDEX('SCORING MASTER'!$D$101:$D$102,MATCH(AW214,'SCORING MASTER'!$C$101:$C$102,0)),INDEX('SCORING MASTER'!$D$104:$D$105,MATCH(AX214,'SCORING MASTER'!$C$104:$C$105,0)),INDEX('SCORING MASTER'!$D$107:$D$108,MATCH(AY214,'SCORING MASTER'!$C$107:$C$108,0)),INDEX('SCORING MASTER'!$D$110:$D$111,MATCH(AZ214,'SCORING MASTER'!$C$110:$C$111,0)))*20,0))</f>
        <v/>
      </c>
      <c r="BK214" s="31" t="str">
        <f aca="false">IF(COUNTBLANK(AQ214:AT214)&gt;0,"",ROUND(AVERAGE(INDEX('SCORING MASTER'!$D$80:$D$82,MATCH(AQ214,'SCORING MASTER'!$C$80:$C$82,0)),INDEX('SCORING MASTER'!$D$84:$D$86,MATCH(AR214,'SCORING MASTER'!$C$84:$C$86,0)),INDEX('SCORING MASTER'!$D$88:$D$90,MATCH(AS214,'SCORING MASTER'!$C$88:$C$90,0)),INDEX('SCORING MASTER'!$D$92:$D$93,MATCH(AT214,'SCORING MASTER'!$C$92:$C$93,0)))*20,0))</f>
        <v/>
      </c>
      <c r="BL214" s="31" t="str">
        <f aca="false">IF(COUNTBLANK(BA214:BE214)&gt;0,"",ROUND(AVERAGE(INDEX('SCORING MASTER'!$D$113:$D$115,MATCH(BA214,'SCORING MASTER'!$C$113:$C$115,0)),INDEX('SCORING MASTER'!$D$117:$D$119,MATCH(BB214,'SCORING MASTER'!$C$117:$C$119,0)),INDEX('SCORING MASTER'!$D$121:$D$123,MATCH(BC214,'SCORING MASTER'!$C$121:$C$123,0)),INDEX('SCORING MASTER'!$D$125:$D$126,MATCH(BD214,'SCORING MASTER'!$C$125:$C$126,0)),INDEX('SCORING MASTER'!$D$128:$D$129,MATCH(BE214,'SCORING MASTER'!$C$128:$C$129,0)))*20,0))</f>
        <v/>
      </c>
      <c r="BM214" s="31" t="str">
        <f aca="false">IF(OR(BF214="",BG214="",BH214="",BI214="",BJ214="",BK214="",BL214=""),"",ROUND(BF214*0.25+BG214*0.2+BH214*0.15+BI214*0.15+BJ214*0.1+BK214*0.1+BL214*0.05,0))</f>
        <v/>
      </c>
      <c r="BN214" s="31" t="str">
        <f aca="false">IF(OR(BF214="",BG214=""),"",ROUND(BF214*0.5+BG214*0.5,0))</f>
        <v/>
      </c>
      <c r="BO214" s="31" t="str">
        <f aca="false">IF(BN214="","",ROUND(MIN(100,MAX(0,(100-BN214)+IF(AL214="Yes",15,0)+IF(AM214="Yes",15,0)+IF(AND(U214&lt;&gt;"",U214&lt;18.5),20,0))),0))</f>
        <v/>
      </c>
      <c r="BP214" s="28" t="str">
        <f aca="false">IF(BM214="","",IF(BM214&gt;=90,"Green - Healthy",IF(BM214&gt;=75,"Light Green - Mild Watch",IF(BM214&gt;=60,"Yellow - Mild Risk",IF(BM214&gt;=40,"Orange - Moderate Risk","Red - High Risk")))))</f>
        <v/>
      </c>
      <c r="BQ214" s="28" t="str">
        <f aca="false">IF(BM214="","",IF(OR(BM214&lt;60,BO214&gt;=60,AJ214="Yes"),"Yes","No"))</f>
        <v/>
      </c>
      <c r="BR214" s="28" t="str">
        <f aca="false">IF(BM214="","",IF(OR(BP214="Orange - Moderate Risk",BP214="Red - High Risk",BQ214="Yes"),"Yes","No"))</f>
        <v/>
      </c>
    </row>
    <row r="215" customFormat="false" ht="15" hidden="false" customHeight="false" outlineLevel="0" collapsed="false">
      <c r="A215" s="32" t="str">
        <f aca="false">IF(I215="","","STU"&amp;TEXT(ROW()-3,"000000"))</f>
        <v/>
      </c>
      <c r="B215" s="32"/>
      <c r="C215" s="32"/>
      <c r="D215" s="32"/>
      <c r="E215" s="32"/>
      <c r="F215" s="32"/>
      <c r="G215" s="32"/>
      <c r="H215" s="32"/>
      <c r="I215" s="32"/>
      <c r="J215" s="34"/>
      <c r="K215" s="32"/>
      <c r="L215" s="32"/>
      <c r="M215" s="32"/>
      <c r="N215" s="32"/>
      <c r="O215" s="32"/>
      <c r="P215" s="32"/>
      <c r="Q215" s="34"/>
      <c r="R215" s="34"/>
      <c r="S215" s="35" t="str">
        <f aca="false">IF(OR(Q215="",R215=""),"",ROUND(R215/((Q215/100)^2),1))</f>
        <v/>
      </c>
      <c r="T215" s="32" t="str">
        <f aca="false">IF(S215="","",IF(S215&lt;18.5,"Underweight",IF(S215&lt;25,"Normal",IF(S215&lt;30,"Overweight","Obese"))))</f>
        <v/>
      </c>
      <c r="U215" s="34"/>
      <c r="V215" s="34"/>
      <c r="W215" s="32"/>
      <c r="X215" s="32"/>
      <c r="Y215" s="32"/>
      <c r="Z215" s="32"/>
      <c r="AA215" s="32"/>
      <c r="AB215" s="32"/>
      <c r="AC215" s="32"/>
      <c r="AD215" s="32"/>
      <c r="AE215" s="32"/>
      <c r="AF215" s="32"/>
      <c r="AG215" s="32"/>
      <c r="AH215" s="32"/>
      <c r="AI215" s="32"/>
      <c r="AJ215" s="32"/>
      <c r="AK215" s="32"/>
      <c r="AL215" s="32"/>
      <c r="AM215" s="32"/>
      <c r="AN215" s="32"/>
      <c r="AO215" s="32"/>
      <c r="AP215" s="32"/>
      <c r="AQ215" s="32"/>
      <c r="AR215" s="32"/>
      <c r="AS215" s="32"/>
      <c r="AT215" s="32"/>
      <c r="AU215" s="32"/>
      <c r="AV215" s="32"/>
      <c r="AW215" s="32"/>
      <c r="AX215" s="32"/>
      <c r="AY215" s="32"/>
      <c r="AZ215" s="32"/>
      <c r="BA215" s="32"/>
      <c r="BB215" s="32"/>
      <c r="BC215" s="32"/>
      <c r="BD215" s="32"/>
      <c r="BE215" s="32"/>
      <c r="BF215" s="35" t="str">
        <f aca="false">IF(T215="","",IF(T215="Normal",100,IF(T215="Overweight",65,IF(T215="Obese",50,IF(AND(U215&lt;&gt;"",U215&lt;18.5),30,45)))))</f>
        <v/>
      </c>
      <c r="BG215" s="35" t="str">
        <f aca="false">IF(COUNTBLANK(W215:AC215)&gt;0,"",ROUND(AVERAGE(INDEX('SCORING MASTER'!$D$5:$D$7,MATCH(W215,'SCORING MASTER'!$C$5:$C$7,0)),INDEX('SCORING MASTER'!$D$9:$D$11,MATCH(X215,'SCORING MASTER'!$C$9:$C$11,0)),INDEX('SCORING MASTER'!$D$13:$D$15,MATCH(Y215,'SCORING MASTER'!$C$13:$C$15,0)),INDEX('SCORING MASTER'!$D$17:$D$19,MATCH(Z215,'SCORING MASTER'!$C$17:$C$19,0)),INDEX('SCORING MASTER'!$D$21:$D$23,MATCH(AA215,'SCORING MASTER'!$C$21:$C$23,0)),INDEX('SCORING MASTER'!$D$25:$D$27,MATCH(AB215,'SCORING MASTER'!$C$25:$C$27,0)),INDEX('SCORING MASTER'!$D$29:$D$31,MATCH(AC215,'SCORING MASTER'!$C$29:$C$31,0)))*20,0))</f>
        <v/>
      </c>
      <c r="BH215" s="35" t="str">
        <f aca="false">IF(COUNTBLANK(AD215:AI215)&gt;0,"",ROUND(AVERAGE(INDEX('SCORING MASTER'!$D$33:$D$35,MATCH(AD215,'SCORING MASTER'!$C$33:$C$35,0)),INDEX('SCORING MASTER'!$D$37:$D$39,MATCH(AE215,'SCORING MASTER'!$C$37:$C$39,0)),INDEX('SCORING MASTER'!$D$41:$D$43,MATCH(AF215,'SCORING MASTER'!$C$41:$C$43,0)),INDEX('SCORING MASTER'!$D$45:$D$47,MATCH(AG215,'SCORING MASTER'!$C$45:$C$47,0)),INDEX('SCORING MASTER'!$D$49:$D$52,MATCH(AH215,'SCORING MASTER'!$C$49:$C$52,0)),INDEX('SCORING MASTER'!$D$54:$D$57,MATCH(AI215,'SCORING MASTER'!$C$54:$C$57,0)))*20,0))</f>
        <v/>
      </c>
      <c r="BI215" s="35" t="str">
        <f aca="false">IF(COUNTBLANK(AJ215:AP215)&gt;0,"",ROUND(AVERAGE(INDEX('SCORING MASTER'!$D$59:$D$60,MATCH(AJ215,'SCORING MASTER'!$C$59:$C$60,0)),INDEX('SCORING MASTER'!$D$62:$D$63,MATCH(AK215,'SCORING MASTER'!$C$62:$C$63,0)),INDEX('SCORING MASTER'!$D$65:$D$66,MATCH(AL215,'SCORING MASTER'!$C$65:$C$66,0)),INDEX('SCORING MASTER'!$D$68:$D$69,MATCH(AM215,'SCORING MASTER'!$C$68:$C$69,0)),INDEX('SCORING MASTER'!$D$71:$D$72,MATCH(AN215,'SCORING MASTER'!$C$71:$C$72,0)),INDEX('SCORING MASTER'!$D$74:$D$75,MATCH(AO215,'SCORING MASTER'!$C$74:$C$75,0)),INDEX('SCORING MASTER'!$D$77:$D$78,MATCH(AP215,'SCORING MASTER'!$C$77:$C$78,0)))*20,0))</f>
        <v/>
      </c>
      <c r="BJ215" s="35" t="str">
        <f aca="false">IF(COUNTBLANK(AU215:AZ215)&gt;0,"",ROUND(AVERAGE(INDEX('SCORING MASTER'!$D$95:$D$96,MATCH(AU215,'SCORING MASTER'!$C$95:$C$96,0)),INDEX('SCORING MASTER'!$D$98:$D$99,MATCH(AV215,'SCORING MASTER'!$C$98:$C$99,0)),INDEX('SCORING MASTER'!$D$101:$D$102,MATCH(AW215,'SCORING MASTER'!$C$101:$C$102,0)),INDEX('SCORING MASTER'!$D$104:$D$105,MATCH(AX215,'SCORING MASTER'!$C$104:$C$105,0)),INDEX('SCORING MASTER'!$D$107:$D$108,MATCH(AY215,'SCORING MASTER'!$C$107:$C$108,0)),INDEX('SCORING MASTER'!$D$110:$D$111,MATCH(AZ215,'SCORING MASTER'!$C$110:$C$111,0)))*20,0))</f>
        <v/>
      </c>
      <c r="BK215" s="35" t="str">
        <f aca="false">IF(COUNTBLANK(AQ215:AT215)&gt;0,"",ROUND(AVERAGE(INDEX('SCORING MASTER'!$D$80:$D$82,MATCH(AQ215,'SCORING MASTER'!$C$80:$C$82,0)),INDEX('SCORING MASTER'!$D$84:$D$86,MATCH(AR215,'SCORING MASTER'!$C$84:$C$86,0)),INDEX('SCORING MASTER'!$D$88:$D$90,MATCH(AS215,'SCORING MASTER'!$C$88:$C$90,0)),INDEX('SCORING MASTER'!$D$92:$D$93,MATCH(AT215,'SCORING MASTER'!$C$92:$C$93,0)))*20,0))</f>
        <v/>
      </c>
      <c r="BL215" s="35" t="str">
        <f aca="false">IF(COUNTBLANK(BA215:BE215)&gt;0,"",ROUND(AVERAGE(INDEX('SCORING MASTER'!$D$113:$D$115,MATCH(BA215,'SCORING MASTER'!$C$113:$C$115,0)),INDEX('SCORING MASTER'!$D$117:$D$119,MATCH(BB215,'SCORING MASTER'!$C$117:$C$119,0)),INDEX('SCORING MASTER'!$D$121:$D$123,MATCH(BC215,'SCORING MASTER'!$C$121:$C$123,0)),INDEX('SCORING MASTER'!$D$125:$D$126,MATCH(BD215,'SCORING MASTER'!$C$125:$C$126,0)),INDEX('SCORING MASTER'!$D$128:$D$129,MATCH(BE215,'SCORING MASTER'!$C$128:$C$129,0)))*20,0))</f>
        <v/>
      </c>
      <c r="BM215" s="35" t="str">
        <f aca="false">IF(OR(BF215="",BG215="",BH215="",BI215="",BJ215="",BK215="",BL215=""),"",ROUND(BF215*0.25+BG215*0.2+BH215*0.15+BI215*0.15+BJ215*0.1+BK215*0.1+BL215*0.05,0))</f>
        <v/>
      </c>
      <c r="BN215" s="35" t="str">
        <f aca="false">IF(OR(BF215="",BG215=""),"",ROUND(BF215*0.5+BG215*0.5,0))</f>
        <v/>
      </c>
      <c r="BO215" s="35" t="str">
        <f aca="false">IF(BN215="","",ROUND(MIN(100,MAX(0,(100-BN215)+IF(AL215="Yes",15,0)+IF(AM215="Yes",15,0)+IF(AND(U215&lt;&gt;"",U215&lt;18.5),20,0))),0))</f>
        <v/>
      </c>
      <c r="BP215" s="32" t="str">
        <f aca="false">IF(BM215="","",IF(BM215&gt;=90,"Green - Healthy",IF(BM215&gt;=75,"Light Green - Mild Watch",IF(BM215&gt;=60,"Yellow - Mild Risk",IF(BM215&gt;=40,"Orange - Moderate Risk","Red - High Risk")))))</f>
        <v/>
      </c>
      <c r="BQ215" s="32" t="str">
        <f aca="false">IF(BM215="","",IF(OR(BM215&lt;60,BO215&gt;=60,AJ215="Yes"),"Yes","No"))</f>
        <v/>
      </c>
      <c r="BR215" s="32" t="str">
        <f aca="false">IF(BM215="","",IF(OR(BP215="Orange - Moderate Risk",BP215="Red - High Risk",BQ215="Yes"),"Yes","No"))</f>
        <v/>
      </c>
    </row>
    <row r="216" customFormat="false" ht="15" hidden="false" customHeight="false" outlineLevel="0" collapsed="false">
      <c r="A216" s="28" t="str">
        <f aca="false">IF(I216="","","STU"&amp;TEXT(ROW()-3,"000000"))</f>
        <v/>
      </c>
      <c r="B216" s="28"/>
      <c r="C216" s="28"/>
      <c r="D216" s="28"/>
      <c r="E216" s="28"/>
      <c r="F216" s="28"/>
      <c r="G216" s="28"/>
      <c r="H216" s="28"/>
      <c r="I216" s="28"/>
      <c r="J216" s="30"/>
      <c r="K216" s="28"/>
      <c r="L216" s="28"/>
      <c r="M216" s="28"/>
      <c r="N216" s="28"/>
      <c r="O216" s="28"/>
      <c r="P216" s="28"/>
      <c r="Q216" s="30"/>
      <c r="R216" s="30"/>
      <c r="S216" s="31" t="str">
        <f aca="false">IF(OR(Q216="",R216=""),"",ROUND(R216/((Q216/100)^2),1))</f>
        <v/>
      </c>
      <c r="T216" s="28" t="str">
        <f aca="false">IF(S216="","",IF(S216&lt;18.5,"Underweight",IF(S216&lt;25,"Normal",IF(S216&lt;30,"Overweight","Obese"))))</f>
        <v/>
      </c>
      <c r="U216" s="30"/>
      <c r="V216" s="30"/>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c r="BF216" s="31" t="str">
        <f aca="false">IF(T216="","",IF(T216="Normal",100,IF(T216="Overweight",65,IF(T216="Obese",50,IF(AND(U216&lt;&gt;"",U216&lt;18.5),30,45)))))</f>
        <v/>
      </c>
      <c r="BG216" s="31" t="str">
        <f aca="false">IF(COUNTBLANK(W216:AC216)&gt;0,"",ROUND(AVERAGE(INDEX('SCORING MASTER'!$D$5:$D$7,MATCH(W216,'SCORING MASTER'!$C$5:$C$7,0)),INDEX('SCORING MASTER'!$D$9:$D$11,MATCH(X216,'SCORING MASTER'!$C$9:$C$11,0)),INDEX('SCORING MASTER'!$D$13:$D$15,MATCH(Y216,'SCORING MASTER'!$C$13:$C$15,0)),INDEX('SCORING MASTER'!$D$17:$D$19,MATCH(Z216,'SCORING MASTER'!$C$17:$C$19,0)),INDEX('SCORING MASTER'!$D$21:$D$23,MATCH(AA216,'SCORING MASTER'!$C$21:$C$23,0)),INDEX('SCORING MASTER'!$D$25:$D$27,MATCH(AB216,'SCORING MASTER'!$C$25:$C$27,0)),INDEX('SCORING MASTER'!$D$29:$D$31,MATCH(AC216,'SCORING MASTER'!$C$29:$C$31,0)))*20,0))</f>
        <v/>
      </c>
      <c r="BH216" s="31" t="str">
        <f aca="false">IF(COUNTBLANK(AD216:AI216)&gt;0,"",ROUND(AVERAGE(INDEX('SCORING MASTER'!$D$33:$D$35,MATCH(AD216,'SCORING MASTER'!$C$33:$C$35,0)),INDEX('SCORING MASTER'!$D$37:$D$39,MATCH(AE216,'SCORING MASTER'!$C$37:$C$39,0)),INDEX('SCORING MASTER'!$D$41:$D$43,MATCH(AF216,'SCORING MASTER'!$C$41:$C$43,0)),INDEX('SCORING MASTER'!$D$45:$D$47,MATCH(AG216,'SCORING MASTER'!$C$45:$C$47,0)),INDEX('SCORING MASTER'!$D$49:$D$52,MATCH(AH216,'SCORING MASTER'!$C$49:$C$52,0)),INDEX('SCORING MASTER'!$D$54:$D$57,MATCH(AI216,'SCORING MASTER'!$C$54:$C$57,0)))*20,0))</f>
        <v/>
      </c>
      <c r="BI216" s="31" t="str">
        <f aca="false">IF(COUNTBLANK(AJ216:AP216)&gt;0,"",ROUND(AVERAGE(INDEX('SCORING MASTER'!$D$59:$D$60,MATCH(AJ216,'SCORING MASTER'!$C$59:$C$60,0)),INDEX('SCORING MASTER'!$D$62:$D$63,MATCH(AK216,'SCORING MASTER'!$C$62:$C$63,0)),INDEX('SCORING MASTER'!$D$65:$D$66,MATCH(AL216,'SCORING MASTER'!$C$65:$C$66,0)),INDEX('SCORING MASTER'!$D$68:$D$69,MATCH(AM216,'SCORING MASTER'!$C$68:$C$69,0)),INDEX('SCORING MASTER'!$D$71:$D$72,MATCH(AN216,'SCORING MASTER'!$C$71:$C$72,0)),INDEX('SCORING MASTER'!$D$74:$D$75,MATCH(AO216,'SCORING MASTER'!$C$74:$C$75,0)),INDEX('SCORING MASTER'!$D$77:$D$78,MATCH(AP216,'SCORING MASTER'!$C$77:$C$78,0)))*20,0))</f>
        <v/>
      </c>
      <c r="BJ216" s="31" t="str">
        <f aca="false">IF(COUNTBLANK(AU216:AZ216)&gt;0,"",ROUND(AVERAGE(INDEX('SCORING MASTER'!$D$95:$D$96,MATCH(AU216,'SCORING MASTER'!$C$95:$C$96,0)),INDEX('SCORING MASTER'!$D$98:$D$99,MATCH(AV216,'SCORING MASTER'!$C$98:$C$99,0)),INDEX('SCORING MASTER'!$D$101:$D$102,MATCH(AW216,'SCORING MASTER'!$C$101:$C$102,0)),INDEX('SCORING MASTER'!$D$104:$D$105,MATCH(AX216,'SCORING MASTER'!$C$104:$C$105,0)),INDEX('SCORING MASTER'!$D$107:$D$108,MATCH(AY216,'SCORING MASTER'!$C$107:$C$108,0)),INDEX('SCORING MASTER'!$D$110:$D$111,MATCH(AZ216,'SCORING MASTER'!$C$110:$C$111,0)))*20,0))</f>
        <v/>
      </c>
      <c r="BK216" s="31" t="str">
        <f aca="false">IF(COUNTBLANK(AQ216:AT216)&gt;0,"",ROUND(AVERAGE(INDEX('SCORING MASTER'!$D$80:$D$82,MATCH(AQ216,'SCORING MASTER'!$C$80:$C$82,0)),INDEX('SCORING MASTER'!$D$84:$D$86,MATCH(AR216,'SCORING MASTER'!$C$84:$C$86,0)),INDEX('SCORING MASTER'!$D$88:$D$90,MATCH(AS216,'SCORING MASTER'!$C$88:$C$90,0)),INDEX('SCORING MASTER'!$D$92:$D$93,MATCH(AT216,'SCORING MASTER'!$C$92:$C$93,0)))*20,0))</f>
        <v/>
      </c>
      <c r="BL216" s="31" t="str">
        <f aca="false">IF(COUNTBLANK(BA216:BE216)&gt;0,"",ROUND(AVERAGE(INDEX('SCORING MASTER'!$D$113:$D$115,MATCH(BA216,'SCORING MASTER'!$C$113:$C$115,0)),INDEX('SCORING MASTER'!$D$117:$D$119,MATCH(BB216,'SCORING MASTER'!$C$117:$C$119,0)),INDEX('SCORING MASTER'!$D$121:$D$123,MATCH(BC216,'SCORING MASTER'!$C$121:$C$123,0)),INDEX('SCORING MASTER'!$D$125:$D$126,MATCH(BD216,'SCORING MASTER'!$C$125:$C$126,0)),INDEX('SCORING MASTER'!$D$128:$D$129,MATCH(BE216,'SCORING MASTER'!$C$128:$C$129,0)))*20,0))</f>
        <v/>
      </c>
      <c r="BM216" s="31" t="str">
        <f aca="false">IF(OR(BF216="",BG216="",BH216="",BI216="",BJ216="",BK216="",BL216=""),"",ROUND(BF216*0.25+BG216*0.2+BH216*0.15+BI216*0.15+BJ216*0.1+BK216*0.1+BL216*0.05,0))</f>
        <v/>
      </c>
      <c r="BN216" s="31" t="str">
        <f aca="false">IF(OR(BF216="",BG216=""),"",ROUND(BF216*0.5+BG216*0.5,0))</f>
        <v/>
      </c>
      <c r="BO216" s="31" t="str">
        <f aca="false">IF(BN216="","",ROUND(MIN(100,MAX(0,(100-BN216)+IF(AL216="Yes",15,0)+IF(AM216="Yes",15,0)+IF(AND(U216&lt;&gt;"",U216&lt;18.5),20,0))),0))</f>
        <v/>
      </c>
      <c r="BP216" s="28" t="str">
        <f aca="false">IF(BM216="","",IF(BM216&gt;=90,"Green - Healthy",IF(BM216&gt;=75,"Light Green - Mild Watch",IF(BM216&gt;=60,"Yellow - Mild Risk",IF(BM216&gt;=40,"Orange - Moderate Risk","Red - High Risk")))))</f>
        <v/>
      </c>
      <c r="BQ216" s="28" t="str">
        <f aca="false">IF(BM216="","",IF(OR(BM216&lt;60,BO216&gt;=60,AJ216="Yes"),"Yes","No"))</f>
        <v/>
      </c>
      <c r="BR216" s="28" t="str">
        <f aca="false">IF(BM216="","",IF(OR(BP216="Orange - Moderate Risk",BP216="Red - High Risk",BQ216="Yes"),"Yes","No"))</f>
        <v/>
      </c>
    </row>
    <row r="217" customFormat="false" ht="15" hidden="false" customHeight="false" outlineLevel="0" collapsed="false">
      <c r="A217" s="32" t="str">
        <f aca="false">IF(I217="","","STU"&amp;TEXT(ROW()-3,"000000"))</f>
        <v/>
      </c>
      <c r="B217" s="32"/>
      <c r="C217" s="32"/>
      <c r="D217" s="32"/>
      <c r="E217" s="32"/>
      <c r="F217" s="32"/>
      <c r="G217" s="32"/>
      <c r="H217" s="32"/>
      <c r="I217" s="32"/>
      <c r="J217" s="34"/>
      <c r="K217" s="32"/>
      <c r="L217" s="32"/>
      <c r="M217" s="32"/>
      <c r="N217" s="32"/>
      <c r="O217" s="32"/>
      <c r="P217" s="32"/>
      <c r="Q217" s="34"/>
      <c r="R217" s="34"/>
      <c r="S217" s="35" t="str">
        <f aca="false">IF(OR(Q217="",R217=""),"",ROUND(R217/((Q217/100)^2),1))</f>
        <v/>
      </c>
      <c r="T217" s="32" t="str">
        <f aca="false">IF(S217="","",IF(S217&lt;18.5,"Underweight",IF(S217&lt;25,"Normal",IF(S217&lt;30,"Overweight","Obese"))))</f>
        <v/>
      </c>
      <c r="U217" s="34"/>
      <c r="V217" s="34"/>
      <c r="W217" s="32"/>
      <c r="X217" s="32"/>
      <c r="Y217" s="32"/>
      <c r="Z217" s="32"/>
      <c r="AA217" s="32"/>
      <c r="AB217" s="32"/>
      <c r="AC217" s="32"/>
      <c r="AD217" s="32"/>
      <c r="AE217" s="32"/>
      <c r="AF217" s="32"/>
      <c r="AG217" s="32"/>
      <c r="AH217" s="32"/>
      <c r="AI217" s="32"/>
      <c r="AJ217" s="32"/>
      <c r="AK217" s="32"/>
      <c r="AL217" s="32"/>
      <c r="AM217" s="32"/>
      <c r="AN217" s="32"/>
      <c r="AO217" s="32"/>
      <c r="AP217" s="32"/>
      <c r="AQ217" s="32"/>
      <c r="AR217" s="32"/>
      <c r="AS217" s="32"/>
      <c r="AT217" s="32"/>
      <c r="AU217" s="32"/>
      <c r="AV217" s="32"/>
      <c r="AW217" s="32"/>
      <c r="AX217" s="32"/>
      <c r="AY217" s="32"/>
      <c r="AZ217" s="32"/>
      <c r="BA217" s="32"/>
      <c r="BB217" s="32"/>
      <c r="BC217" s="32"/>
      <c r="BD217" s="32"/>
      <c r="BE217" s="32"/>
      <c r="BF217" s="35" t="str">
        <f aca="false">IF(T217="","",IF(T217="Normal",100,IF(T217="Overweight",65,IF(T217="Obese",50,IF(AND(U217&lt;&gt;"",U217&lt;18.5),30,45)))))</f>
        <v/>
      </c>
      <c r="BG217" s="35" t="str">
        <f aca="false">IF(COUNTBLANK(W217:AC217)&gt;0,"",ROUND(AVERAGE(INDEX('SCORING MASTER'!$D$5:$D$7,MATCH(W217,'SCORING MASTER'!$C$5:$C$7,0)),INDEX('SCORING MASTER'!$D$9:$D$11,MATCH(X217,'SCORING MASTER'!$C$9:$C$11,0)),INDEX('SCORING MASTER'!$D$13:$D$15,MATCH(Y217,'SCORING MASTER'!$C$13:$C$15,0)),INDEX('SCORING MASTER'!$D$17:$D$19,MATCH(Z217,'SCORING MASTER'!$C$17:$C$19,0)),INDEX('SCORING MASTER'!$D$21:$D$23,MATCH(AA217,'SCORING MASTER'!$C$21:$C$23,0)),INDEX('SCORING MASTER'!$D$25:$D$27,MATCH(AB217,'SCORING MASTER'!$C$25:$C$27,0)),INDEX('SCORING MASTER'!$D$29:$D$31,MATCH(AC217,'SCORING MASTER'!$C$29:$C$31,0)))*20,0))</f>
        <v/>
      </c>
      <c r="BH217" s="35" t="str">
        <f aca="false">IF(COUNTBLANK(AD217:AI217)&gt;0,"",ROUND(AVERAGE(INDEX('SCORING MASTER'!$D$33:$D$35,MATCH(AD217,'SCORING MASTER'!$C$33:$C$35,0)),INDEX('SCORING MASTER'!$D$37:$D$39,MATCH(AE217,'SCORING MASTER'!$C$37:$C$39,0)),INDEX('SCORING MASTER'!$D$41:$D$43,MATCH(AF217,'SCORING MASTER'!$C$41:$C$43,0)),INDEX('SCORING MASTER'!$D$45:$D$47,MATCH(AG217,'SCORING MASTER'!$C$45:$C$47,0)),INDEX('SCORING MASTER'!$D$49:$D$52,MATCH(AH217,'SCORING MASTER'!$C$49:$C$52,0)),INDEX('SCORING MASTER'!$D$54:$D$57,MATCH(AI217,'SCORING MASTER'!$C$54:$C$57,0)))*20,0))</f>
        <v/>
      </c>
      <c r="BI217" s="35" t="str">
        <f aca="false">IF(COUNTBLANK(AJ217:AP217)&gt;0,"",ROUND(AVERAGE(INDEX('SCORING MASTER'!$D$59:$D$60,MATCH(AJ217,'SCORING MASTER'!$C$59:$C$60,0)),INDEX('SCORING MASTER'!$D$62:$D$63,MATCH(AK217,'SCORING MASTER'!$C$62:$C$63,0)),INDEX('SCORING MASTER'!$D$65:$D$66,MATCH(AL217,'SCORING MASTER'!$C$65:$C$66,0)),INDEX('SCORING MASTER'!$D$68:$D$69,MATCH(AM217,'SCORING MASTER'!$C$68:$C$69,0)),INDEX('SCORING MASTER'!$D$71:$D$72,MATCH(AN217,'SCORING MASTER'!$C$71:$C$72,0)),INDEX('SCORING MASTER'!$D$74:$D$75,MATCH(AO217,'SCORING MASTER'!$C$74:$C$75,0)),INDEX('SCORING MASTER'!$D$77:$D$78,MATCH(AP217,'SCORING MASTER'!$C$77:$C$78,0)))*20,0))</f>
        <v/>
      </c>
      <c r="BJ217" s="35" t="str">
        <f aca="false">IF(COUNTBLANK(AU217:AZ217)&gt;0,"",ROUND(AVERAGE(INDEX('SCORING MASTER'!$D$95:$D$96,MATCH(AU217,'SCORING MASTER'!$C$95:$C$96,0)),INDEX('SCORING MASTER'!$D$98:$D$99,MATCH(AV217,'SCORING MASTER'!$C$98:$C$99,0)),INDEX('SCORING MASTER'!$D$101:$D$102,MATCH(AW217,'SCORING MASTER'!$C$101:$C$102,0)),INDEX('SCORING MASTER'!$D$104:$D$105,MATCH(AX217,'SCORING MASTER'!$C$104:$C$105,0)),INDEX('SCORING MASTER'!$D$107:$D$108,MATCH(AY217,'SCORING MASTER'!$C$107:$C$108,0)),INDEX('SCORING MASTER'!$D$110:$D$111,MATCH(AZ217,'SCORING MASTER'!$C$110:$C$111,0)))*20,0))</f>
        <v/>
      </c>
      <c r="BK217" s="35" t="str">
        <f aca="false">IF(COUNTBLANK(AQ217:AT217)&gt;0,"",ROUND(AVERAGE(INDEX('SCORING MASTER'!$D$80:$D$82,MATCH(AQ217,'SCORING MASTER'!$C$80:$C$82,0)),INDEX('SCORING MASTER'!$D$84:$D$86,MATCH(AR217,'SCORING MASTER'!$C$84:$C$86,0)),INDEX('SCORING MASTER'!$D$88:$D$90,MATCH(AS217,'SCORING MASTER'!$C$88:$C$90,0)),INDEX('SCORING MASTER'!$D$92:$D$93,MATCH(AT217,'SCORING MASTER'!$C$92:$C$93,0)))*20,0))</f>
        <v/>
      </c>
      <c r="BL217" s="35" t="str">
        <f aca="false">IF(COUNTBLANK(BA217:BE217)&gt;0,"",ROUND(AVERAGE(INDEX('SCORING MASTER'!$D$113:$D$115,MATCH(BA217,'SCORING MASTER'!$C$113:$C$115,0)),INDEX('SCORING MASTER'!$D$117:$D$119,MATCH(BB217,'SCORING MASTER'!$C$117:$C$119,0)),INDEX('SCORING MASTER'!$D$121:$D$123,MATCH(BC217,'SCORING MASTER'!$C$121:$C$123,0)),INDEX('SCORING MASTER'!$D$125:$D$126,MATCH(BD217,'SCORING MASTER'!$C$125:$C$126,0)),INDEX('SCORING MASTER'!$D$128:$D$129,MATCH(BE217,'SCORING MASTER'!$C$128:$C$129,0)))*20,0))</f>
        <v/>
      </c>
      <c r="BM217" s="35" t="str">
        <f aca="false">IF(OR(BF217="",BG217="",BH217="",BI217="",BJ217="",BK217="",BL217=""),"",ROUND(BF217*0.25+BG217*0.2+BH217*0.15+BI217*0.15+BJ217*0.1+BK217*0.1+BL217*0.05,0))</f>
        <v/>
      </c>
      <c r="BN217" s="35" t="str">
        <f aca="false">IF(OR(BF217="",BG217=""),"",ROUND(BF217*0.5+BG217*0.5,0))</f>
        <v/>
      </c>
      <c r="BO217" s="35" t="str">
        <f aca="false">IF(BN217="","",ROUND(MIN(100,MAX(0,(100-BN217)+IF(AL217="Yes",15,0)+IF(AM217="Yes",15,0)+IF(AND(U217&lt;&gt;"",U217&lt;18.5),20,0))),0))</f>
        <v/>
      </c>
      <c r="BP217" s="32" t="str">
        <f aca="false">IF(BM217="","",IF(BM217&gt;=90,"Green - Healthy",IF(BM217&gt;=75,"Light Green - Mild Watch",IF(BM217&gt;=60,"Yellow - Mild Risk",IF(BM217&gt;=40,"Orange - Moderate Risk","Red - High Risk")))))</f>
        <v/>
      </c>
      <c r="BQ217" s="32" t="str">
        <f aca="false">IF(BM217="","",IF(OR(BM217&lt;60,BO217&gt;=60,AJ217="Yes"),"Yes","No"))</f>
        <v/>
      </c>
      <c r="BR217" s="32" t="str">
        <f aca="false">IF(BM217="","",IF(OR(BP217="Orange - Moderate Risk",BP217="Red - High Risk",BQ217="Yes"),"Yes","No"))</f>
        <v/>
      </c>
    </row>
    <row r="218" customFormat="false" ht="15" hidden="false" customHeight="false" outlineLevel="0" collapsed="false">
      <c r="A218" s="28" t="str">
        <f aca="false">IF(I218="","","STU"&amp;TEXT(ROW()-3,"000000"))</f>
        <v/>
      </c>
      <c r="B218" s="28"/>
      <c r="C218" s="28"/>
      <c r="D218" s="28"/>
      <c r="E218" s="28"/>
      <c r="F218" s="28"/>
      <c r="G218" s="28"/>
      <c r="H218" s="28"/>
      <c r="I218" s="28"/>
      <c r="J218" s="30"/>
      <c r="K218" s="28"/>
      <c r="L218" s="28"/>
      <c r="M218" s="28"/>
      <c r="N218" s="28"/>
      <c r="O218" s="28"/>
      <c r="P218" s="28"/>
      <c r="Q218" s="30"/>
      <c r="R218" s="30"/>
      <c r="S218" s="31" t="str">
        <f aca="false">IF(OR(Q218="",R218=""),"",ROUND(R218/((Q218/100)^2),1))</f>
        <v/>
      </c>
      <c r="T218" s="28" t="str">
        <f aca="false">IF(S218="","",IF(S218&lt;18.5,"Underweight",IF(S218&lt;25,"Normal",IF(S218&lt;30,"Overweight","Obese"))))</f>
        <v/>
      </c>
      <c r="U218" s="30"/>
      <c r="V218" s="30"/>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c r="BE218" s="28"/>
      <c r="BF218" s="31" t="str">
        <f aca="false">IF(T218="","",IF(T218="Normal",100,IF(T218="Overweight",65,IF(T218="Obese",50,IF(AND(U218&lt;&gt;"",U218&lt;18.5),30,45)))))</f>
        <v/>
      </c>
      <c r="BG218" s="31" t="str">
        <f aca="false">IF(COUNTBLANK(W218:AC218)&gt;0,"",ROUND(AVERAGE(INDEX('SCORING MASTER'!$D$5:$D$7,MATCH(W218,'SCORING MASTER'!$C$5:$C$7,0)),INDEX('SCORING MASTER'!$D$9:$D$11,MATCH(X218,'SCORING MASTER'!$C$9:$C$11,0)),INDEX('SCORING MASTER'!$D$13:$D$15,MATCH(Y218,'SCORING MASTER'!$C$13:$C$15,0)),INDEX('SCORING MASTER'!$D$17:$D$19,MATCH(Z218,'SCORING MASTER'!$C$17:$C$19,0)),INDEX('SCORING MASTER'!$D$21:$D$23,MATCH(AA218,'SCORING MASTER'!$C$21:$C$23,0)),INDEX('SCORING MASTER'!$D$25:$D$27,MATCH(AB218,'SCORING MASTER'!$C$25:$C$27,0)),INDEX('SCORING MASTER'!$D$29:$D$31,MATCH(AC218,'SCORING MASTER'!$C$29:$C$31,0)))*20,0))</f>
        <v/>
      </c>
      <c r="BH218" s="31" t="str">
        <f aca="false">IF(COUNTBLANK(AD218:AI218)&gt;0,"",ROUND(AVERAGE(INDEX('SCORING MASTER'!$D$33:$D$35,MATCH(AD218,'SCORING MASTER'!$C$33:$C$35,0)),INDEX('SCORING MASTER'!$D$37:$D$39,MATCH(AE218,'SCORING MASTER'!$C$37:$C$39,0)),INDEX('SCORING MASTER'!$D$41:$D$43,MATCH(AF218,'SCORING MASTER'!$C$41:$C$43,0)),INDEX('SCORING MASTER'!$D$45:$D$47,MATCH(AG218,'SCORING MASTER'!$C$45:$C$47,0)),INDEX('SCORING MASTER'!$D$49:$D$52,MATCH(AH218,'SCORING MASTER'!$C$49:$C$52,0)),INDEX('SCORING MASTER'!$D$54:$D$57,MATCH(AI218,'SCORING MASTER'!$C$54:$C$57,0)))*20,0))</f>
        <v/>
      </c>
      <c r="BI218" s="31" t="str">
        <f aca="false">IF(COUNTBLANK(AJ218:AP218)&gt;0,"",ROUND(AVERAGE(INDEX('SCORING MASTER'!$D$59:$D$60,MATCH(AJ218,'SCORING MASTER'!$C$59:$C$60,0)),INDEX('SCORING MASTER'!$D$62:$D$63,MATCH(AK218,'SCORING MASTER'!$C$62:$C$63,0)),INDEX('SCORING MASTER'!$D$65:$D$66,MATCH(AL218,'SCORING MASTER'!$C$65:$C$66,0)),INDEX('SCORING MASTER'!$D$68:$D$69,MATCH(AM218,'SCORING MASTER'!$C$68:$C$69,0)),INDEX('SCORING MASTER'!$D$71:$D$72,MATCH(AN218,'SCORING MASTER'!$C$71:$C$72,0)),INDEX('SCORING MASTER'!$D$74:$D$75,MATCH(AO218,'SCORING MASTER'!$C$74:$C$75,0)),INDEX('SCORING MASTER'!$D$77:$D$78,MATCH(AP218,'SCORING MASTER'!$C$77:$C$78,0)))*20,0))</f>
        <v/>
      </c>
      <c r="BJ218" s="31" t="str">
        <f aca="false">IF(COUNTBLANK(AU218:AZ218)&gt;0,"",ROUND(AVERAGE(INDEX('SCORING MASTER'!$D$95:$D$96,MATCH(AU218,'SCORING MASTER'!$C$95:$C$96,0)),INDEX('SCORING MASTER'!$D$98:$D$99,MATCH(AV218,'SCORING MASTER'!$C$98:$C$99,0)),INDEX('SCORING MASTER'!$D$101:$D$102,MATCH(AW218,'SCORING MASTER'!$C$101:$C$102,0)),INDEX('SCORING MASTER'!$D$104:$D$105,MATCH(AX218,'SCORING MASTER'!$C$104:$C$105,0)),INDEX('SCORING MASTER'!$D$107:$D$108,MATCH(AY218,'SCORING MASTER'!$C$107:$C$108,0)),INDEX('SCORING MASTER'!$D$110:$D$111,MATCH(AZ218,'SCORING MASTER'!$C$110:$C$111,0)))*20,0))</f>
        <v/>
      </c>
      <c r="BK218" s="31" t="str">
        <f aca="false">IF(COUNTBLANK(AQ218:AT218)&gt;0,"",ROUND(AVERAGE(INDEX('SCORING MASTER'!$D$80:$D$82,MATCH(AQ218,'SCORING MASTER'!$C$80:$C$82,0)),INDEX('SCORING MASTER'!$D$84:$D$86,MATCH(AR218,'SCORING MASTER'!$C$84:$C$86,0)),INDEX('SCORING MASTER'!$D$88:$D$90,MATCH(AS218,'SCORING MASTER'!$C$88:$C$90,0)),INDEX('SCORING MASTER'!$D$92:$D$93,MATCH(AT218,'SCORING MASTER'!$C$92:$C$93,0)))*20,0))</f>
        <v/>
      </c>
      <c r="BL218" s="31" t="str">
        <f aca="false">IF(COUNTBLANK(BA218:BE218)&gt;0,"",ROUND(AVERAGE(INDEX('SCORING MASTER'!$D$113:$D$115,MATCH(BA218,'SCORING MASTER'!$C$113:$C$115,0)),INDEX('SCORING MASTER'!$D$117:$D$119,MATCH(BB218,'SCORING MASTER'!$C$117:$C$119,0)),INDEX('SCORING MASTER'!$D$121:$D$123,MATCH(BC218,'SCORING MASTER'!$C$121:$C$123,0)),INDEX('SCORING MASTER'!$D$125:$D$126,MATCH(BD218,'SCORING MASTER'!$C$125:$C$126,0)),INDEX('SCORING MASTER'!$D$128:$D$129,MATCH(BE218,'SCORING MASTER'!$C$128:$C$129,0)))*20,0))</f>
        <v/>
      </c>
      <c r="BM218" s="31" t="str">
        <f aca="false">IF(OR(BF218="",BG218="",BH218="",BI218="",BJ218="",BK218="",BL218=""),"",ROUND(BF218*0.25+BG218*0.2+BH218*0.15+BI218*0.15+BJ218*0.1+BK218*0.1+BL218*0.05,0))</f>
        <v/>
      </c>
      <c r="BN218" s="31" t="str">
        <f aca="false">IF(OR(BF218="",BG218=""),"",ROUND(BF218*0.5+BG218*0.5,0))</f>
        <v/>
      </c>
      <c r="BO218" s="31" t="str">
        <f aca="false">IF(BN218="","",ROUND(MIN(100,MAX(0,(100-BN218)+IF(AL218="Yes",15,0)+IF(AM218="Yes",15,0)+IF(AND(U218&lt;&gt;"",U218&lt;18.5),20,0))),0))</f>
        <v/>
      </c>
      <c r="BP218" s="28" t="str">
        <f aca="false">IF(BM218="","",IF(BM218&gt;=90,"Green - Healthy",IF(BM218&gt;=75,"Light Green - Mild Watch",IF(BM218&gt;=60,"Yellow - Mild Risk",IF(BM218&gt;=40,"Orange - Moderate Risk","Red - High Risk")))))</f>
        <v/>
      </c>
      <c r="BQ218" s="28" t="str">
        <f aca="false">IF(BM218="","",IF(OR(BM218&lt;60,BO218&gt;=60,AJ218="Yes"),"Yes","No"))</f>
        <v/>
      </c>
      <c r="BR218" s="28" t="str">
        <f aca="false">IF(BM218="","",IF(OR(BP218="Orange - Moderate Risk",BP218="Red - High Risk",BQ218="Yes"),"Yes","No"))</f>
        <v/>
      </c>
    </row>
    <row r="219" customFormat="false" ht="15" hidden="false" customHeight="false" outlineLevel="0" collapsed="false">
      <c r="A219" s="32" t="str">
        <f aca="false">IF(I219="","","STU"&amp;TEXT(ROW()-3,"000000"))</f>
        <v/>
      </c>
      <c r="B219" s="32"/>
      <c r="C219" s="32"/>
      <c r="D219" s="32"/>
      <c r="E219" s="32"/>
      <c r="F219" s="32"/>
      <c r="G219" s="32"/>
      <c r="H219" s="32"/>
      <c r="I219" s="32"/>
      <c r="J219" s="34"/>
      <c r="K219" s="32"/>
      <c r="L219" s="32"/>
      <c r="M219" s="32"/>
      <c r="N219" s="32"/>
      <c r="O219" s="32"/>
      <c r="P219" s="32"/>
      <c r="Q219" s="34"/>
      <c r="R219" s="34"/>
      <c r="S219" s="35" t="str">
        <f aca="false">IF(OR(Q219="",R219=""),"",ROUND(R219/((Q219/100)^2),1))</f>
        <v/>
      </c>
      <c r="T219" s="32" t="str">
        <f aca="false">IF(S219="","",IF(S219&lt;18.5,"Underweight",IF(S219&lt;25,"Normal",IF(S219&lt;30,"Overweight","Obese"))))</f>
        <v/>
      </c>
      <c r="U219" s="34"/>
      <c r="V219" s="34"/>
      <c r="W219" s="32"/>
      <c r="X219" s="32"/>
      <c r="Y219" s="32"/>
      <c r="Z219" s="32"/>
      <c r="AA219" s="32"/>
      <c r="AB219" s="32"/>
      <c r="AC219" s="32"/>
      <c r="AD219" s="32"/>
      <c r="AE219" s="32"/>
      <c r="AF219" s="32"/>
      <c r="AG219" s="32"/>
      <c r="AH219" s="32"/>
      <c r="AI219" s="32"/>
      <c r="AJ219" s="32"/>
      <c r="AK219" s="32"/>
      <c r="AL219" s="32"/>
      <c r="AM219" s="32"/>
      <c r="AN219" s="32"/>
      <c r="AO219" s="32"/>
      <c r="AP219" s="32"/>
      <c r="AQ219" s="32"/>
      <c r="AR219" s="32"/>
      <c r="AS219" s="32"/>
      <c r="AT219" s="32"/>
      <c r="AU219" s="32"/>
      <c r="AV219" s="32"/>
      <c r="AW219" s="32"/>
      <c r="AX219" s="32"/>
      <c r="AY219" s="32"/>
      <c r="AZ219" s="32"/>
      <c r="BA219" s="32"/>
      <c r="BB219" s="32"/>
      <c r="BC219" s="32"/>
      <c r="BD219" s="32"/>
      <c r="BE219" s="32"/>
      <c r="BF219" s="35" t="str">
        <f aca="false">IF(T219="","",IF(T219="Normal",100,IF(T219="Overweight",65,IF(T219="Obese",50,IF(AND(U219&lt;&gt;"",U219&lt;18.5),30,45)))))</f>
        <v/>
      </c>
      <c r="BG219" s="35" t="str">
        <f aca="false">IF(COUNTBLANK(W219:AC219)&gt;0,"",ROUND(AVERAGE(INDEX('SCORING MASTER'!$D$5:$D$7,MATCH(W219,'SCORING MASTER'!$C$5:$C$7,0)),INDEX('SCORING MASTER'!$D$9:$D$11,MATCH(X219,'SCORING MASTER'!$C$9:$C$11,0)),INDEX('SCORING MASTER'!$D$13:$D$15,MATCH(Y219,'SCORING MASTER'!$C$13:$C$15,0)),INDEX('SCORING MASTER'!$D$17:$D$19,MATCH(Z219,'SCORING MASTER'!$C$17:$C$19,0)),INDEX('SCORING MASTER'!$D$21:$D$23,MATCH(AA219,'SCORING MASTER'!$C$21:$C$23,0)),INDEX('SCORING MASTER'!$D$25:$D$27,MATCH(AB219,'SCORING MASTER'!$C$25:$C$27,0)),INDEX('SCORING MASTER'!$D$29:$D$31,MATCH(AC219,'SCORING MASTER'!$C$29:$C$31,0)))*20,0))</f>
        <v/>
      </c>
      <c r="BH219" s="35" t="str">
        <f aca="false">IF(COUNTBLANK(AD219:AI219)&gt;0,"",ROUND(AVERAGE(INDEX('SCORING MASTER'!$D$33:$D$35,MATCH(AD219,'SCORING MASTER'!$C$33:$C$35,0)),INDEX('SCORING MASTER'!$D$37:$D$39,MATCH(AE219,'SCORING MASTER'!$C$37:$C$39,0)),INDEX('SCORING MASTER'!$D$41:$D$43,MATCH(AF219,'SCORING MASTER'!$C$41:$C$43,0)),INDEX('SCORING MASTER'!$D$45:$D$47,MATCH(AG219,'SCORING MASTER'!$C$45:$C$47,0)),INDEX('SCORING MASTER'!$D$49:$D$52,MATCH(AH219,'SCORING MASTER'!$C$49:$C$52,0)),INDEX('SCORING MASTER'!$D$54:$D$57,MATCH(AI219,'SCORING MASTER'!$C$54:$C$57,0)))*20,0))</f>
        <v/>
      </c>
      <c r="BI219" s="35" t="str">
        <f aca="false">IF(COUNTBLANK(AJ219:AP219)&gt;0,"",ROUND(AVERAGE(INDEX('SCORING MASTER'!$D$59:$D$60,MATCH(AJ219,'SCORING MASTER'!$C$59:$C$60,0)),INDEX('SCORING MASTER'!$D$62:$D$63,MATCH(AK219,'SCORING MASTER'!$C$62:$C$63,0)),INDEX('SCORING MASTER'!$D$65:$D$66,MATCH(AL219,'SCORING MASTER'!$C$65:$C$66,0)),INDEX('SCORING MASTER'!$D$68:$D$69,MATCH(AM219,'SCORING MASTER'!$C$68:$C$69,0)),INDEX('SCORING MASTER'!$D$71:$D$72,MATCH(AN219,'SCORING MASTER'!$C$71:$C$72,0)),INDEX('SCORING MASTER'!$D$74:$D$75,MATCH(AO219,'SCORING MASTER'!$C$74:$C$75,0)),INDEX('SCORING MASTER'!$D$77:$D$78,MATCH(AP219,'SCORING MASTER'!$C$77:$C$78,0)))*20,0))</f>
        <v/>
      </c>
      <c r="BJ219" s="35" t="str">
        <f aca="false">IF(COUNTBLANK(AU219:AZ219)&gt;0,"",ROUND(AVERAGE(INDEX('SCORING MASTER'!$D$95:$D$96,MATCH(AU219,'SCORING MASTER'!$C$95:$C$96,0)),INDEX('SCORING MASTER'!$D$98:$D$99,MATCH(AV219,'SCORING MASTER'!$C$98:$C$99,0)),INDEX('SCORING MASTER'!$D$101:$D$102,MATCH(AW219,'SCORING MASTER'!$C$101:$C$102,0)),INDEX('SCORING MASTER'!$D$104:$D$105,MATCH(AX219,'SCORING MASTER'!$C$104:$C$105,0)),INDEX('SCORING MASTER'!$D$107:$D$108,MATCH(AY219,'SCORING MASTER'!$C$107:$C$108,0)),INDEX('SCORING MASTER'!$D$110:$D$111,MATCH(AZ219,'SCORING MASTER'!$C$110:$C$111,0)))*20,0))</f>
        <v/>
      </c>
      <c r="BK219" s="35" t="str">
        <f aca="false">IF(COUNTBLANK(AQ219:AT219)&gt;0,"",ROUND(AVERAGE(INDEX('SCORING MASTER'!$D$80:$D$82,MATCH(AQ219,'SCORING MASTER'!$C$80:$C$82,0)),INDEX('SCORING MASTER'!$D$84:$D$86,MATCH(AR219,'SCORING MASTER'!$C$84:$C$86,0)),INDEX('SCORING MASTER'!$D$88:$D$90,MATCH(AS219,'SCORING MASTER'!$C$88:$C$90,0)),INDEX('SCORING MASTER'!$D$92:$D$93,MATCH(AT219,'SCORING MASTER'!$C$92:$C$93,0)))*20,0))</f>
        <v/>
      </c>
      <c r="BL219" s="35" t="str">
        <f aca="false">IF(COUNTBLANK(BA219:BE219)&gt;0,"",ROUND(AVERAGE(INDEX('SCORING MASTER'!$D$113:$D$115,MATCH(BA219,'SCORING MASTER'!$C$113:$C$115,0)),INDEX('SCORING MASTER'!$D$117:$D$119,MATCH(BB219,'SCORING MASTER'!$C$117:$C$119,0)),INDEX('SCORING MASTER'!$D$121:$D$123,MATCH(BC219,'SCORING MASTER'!$C$121:$C$123,0)),INDEX('SCORING MASTER'!$D$125:$D$126,MATCH(BD219,'SCORING MASTER'!$C$125:$C$126,0)),INDEX('SCORING MASTER'!$D$128:$D$129,MATCH(BE219,'SCORING MASTER'!$C$128:$C$129,0)))*20,0))</f>
        <v/>
      </c>
      <c r="BM219" s="35" t="str">
        <f aca="false">IF(OR(BF219="",BG219="",BH219="",BI219="",BJ219="",BK219="",BL219=""),"",ROUND(BF219*0.25+BG219*0.2+BH219*0.15+BI219*0.15+BJ219*0.1+BK219*0.1+BL219*0.05,0))</f>
        <v/>
      </c>
      <c r="BN219" s="35" t="str">
        <f aca="false">IF(OR(BF219="",BG219=""),"",ROUND(BF219*0.5+BG219*0.5,0))</f>
        <v/>
      </c>
      <c r="BO219" s="35" t="str">
        <f aca="false">IF(BN219="","",ROUND(MIN(100,MAX(0,(100-BN219)+IF(AL219="Yes",15,0)+IF(AM219="Yes",15,0)+IF(AND(U219&lt;&gt;"",U219&lt;18.5),20,0))),0))</f>
        <v/>
      </c>
      <c r="BP219" s="32" t="str">
        <f aca="false">IF(BM219="","",IF(BM219&gt;=90,"Green - Healthy",IF(BM219&gt;=75,"Light Green - Mild Watch",IF(BM219&gt;=60,"Yellow - Mild Risk",IF(BM219&gt;=40,"Orange - Moderate Risk","Red - High Risk")))))</f>
        <v/>
      </c>
      <c r="BQ219" s="32" t="str">
        <f aca="false">IF(BM219="","",IF(OR(BM219&lt;60,BO219&gt;=60,AJ219="Yes"),"Yes","No"))</f>
        <v/>
      </c>
      <c r="BR219" s="32" t="str">
        <f aca="false">IF(BM219="","",IF(OR(BP219="Orange - Moderate Risk",BP219="Red - High Risk",BQ219="Yes"),"Yes","No"))</f>
        <v/>
      </c>
    </row>
    <row r="220" customFormat="false" ht="15" hidden="false" customHeight="false" outlineLevel="0" collapsed="false">
      <c r="A220" s="28" t="str">
        <f aca="false">IF(I220="","","STU"&amp;TEXT(ROW()-3,"000000"))</f>
        <v/>
      </c>
      <c r="B220" s="28"/>
      <c r="C220" s="28"/>
      <c r="D220" s="28"/>
      <c r="E220" s="28"/>
      <c r="F220" s="28"/>
      <c r="G220" s="28"/>
      <c r="H220" s="28"/>
      <c r="I220" s="28"/>
      <c r="J220" s="30"/>
      <c r="K220" s="28"/>
      <c r="L220" s="28"/>
      <c r="M220" s="28"/>
      <c r="N220" s="28"/>
      <c r="O220" s="28"/>
      <c r="P220" s="28"/>
      <c r="Q220" s="30"/>
      <c r="R220" s="30"/>
      <c r="S220" s="31" t="str">
        <f aca="false">IF(OR(Q220="",R220=""),"",ROUND(R220/((Q220/100)^2),1))</f>
        <v/>
      </c>
      <c r="T220" s="28" t="str">
        <f aca="false">IF(S220="","",IF(S220&lt;18.5,"Underweight",IF(S220&lt;25,"Normal",IF(S220&lt;30,"Overweight","Obese"))))</f>
        <v/>
      </c>
      <c r="U220" s="30"/>
      <c r="V220" s="30"/>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31" t="str">
        <f aca="false">IF(T220="","",IF(T220="Normal",100,IF(T220="Overweight",65,IF(T220="Obese",50,IF(AND(U220&lt;&gt;"",U220&lt;18.5),30,45)))))</f>
        <v/>
      </c>
      <c r="BG220" s="31" t="str">
        <f aca="false">IF(COUNTBLANK(W220:AC220)&gt;0,"",ROUND(AVERAGE(INDEX('SCORING MASTER'!$D$5:$D$7,MATCH(W220,'SCORING MASTER'!$C$5:$C$7,0)),INDEX('SCORING MASTER'!$D$9:$D$11,MATCH(X220,'SCORING MASTER'!$C$9:$C$11,0)),INDEX('SCORING MASTER'!$D$13:$D$15,MATCH(Y220,'SCORING MASTER'!$C$13:$C$15,0)),INDEX('SCORING MASTER'!$D$17:$D$19,MATCH(Z220,'SCORING MASTER'!$C$17:$C$19,0)),INDEX('SCORING MASTER'!$D$21:$D$23,MATCH(AA220,'SCORING MASTER'!$C$21:$C$23,0)),INDEX('SCORING MASTER'!$D$25:$D$27,MATCH(AB220,'SCORING MASTER'!$C$25:$C$27,0)),INDEX('SCORING MASTER'!$D$29:$D$31,MATCH(AC220,'SCORING MASTER'!$C$29:$C$31,0)))*20,0))</f>
        <v/>
      </c>
      <c r="BH220" s="31" t="str">
        <f aca="false">IF(COUNTBLANK(AD220:AI220)&gt;0,"",ROUND(AVERAGE(INDEX('SCORING MASTER'!$D$33:$D$35,MATCH(AD220,'SCORING MASTER'!$C$33:$C$35,0)),INDEX('SCORING MASTER'!$D$37:$D$39,MATCH(AE220,'SCORING MASTER'!$C$37:$C$39,0)),INDEX('SCORING MASTER'!$D$41:$D$43,MATCH(AF220,'SCORING MASTER'!$C$41:$C$43,0)),INDEX('SCORING MASTER'!$D$45:$D$47,MATCH(AG220,'SCORING MASTER'!$C$45:$C$47,0)),INDEX('SCORING MASTER'!$D$49:$D$52,MATCH(AH220,'SCORING MASTER'!$C$49:$C$52,0)),INDEX('SCORING MASTER'!$D$54:$D$57,MATCH(AI220,'SCORING MASTER'!$C$54:$C$57,0)))*20,0))</f>
        <v/>
      </c>
      <c r="BI220" s="31" t="str">
        <f aca="false">IF(COUNTBLANK(AJ220:AP220)&gt;0,"",ROUND(AVERAGE(INDEX('SCORING MASTER'!$D$59:$D$60,MATCH(AJ220,'SCORING MASTER'!$C$59:$C$60,0)),INDEX('SCORING MASTER'!$D$62:$D$63,MATCH(AK220,'SCORING MASTER'!$C$62:$C$63,0)),INDEX('SCORING MASTER'!$D$65:$D$66,MATCH(AL220,'SCORING MASTER'!$C$65:$C$66,0)),INDEX('SCORING MASTER'!$D$68:$D$69,MATCH(AM220,'SCORING MASTER'!$C$68:$C$69,0)),INDEX('SCORING MASTER'!$D$71:$D$72,MATCH(AN220,'SCORING MASTER'!$C$71:$C$72,0)),INDEX('SCORING MASTER'!$D$74:$D$75,MATCH(AO220,'SCORING MASTER'!$C$74:$C$75,0)),INDEX('SCORING MASTER'!$D$77:$D$78,MATCH(AP220,'SCORING MASTER'!$C$77:$C$78,0)))*20,0))</f>
        <v/>
      </c>
      <c r="BJ220" s="31" t="str">
        <f aca="false">IF(COUNTBLANK(AU220:AZ220)&gt;0,"",ROUND(AVERAGE(INDEX('SCORING MASTER'!$D$95:$D$96,MATCH(AU220,'SCORING MASTER'!$C$95:$C$96,0)),INDEX('SCORING MASTER'!$D$98:$D$99,MATCH(AV220,'SCORING MASTER'!$C$98:$C$99,0)),INDEX('SCORING MASTER'!$D$101:$D$102,MATCH(AW220,'SCORING MASTER'!$C$101:$C$102,0)),INDEX('SCORING MASTER'!$D$104:$D$105,MATCH(AX220,'SCORING MASTER'!$C$104:$C$105,0)),INDEX('SCORING MASTER'!$D$107:$D$108,MATCH(AY220,'SCORING MASTER'!$C$107:$C$108,0)),INDEX('SCORING MASTER'!$D$110:$D$111,MATCH(AZ220,'SCORING MASTER'!$C$110:$C$111,0)))*20,0))</f>
        <v/>
      </c>
      <c r="BK220" s="31" t="str">
        <f aca="false">IF(COUNTBLANK(AQ220:AT220)&gt;0,"",ROUND(AVERAGE(INDEX('SCORING MASTER'!$D$80:$D$82,MATCH(AQ220,'SCORING MASTER'!$C$80:$C$82,0)),INDEX('SCORING MASTER'!$D$84:$D$86,MATCH(AR220,'SCORING MASTER'!$C$84:$C$86,0)),INDEX('SCORING MASTER'!$D$88:$D$90,MATCH(AS220,'SCORING MASTER'!$C$88:$C$90,0)),INDEX('SCORING MASTER'!$D$92:$D$93,MATCH(AT220,'SCORING MASTER'!$C$92:$C$93,0)))*20,0))</f>
        <v/>
      </c>
      <c r="BL220" s="31" t="str">
        <f aca="false">IF(COUNTBLANK(BA220:BE220)&gt;0,"",ROUND(AVERAGE(INDEX('SCORING MASTER'!$D$113:$D$115,MATCH(BA220,'SCORING MASTER'!$C$113:$C$115,0)),INDEX('SCORING MASTER'!$D$117:$D$119,MATCH(BB220,'SCORING MASTER'!$C$117:$C$119,0)),INDEX('SCORING MASTER'!$D$121:$D$123,MATCH(BC220,'SCORING MASTER'!$C$121:$C$123,0)),INDEX('SCORING MASTER'!$D$125:$D$126,MATCH(BD220,'SCORING MASTER'!$C$125:$C$126,0)),INDEX('SCORING MASTER'!$D$128:$D$129,MATCH(BE220,'SCORING MASTER'!$C$128:$C$129,0)))*20,0))</f>
        <v/>
      </c>
      <c r="BM220" s="31" t="str">
        <f aca="false">IF(OR(BF220="",BG220="",BH220="",BI220="",BJ220="",BK220="",BL220=""),"",ROUND(BF220*0.25+BG220*0.2+BH220*0.15+BI220*0.15+BJ220*0.1+BK220*0.1+BL220*0.05,0))</f>
        <v/>
      </c>
      <c r="BN220" s="31" t="str">
        <f aca="false">IF(OR(BF220="",BG220=""),"",ROUND(BF220*0.5+BG220*0.5,0))</f>
        <v/>
      </c>
      <c r="BO220" s="31" t="str">
        <f aca="false">IF(BN220="","",ROUND(MIN(100,MAX(0,(100-BN220)+IF(AL220="Yes",15,0)+IF(AM220="Yes",15,0)+IF(AND(U220&lt;&gt;"",U220&lt;18.5),20,0))),0))</f>
        <v/>
      </c>
      <c r="BP220" s="28" t="str">
        <f aca="false">IF(BM220="","",IF(BM220&gt;=90,"Green - Healthy",IF(BM220&gt;=75,"Light Green - Mild Watch",IF(BM220&gt;=60,"Yellow - Mild Risk",IF(BM220&gt;=40,"Orange - Moderate Risk","Red - High Risk")))))</f>
        <v/>
      </c>
      <c r="BQ220" s="28" t="str">
        <f aca="false">IF(BM220="","",IF(OR(BM220&lt;60,BO220&gt;=60,AJ220="Yes"),"Yes","No"))</f>
        <v/>
      </c>
      <c r="BR220" s="28" t="str">
        <f aca="false">IF(BM220="","",IF(OR(BP220="Orange - Moderate Risk",BP220="Red - High Risk",BQ220="Yes"),"Yes","No"))</f>
        <v/>
      </c>
    </row>
    <row r="221" customFormat="false" ht="15" hidden="false" customHeight="false" outlineLevel="0" collapsed="false">
      <c r="A221" s="32" t="str">
        <f aca="false">IF(I221="","","STU"&amp;TEXT(ROW()-3,"000000"))</f>
        <v/>
      </c>
      <c r="B221" s="32"/>
      <c r="C221" s="32"/>
      <c r="D221" s="32"/>
      <c r="E221" s="32"/>
      <c r="F221" s="32"/>
      <c r="G221" s="32"/>
      <c r="H221" s="32"/>
      <c r="I221" s="32"/>
      <c r="J221" s="34"/>
      <c r="K221" s="32"/>
      <c r="L221" s="32"/>
      <c r="M221" s="32"/>
      <c r="N221" s="32"/>
      <c r="O221" s="32"/>
      <c r="P221" s="32"/>
      <c r="Q221" s="34"/>
      <c r="R221" s="34"/>
      <c r="S221" s="35" t="str">
        <f aca="false">IF(OR(Q221="",R221=""),"",ROUND(R221/((Q221/100)^2),1))</f>
        <v/>
      </c>
      <c r="T221" s="32" t="str">
        <f aca="false">IF(S221="","",IF(S221&lt;18.5,"Underweight",IF(S221&lt;25,"Normal",IF(S221&lt;30,"Overweight","Obese"))))</f>
        <v/>
      </c>
      <c r="U221" s="34"/>
      <c r="V221" s="34"/>
      <c r="W221" s="32"/>
      <c r="X221" s="32"/>
      <c r="Y221" s="32"/>
      <c r="Z221" s="32"/>
      <c r="AA221" s="32"/>
      <c r="AB221" s="32"/>
      <c r="AC221" s="32"/>
      <c r="AD221" s="32"/>
      <c r="AE221" s="32"/>
      <c r="AF221" s="32"/>
      <c r="AG221" s="32"/>
      <c r="AH221" s="32"/>
      <c r="AI221" s="32"/>
      <c r="AJ221" s="32"/>
      <c r="AK221" s="32"/>
      <c r="AL221" s="32"/>
      <c r="AM221" s="32"/>
      <c r="AN221" s="32"/>
      <c r="AO221" s="32"/>
      <c r="AP221" s="32"/>
      <c r="AQ221" s="32"/>
      <c r="AR221" s="32"/>
      <c r="AS221" s="32"/>
      <c r="AT221" s="32"/>
      <c r="AU221" s="32"/>
      <c r="AV221" s="32"/>
      <c r="AW221" s="32"/>
      <c r="AX221" s="32"/>
      <c r="AY221" s="32"/>
      <c r="AZ221" s="32"/>
      <c r="BA221" s="32"/>
      <c r="BB221" s="32"/>
      <c r="BC221" s="32"/>
      <c r="BD221" s="32"/>
      <c r="BE221" s="32"/>
      <c r="BF221" s="35" t="str">
        <f aca="false">IF(T221="","",IF(T221="Normal",100,IF(T221="Overweight",65,IF(T221="Obese",50,IF(AND(U221&lt;&gt;"",U221&lt;18.5),30,45)))))</f>
        <v/>
      </c>
      <c r="BG221" s="35" t="str">
        <f aca="false">IF(COUNTBLANK(W221:AC221)&gt;0,"",ROUND(AVERAGE(INDEX('SCORING MASTER'!$D$5:$D$7,MATCH(W221,'SCORING MASTER'!$C$5:$C$7,0)),INDEX('SCORING MASTER'!$D$9:$D$11,MATCH(X221,'SCORING MASTER'!$C$9:$C$11,0)),INDEX('SCORING MASTER'!$D$13:$D$15,MATCH(Y221,'SCORING MASTER'!$C$13:$C$15,0)),INDEX('SCORING MASTER'!$D$17:$D$19,MATCH(Z221,'SCORING MASTER'!$C$17:$C$19,0)),INDEX('SCORING MASTER'!$D$21:$D$23,MATCH(AA221,'SCORING MASTER'!$C$21:$C$23,0)),INDEX('SCORING MASTER'!$D$25:$D$27,MATCH(AB221,'SCORING MASTER'!$C$25:$C$27,0)),INDEX('SCORING MASTER'!$D$29:$D$31,MATCH(AC221,'SCORING MASTER'!$C$29:$C$31,0)))*20,0))</f>
        <v/>
      </c>
      <c r="BH221" s="35" t="str">
        <f aca="false">IF(COUNTBLANK(AD221:AI221)&gt;0,"",ROUND(AVERAGE(INDEX('SCORING MASTER'!$D$33:$D$35,MATCH(AD221,'SCORING MASTER'!$C$33:$C$35,0)),INDEX('SCORING MASTER'!$D$37:$D$39,MATCH(AE221,'SCORING MASTER'!$C$37:$C$39,0)),INDEX('SCORING MASTER'!$D$41:$D$43,MATCH(AF221,'SCORING MASTER'!$C$41:$C$43,0)),INDEX('SCORING MASTER'!$D$45:$D$47,MATCH(AG221,'SCORING MASTER'!$C$45:$C$47,0)),INDEX('SCORING MASTER'!$D$49:$D$52,MATCH(AH221,'SCORING MASTER'!$C$49:$C$52,0)),INDEX('SCORING MASTER'!$D$54:$D$57,MATCH(AI221,'SCORING MASTER'!$C$54:$C$57,0)))*20,0))</f>
        <v/>
      </c>
      <c r="BI221" s="35" t="str">
        <f aca="false">IF(COUNTBLANK(AJ221:AP221)&gt;0,"",ROUND(AVERAGE(INDEX('SCORING MASTER'!$D$59:$D$60,MATCH(AJ221,'SCORING MASTER'!$C$59:$C$60,0)),INDEX('SCORING MASTER'!$D$62:$D$63,MATCH(AK221,'SCORING MASTER'!$C$62:$C$63,0)),INDEX('SCORING MASTER'!$D$65:$D$66,MATCH(AL221,'SCORING MASTER'!$C$65:$C$66,0)),INDEX('SCORING MASTER'!$D$68:$D$69,MATCH(AM221,'SCORING MASTER'!$C$68:$C$69,0)),INDEX('SCORING MASTER'!$D$71:$D$72,MATCH(AN221,'SCORING MASTER'!$C$71:$C$72,0)),INDEX('SCORING MASTER'!$D$74:$D$75,MATCH(AO221,'SCORING MASTER'!$C$74:$C$75,0)),INDEX('SCORING MASTER'!$D$77:$D$78,MATCH(AP221,'SCORING MASTER'!$C$77:$C$78,0)))*20,0))</f>
        <v/>
      </c>
      <c r="BJ221" s="35" t="str">
        <f aca="false">IF(COUNTBLANK(AU221:AZ221)&gt;0,"",ROUND(AVERAGE(INDEX('SCORING MASTER'!$D$95:$D$96,MATCH(AU221,'SCORING MASTER'!$C$95:$C$96,0)),INDEX('SCORING MASTER'!$D$98:$D$99,MATCH(AV221,'SCORING MASTER'!$C$98:$C$99,0)),INDEX('SCORING MASTER'!$D$101:$D$102,MATCH(AW221,'SCORING MASTER'!$C$101:$C$102,0)),INDEX('SCORING MASTER'!$D$104:$D$105,MATCH(AX221,'SCORING MASTER'!$C$104:$C$105,0)),INDEX('SCORING MASTER'!$D$107:$D$108,MATCH(AY221,'SCORING MASTER'!$C$107:$C$108,0)),INDEX('SCORING MASTER'!$D$110:$D$111,MATCH(AZ221,'SCORING MASTER'!$C$110:$C$111,0)))*20,0))</f>
        <v/>
      </c>
      <c r="BK221" s="35" t="str">
        <f aca="false">IF(COUNTBLANK(AQ221:AT221)&gt;0,"",ROUND(AVERAGE(INDEX('SCORING MASTER'!$D$80:$D$82,MATCH(AQ221,'SCORING MASTER'!$C$80:$C$82,0)),INDEX('SCORING MASTER'!$D$84:$D$86,MATCH(AR221,'SCORING MASTER'!$C$84:$C$86,0)),INDEX('SCORING MASTER'!$D$88:$D$90,MATCH(AS221,'SCORING MASTER'!$C$88:$C$90,0)),INDEX('SCORING MASTER'!$D$92:$D$93,MATCH(AT221,'SCORING MASTER'!$C$92:$C$93,0)))*20,0))</f>
        <v/>
      </c>
      <c r="BL221" s="35" t="str">
        <f aca="false">IF(COUNTBLANK(BA221:BE221)&gt;0,"",ROUND(AVERAGE(INDEX('SCORING MASTER'!$D$113:$D$115,MATCH(BA221,'SCORING MASTER'!$C$113:$C$115,0)),INDEX('SCORING MASTER'!$D$117:$D$119,MATCH(BB221,'SCORING MASTER'!$C$117:$C$119,0)),INDEX('SCORING MASTER'!$D$121:$D$123,MATCH(BC221,'SCORING MASTER'!$C$121:$C$123,0)),INDEX('SCORING MASTER'!$D$125:$D$126,MATCH(BD221,'SCORING MASTER'!$C$125:$C$126,0)),INDEX('SCORING MASTER'!$D$128:$D$129,MATCH(BE221,'SCORING MASTER'!$C$128:$C$129,0)))*20,0))</f>
        <v/>
      </c>
      <c r="BM221" s="35" t="str">
        <f aca="false">IF(OR(BF221="",BG221="",BH221="",BI221="",BJ221="",BK221="",BL221=""),"",ROUND(BF221*0.25+BG221*0.2+BH221*0.15+BI221*0.15+BJ221*0.1+BK221*0.1+BL221*0.05,0))</f>
        <v/>
      </c>
      <c r="BN221" s="35" t="str">
        <f aca="false">IF(OR(BF221="",BG221=""),"",ROUND(BF221*0.5+BG221*0.5,0))</f>
        <v/>
      </c>
      <c r="BO221" s="35" t="str">
        <f aca="false">IF(BN221="","",ROUND(MIN(100,MAX(0,(100-BN221)+IF(AL221="Yes",15,0)+IF(AM221="Yes",15,0)+IF(AND(U221&lt;&gt;"",U221&lt;18.5),20,0))),0))</f>
        <v/>
      </c>
      <c r="BP221" s="32" t="str">
        <f aca="false">IF(BM221="","",IF(BM221&gt;=90,"Green - Healthy",IF(BM221&gt;=75,"Light Green - Mild Watch",IF(BM221&gt;=60,"Yellow - Mild Risk",IF(BM221&gt;=40,"Orange - Moderate Risk","Red - High Risk")))))</f>
        <v/>
      </c>
      <c r="BQ221" s="32" t="str">
        <f aca="false">IF(BM221="","",IF(OR(BM221&lt;60,BO221&gt;=60,AJ221="Yes"),"Yes","No"))</f>
        <v/>
      </c>
      <c r="BR221" s="32" t="str">
        <f aca="false">IF(BM221="","",IF(OR(BP221="Orange - Moderate Risk",BP221="Red - High Risk",BQ221="Yes"),"Yes","No"))</f>
        <v/>
      </c>
    </row>
    <row r="222" customFormat="false" ht="15" hidden="false" customHeight="false" outlineLevel="0" collapsed="false">
      <c r="A222" s="28" t="str">
        <f aca="false">IF(I222="","","STU"&amp;TEXT(ROW()-3,"000000"))</f>
        <v/>
      </c>
      <c r="B222" s="28"/>
      <c r="C222" s="28"/>
      <c r="D222" s="28"/>
      <c r="E222" s="28"/>
      <c r="F222" s="28"/>
      <c r="G222" s="28"/>
      <c r="H222" s="28"/>
      <c r="I222" s="28"/>
      <c r="J222" s="30"/>
      <c r="K222" s="28"/>
      <c r="L222" s="28"/>
      <c r="M222" s="28"/>
      <c r="N222" s="28"/>
      <c r="O222" s="28"/>
      <c r="P222" s="28"/>
      <c r="Q222" s="30"/>
      <c r="R222" s="30"/>
      <c r="S222" s="31" t="str">
        <f aca="false">IF(OR(Q222="",R222=""),"",ROUND(R222/((Q222/100)^2),1))</f>
        <v/>
      </c>
      <c r="T222" s="28" t="str">
        <f aca="false">IF(S222="","",IF(S222&lt;18.5,"Underweight",IF(S222&lt;25,"Normal",IF(S222&lt;30,"Overweight","Obese"))))</f>
        <v/>
      </c>
      <c r="U222" s="30"/>
      <c r="V222" s="30"/>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c r="BE222" s="28"/>
      <c r="BF222" s="31" t="str">
        <f aca="false">IF(T222="","",IF(T222="Normal",100,IF(T222="Overweight",65,IF(T222="Obese",50,IF(AND(U222&lt;&gt;"",U222&lt;18.5),30,45)))))</f>
        <v/>
      </c>
      <c r="BG222" s="31" t="str">
        <f aca="false">IF(COUNTBLANK(W222:AC222)&gt;0,"",ROUND(AVERAGE(INDEX('SCORING MASTER'!$D$5:$D$7,MATCH(W222,'SCORING MASTER'!$C$5:$C$7,0)),INDEX('SCORING MASTER'!$D$9:$D$11,MATCH(X222,'SCORING MASTER'!$C$9:$C$11,0)),INDEX('SCORING MASTER'!$D$13:$D$15,MATCH(Y222,'SCORING MASTER'!$C$13:$C$15,0)),INDEX('SCORING MASTER'!$D$17:$D$19,MATCH(Z222,'SCORING MASTER'!$C$17:$C$19,0)),INDEX('SCORING MASTER'!$D$21:$D$23,MATCH(AA222,'SCORING MASTER'!$C$21:$C$23,0)),INDEX('SCORING MASTER'!$D$25:$D$27,MATCH(AB222,'SCORING MASTER'!$C$25:$C$27,0)),INDEX('SCORING MASTER'!$D$29:$D$31,MATCH(AC222,'SCORING MASTER'!$C$29:$C$31,0)))*20,0))</f>
        <v/>
      </c>
      <c r="BH222" s="31" t="str">
        <f aca="false">IF(COUNTBLANK(AD222:AI222)&gt;0,"",ROUND(AVERAGE(INDEX('SCORING MASTER'!$D$33:$D$35,MATCH(AD222,'SCORING MASTER'!$C$33:$C$35,0)),INDEX('SCORING MASTER'!$D$37:$D$39,MATCH(AE222,'SCORING MASTER'!$C$37:$C$39,0)),INDEX('SCORING MASTER'!$D$41:$D$43,MATCH(AF222,'SCORING MASTER'!$C$41:$C$43,0)),INDEX('SCORING MASTER'!$D$45:$D$47,MATCH(AG222,'SCORING MASTER'!$C$45:$C$47,0)),INDEX('SCORING MASTER'!$D$49:$D$52,MATCH(AH222,'SCORING MASTER'!$C$49:$C$52,0)),INDEX('SCORING MASTER'!$D$54:$D$57,MATCH(AI222,'SCORING MASTER'!$C$54:$C$57,0)))*20,0))</f>
        <v/>
      </c>
      <c r="BI222" s="31" t="str">
        <f aca="false">IF(COUNTBLANK(AJ222:AP222)&gt;0,"",ROUND(AVERAGE(INDEX('SCORING MASTER'!$D$59:$D$60,MATCH(AJ222,'SCORING MASTER'!$C$59:$C$60,0)),INDEX('SCORING MASTER'!$D$62:$D$63,MATCH(AK222,'SCORING MASTER'!$C$62:$C$63,0)),INDEX('SCORING MASTER'!$D$65:$D$66,MATCH(AL222,'SCORING MASTER'!$C$65:$C$66,0)),INDEX('SCORING MASTER'!$D$68:$D$69,MATCH(AM222,'SCORING MASTER'!$C$68:$C$69,0)),INDEX('SCORING MASTER'!$D$71:$D$72,MATCH(AN222,'SCORING MASTER'!$C$71:$C$72,0)),INDEX('SCORING MASTER'!$D$74:$D$75,MATCH(AO222,'SCORING MASTER'!$C$74:$C$75,0)),INDEX('SCORING MASTER'!$D$77:$D$78,MATCH(AP222,'SCORING MASTER'!$C$77:$C$78,0)))*20,0))</f>
        <v/>
      </c>
      <c r="BJ222" s="31" t="str">
        <f aca="false">IF(COUNTBLANK(AU222:AZ222)&gt;0,"",ROUND(AVERAGE(INDEX('SCORING MASTER'!$D$95:$D$96,MATCH(AU222,'SCORING MASTER'!$C$95:$C$96,0)),INDEX('SCORING MASTER'!$D$98:$D$99,MATCH(AV222,'SCORING MASTER'!$C$98:$C$99,0)),INDEX('SCORING MASTER'!$D$101:$D$102,MATCH(AW222,'SCORING MASTER'!$C$101:$C$102,0)),INDEX('SCORING MASTER'!$D$104:$D$105,MATCH(AX222,'SCORING MASTER'!$C$104:$C$105,0)),INDEX('SCORING MASTER'!$D$107:$D$108,MATCH(AY222,'SCORING MASTER'!$C$107:$C$108,0)),INDEX('SCORING MASTER'!$D$110:$D$111,MATCH(AZ222,'SCORING MASTER'!$C$110:$C$111,0)))*20,0))</f>
        <v/>
      </c>
      <c r="BK222" s="31" t="str">
        <f aca="false">IF(COUNTBLANK(AQ222:AT222)&gt;0,"",ROUND(AVERAGE(INDEX('SCORING MASTER'!$D$80:$D$82,MATCH(AQ222,'SCORING MASTER'!$C$80:$C$82,0)),INDEX('SCORING MASTER'!$D$84:$D$86,MATCH(AR222,'SCORING MASTER'!$C$84:$C$86,0)),INDEX('SCORING MASTER'!$D$88:$D$90,MATCH(AS222,'SCORING MASTER'!$C$88:$C$90,0)),INDEX('SCORING MASTER'!$D$92:$D$93,MATCH(AT222,'SCORING MASTER'!$C$92:$C$93,0)))*20,0))</f>
        <v/>
      </c>
      <c r="BL222" s="31" t="str">
        <f aca="false">IF(COUNTBLANK(BA222:BE222)&gt;0,"",ROUND(AVERAGE(INDEX('SCORING MASTER'!$D$113:$D$115,MATCH(BA222,'SCORING MASTER'!$C$113:$C$115,0)),INDEX('SCORING MASTER'!$D$117:$D$119,MATCH(BB222,'SCORING MASTER'!$C$117:$C$119,0)),INDEX('SCORING MASTER'!$D$121:$D$123,MATCH(BC222,'SCORING MASTER'!$C$121:$C$123,0)),INDEX('SCORING MASTER'!$D$125:$D$126,MATCH(BD222,'SCORING MASTER'!$C$125:$C$126,0)),INDEX('SCORING MASTER'!$D$128:$D$129,MATCH(BE222,'SCORING MASTER'!$C$128:$C$129,0)))*20,0))</f>
        <v/>
      </c>
      <c r="BM222" s="31" t="str">
        <f aca="false">IF(OR(BF222="",BG222="",BH222="",BI222="",BJ222="",BK222="",BL222=""),"",ROUND(BF222*0.25+BG222*0.2+BH222*0.15+BI222*0.15+BJ222*0.1+BK222*0.1+BL222*0.05,0))</f>
        <v/>
      </c>
      <c r="BN222" s="31" t="str">
        <f aca="false">IF(OR(BF222="",BG222=""),"",ROUND(BF222*0.5+BG222*0.5,0))</f>
        <v/>
      </c>
      <c r="BO222" s="31" t="str">
        <f aca="false">IF(BN222="","",ROUND(MIN(100,MAX(0,(100-BN222)+IF(AL222="Yes",15,0)+IF(AM222="Yes",15,0)+IF(AND(U222&lt;&gt;"",U222&lt;18.5),20,0))),0))</f>
        <v/>
      </c>
      <c r="BP222" s="28" t="str">
        <f aca="false">IF(BM222="","",IF(BM222&gt;=90,"Green - Healthy",IF(BM222&gt;=75,"Light Green - Mild Watch",IF(BM222&gt;=60,"Yellow - Mild Risk",IF(BM222&gt;=40,"Orange - Moderate Risk","Red - High Risk")))))</f>
        <v/>
      </c>
      <c r="BQ222" s="28" t="str">
        <f aca="false">IF(BM222="","",IF(OR(BM222&lt;60,BO222&gt;=60,AJ222="Yes"),"Yes","No"))</f>
        <v/>
      </c>
      <c r="BR222" s="28" t="str">
        <f aca="false">IF(BM222="","",IF(OR(BP222="Orange - Moderate Risk",BP222="Red - High Risk",BQ222="Yes"),"Yes","No"))</f>
        <v/>
      </c>
    </row>
    <row r="223" customFormat="false" ht="15" hidden="false" customHeight="false" outlineLevel="0" collapsed="false">
      <c r="A223" s="32" t="str">
        <f aca="false">IF(I223="","","STU"&amp;TEXT(ROW()-3,"000000"))</f>
        <v/>
      </c>
      <c r="B223" s="32"/>
      <c r="C223" s="32"/>
      <c r="D223" s="32"/>
      <c r="E223" s="32"/>
      <c r="F223" s="32"/>
      <c r="G223" s="32"/>
      <c r="H223" s="32"/>
      <c r="I223" s="32"/>
      <c r="J223" s="34"/>
      <c r="K223" s="32"/>
      <c r="L223" s="32"/>
      <c r="M223" s="32"/>
      <c r="N223" s="32"/>
      <c r="O223" s="32"/>
      <c r="P223" s="32"/>
      <c r="Q223" s="34"/>
      <c r="R223" s="34"/>
      <c r="S223" s="35" t="str">
        <f aca="false">IF(OR(Q223="",R223=""),"",ROUND(R223/((Q223/100)^2),1))</f>
        <v/>
      </c>
      <c r="T223" s="32" t="str">
        <f aca="false">IF(S223="","",IF(S223&lt;18.5,"Underweight",IF(S223&lt;25,"Normal",IF(S223&lt;30,"Overweight","Obese"))))</f>
        <v/>
      </c>
      <c r="U223" s="34"/>
      <c r="V223" s="34"/>
      <c r="W223" s="32"/>
      <c r="X223" s="32"/>
      <c r="Y223" s="32"/>
      <c r="Z223" s="32"/>
      <c r="AA223" s="32"/>
      <c r="AB223" s="32"/>
      <c r="AC223" s="32"/>
      <c r="AD223" s="32"/>
      <c r="AE223" s="32"/>
      <c r="AF223" s="32"/>
      <c r="AG223" s="32"/>
      <c r="AH223" s="32"/>
      <c r="AI223" s="32"/>
      <c r="AJ223" s="32"/>
      <c r="AK223" s="32"/>
      <c r="AL223" s="32"/>
      <c r="AM223" s="32"/>
      <c r="AN223" s="32"/>
      <c r="AO223" s="32"/>
      <c r="AP223" s="32"/>
      <c r="AQ223" s="32"/>
      <c r="AR223" s="32"/>
      <c r="AS223" s="32"/>
      <c r="AT223" s="32"/>
      <c r="AU223" s="32"/>
      <c r="AV223" s="32"/>
      <c r="AW223" s="32"/>
      <c r="AX223" s="32"/>
      <c r="AY223" s="32"/>
      <c r="AZ223" s="32"/>
      <c r="BA223" s="32"/>
      <c r="BB223" s="32"/>
      <c r="BC223" s="32"/>
      <c r="BD223" s="32"/>
      <c r="BE223" s="32"/>
      <c r="BF223" s="35" t="str">
        <f aca="false">IF(T223="","",IF(T223="Normal",100,IF(T223="Overweight",65,IF(T223="Obese",50,IF(AND(U223&lt;&gt;"",U223&lt;18.5),30,45)))))</f>
        <v/>
      </c>
      <c r="BG223" s="35" t="str">
        <f aca="false">IF(COUNTBLANK(W223:AC223)&gt;0,"",ROUND(AVERAGE(INDEX('SCORING MASTER'!$D$5:$D$7,MATCH(W223,'SCORING MASTER'!$C$5:$C$7,0)),INDEX('SCORING MASTER'!$D$9:$D$11,MATCH(X223,'SCORING MASTER'!$C$9:$C$11,0)),INDEX('SCORING MASTER'!$D$13:$D$15,MATCH(Y223,'SCORING MASTER'!$C$13:$C$15,0)),INDEX('SCORING MASTER'!$D$17:$D$19,MATCH(Z223,'SCORING MASTER'!$C$17:$C$19,0)),INDEX('SCORING MASTER'!$D$21:$D$23,MATCH(AA223,'SCORING MASTER'!$C$21:$C$23,0)),INDEX('SCORING MASTER'!$D$25:$D$27,MATCH(AB223,'SCORING MASTER'!$C$25:$C$27,0)),INDEX('SCORING MASTER'!$D$29:$D$31,MATCH(AC223,'SCORING MASTER'!$C$29:$C$31,0)))*20,0))</f>
        <v/>
      </c>
      <c r="BH223" s="35" t="str">
        <f aca="false">IF(COUNTBLANK(AD223:AI223)&gt;0,"",ROUND(AVERAGE(INDEX('SCORING MASTER'!$D$33:$D$35,MATCH(AD223,'SCORING MASTER'!$C$33:$C$35,0)),INDEX('SCORING MASTER'!$D$37:$D$39,MATCH(AE223,'SCORING MASTER'!$C$37:$C$39,0)),INDEX('SCORING MASTER'!$D$41:$D$43,MATCH(AF223,'SCORING MASTER'!$C$41:$C$43,0)),INDEX('SCORING MASTER'!$D$45:$D$47,MATCH(AG223,'SCORING MASTER'!$C$45:$C$47,0)),INDEX('SCORING MASTER'!$D$49:$D$52,MATCH(AH223,'SCORING MASTER'!$C$49:$C$52,0)),INDEX('SCORING MASTER'!$D$54:$D$57,MATCH(AI223,'SCORING MASTER'!$C$54:$C$57,0)))*20,0))</f>
        <v/>
      </c>
      <c r="BI223" s="35" t="str">
        <f aca="false">IF(COUNTBLANK(AJ223:AP223)&gt;0,"",ROUND(AVERAGE(INDEX('SCORING MASTER'!$D$59:$D$60,MATCH(AJ223,'SCORING MASTER'!$C$59:$C$60,0)),INDEX('SCORING MASTER'!$D$62:$D$63,MATCH(AK223,'SCORING MASTER'!$C$62:$C$63,0)),INDEX('SCORING MASTER'!$D$65:$D$66,MATCH(AL223,'SCORING MASTER'!$C$65:$C$66,0)),INDEX('SCORING MASTER'!$D$68:$D$69,MATCH(AM223,'SCORING MASTER'!$C$68:$C$69,0)),INDEX('SCORING MASTER'!$D$71:$D$72,MATCH(AN223,'SCORING MASTER'!$C$71:$C$72,0)),INDEX('SCORING MASTER'!$D$74:$D$75,MATCH(AO223,'SCORING MASTER'!$C$74:$C$75,0)),INDEX('SCORING MASTER'!$D$77:$D$78,MATCH(AP223,'SCORING MASTER'!$C$77:$C$78,0)))*20,0))</f>
        <v/>
      </c>
      <c r="BJ223" s="35" t="str">
        <f aca="false">IF(COUNTBLANK(AU223:AZ223)&gt;0,"",ROUND(AVERAGE(INDEX('SCORING MASTER'!$D$95:$D$96,MATCH(AU223,'SCORING MASTER'!$C$95:$C$96,0)),INDEX('SCORING MASTER'!$D$98:$D$99,MATCH(AV223,'SCORING MASTER'!$C$98:$C$99,0)),INDEX('SCORING MASTER'!$D$101:$D$102,MATCH(AW223,'SCORING MASTER'!$C$101:$C$102,0)),INDEX('SCORING MASTER'!$D$104:$D$105,MATCH(AX223,'SCORING MASTER'!$C$104:$C$105,0)),INDEX('SCORING MASTER'!$D$107:$D$108,MATCH(AY223,'SCORING MASTER'!$C$107:$C$108,0)),INDEX('SCORING MASTER'!$D$110:$D$111,MATCH(AZ223,'SCORING MASTER'!$C$110:$C$111,0)))*20,0))</f>
        <v/>
      </c>
      <c r="BK223" s="35" t="str">
        <f aca="false">IF(COUNTBLANK(AQ223:AT223)&gt;0,"",ROUND(AVERAGE(INDEX('SCORING MASTER'!$D$80:$D$82,MATCH(AQ223,'SCORING MASTER'!$C$80:$C$82,0)),INDEX('SCORING MASTER'!$D$84:$D$86,MATCH(AR223,'SCORING MASTER'!$C$84:$C$86,0)),INDEX('SCORING MASTER'!$D$88:$D$90,MATCH(AS223,'SCORING MASTER'!$C$88:$C$90,0)),INDEX('SCORING MASTER'!$D$92:$D$93,MATCH(AT223,'SCORING MASTER'!$C$92:$C$93,0)))*20,0))</f>
        <v/>
      </c>
      <c r="BL223" s="35" t="str">
        <f aca="false">IF(COUNTBLANK(BA223:BE223)&gt;0,"",ROUND(AVERAGE(INDEX('SCORING MASTER'!$D$113:$D$115,MATCH(BA223,'SCORING MASTER'!$C$113:$C$115,0)),INDEX('SCORING MASTER'!$D$117:$D$119,MATCH(BB223,'SCORING MASTER'!$C$117:$C$119,0)),INDEX('SCORING MASTER'!$D$121:$D$123,MATCH(BC223,'SCORING MASTER'!$C$121:$C$123,0)),INDEX('SCORING MASTER'!$D$125:$D$126,MATCH(BD223,'SCORING MASTER'!$C$125:$C$126,0)),INDEX('SCORING MASTER'!$D$128:$D$129,MATCH(BE223,'SCORING MASTER'!$C$128:$C$129,0)))*20,0))</f>
        <v/>
      </c>
      <c r="BM223" s="35" t="str">
        <f aca="false">IF(OR(BF223="",BG223="",BH223="",BI223="",BJ223="",BK223="",BL223=""),"",ROUND(BF223*0.25+BG223*0.2+BH223*0.15+BI223*0.15+BJ223*0.1+BK223*0.1+BL223*0.05,0))</f>
        <v/>
      </c>
      <c r="BN223" s="35" t="str">
        <f aca="false">IF(OR(BF223="",BG223=""),"",ROUND(BF223*0.5+BG223*0.5,0))</f>
        <v/>
      </c>
      <c r="BO223" s="35" t="str">
        <f aca="false">IF(BN223="","",ROUND(MIN(100,MAX(0,(100-BN223)+IF(AL223="Yes",15,0)+IF(AM223="Yes",15,0)+IF(AND(U223&lt;&gt;"",U223&lt;18.5),20,0))),0))</f>
        <v/>
      </c>
      <c r="BP223" s="32" t="str">
        <f aca="false">IF(BM223="","",IF(BM223&gt;=90,"Green - Healthy",IF(BM223&gt;=75,"Light Green - Mild Watch",IF(BM223&gt;=60,"Yellow - Mild Risk",IF(BM223&gt;=40,"Orange - Moderate Risk","Red - High Risk")))))</f>
        <v/>
      </c>
      <c r="BQ223" s="32" t="str">
        <f aca="false">IF(BM223="","",IF(OR(BM223&lt;60,BO223&gt;=60,AJ223="Yes"),"Yes","No"))</f>
        <v/>
      </c>
      <c r="BR223" s="32" t="str">
        <f aca="false">IF(BM223="","",IF(OR(BP223="Orange - Moderate Risk",BP223="Red - High Risk",BQ223="Yes"),"Yes","No"))</f>
        <v/>
      </c>
    </row>
    <row r="224" customFormat="false" ht="15" hidden="false" customHeight="false" outlineLevel="0" collapsed="false">
      <c r="A224" s="28" t="str">
        <f aca="false">IF(I224="","","STU"&amp;TEXT(ROW()-3,"000000"))</f>
        <v/>
      </c>
      <c r="B224" s="28"/>
      <c r="C224" s="28"/>
      <c r="D224" s="28"/>
      <c r="E224" s="28"/>
      <c r="F224" s="28"/>
      <c r="G224" s="28"/>
      <c r="H224" s="28"/>
      <c r="I224" s="28"/>
      <c r="J224" s="30"/>
      <c r="K224" s="28"/>
      <c r="L224" s="28"/>
      <c r="M224" s="28"/>
      <c r="N224" s="28"/>
      <c r="O224" s="28"/>
      <c r="P224" s="28"/>
      <c r="Q224" s="30"/>
      <c r="R224" s="30"/>
      <c r="S224" s="31" t="str">
        <f aca="false">IF(OR(Q224="",R224=""),"",ROUND(R224/((Q224/100)^2),1))</f>
        <v/>
      </c>
      <c r="T224" s="28" t="str">
        <f aca="false">IF(S224="","",IF(S224&lt;18.5,"Underweight",IF(S224&lt;25,"Normal",IF(S224&lt;30,"Overweight","Obese"))))</f>
        <v/>
      </c>
      <c r="U224" s="30"/>
      <c r="V224" s="30"/>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c r="BE224" s="28"/>
      <c r="BF224" s="31" t="str">
        <f aca="false">IF(T224="","",IF(T224="Normal",100,IF(T224="Overweight",65,IF(T224="Obese",50,IF(AND(U224&lt;&gt;"",U224&lt;18.5),30,45)))))</f>
        <v/>
      </c>
      <c r="BG224" s="31" t="str">
        <f aca="false">IF(COUNTBLANK(W224:AC224)&gt;0,"",ROUND(AVERAGE(INDEX('SCORING MASTER'!$D$5:$D$7,MATCH(W224,'SCORING MASTER'!$C$5:$C$7,0)),INDEX('SCORING MASTER'!$D$9:$D$11,MATCH(X224,'SCORING MASTER'!$C$9:$C$11,0)),INDEX('SCORING MASTER'!$D$13:$D$15,MATCH(Y224,'SCORING MASTER'!$C$13:$C$15,0)),INDEX('SCORING MASTER'!$D$17:$D$19,MATCH(Z224,'SCORING MASTER'!$C$17:$C$19,0)),INDEX('SCORING MASTER'!$D$21:$D$23,MATCH(AA224,'SCORING MASTER'!$C$21:$C$23,0)),INDEX('SCORING MASTER'!$D$25:$D$27,MATCH(AB224,'SCORING MASTER'!$C$25:$C$27,0)),INDEX('SCORING MASTER'!$D$29:$D$31,MATCH(AC224,'SCORING MASTER'!$C$29:$C$31,0)))*20,0))</f>
        <v/>
      </c>
      <c r="BH224" s="31" t="str">
        <f aca="false">IF(COUNTBLANK(AD224:AI224)&gt;0,"",ROUND(AVERAGE(INDEX('SCORING MASTER'!$D$33:$D$35,MATCH(AD224,'SCORING MASTER'!$C$33:$C$35,0)),INDEX('SCORING MASTER'!$D$37:$D$39,MATCH(AE224,'SCORING MASTER'!$C$37:$C$39,0)),INDEX('SCORING MASTER'!$D$41:$D$43,MATCH(AF224,'SCORING MASTER'!$C$41:$C$43,0)),INDEX('SCORING MASTER'!$D$45:$D$47,MATCH(AG224,'SCORING MASTER'!$C$45:$C$47,0)),INDEX('SCORING MASTER'!$D$49:$D$52,MATCH(AH224,'SCORING MASTER'!$C$49:$C$52,0)),INDEX('SCORING MASTER'!$D$54:$D$57,MATCH(AI224,'SCORING MASTER'!$C$54:$C$57,0)))*20,0))</f>
        <v/>
      </c>
      <c r="BI224" s="31" t="str">
        <f aca="false">IF(COUNTBLANK(AJ224:AP224)&gt;0,"",ROUND(AVERAGE(INDEX('SCORING MASTER'!$D$59:$D$60,MATCH(AJ224,'SCORING MASTER'!$C$59:$C$60,0)),INDEX('SCORING MASTER'!$D$62:$D$63,MATCH(AK224,'SCORING MASTER'!$C$62:$C$63,0)),INDEX('SCORING MASTER'!$D$65:$D$66,MATCH(AL224,'SCORING MASTER'!$C$65:$C$66,0)),INDEX('SCORING MASTER'!$D$68:$D$69,MATCH(AM224,'SCORING MASTER'!$C$68:$C$69,0)),INDEX('SCORING MASTER'!$D$71:$D$72,MATCH(AN224,'SCORING MASTER'!$C$71:$C$72,0)),INDEX('SCORING MASTER'!$D$74:$D$75,MATCH(AO224,'SCORING MASTER'!$C$74:$C$75,0)),INDEX('SCORING MASTER'!$D$77:$D$78,MATCH(AP224,'SCORING MASTER'!$C$77:$C$78,0)))*20,0))</f>
        <v/>
      </c>
      <c r="BJ224" s="31" t="str">
        <f aca="false">IF(COUNTBLANK(AU224:AZ224)&gt;0,"",ROUND(AVERAGE(INDEX('SCORING MASTER'!$D$95:$D$96,MATCH(AU224,'SCORING MASTER'!$C$95:$C$96,0)),INDEX('SCORING MASTER'!$D$98:$D$99,MATCH(AV224,'SCORING MASTER'!$C$98:$C$99,0)),INDEX('SCORING MASTER'!$D$101:$D$102,MATCH(AW224,'SCORING MASTER'!$C$101:$C$102,0)),INDEX('SCORING MASTER'!$D$104:$D$105,MATCH(AX224,'SCORING MASTER'!$C$104:$C$105,0)),INDEX('SCORING MASTER'!$D$107:$D$108,MATCH(AY224,'SCORING MASTER'!$C$107:$C$108,0)),INDEX('SCORING MASTER'!$D$110:$D$111,MATCH(AZ224,'SCORING MASTER'!$C$110:$C$111,0)))*20,0))</f>
        <v/>
      </c>
      <c r="BK224" s="31" t="str">
        <f aca="false">IF(COUNTBLANK(AQ224:AT224)&gt;0,"",ROUND(AVERAGE(INDEX('SCORING MASTER'!$D$80:$D$82,MATCH(AQ224,'SCORING MASTER'!$C$80:$C$82,0)),INDEX('SCORING MASTER'!$D$84:$D$86,MATCH(AR224,'SCORING MASTER'!$C$84:$C$86,0)),INDEX('SCORING MASTER'!$D$88:$D$90,MATCH(AS224,'SCORING MASTER'!$C$88:$C$90,0)),INDEX('SCORING MASTER'!$D$92:$D$93,MATCH(AT224,'SCORING MASTER'!$C$92:$C$93,0)))*20,0))</f>
        <v/>
      </c>
      <c r="BL224" s="31" t="str">
        <f aca="false">IF(COUNTBLANK(BA224:BE224)&gt;0,"",ROUND(AVERAGE(INDEX('SCORING MASTER'!$D$113:$D$115,MATCH(BA224,'SCORING MASTER'!$C$113:$C$115,0)),INDEX('SCORING MASTER'!$D$117:$D$119,MATCH(BB224,'SCORING MASTER'!$C$117:$C$119,0)),INDEX('SCORING MASTER'!$D$121:$D$123,MATCH(BC224,'SCORING MASTER'!$C$121:$C$123,0)),INDEX('SCORING MASTER'!$D$125:$D$126,MATCH(BD224,'SCORING MASTER'!$C$125:$C$126,0)),INDEX('SCORING MASTER'!$D$128:$D$129,MATCH(BE224,'SCORING MASTER'!$C$128:$C$129,0)))*20,0))</f>
        <v/>
      </c>
      <c r="BM224" s="31" t="str">
        <f aca="false">IF(OR(BF224="",BG224="",BH224="",BI224="",BJ224="",BK224="",BL224=""),"",ROUND(BF224*0.25+BG224*0.2+BH224*0.15+BI224*0.15+BJ224*0.1+BK224*0.1+BL224*0.05,0))</f>
        <v/>
      </c>
      <c r="BN224" s="31" t="str">
        <f aca="false">IF(OR(BF224="",BG224=""),"",ROUND(BF224*0.5+BG224*0.5,0))</f>
        <v/>
      </c>
      <c r="BO224" s="31" t="str">
        <f aca="false">IF(BN224="","",ROUND(MIN(100,MAX(0,(100-BN224)+IF(AL224="Yes",15,0)+IF(AM224="Yes",15,0)+IF(AND(U224&lt;&gt;"",U224&lt;18.5),20,0))),0))</f>
        <v/>
      </c>
      <c r="BP224" s="28" t="str">
        <f aca="false">IF(BM224="","",IF(BM224&gt;=90,"Green - Healthy",IF(BM224&gt;=75,"Light Green - Mild Watch",IF(BM224&gt;=60,"Yellow - Mild Risk",IF(BM224&gt;=40,"Orange - Moderate Risk","Red - High Risk")))))</f>
        <v/>
      </c>
      <c r="BQ224" s="28" t="str">
        <f aca="false">IF(BM224="","",IF(OR(BM224&lt;60,BO224&gt;=60,AJ224="Yes"),"Yes","No"))</f>
        <v/>
      </c>
      <c r="BR224" s="28" t="str">
        <f aca="false">IF(BM224="","",IF(OR(BP224="Orange - Moderate Risk",BP224="Red - High Risk",BQ224="Yes"),"Yes","No"))</f>
        <v/>
      </c>
    </row>
    <row r="225" customFormat="false" ht="15" hidden="false" customHeight="false" outlineLevel="0" collapsed="false">
      <c r="A225" s="32" t="str">
        <f aca="false">IF(I225="","","STU"&amp;TEXT(ROW()-3,"000000"))</f>
        <v/>
      </c>
      <c r="B225" s="32"/>
      <c r="C225" s="32"/>
      <c r="D225" s="32"/>
      <c r="E225" s="32"/>
      <c r="F225" s="32"/>
      <c r="G225" s="32"/>
      <c r="H225" s="32"/>
      <c r="I225" s="32"/>
      <c r="J225" s="34"/>
      <c r="K225" s="32"/>
      <c r="L225" s="32"/>
      <c r="M225" s="32"/>
      <c r="N225" s="32"/>
      <c r="O225" s="32"/>
      <c r="P225" s="32"/>
      <c r="Q225" s="34"/>
      <c r="R225" s="34"/>
      <c r="S225" s="35" t="str">
        <f aca="false">IF(OR(Q225="",R225=""),"",ROUND(R225/((Q225/100)^2),1))</f>
        <v/>
      </c>
      <c r="T225" s="32" t="str">
        <f aca="false">IF(S225="","",IF(S225&lt;18.5,"Underweight",IF(S225&lt;25,"Normal",IF(S225&lt;30,"Overweight","Obese"))))</f>
        <v/>
      </c>
      <c r="U225" s="34"/>
      <c r="V225" s="34"/>
      <c r="W225" s="32"/>
      <c r="X225" s="32"/>
      <c r="Y225" s="32"/>
      <c r="Z225" s="32"/>
      <c r="AA225" s="32"/>
      <c r="AB225" s="32"/>
      <c r="AC225" s="32"/>
      <c r="AD225" s="32"/>
      <c r="AE225" s="32"/>
      <c r="AF225" s="32"/>
      <c r="AG225" s="32"/>
      <c r="AH225" s="32"/>
      <c r="AI225" s="32"/>
      <c r="AJ225" s="32"/>
      <c r="AK225" s="32"/>
      <c r="AL225" s="32"/>
      <c r="AM225" s="32"/>
      <c r="AN225" s="32"/>
      <c r="AO225" s="32"/>
      <c r="AP225" s="32"/>
      <c r="AQ225" s="32"/>
      <c r="AR225" s="32"/>
      <c r="AS225" s="32"/>
      <c r="AT225" s="32"/>
      <c r="AU225" s="32"/>
      <c r="AV225" s="32"/>
      <c r="AW225" s="32"/>
      <c r="AX225" s="32"/>
      <c r="AY225" s="32"/>
      <c r="AZ225" s="32"/>
      <c r="BA225" s="32"/>
      <c r="BB225" s="32"/>
      <c r="BC225" s="32"/>
      <c r="BD225" s="32"/>
      <c r="BE225" s="32"/>
      <c r="BF225" s="35" t="str">
        <f aca="false">IF(T225="","",IF(T225="Normal",100,IF(T225="Overweight",65,IF(T225="Obese",50,IF(AND(U225&lt;&gt;"",U225&lt;18.5),30,45)))))</f>
        <v/>
      </c>
      <c r="BG225" s="35" t="str">
        <f aca="false">IF(COUNTBLANK(W225:AC225)&gt;0,"",ROUND(AVERAGE(INDEX('SCORING MASTER'!$D$5:$D$7,MATCH(W225,'SCORING MASTER'!$C$5:$C$7,0)),INDEX('SCORING MASTER'!$D$9:$D$11,MATCH(X225,'SCORING MASTER'!$C$9:$C$11,0)),INDEX('SCORING MASTER'!$D$13:$D$15,MATCH(Y225,'SCORING MASTER'!$C$13:$C$15,0)),INDEX('SCORING MASTER'!$D$17:$D$19,MATCH(Z225,'SCORING MASTER'!$C$17:$C$19,0)),INDEX('SCORING MASTER'!$D$21:$D$23,MATCH(AA225,'SCORING MASTER'!$C$21:$C$23,0)),INDEX('SCORING MASTER'!$D$25:$D$27,MATCH(AB225,'SCORING MASTER'!$C$25:$C$27,0)),INDEX('SCORING MASTER'!$D$29:$D$31,MATCH(AC225,'SCORING MASTER'!$C$29:$C$31,0)))*20,0))</f>
        <v/>
      </c>
      <c r="BH225" s="35" t="str">
        <f aca="false">IF(COUNTBLANK(AD225:AI225)&gt;0,"",ROUND(AVERAGE(INDEX('SCORING MASTER'!$D$33:$D$35,MATCH(AD225,'SCORING MASTER'!$C$33:$C$35,0)),INDEX('SCORING MASTER'!$D$37:$D$39,MATCH(AE225,'SCORING MASTER'!$C$37:$C$39,0)),INDEX('SCORING MASTER'!$D$41:$D$43,MATCH(AF225,'SCORING MASTER'!$C$41:$C$43,0)),INDEX('SCORING MASTER'!$D$45:$D$47,MATCH(AG225,'SCORING MASTER'!$C$45:$C$47,0)),INDEX('SCORING MASTER'!$D$49:$D$52,MATCH(AH225,'SCORING MASTER'!$C$49:$C$52,0)),INDEX('SCORING MASTER'!$D$54:$D$57,MATCH(AI225,'SCORING MASTER'!$C$54:$C$57,0)))*20,0))</f>
        <v/>
      </c>
      <c r="BI225" s="35" t="str">
        <f aca="false">IF(COUNTBLANK(AJ225:AP225)&gt;0,"",ROUND(AVERAGE(INDEX('SCORING MASTER'!$D$59:$D$60,MATCH(AJ225,'SCORING MASTER'!$C$59:$C$60,0)),INDEX('SCORING MASTER'!$D$62:$D$63,MATCH(AK225,'SCORING MASTER'!$C$62:$C$63,0)),INDEX('SCORING MASTER'!$D$65:$D$66,MATCH(AL225,'SCORING MASTER'!$C$65:$C$66,0)),INDEX('SCORING MASTER'!$D$68:$D$69,MATCH(AM225,'SCORING MASTER'!$C$68:$C$69,0)),INDEX('SCORING MASTER'!$D$71:$D$72,MATCH(AN225,'SCORING MASTER'!$C$71:$C$72,0)),INDEX('SCORING MASTER'!$D$74:$D$75,MATCH(AO225,'SCORING MASTER'!$C$74:$C$75,0)),INDEX('SCORING MASTER'!$D$77:$D$78,MATCH(AP225,'SCORING MASTER'!$C$77:$C$78,0)))*20,0))</f>
        <v/>
      </c>
      <c r="BJ225" s="35" t="str">
        <f aca="false">IF(COUNTBLANK(AU225:AZ225)&gt;0,"",ROUND(AVERAGE(INDEX('SCORING MASTER'!$D$95:$D$96,MATCH(AU225,'SCORING MASTER'!$C$95:$C$96,0)),INDEX('SCORING MASTER'!$D$98:$D$99,MATCH(AV225,'SCORING MASTER'!$C$98:$C$99,0)),INDEX('SCORING MASTER'!$D$101:$D$102,MATCH(AW225,'SCORING MASTER'!$C$101:$C$102,0)),INDEX('SCORING MASTER'!$D$104:$D$105,MATCH(AX225,'SCORING MASTER'!$C$104:$C$105,0)),INDEX('SCORING MASTER'!$D$107:$D$108,MATCH(AY225,'SCORING MASTER'!$C$107:$C$108,0)),INDEX('SCORING MASTER'!$D$110:$D$111,MATCH(AZ225,'SCORING MASTER'!$C$110:$C$111,0)))*20,0))</f>
        <v/>
      </c>
      <c r="BK225" s="35" t="str">
        <f aca="false">IF(COUNTBLANK(AQ225:AT225)&gt;0,"",ROUND(AVERAGE(INDEX('SCORING MASTER'!$D$80:$D$82,MATCH(AQ225,'SCORING MASTER'!$C$80:$C$82,0)),INDEX('SCORING MASTER'!$D$84:$D$86,MATCH(AR225,'SCORING MASTER'!$C$84:$C$86,0)),INDEX('SCORING MASTER'!$D$88:$D$90,MATCH(AS225,'SCORING MASTER'!$C$88:$C$90,0)),INDEX('SCORING MASTER'!$D$92:$D$93,MATCH(AT225,'SCORING MASTER'!$C$92:$C$93,0)))*20,0))</f>
        <v/>
      </c>
      <c r="BL225" s="35" t="str">
        <f aca="false">IF(COUNTBLANK(BA225:BE225)&gt;0,"",ROUND(AVERAGE(INDEX('SCORING MASTER'!$D$113:$D$115,MATCH(BA225,'SCORING MASTER'!$C$113:$C$115,0)),INDEX('SCORING MASTER'!$D$117:$D$119,MATCH(BB225,'SCORING MASTER'!$C$117:$C$119,0)),INDEX('SCORING MASTER'!$D$121:$D$123,MATCH(BC225,'SCORING MASTER'!$C$121:$C$123,0)),INDEX('SCORING MASTER'!$D$125:$D$126,MATCH(BD225,'SCORING MASTER'!$C$125:$C$126,0)),INDEX('SCORING MASTER'!$D$128:$D$129,MATCH(BE225,'SCORING MASTER'!$C$128:$C$129,0)))*20,0))</f>
        <v/>
      </c>
      <c r="BM225" s="35" t="str">
        <f aca="false">IF(OR(BF225="",BG225="",BH225="",BI225="",BJ225="",BK225="",BL225=""),"",ROUND(BF225*0.25+BG225*0.2+BH225*0.15+BI225*0.15+BJ225*0.1+BK225*0.1+BL225*0.05,0))</f>
        <v/>
      </c>
      <c r="BN225" s="35" t="str">
        <f aca="false">IF(OR(BF225="",BG225=""),"",ROUND(BF225*0.5+BG225*0.5,0))</f>
        <v/>
      </c>
      <c r="BO225" s="35" t="str">
        <f aca="false">IF(BN225="","",ROUND(MIN(100,MAX(0,(100-BN225)+IF(AL225="Yes",15,0)+IF(AM225="Yes",15,0)+IF(AND(U225&lt;&gt;"",U225&lt;18.5),20,0))),0))</f>
        <v/>
      </c>
      <c r="BP225" s="32" t="str">
        <f aca="false">IF(BM225="","",IF(BM225&gt;=90,"Green - Healthy",IF(BM225&gt;=75,"Light Green - Mild Watch",IF(BM225&gt;=60,"Yellow - Mild Risk",IF(BM225&gt;=40,"Orange - Moderate Risk","Red - High Risk")))))</f>
        <v/>
      </c>
      <c r="BQ225" s="32" t="str">
        <f aca="false">IF(BM225="","",IF(OR(BM225&lt;60,BO225&gt;=60,AJ225="Yes"),"Yes","No"))</f>
        <v/>
      </c>
      <c r="BR225" s="32" t="str">
        <f aca="false">IF(BM225="","",IF(OR(BP225="Orange - Moderate Risk",BP225="Red - High Risk",BQ225="Yes"),"Yes","No"))</f>
        <v/>
      </c>
    </row>
    <row r="226" customFormat="false" ht="15" hidden="false" customHeight="false" outlineLevel="0" collapsed="false">
      <c r="A226" s="28" t="str">
        <f aca="false">IF(I226="","","STU"&amp;TEXT(ROW()-3,"000000"))</f>
        <v/>
      </c>
      <c r="B226" s="28"/>
      <c r="C226" s="28"/>
      <c r="D226" s="28"/>
      <c r="E226" s="28"/>
      <c r="F226" s="28"/>
      <c r="G226" s="28"/>
      <c r="H226" s="28"/>
      <c r="I226" s="28"/>
      <c r="J226" s="30"/>
      <c r="K226" s="28"/>
      <c r="L226" s="28"/>
      <c r="M226" s="28"/>
      <c r="N226" s="28"/>
      <c r="O226" s="28"/>
      <c r="P226" s="28"/>
      <c r="Q226" s="30"/>
      <c r="R226" s="30"/>
      <c r="S226" s="31" t="str">
        <f aca="false">IF(OR(Q226="",R226=""),"",ROUND(R226/((Q226/100)^2),1))</f>
        <v/>
      </c>
      <c r="T226" s="28" t="str">
        <f aca="false">IF(S226="","",IF(S226&lt;18.5,"Underweight",IF(S226&lt;25,"Normal",IF(S226&lt;30,"Overweight","Obese"))))</f>
        <v/>
      </c>
      <c r="U226" s="30"/>
      <c r="V226" s="30"/>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c r="BE226" s="28"/>
      <c r="BF226" s="31" t="str">
        <f aca="false">IF(T226="","",IF(T226="Normal",100,IF(T226="Overweight",65,IF(T226="Obese",50,IF(AND(U226&lt;&gt;"",U226&lt;18.5),30,45)))))</f>
        <v/>
      </c>
      <c r="BG226" s="31" t="str">
        <f aca="false">IF(COUNTBLANK(W226:AC226)&gt;0,"",ROUND(AVERAGE(INDEX('SCORING MASTER'!$D$5:$D$7,MATCH(W226,'SCORING MASTER'!$C$5:$C$7,0)),INDEX('SCORING MASTER'!$D$9:$D$11,MATCH(X226,'SCORING MASTER'!$C$9:$C$11,0)),INDEX('SCORING MASTER'!$D$13:$D$15,MATCH(Y226,'SCORING MASTER'!$C$13:$C$15,0)),INDEX('SCORING MASTER'!$D$17:$D$19,MATCH(Z226,'SCORING MASTER'!$C$17:$C$19,0)),INDEX('SCORING MASTER'!$D$21:$D$23,MATCH(AA226,'SCORING MASTER'!$C$21:$C$23,0)),INDEX('SCORING MASTER'!$D$25:$D$27,MATCH(AB226,'SCORING MASTER'!$C$25:$C$27,0)),INDEX('SCORING MASTER'!$D$29:$D$31,MATCH(AC226,'SCORING MASTER'!$C$29:$C$31,0)))*20,0))</f>
        <v/>
      </c>
      <c r="BH226" s="31" t="str">
        <f aca="false">IF(COUNTBLANK(AD226:AI226)&gt;0,"",ROUND(AVERAGE(INDEX('SCORING MASTER'!$D$33:$D$35,MATCH(AD226,'SCORING MASTER'!$C$33:$C$35,0)),INDEX('SCORING MASTER'!$D$37:$D$39,MATCH(AE226,'SCORING MASTER'!$C$37:$C$39,0)),INDEX('SCORING MASTER'!$D$41:$D$43,MATCH(AF226,'SCORING MASTER'!$C$41:$C$43,0)),INDEX('SCORING MASTER'!$D$45:$D$47,MATCH(AG226,'SCORING MASTER'!$C$45:$C$47,0)),INDEX('SCORING MASTER'!$D$49:$D$52,MATCH(AH226,'SCORING MASTER'!$C$49:$C$52,0)),INDEX('SCORING MASTER'!$D$54:$D$57,MATCH(AI226,'SCORING MASTER'!$C$54:$C$57,0)))*20,0))</f>
        <v/>
      </c>
      <c r="BI226" s="31" t="str">
        <f aca="false">IF(COUNTBLANK(AJ226:AP226)&gt;0,"",ROUND(AVERAGE(INDEX('SCORING MASTER'!$D$59:$D$60,MATCH(AJ226,'SCORING MASTER'!$C$59:$C$60,0)),INDEX('SCORING MASTER'!$D$62:$D$63,MATCH(AK226,'SCORING MASTER'!$C$62:$C$63,0)),INDEX('SCORING MASTER'!$D$65:$D$66,MATCH(AL226,'SCORING MASTER'!$C$65:$C$66,0)),INDEX('SCORING MASTER'!$D$68:$D$69,MATCH(AM226,'SCORING MASTER'!$C$68:$C$69,0)),INDEX('SCORING MASTER'!$D$71:$D$72,MATCH(AN226,'SCORING MASTER'!$C$71:$C$72,0)),INDEX('SCORING MASTER'!$D$74:$D$75,MATCH(AO226,'SCORING MASTER'!$C$74:$C$75,0)),INDEX('SCORING MASTER'!$D$77:$D$78,MATCH(AP226,'SCORING MASTER'!$C$77:$C$78,0)))*20,0))</f>
        <v/>
      </c>
      <c r="BJ226" s="31" t="str">
        <f aca="false">IF(COUNTBLANK(AU226:AZ226)&gt;0,"",ROUND(AVERAGE(INDEX('SCORING MASTER'!$D$95:$D$96,MATCH(AU226,'SCORING MASTER'!$C$95:$C$96,0)),INDEX('SCORING MASTER'!$D$98:$D$99,MATCH(AV226,'SCORING MASTER'!$C$98:$C$99,0)),INDEX('SCORING MASTER'!$D$101:$D$102,MATCH(AW226,'SCORING MASTER'!$C$101:$C$102,0)),INDEX('SCORING MASTER'!$D$104:$D$105,MATCH(AX226,'SCORING MASTER'!$C$104:$C$105,0)),INDEX('SCORING MASTER'!$D$107:$D$108,MATCH(AY226,'SCORING MASTER'!$C$107:$C$108,0)),INDEX('SCORING MASTER'!$D$110:$D$111,MATCH(AZ226,'SCORING MASTER'!$C$110:$C$111,0)))*20,0))</f>
        <v/>
      </c>
      <c r="BK226" s="31" t="str">
        <f aca="false">IF(COUNTBLANK(AQ226:AT226)&gt;0,"",ROUND(AVERAGE(INDEX('SCORING MASTER'!$D$80:$D$82,MATCH(AQ226,'SCORING MASTER'!$C$80:$C$82,0)),INDEX('SCORING MASTER'!$D$84:$D$86,MATCH(AR226,'SCORING MASTER'!$C$84:$C$86,0)),INDEX('SCORING MASTER'!$D$88:$D$90,MATCH(AS226,'SCORING MASTER'!$C$88:$C$90,0)),INDEX('SCORING MASTER'!$D$92:$D$93,MATCH(AT226,'SCORING MASTER'!$C$92:$C$93,0)))*20,0))</f>
        <v/>
      </c>
      <c r="BL226" s="31" t="str">
        <f aca="false">IF(COUNTBLANK(BA226:BE226)&gt;0,"",ROUND(AVERAGE(INDEX('SCORING MASTER'!$D$113:$D$115,MATCH(BA226,'SCORING MASTER'!$C$113:$C$115,0)),INDEX('SCORING MASTER'!$D$117:$D$119,MATCH(BB226,'SCORING MASTER'!$C$117:$C$119,0)),INDEX('SCORING MASTER'!$D$121:$D$123,MATCH(BC226,'SCORING MASTER'!$C$121:$C$123,0)),INDEX('SCORING MASTER'!$D$125:$D$126,MATCH(BD226,'SCORING MASTER'!$C$125:$C$126,0)),INDEX('SCORING MASTER'!$D$128:$D$129,MATCH(BE226,'SCORING MASTER'!$C$128:$C$129,0)))*20,0))</f>
        <v/>
      </c>
      <c r="BM226" s="31" t="str">
        <f aca="false">IF(OR(BF226="",BG226="",BH226="",BI226="",BJ226="",BK226="",BL226=""),"",ROUND(BF226*0.25+BG226*0.2+BH226*0.15+BI226*0.15+BJ226*0.1+BK226*0.1+BL226*0.05,0))</f>
        <v/>
      </c>
      <c r="BN226" s="31" t="str">
        <f aca="false">IF(OR(BF226="",BG226=""),"",ROUND(BF226*0.5+BG226*0.5,0))</f>
        <v/>
      </c>
      <c r="BO226" s="31" t="str">
        <f aca="false">IF(BN226="","",ROUND(MIN(100,MAX(0,(100-BN226)+IF(AL226="Yes",15,0)+IF(AM226="Yes",15,0)+IF(AND(U226&lt;&gt;"",U226&lt;18.5),20,0))),0))</f>
        <v/>
      </c>
      <c r="BP226" s="28" t="str">
        <f aca="false">IF(BM226="","",IF(BM226&gt;=90,"Green - Healthy",IF(BM226&gt;=75,"Light Green - Mild Watch",IF(BM226&gt;=60,"Yellow - Mild Risk",IF(BM226&gt;=40,"Orange - Moderate Risk","Red - High Risk")))))</f>
        <v/>
      </c>
      <c r="BQ226" s="28" t="str">
        <f aca="false">IF(BM226="","",IF(OR(BM226&lt;60,BO226&gt;=60,AJ226="Yes"),"Yes","No"))</f>
        <v/>
      </c>
      <c r="BR226" s="28" t="str">
        <f aca="false">IF(BM226="","",IF(OR(BP226="Orange - Moderate Risk",BP226="Red - High Risk",BQ226="Yes"),"Yes","No"))</f>
        <v/>
      </c>
    </row>
    <row r="227" customFormat="false" ht="15" hidden="false" customHeight="false" outlineLevel="0" collapsed="false">
      <c r="A227" s="32" t="str">
        <f aca="false">IF(I227="","","STU"&amp;TEXT(ROW()-3,"000000"))</f>
        <v/>
      </c>
      <c r="B227" s="32"/>
      <c r="C227" s="32"/>
      <c r="D227" s="32"/>
      <c r="E227" s="32"/>
      <c r="F227" s="32"/>
      <c r="G227" s="32"/>
      <c r="H227" s="32"/>
      <c r="I227" s="32"/>
      <c r="J227" s="34"/>
      <c r="K227" s="32"/>
      <c r="L227" s="32"/>
      <c r="M227" s="32"/>
      <c r="N227" s="32"/>
      <c r="O227" s="32"/>
      <c r="P227" s="32"/>
      <c r="Q227" s="34"/>
      <c r="R227" s="34"/>
      <c r="S227" s="35" t="str">
        <f aca="false">IF(OR(Q227="",R227=""),"",ROUND(R227/((Q227/100)^2),1))</f>
        <v/>
      </c>
      <c r="T227" s="32" t="str">
        <f aca="false">IF(S227="","",IF(S227&lt;18.5,"Underweight",IF(S227&lt;25,"Normal",IF(S227&lt;30,"Overweight","Obese"))))</f>
        <v/>
      </c>
      <c r="U227" s="34"/>
      <c r="V227" s="34"/>
      <c r="W227" s="32"/>
      <c r="X227" s="32"/>
      <c r="Y227" s="32"/>
      <c r="Z227" s="32"/>
      <c r="AA227" s="32"/>
      <c r="AB227" s="32"/>
      <c r="AC227" s="32"/>
      <c r="AD227" s="32"/>
      <c r="AE227" s="32"/>
      <c r="AF227" s="32"/>
      <c r="AG227" s="32"/>
      <c r="AH227" s="32"/>
      <c r="AI227" s="32"/>
      <c r="AJ227" s="32"/>
      <c r="AK227" s="32"/>
      <c r="AL227" s="32"/>
      <c r="AM227" s="32"/>
      <c r="AN227" s="32"/>
      <c r="AO227" s="32"/>
      <c r="AP227" s="32"/>
      <c r="AQ227" s="32"/>
      <c r="AR227" s="32"/>
      <c r="AS227" s="32"/>
      <c r="AT227" s="32"/>
      <c r="AU227" s="32"/>
      <c r="AV227" s="32"/>
      <c r="AW227" s="32"/>
      <c r="AX227" s="32"/>
      <c r="AY227" s="32"/>
      <c r="AZ227" s="32"/>
      <c r="BA227" s="32"/>
      <c r="BB227" s="32"/>
      <c r="BC227" s="32"/>
      <c r="BD227" s="32"/>
      <c r="BE227" s="32"/>
      <c r="BF227" s="35" t="str">
        <f aca="false">IF(T227="","",IF(T227="Normal",100,IF(T227="Overweight",65,IF(T227="Obese",50,IF(AND(U227&lt;&gt;"",U227&lt;18.5),30,45)))))</f>
        <v/>
      </c>
      <c r="BG227" s="35" t="str">
        <f aca="false">IF(COUNTBLANK(W227:AC227)&gt;0,"",ROUND(AVERAGE(INDEX('SCORING MASTER'!$D$5:$D$7,MATCH(W227,'SCORING MASTER'!$C$5:$C$7,0)),INDEX('SCORING MASTER'!$D$9:$D$11,MATCH(X227,'SCORING MASTER'!$C$9:$C$11,0)),INDEX('SCORING MASTER'!$D$13:$D$15,MATCH(Y227,'SCORING MASTER'!$C$13:$C$15,0)),INDEX('SCORING MASTER'!$D$17:$D$19,MATCH(Z227,'SCORING MASTER'!$C$17:$C$19,0)),INDEX('SCORING MASTER'!$D$21:$D$23,MATCH(AA227,'SCORING MASTER'!$C$21:$C$23,0)),INDEX('SCORING MASTER'!$D$25:$D$27,MATCH(AB227,'SCORING MASTER'!$C$25:$C$27,0)),INDEX('SCORING MASTER'!$D$29:$D$31,MATCH(AC227,'SCORING MASTER'!$C$29:$C$31,0)))*20,0))</f>
        <v/>
      </c>
      <c r="BH227" s="35" t="str">
        <f aca="false">IF(COUNTBLANK(AD227:AI227)&gt;0,"",ROUND(AVERAGE(INDEX('SCORING MASTER'!$D$33:$D$35,MATCH(AD227,'SCORING MASTER'!$C$33:$C$35,0)),INDEX('SCORING MASTER'!$D$37:$D$39,MATCH(AE227,'SCORING MASTER'!$C$37:$C$39,0)),INDEX('SCORING MASTER'!$D$41:$D$43,MATCH(AF227,'SCORING MASTER'!$C$41:$C$43,0)),INDEX('SCORING MASTER'!$D$45:$D$47,MATCH(AG227,'SCORING MASTER'!$C$45:$C$47,0)),INDEX('SCORING MASTER'!$D$49:$D$52,MATCH(AH227,'SCORING MASTER'!$C$49:$C$52,0)),INDEX('SCORING MASTER'!$D$54:$D$57,MATCH(AI227,'SCORING MASTER'!$C$54:$C$57,0)))*20,0))</f>
        <v/>
      </c>
      <c r="BI227" s="35" t="str">
        <f aca="false">IF(COUNTBLANK(AJ227:AP227)&gt;0,"",ROUND(AVERAGE(INDEX('SCORING MASTER'!$D$59:$D$60,MATCH(AJ227,'SCORING MASTER'!$C$59:$C$60,0)),INDEX('SCORING MASTER'!$D$62:$D$63,MATCH(AK227,'SCORING MASTER'!$C$62:$C$63,0)),INDEX('SCORING MASTER'!$D$65:$D$66,MATCH(AL227,'SCORING MASTER'!$C$65:$C$66,0)),INDEX('SCORING MASTER'!$D$68:$D$69,MATCH(AM227,'SCORING MASTER'!$C$68:$C$69,0)),INDEX('SCORING MASTER'!$D$71:$D$72,MATCH(AN227,'SCORING MASTER'!$C$71:$C$72,0)),INDEX('SCORING MASTER'!$D$74:$D$75,MATCH(AO227,'SCORING MASTER'!$C$74:$C$75,0)),INDEX('SCORING MASTER'!$D$77:$D$78,MATCH(AP227,'SCORING MASTER'!$C$77:$C$78,0)))*20,0))</f>
        <v/>
      </c>
      <c r="BJ227" s="35" t="str">
        <f aca="false">IF(COUNTBLANK(AU227:AZ227)&gt;0,"",ROUND(AVERAGE(INDEX('SCORING MASTER'!$D$95:$D$96,MATCH(AU227,'SCORING MASTER'!$C$95:$C$96,0)),INDEX('SCORING MASTER'!$D$98:$D$99,MATCH(AV227,'SCORING MASTER'!$C$98:$C$99,0)),INDEX('SCORING MASTER'!$D$101:$D$102,MATCH(AW227,'SCORING MASTER'!$C$101:$C$102,0)),INDEX('SCORING MASTER'!$D$104:$D$105,MATCH(AX227,'SCORING MASTER'!$C$104:$C$105,0)),INDEX('SCORING MASTER'!$D$107:$D$108,MATCH(AY227,'SCORING MASTER'!$C$107:$C$108,0)),INDEX('SCORING MASTER'!$D$110:$D$111,MATCH(AZ227,'SCORING MASTER'!$C$110:$C$111,0)))*20,0))</f>
        <v/>
      </c>
      <c r="BK227" s="35" t="str">
        <f aca="false">IF(COUNTBLANK(AQ227:AT227)&gt;0,"",ROUND(AVERAGE(INDEX('SCORING MASTER'!$D$80:$D$82,MATCH(AQ227,'SCORING MASTER'!$C$80:$C$82,0)),INDEX('SCORING MASTER'!$D$84:$D$86,MATCH(AR227,'SCORING MASTER'!$C$84:$C$86,0)),INDEX('SCORING MASTER'!$D$88:$D$90,MATCH(AS227,'SCORING MASTER'!$C$88:$C$90,0)),INDEX('SCORING MASTER'!$D$92:$D$93,MATCH(AT227,'SCORING MASTER'!$C$92:$C$93,0)))*20,0))</f>
        <v/>
      </c>
      <c r="BL227" s="35" t="str">
        <f aca="false">IF(COUNTBLANK(BA227:BE227)&gt;0,"",ROUND(AVERAGE(INDEX('SCORING MASTER'!$D$113:$D$115,MATCH(BA227,'SCORING MASTER'!$C$113:$C$115,0)),INDEX('SCORING MASTER'!$D$117:$D$119,MATCH(BB227,'SCORING MASTER'!$C$117:$C$119,0)),INDEX('SCORING MASTER'!$D$121:$D$123,MATCH(BC227,'SCORING MASTER'!$C$121:$C$123,0)),INDEX('SCORING MASTER'!$D$125:$D$126,MATCH(BD227,'SCORING MASTER'!$C$125:$C$126,0)),INDEX('SCORING MASTER'!$D$128:$D$129,MATCH(BE227,'SCORING MASTER'!$C$128:$C$129,0)))*20,0))</f>
        <v/>
      </c>
      <c r="BM227" s="35" t="str">
        <f aca="false">IF(OR(BF227="",BG227="",BH227="",BI227="",BJ227="",BK227="",BL227=""),"",ROUND(BF227*0.25+BG227*0.2+BH227*0.15+BI227*0.15+BJ227*0.1+BK227*0.1+BL227*0.05,0))</f>
        <v/>
      </c>
      <c r="BN227" s="35" t="str">
        <f aca="false">IF(OR(BF227="",BG227=""),"",ROUND(BF227*0.5+BG227*0.5,0))</f>
        <v/>
      </c>
      <c r="BO227" s="35" t="str">
        <f aca="false">IF(BN227="","",ROUND(MIN(100,MAX(0,(100-BN227)+IF(AL227="Yes",15,0)+IF(AM227="Yes",15,0)+IF(AND(U227&lt;&gt;"",U227&lt;18.5),20,0))),0))</f>
        <v/>
      </c>
      <c r="BP227" s="32" t="str">
        <f aca="false">IF(BM227="","",IF(BM227&gt;=90,"Green - Healthy",IF(BM227&gt;=75,"Light Green - Mild Watch",IF(BM227&gt;=60,"Yellow - Mild Risk",IF(BM227&gt;=40,"Orange - Moderate Risk","Red - High Risk")))))</f>
        <v/>
      </c>
      <c r="BQ227" s="32" t="str">
        <f aca="false">IF(BM227="","",IF(OR(BM227&lt;60,BO227&gt;=60,AJ227="Yes"),"Yes","No"))</f>
        <v/>
      </c>
      <c r="BR227" s="32" t="str">
        <f aca="false">IF(BM227="","",IF(OR(BP227="Orange - Moderate Risk",BP227="Red - High Risk",BQ227="Yes"),"Yes","No"))</f>
        <v/>
      </c>
    </row>
    <row r="228" customFormat="false" ht="15" hidden="false" customHeight="false" outlineLevel="0" collapsed="false">
      <c r="A228" s="28" t="str">
        <f aca="false">IF(I228="","","STU"&amp;TEXT(ROW()-3,"000000"))</f>
        <v/>
      </c>
      <c r="B228" s="28"/>
      <c r="C228" s="28"/>
      <c r="D228" s="28"/>
      <c r="E228" s="28"/>
      <c r="F228" s="28"/>
      <c r="G228" s="28"/>
      <c r="H228" s="28"/>
      <c r="I228" s="28"/>
      <c r="J228" s="30"/>
      <c r="K228" s="28"/>
      <c r="L228" s="28"/>
      <c r="M228" s="28"/>
      <c r="N228" s="28"/>
      <c r="O228" s="28"/>
      <c r="P228" s="28"/>
      <c r="Q228" s="30"/>
      <c r="R228" s="30"/>
      <c r="S228" s="31" t="str">
        <f aca="false">IF(OR(Q228="",R228=""),"",ROUND(R228/((Q228/100)^2),1))</f>
        <v/>
      </c>
      <c r="T228" s="28" t="str">
        <f aca="false">IF(S228="","",IF(S228&lt;18.5,"Underweight",IF(S228&lt;25,"Normal",IF(S228&lt;30,"Overweight","Obese"))))</f>
        <v/>
      </c>
      <c r="U228" s="30"/>
      <c r="V228" s="30"/>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c r="BE228" s="28"/>
      <c r="BF228" s="31" t="str">
        <f aca="false">IF(T228="","",IF(T228="Normal",100,IF(T228="Overweight",65,IF(T228="Obese",50,IF(AND(U228&lt;&gt;"",U228&lt;18.5),30,45)))))</f>
        <v/>
      </c>
      <c r="BG228" s="31" t="str">
        <f aca="false">IF(COUNTBLANK(W228:AC228)&gt;0,"",ROUND(AVERAGE(INDEX('SCORING MASTER'!$D$5:$D$7,MATCH(W228,'SCORING MASTER'!$C$5:$C$7,0)),INDEX('SCORING MASTER'!$D$9:$D$11,MATCH(X228,'SCORING MASTER'!$C$9:$C$11,0)),INDEX('SCORING MASTER'!$D$13:$D$15,MATCH(Y228,'SCORING MASTER'!$C$13:$C$15,0)),INDEX('SCORING MASTER'!$D$17:$D$19,MATCH(Z228,'SCORING MASTER'!$C$17:$C$19,0)),INDEX('SCORING MASTER'!$D$21:$D$23,MATCH(AA228,'SCORING MASTER'!$C$21:$C$23,0)),INDEX('SCORING MASTER'!$D$25:$D$27,MATCH(AB228,'SCORING MASTER'!$C$25:$C$27,0)),INDEX('SCORING MASTER'!$D$29:$D$31,MATCH(AC228,'SCORING MASTER'!$C$29:$C$31,0)))*20,0))</f>
        <v/>
      </c>
      <c r="BH228" s="31" t="str">
        <f aca="false">IF(COUNTBLANK(AD228:AI228)&gt;0,"",ROUND(AVERAGE(INDEX('SCORING MASTER'!$D$33:$D$35,MATCH(AD228,'SCORING MASTER'!$C$33:$C$35,0)),INDEX('SCORING MASTER'!$D$37:$D$39,MATCH(AE228,'SCORING MASTER'!$C$37:$C$39,0)),INDEX('SCORING MASTER'!$D$41:$D$43,MATCH(AF228,'SCORING MASTER'!$C$41:$C$43,0)),INDEX('SCORING MASTER'!$D$45:$D$47,MATCH(AG228,'SCORING MASTER'!$C$45:$C$47,0)),INDEX('SCORING MASTER'!$D$49:$D$52,MATCH(AH228,'SCORING MASTER'!$C$49:$C$52,0)),INDEX('SCORING MASTER'!$D$54:$D$57,MATCH(AI228,'SCORING MASTER'!$C$54:$C$57,0)))*20,0))</f>
        <v/>
      </c>
      <c r="BI228" s="31" t="str">
        <f aca="false">IF(COUNTBLANK(AJ228:AP228)&gt;0,"",ROUND(AVERAGE(INDEX('SCORING MASTER'!$D$59:$D$60,MATCH(AJ228,'SCORING MASTER'!$C$59:$C$60,0)),INDEX('SCORING MASTER'!$D$62:$D$63,MATCH(AK228,'SCORING MASTER'!$C$62:$C$63,0)),INDEX('SCORING MASTER'!$D$65:$D$66,MATCH(AL228,'SCORING MASTER'!$C$65:$C$66,0)),INDEX('SCORING MASTER'!$D$68:$D$69,MATCH(AM228,'SCORING MASTER'!$C$68:$C$69,0)),INDEX('SCORING MASTER'!$D$71:$D$72,MATCH(AN228,'SCORING MASTER'!$C$71:$C$72,0)),INDEX('SCORING MASTER'!$D$74:$D$75,MATCH(AO228,'SCORING MASTER'!$C$74:$C$75,0)),INDEX('SCORING MASTER'!$D$77:$D$78,MATCH(AP228,'SCORING MASTER'!$C$77:$C$78,0)))*20,0))</f>
        <v/>
      </c>
      <c r="BJ228" s="31" t="str">
        <f aca="false">IF(COUNTBLANK(AU228:AZ228)&gt;0,"",ROUND(AVERAGE(INDEX('SCORING MASTER'!$D$95:$D$96,MATCH(AU228,'SCORING MASTER'!$C$95:$C$96,0)),INDEX('SCORING MASTER'!$D$98:$D$99,MATCH(AV228,'SCORING MASTER'!$C$98:$C$99,0)),INDEX('SCORING MASTER'!$D$101:$D$102,MATCH(AW228,'SCORING MASTER'!$C$101:$C$102,0)),INDEX('SCORING MASTER'!$D$104:$D$105,MATCH(AX228,'SCORING MASTER'!$C$104:$C$105,0)),INDEX('SCORING MASTER'!$D$107:$D$108,MATCH(AY228,'SCORING MASTER'!$C$107:$C$108,0)),INDEX('SCORING MASTER'!$D$110:$D$111,MATCH(AZ228,'SCORING MASTER'!$C$110:$C$111,0)))*20,0))</f>
        <v/>
      </c>
      <c r="BK228" s="31" t="str">
        <f aca="false">IF(COUNTBLANK(AQ228:AT228)&gt;0,"",ROUND(AVERAGE(INDEX('SCORING MASTER'!$D$80:$D$82,MATCH(AQ228,'SCORING MASTER'!$C$80:$C$82,0)),INDEX('SCORING MASTER'!$D$84:$D$86,MATCH(AR228,'SCORING MASTER'!$C$84:$C$86,0)),INDEX('SCORING MASTER'!$D$88:$D$90,MATCH(AS228,'SCORING MASTER'!$C$88:$C$90,0)),INDEX('SCORING MASTER'!$D$92:$D$93,MATCH(AT228,'SCORING MASTER'!$C$92:$C$93,0)))*20,0))</f>
        <v/>
      </c>
      <c r="BL228" s="31" t="str">
        <f aca="false">IF(COUNTBLANK(BA228:BE228)&gt;0,"",ROUND(AVERAGE(INDEX('SCORING MASTER'!$D$113:$D$115,MATCH(BA228,'SCORING MASTER'!$C$113:$C$115,0)),INDEX('SCORING MASTER'!$D$117:$D$119,MATCH(BB228,'SCORING MASTER'!$C$117:$C$119,0)),INDEX('SCORING MASTER'!$D$121:$D$123,MATCH(BC228,'SCORING MASTER'!$C$121:$C$123,0)),INDEX('SCORING MASTER'!$D$125:$D$126,MATCH(BD228,'SCORING MASTER'!$C$125:$C$126,0)),INDEX('SCORING MASTER'!$D$128:$D$129,MATCH(BE228,'SCORING MASTER'!$C$128:$C$129,0)))*20,0))</f>
        <v/>
      </c>
      <c r="BM228" s="31" t="str">
        <f aca="false">IF(OR(BF228="",BG228="",BH228="",BI228="",BJ228="",BK228="",BL228=""),"",ROUND(BF228*0.25+BG228*0.2+BH228*0.15+BI228*0.15+BJ228*0.1+BK228*0.1+BL228*0.05,0))</f>
        <v/>
      </c>
      <c r="BN228" s="31" t="str">
        <f aca="false">IF(OR(BF228="",BG228=""),"",ROUND(BF228*0.5+BG228*0.5,0))</f>
        <v/>
      </c>
      <c r="BO228" s="31" t="str">
        <f aca="false">IF(BN228="","",ROUND(MIN(100,MAX(0,(100-BN228)+IF(AL228="Yes",15,0)+IF(AM228="Yes",15,0)+IF(AND(U228&lt;&gt;"",U228&lt;18.5),20,0))),0))</f>
        <v/>
      </c>
      <c r="BP228" s="28" t="str">
        <f aca="false">IF(BM228="","",IF(BM228&gt;=90,"Green - Healthy",IF(BM228&gt;=75,"Light Green - Mild Watch",IF(BM228&gt;=60,"Yellow - Mild Risk",IF(BM228&gt;=40,"Orange - Moderate Risk","Red - High Risk")))))</f>
        <v/>
      </c>
      <c r="BQ228" s="28" t="str">
        <f aca="false">IF(BM228="","",IF(OR(BM228&lt;60,BO228&gt;=60,AJ228="Yes"),"Yes","No"))</f>
        <v/>
      </c>
      <c r="BR228" s="28" t="str">
        <f aca="false">IF(BM228="","",IF(OR(BP228="Orange - Moderate Risk",BP228="Red - High Risk",BQ228="Yes"),"Yes","No"))</f>
        <v/>
      </c>
    </row>
    <row r="229" customFormat="false" ht="15" hidden="false" customHeight="false" outlineLevel="0" collapsed="false">
      <c r="A229" s="32" t="str">
        <f aca="false">IF(I229="","","STU"&amp;TEXT(ROW()-3,"000000"))</f>
        <v/>
      </c>
      <c r="B229" s="32"/>
      <c r="C229" s="32"/>
      <c r="D229" s="32"/>
      <c r="E229" s="32"/>
      <c r="F229" s="32"/>
      <c r="G229" s="32"/>
      <c r="H229" s="32"/>
      <c r="I229" s="32"/>
      <c r="J229" s="34"/>
      <c r="K229" s="32"/>
      <c r="L229" s="32"/>
      <c r="M229" s="32"/>
      <c r="N229" s="32"/>
      <c r="O229" s="32"/>
      <c r="P229" s="32"/>
      <c r="Q229" s="34"/>
      <c r="R229" s="34"/>
      <c r="S229" s="35" t="str">
        <f aca="false">IF(OR(Q229="",R229=""),"",ROUND(R229/((Q229/100)^2),1))</f>
        <v/>
      </c>
      <c r="T229" s="32" t="str">
        <f aca="false">IF(S229="","",IF(S229&lt;18.5,"Underweight",IF(S229&lt;25,"Normal",IF(S229&lt;30,"Overweight","Obese"))))</f>
        <v/>
      </c>
      <c r="U229" s="34"/>
      <c r="V229" s="34"/>
      <c r="W229" s="32"/>
      <c r="X229" s="32"/>
      <c r="Y229" s="32"/>
      <c r="Z229" s="32"/>
      <c r="AA229" s="32"/>
      <c r="AB229" s="32"/>
      <c r="AC229" s="32"/>
      <c r="AD229" s="32"/>
      <c r="AE229" s="32"/>
      <c r="AF229" s="32"/>
      <c r="AG229" s="32"/>
      <c r="AH229" s="32"/>
      <c r="AI229" s="32"/>
      <c r="AJ229" s="32"/>
      <c r="AK229" s="32"/>
      <c r="AL229" s="32"/>
      <c r="AM229" s="32"/>
      <c r="AN229" s="32"/>
      <c r="AO229" s="32"/>
      <c r="AP229" s="32"/>
      <c r="AQ229" s="32"/>
      <c r="AR229" s="32"/>
      <c r="AS229" s="32"/>
      <c r="AT229" s="32"/>
      <c r="AU229" s="32"/>
      <c r="AV229" s="32"/>
      <c r="AW229" s="32"/>
      <c r="AX229" s="32"/>
      <c r="AY229" s="32"/>
      <c r="AZ229" s="32"/>
      <c r="BA229" s="32"/>
      <c r="BB229" s="32"/>
      <c r="BC229" s="32"/>
      <c r="BD229" s="32"/>
      <c r="BE229" s="32"/>
      <c r="BF229" s="35" t="str">
        <f aca="false">IF(T229="","",IF(T229="Normal",100,IF(T229="Overweight",65,IF(T229="Obese",50,IF(AND(U229&lt;&gt;"",U229&lt;18.5),30,45)))))</f>
        <v/>
      </c>
      <c r="BG229" s="35" t="str">
        <f aca="false">IF(COUNTBLANK(W229:AC229)&gt;0,"",ROUND(AVERAGE(INDEX('SCORING MASTER'!$D$5:$D$7,MATCH(W229,'SCORING MASTER'!$C$5:$C$7,0)),INDEX('SCORING MASTER'!$D$9:$D$11,MATCH(X229,'SCORING MASTER'!$C$9:$C$11,0)),INDEX('SCORING MASTER'!$D$13:$D$15,MATCH(Y229,'SCORING MASTER'!$C$13:$C$15,0)),INDEX('SCORING MASTER'!$D$17:$D$19,MATCH(Z229,'SCORING MASTER'!$C$17:$C$19,0)),INDEX('SCORING MASTER'!$D$21:$D$23,MATCH(AA229,'SCORING MASTER'!$C$21:$C$23,0)),INDEX('SCORING MASTER'!$D$25:$D$27,MATCH(AB229,'SCORING MASTER'!$C$25:$C$27,0)),INDEX('SCORING MASTER'!$D$29:$D$31,MATCH(AC229,'SCORING MASTER'!$C$29:$C$31,0)))*20,0))</f>
        <v/>
      </c>
      <c r="BH229" s="35" t="str">
        <f aca="false">IF(COUNTBLANK(AD229:AI229)&gt;0,"",ROUND(AVERAGE(INDEX('SCORING MASTER'!$D$33:$D$35,MATCH(AD229,'SCORING MASTER'!$C$33:$C$35,0)),INDEX('SCORING MASTER'!$D$37:$D$39,MATCH(AE229,'SCORING MASTER'!$C$37:$C$39,0)),INDEX('SCORING MASTER'!$D$41:$D$43,MATCH(AF229,'SCORING MASTER'!$C$41:$C$43,0)),INDEX('SCORING MASTER'!$D$45:$D$47,MATCH(AG229,'SCORING MASTER'!$C$45:$C$47,0)),INDEX('SCORING MASTER'!$D$49:$D$52,MATCH(AH229,'SCORING MASTER'!$C$49:$C$52,0)),INDEX('SCORING MASTER'!$D$54:$D$57,MATCH(AI229,'SCORING MASTER'!$C$54:$C$57,0)))*20,0))</f>
        <v/>
      </c>
      <c r="BI229" s="35" t="str">
        <f aca="false">IF(COUNTBLANK(AJ229:AP229)&gt;0,"",ROUND(AVERAGE(INDEX('SCORING MASTER'!$D$59:$D$60,MATCH(AJ229,'SCORING MASTER'!$C$59:$C$60,0)),INDEX('SCORING MASTER'!$D$62:$D$63,MATCH(AK229,'SCORING MASTER'!$C$62:$C$63,0)),INDEX('SCORING MASTER'!$D$65:$D$66,MATCH(AL229,'SCORING MASTER'!$C$65:$C$66,0)),INDEX('SCORING MASTER'!$D$68:$D$69,MATCH(AM229,'SCORING MASTER'!$C$68:$C$69,0)),INDEX('SCORING MASTER'!$D$71:$D$72,MATCH(AN229,'SCORING MASTER'!$C$71:$C$72,0)),INDEX('SCORING MASTER'!$D$74:$D$75,MATCH(AO229,'SCORING MASTER'!$C$74:$C$75,0)),INDEX('SCORING MASTER'!$D$77:$D$78,MATCH(AP229,'SCORING MASTER'!$C$77:$C$78,0)))*20,0))</f>
        <v/>
      </c>
      <c r="BJ229" s="35" t="str">
        <f aca="false">IF(COUNTBLANK(AU229:AZ229)&gt;0,"",ROUND(AVERAGE(INDEX('SCORING MASTER'!$D$95:$D$96,MATCH(AU229,'SCORING MASTER'!$C$95:$C$96,0)),INDEX('SCORING MASTER'!$D$98:$D$99,MATCH(AV229,'SCORING MASTER'!$C$98:$C$99,0)),INDEX('SCORING MASTER'!$D$101:$D$102,MATCH(AW229,'SCORING MASTER'!$C$101:$C$102,0)),INDEX('SCORING MASTER'!$D$104:$D$105,MATCH(AX229,'SCORING MASTER'!$C$104:$C$105,0)),INDEX('SCORING MASTER'!$D$107:$D$108,MATCH(AY229,'SCORING MASTER'!$C$107:$C$108,0)),INDEX('SCORING MASTER'!$D$110:$D$111,MATCH(AZ229,'SCORING MASTER'!$C$110:$C$111,0)))*20,0))</f>
        <v/>
      </c>
      <c r="BK229" s="35" t="str">
        <f aca="false">IF(COUNTBLANK(AQ229:AT229)&gt;0,"",ROUND(AVERAGE(INDEX('SCORING MASTER'!$D$80:$D$82,MATCH(AQ229,'SCORING MASTER'!$C$80:$C$82,0)),INDEX('SCORING MASTER'!$D$84:$D$86,MATCH(AR229,'SCORING MASTER'!$C$84:$C$86,0)),INDEX('SCORING MASTER'!$D$88:$D$90,MATCH(AS229,'SCORING MASTER'!$C$88:$C$90,0)),INDEX('SCORING MASTER'!$D$92:$D$93,MATCH(AT229,'SCORING MASTER'!$C$92:$C$93,0)))*20,0))</f>
        <v/>
      </c>
      <c r="BL229" s="35" t="str">
        <f aca="false">IF(COUNTBLANK(BA229:BE229)&gt;0,"",ROUND(AVERAGE(INDEX('SCORING MASTER'!$D$113:$D$115,MATCH(BA229,'SCORING MASTER'!$C$113:$C$115,0)),INDEX('SCORING MASTER'!$D$117:$D$119,MATCH(BB229,'SCORING MASTER'!$C$117:$C$119,0)),INDEX('SCORING MASTER'!$D$121:$D$123,MATCH(BC229,'SCORING MASTER'!$C$121:$C$123,0)),INDEX('SCORING MASTER'!$D$125:$D$126,MATCH(BD229,'SCORING MASTER'!$C$125:$C$126,0)),INDEX('SCORING MASTER'!$D$128:$D$129,MATCH(BE229,'SCORING MASTER'!$C$128:$C$129,0)))*20,0))</f>
        <v/>
      </c>
      <c r="BM229" s="35" t="str">
        <f aca="false">IF(OR(BF229="",BG229="",BH229="",BI229="",BJ229="",BK229="",BL229=""),"",ROUND(BF229*0.25+BG229*0.2+BH229*0.15+BI229*0.15+BJ229*0.1+BK229*0.1+BL229*0.05,0))</f>
        <v/>
      </c>
      <c r="BN229" s="35" t="str">
        <f aca="false">IF(OR(BF229="",BG229=""),"",ROUND(BF229*0.5+BG229*0.5,0))</f>
        <v/>
      </c>
      <c r="BO229" s="35" t="str">
        <f aca="false">IF(BN229="","",ROUND(MIN(100,MAX(0,(100-BN229)+IF(AL229="Yes",15,0)+IF(AM229="Yes",15,0)+IF(AND(U229&lt;&gt;"",U229&lt;18.5),20,0))),0))</f>
        <v/>
      </c>
      <c r="BP229" s="32" t="str">
        <f aca="false">IF(BM229="","",IF(BM229&gt;=90,"Green - Healthy",IF(BM229&gt;=75,"Light Green - Mild Watch",IF(BM229&gt;=60,"Yellow - Mild Risk",IF(BM229&gt;=40,"Orange - Moderate Risk","Red - High Risk")))))</f>
        <v/>
      </c>
      <c r="BQ229" s="32" t="str">
        <f aca="false">IF(BM229="","",IF(OR(BM229&lt;60,BO229&gt;=60,AJ229="Yes"),"Yes","No"))</f>
        <v/>
      </c>
      <c r="BR229" s="32" t="str">
        <f aca="false">IF(BM229="","",IF(OR(BP229="Orange - Moderate Risk",BP229="Red - High Risk",BQ229="Yes"),"Yes","No"))</f>
        <v/>
      </c>
    </row>
    <row r="230" customFormat="false" ht="15" hidden="false" customHeight="false" outlineLevel="0" collapsed="false">
      <c r="A230" s="28" t="str">
        <f aca="false">IF(I230="","","STU"&amp;TEXT(ROW()-3,"000000"))</f>
        <v/>
      </c>
      <c r="B230" s="28"/>
      <c r="C230" s="28"/>
      <c r="D230" s="28"/>
      <c r="E230" s="28"/>
      <c r="F230" s="28"/>
      <c r="G230" s="28"/>
      <c r="H230" s="28"/>
      <c r="I230" s="28"/>
      <c r="J230" s="30"/>
      <c r="K230" s="28"/>
      <c r="L230" s="28"/>
      <c r="M230" s="28"/>
      <c r="N230" s="28"/>
      <c r="O230" s="28"/>
      <c r="P230" s="28"/>
      <c r="Q230" s="30"/>
      <c r="R230" s="30"/>
      <c r="S230" s="31" t="str">
        <f aca="false">IF(OR(Q230="",R230=""),"",ROUND(R230/((Q230/100)^2),1))</f>
        <v/>
      </c>
      <c r="T230" s="28" t="str">
        <f aca="false">IF(S230="","",IF(S230&lt;18.5,"Underweight",IF(S230&lt;25,"Normal",IF(S230&lt;30,"Overweight","Obese"))))</f>
        <v/>
      </c>
      <c r="U230" s="30"/>
      <c r="V230" s="30"/>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c r="BE230" s="28"/>
      <c r="BF230" s="31" t="str">
        <f aca="false">IF(T230="","",IF(T230="Normal",100,IF(T230="Overweight",65,IF(T230="Obese",50,IF(AND(U230&lt;&gt;"",U230&lt;18.5),30,45)))))</f>
        <v/>
      </c>
      <c r="BG230" s="31" t="str">
        <f aca="false">IF(COUNTBLANK(W230:AC230)&gt;0,"",ROUND(AVERAGE(INDEX('SCORING MASTER'!$D$5:$D$7,MATCH(W230,'SCORING MASTER'!$C$5:$C$7,0)),INDEX('SCORING MASTER'!$D$9:$D$11,MATCH(X230,'SCORING MASTER'!$C$9:$C$11,0)),INDEX('SCORING MASTER'!$D$13:$D$15,MATCH(Y230,'SCORING MASTER'!$C$13:$C$15,0)),INDEX('SCORING MASTER'!$D$17:$D$19,MATCH(Z230,'SCORING MASTER'!$C$17:$C$19,0)),INDEX('SCORING MASTER'!$D$21:$D$23,MATCH(AA230,'SCORING MASTER'!$C$21:$C$23,0)),INDEX('SCORING MASTER'!$D$25:$D$27,MATCH(AB230,'SCORING MASTER'!$C$25:$C$27,0)),INDEX('SCORING MASTER'!$D$29:$D$31,MATCH(AC230,'SCORING MASTER'!$C$29:$C$31,0)))*20,0))</f>
        <v/>
      </c>
      <c r="BH230" s="31" t="str">
        <f aca="false">IF(COUNTBLANK(AD230:AI230)&gt;0,"",ROUND(AVERAGE(INDEX('SCORING MASTER'!$D$33:$D$35,MATCH(AD230,'SCORING MASTER'!$C$33:$C$35,0)),INDEX('SCORING MASTER'!$D$37:$D$39,MATCH(AE230,'SCORING MASTER'!$C$37:$C$39,0)),INDEX('SCORING MASTER'!$D$41:$D$43,MATCH(AF230,'SCORING MASTER'!$C$41:$C$43,0)),INDEX('SCORING MASTER'!$D$45:$D$47,MATCH(AG230,'SCORING MASTER'!$C$45:$C$47,0)),INDEX('SCORING MASTER'!$D$49:$D$52,MATCH(AH230,'SCORING MASTER'!$C$49:$C$52,0)),INDEX('SCORING MASTER'!$D$54:$D$57,MATCH(AI230,'SCORING MASTER'!$C$54:$C$57,0)))*20,0))</f>
        <v/>
      </c>
      <c r="BI230" s="31" t="str">
        <f aca="false">IF(COUNTBLANK(AJ230:AP230)&gt;0,"",ROUND(AVERAGE(INDEX('SCORING MASTER'!$D$59:$D$60,MATCH(AJ230,'SCORING MASTER'!$C$59:$C$60,0)),INDEX('SCORING MASTER'!$D$62:$D$63,MATCH(AK230,'SCORING MASTER'!$C$62:$C$63,0)),INDEX('SCORING MASTER'!$D$65:$D$66,MATCH(AL230,'SCORING MASTER'!$C$65:$C$66,0)),INDEX('SCORING MASTER'!$D$68:$D$69,MATCH(AM230,'SCORING MASTER'!$C$68:$C$69,0)),INDEX('SCORING MASTER'!$D$71:$D$72,MATCH(AN230,'SCORING MASTER'!$C$71:$C$72,0)),INDEX('SCORING MASTER'!$D$74:$D$75,MATCH(AO230,'SCORING MASTER'!$C$74:$C$75,0)),INDEX('SCORING MASTER'!$D$77:$D$78,MATCH(AP230,'SCORING MASTER'!$C$77:$C$78,0)))*20,0))</f>
        <v/>
      </c>
      <c r="BJ230" s="31" t="str">
        <f aca="false">IF(COUNTBLANK(AU230:AZ230)&gt;0,"",ROUND(AVERAGE(INDEX('SCORING MASTER'!$D$95:$D$96,MATCH(AU230,'SCORING MASTER'!$C$95:$C$96,0)),INDEX('SCORING MASTER'!$D$98:$D$99,MATCH(AV230,'SCORING MASTER'!$C$98:$C$99,0)),INDEX('SCORING MASTER'!$D$101:$D$102,MATCH(AW230,'SCORING MASTER'!$C$101:$C$102,0)),INDEX('SCORING MASTER'!$D$104:$D$105,MATCH(AX230,'SCORING MASTER'!$C$104:$C$105,0)),INDEX('SCORING MASTER'!$D$107:$D$108,MATCH(AY230,'SCORING MASTER'!$C$107:$C$108,0)),INDEX('SCORING MASTER'!$D$110:$D$111,MATCH(AZ230,'SCORING MASTER'!$C$110:$C$111,0)))*20,0))</f>
        <v/>
      </c>
      <c r="BK230" s="31" t="str">
        <f aca="false">IF(COUNTBLANK(AQ230:AT230)&gt;0,"",ROUND(AVERAGE(INDEX('SCORING MASTER'!$D$80:$D$82,MATCH(AQ230,'SCORING MASTER'!$C$80:$C$82,0)),INDEX('SCORING MASTER'!$D$84:$D$86,MATCH(AR230,'SCORING MASTER'!$C$84:$C$86,0)),INDEX('SCORING MASTER'!$D$88:$D$90,MATCH(AS230,'SCORING MASTER'!$C$88:$C$90,0)),INDEX('SCORING MASTER'!$D$92:$D$93,MATCH(AT230,'SCORING MASTER'!$C$92:$C$93,0)))*20,0))</f>
        <v/>
      </c>
      <c r="BL230" s="31" t="str">
        <f aca="false">IF(COUNTBLANK(BA230:BE230)&gt;0,"",ROUND(AVERAGE(INDEX('SCORING MASTER'!$D$113:$D$115,MATCH(BA230,'SCORING MASTER'!$C$113:$C$115,0)),INDEX('SCORING MASTER'!$D$117:$D$119,MATCH(BB230,'SCORING MASTER'!$C$117:$C$119,0)),INDEX('SCORING MASTER'!$D$121:$D$123,MATCH(BC230,'SCORING MASTER'!$C$121:$C$123,0)),INDEX('SCORING MASTER'!$D$125:$D$126,MATCH(BD230,'SCORING MASTER'!$C$125:$C$126,0)),INDEX('SCORING MASTER'!$D$128:$D$129,MATCH(BE230,'SCORING MASTER'!$C$128:$C$129,0)))*20,0))</f>
        <v/>
      </c>
      <c r="BM230" s="31" t="str">
        <f aca="false">IF(OR(BF230="",BG230="",BH230="",BI230="",BJ230="",BK230="",BL230=""),"",ROUND(BF230*0.25+BG230*0.2+BH230*0.15+BI230*0.15+BJ230*0.1+BK230*0.1+BL230*0.05,0))</f>
        <v/>
      </c>
      <c r="BN230" s="31" t="str">
        <f aca="false">IF(OR(BF230="",BG230=""),"",ROUND(BF230*0.5+BG230*0.5,0))</f>
        <v/>
      </c>
      <c r="BO230" s="31" t="str">
        <f aca="false">IF(BN230="","",ROUND(MIN(100,MAX(0,(100-BN230)+IF(AL230="Yes",15,0)+IF(AM230="Yes",15,0)+IF(AND(U230&lt;&gt;"",U230&lt;18.5),20,0))),0))</f>
        <v/>
      </c>
      <c r="BP230" s="28" t="str">
        <f aca="false">IF(BM230="","",IF(BM230&gt;=90,"Green - Healthy",IF(BM230&gt;=75,"Light Green - Mild Watch",IF(BM230&gt;=60,"Yellow - Mild Risk",IF(BM230&gt;=40,"Orange - Moderate Risk","Red - High Risk")))))</f>
        <v/>
      </c>
      <c r="BQ230" s="28" t="str">
        <f aca="false">IF(BM230="","",IF(OR(BM230&lt;60,BO230&gt;=60,AJ230="Yes"),"Yes","No"))</f>
        <v/>
      </c>
      <c r="BR230" s="28" t="str">
        <f aca="false">IF(BM230="","",IF(OR(BP230="Orange - Moderate Risk",BP230="Red - High Risk",BQ230="Yes"),"Yes","No"))</f>
        <v/>
      </c>
    </row>
    <row r="231" customFormat="false" ht="15" hidden="false" customHeight="false" outlineLevel="0" collapsed="false">
      <c r="A231" s="32" t="str">
        <f aca="false">IF(I231="","","STU"&amp;TEXT(ROW()-3,"000000"))</f>
        <v/>
      </c>
      <c r="B231" s="32"/>
      <c r="C231" s="32"/>
      <c r="D231" s="32"/>
      <c r="E231" s="32"/>
      <c r="F231" s="32"/>
      <c r="G231" s="32"/>
      <c r="H231" s="32"/>
      <c r="I231" s="32"/>
      <c r="J231" s="34"/>
      <c r="K231" s="32"/>
      <c r="L231" s="32"/>
      <c r="M231" s="32"/>
      <c r="N231" s="32"/>
      <c r="O231" s="32"/>
      <c r="P231" s="32"/>
      <c r="Q231" s="34"/>
      <c r="R231" s="34"/>
      <c r="S231" s="35" t="str">
        <f aca="false">IF(OR(Q231="",R231=""),"",ROUND(R231/((Q231/100)^2),1))</f>
        <v/>
      </c>
      <c r="T231" s="32" t="str">
        <f aca="false">IF(S231="","",IF(S231&lt;18.5,"Underweight",IF(S231&lt;25,"Normal",IF(S231&lt;30,"Overweight","Obese"))))</f>
        <v/>
      </c>
      <c r="U231" s="34"/>
      <c r="V231" s="34"/>
      <c r="W231" s="32"/>
      <c r="X231" s="32"/>
      <c r="Y231" s="32"/>
      <c r="Z231" s="32"/>
      <c r="AA231" s="32"/>
      <c r="AB231" s="32"/>
      <c r="AC231" s="32"/>
      <c r="AD231" s="32"/>
      <c r="AE231" s="32"/>
      <c r="AF231" s="32"/>
      <c r="AG231" s="32"/>
      <c r="AH231" s="32"/>
      <c r="AI231" s="32"/>
      <c r="AJ231" s="32"/>
      <c r="AK231" s="32"/>
      <c r="AL231" s="32"/>
      <c r="AM231" s="32"/>
      <c r="AN231" s="32"/>
      <c r="AO231" s="32"/>
      <c r="AP231" s="32"/>
      <c r="AQ231" s="32"/>
      <c r="AR231" s="32"/>
      <c r="AS231" s="32"/>
      <c r="AT231" s="32"/>
      <c r="AU231" s="32"/>
      <c r="AV231" s="32"/>
      <c r="AW231" s="32"/>
      <c r="AX231" s="32"/>
      <c r="AY231" s="32"/>
      <c r="AZ231" s="32"/>
      <c r="BA231" s="32"/>
      <c r="BB231" s="32"/>
      <c r="BC231" s="32"/>
      <c r="BD231" s="32"/>
      <c r="BE231" s="32"/>
      <c r="BF231" s="35" t="str">
        <f aca="false">IF(T231="","",IF(T231="Normal",100,IF(T231="Overweight",65,IF(T231="Obese",50,IF(AND(U231&lt;&gt;"",U231&lt;18.5),30,45)))))</f>
        <v/>
      </c>
      <c r="BG231" s="35" t="str">
        <f aca="false">IF(COUNTBLANK(W231:AC231)&gt;0,"",ROUND(AVERAGE(INDEX('SCORING MASTER'!$D$5:$D$7,MATCH(W231,'SCORING MASTER'!$C$5:$C$7,0)),INDEX('SCORING MASTER'!$D$9:$D$11,MATCH(X231,'SCORING MASTER'!$C$9:$C$11,0)),INDEX('SCORING MASTER'!$D$13:$D$15,MATCH(Y231,'SCORING MASTER'!$C$13:$C$15,0)),INDEX('SCORING MASTER'!$D$17:$D$19,MATCH(Z231,'SCORING MASTER'!$C$17:$C$19,0)),INDEX('SCORING MASTER'!$D$21:$D$23,MATCH(AA231,'SCORING MASTER'!$C$21:$C$23,0)),INDEX('SCORING MASTER'!$D$25:$D$27,MATCH(AB231,'SCORING MASTER'!$C$25:$C$27,0)),INDEX('SCORING MASTER'!$D$29:$D$31,MATCH(AC231,'SCORING MASTER'!$C$29:$C$31,0)))*20,0))</f>
        <v/>
      </c>
      <c r="BH231" s="35" t="str">
        <f aca="false">IF(COUNTBLANK(AD231:AI231)&gt;0,"",ROUND(AVERAGE(INDEX('SCORING MASTER'!$D$33:$D$35,MATCH(AD231,'SCORING MASTER'!$C$33:$C$35,0)),INDEX('SCORING MASTER'!$D$37:$D$39,MATCH(AE231,'SCORING MASTER'!$C$37:$C$39,0)),INDEX('SCORING MASTER'!$D$41:$D$43,MATCH(AF231,'SCORING MASTER'!$C$41:$C$43,0)),INDEX('SCORING MASTER'!$D$45:$D$47,MATCH(AG231,'SCORING MASTER'!$C$45:$C$47,0)),INDEX('SCORING MASTER'!$D$49:$D$52,MATCH(AH231,'SCORING MASTER'!$C$49:$C$52,0)),INDEX('SCORING MASTER'!$D$54:$D$57,MATCH(AI231,'SCORING MASTER'!$C$54:$C$57,0)))*20,0))</f>
        <v/>
      </c>
      <c r="BI231" s="35" t="str">
        <f aca="false">IF(COUNTBLANK(AJ231:AP231)&gt;0,"",ROUND(AVERAGE(INDEX('SCORING MASTER'!$D$59:$D$60,MATCH(AJ231,'SCORING MASTER'!$C$59:$C$60,0)),INDEX('SCORING MASTER'!$D$62:$D$63,MATCH(AK231,'SCORING MASTER'!$C$62:$C$63,0)),INDEX('SCORING MASTER'!$D$65:$D$66,MATCH(AL231,'SCORING MASTER'!$C$65:$C$66,0)),INDEX('SCORING MASTER'!$D$68:$D$69,MATCH(AM231,'SCORING MASTER'!$C$68:$C$69,0)),INDEX('SCORING MASTER'!$D$71:$D$72,MATCH(AN231,'SCORING MASTER'!$C$71:$C$72,0)),INDEX('SCORING MASTER'!$D$74:$D$75,MATCH(AO231,'SCORING MASTER'!$C$74:$C$75,0)),INDEX('SCORING MASTER'!$D$77:$D$78,MATCH(AP231,'SCORING MASTER'!$C$77:$C$78,0)))*20,0))</f>
        <v/>
      </c>
      <c r="BJ231" s="35" t="str">
        <f aca="false">IF(COUNTBLANK(AU231:AZ231)&gt;0,"",ROUND(AVERAGE(INDEX('SCORING MASTER'!$D$95:$D$96,MATCH(AU231,'SCORING MASTER'!$C$95:$C$96,0)),INDEX('SCORING MASTER'!$D$98:$D$99,MATCH(AV231,'SCORING MASTER'!$C$98:$C$99,0)),INDEX('SCORING MASTER'!$D$101:$D$102,MATCH(AW231,'SCORING MASTER'!$C$101:$C$102,0)),INDEX('SCORING MASTER'!$D$104:$D$105,MATCH(AX231,'SCORING MASTER'!$C$104:$C$105,0)),INDEX('SCORING MASTER'!$D$107:$D$108,MATCH(AY231,'SCORING MASTER'!$C$107:$C$108,0)),INDEX('SCORING MASTER'!$D$110:$D$111,MATCH(AZ231,'SCORING MASTER'!$C$110:$C$111,0)))*20,0))</f>
        <v/>
      </c>
      <c r="BK231" s="35" t="str">
        <f aca="false">IF(COUNTBLANK(AQ231:AT231)&gt;0,"",ROUND(AVERAGE(INDEX('SCORING MASTER'!$D$80:$D$82,MATCH(AQ231,'SCORING MASTER'!$C$80:$C$82,0)),INDEX('SCORING MASTER'!$D$84:$D$86,MATCH(AR231,'SCORING MASTER'!$C$84:$C$86,0)),INDEX('SCORING MASTER'!$D$88:$D$90,MATCH(AS231,'SCORING MASTER'!$C$88:$C$90,0)),INDEX('SCORING MASTER'!$D$92:$D$93,MATCH(AT231,'SCORING MASTER'!$C$92:$C$93,0)))*20,0))</f>
        <v/>
      </c>
      <c r="BL231" s="35" t="str">
        <f aca="false">IF(COUNTBLANK(BA231:BE231)&gt;0,"",ROUND(AVERAGE(INDEX('SCORING MASTER'!$D$113:$D$115,MATCH(BA231,'SCORING MASTER'!$C$113:$C$115,0)),INDEX('SCORING MASTER'!$D$117:$D$119,MATCH(BB231,'SCORING MASTER'!$C$117:$C$119,0)),INDEX('SCORING MASTER'!$D$121:$D$123,MATCH(BC231,'SCORING MASTER'!$C$121:$C$123,0)),INDEX('SCORING MASTER'!$D$125:$D$126,MATCH(BD231,'SCORING MASTER'!$C$125:$C$126,0)),INDEX('SCORING MASTER'!$D$128:$D$129,MATCH(BE231,'SCORING MASTER'!$C$128:$C$129,0)))*20,0))</f>
        <v/>
      </c>
      <c r="BM231" s="35" t="str">
        <f aca="false">IF(OR(BF231="",BG231="",BH231="",BI231="",BJ231="",BK231="",BL231=""),"",ROUND(BF231*0.25+BG231*0.2+BH231*0.15+BI231*0.15+BJ231*0.1+BK231*0.1+BL231*0.05,0))</f>
        <v/>
      </c>
      <c r="BN231" s="35" t="str">
        <f aca="false">IF(OR(BF231="",BG231=""),"",ROUND(BF231*0.5+BG231*0.5,0))</f>
        <v/>
      </c>
      <c r="BO231" s="35" t="str">
        <f aca="false">IF(BN231="","",ROUND(MIN(100,MAX(0,(100-BN231)+IF(AL231="Yes",15,0)+IF(AM231="Yes",15,0)+IF(AND(U231&lt;&gt;"",U231&lt;18.5),20,0))),0))</f>
        <v/>
      </c>
      <c r="BP231" s="32" t="str">
        <f aca="false">IF(BM231="","",IF(BM231&gt;=90,"Green - Healthy",IF(BM231&gt;=75,"Light Green - Mild Watch",IF(BM231&gt;=60,"Yellow - Mild Risk",IF(BM231&gt;=40,"Orange - Moderate Risk","Red - High Risk")))))</f>
        <v/>
      </c>
      <c r="BQ231" s="32" t="str">
        <f aca="false">IF(BM231="","",IF(OR(BM231&lt;60,BO231&gt;=60,AJ231="Yes"),"Yes","No"))</f>
        <v/>
      </c>
      <c r="BR231" s="32" t="str">
        <f aca="false">IF(BM231="","",IF(OR(BP231="Orange - Moderate Risk",BP231="Red - High Risk",BQ231="Yes"),"Yes","No"))</f>
        <v/>
      </c>
    </row>
    <row r="232" customFormat="false" ht="15" hidden="false" customHeight="false" outlineLevel="0" collapsed="false">
      <c r="A232" s="28" t="str">
        <f aca="false">IF(I232="","","STU"&amp;TEXT(ROW()-3,"000000"))</f>
        <v/>
      </c>
      <c r="B232" s="28"/>
      <c r="C232" s="28"/>
      <c r="D232" s="28"/>
      <c r="E232" s="28"/>
      <c r="F232" s="28"/>
      <c r="G232" s="28"/>
      <c r="H232" s="28"/>
      <c r="I232" s="28"/>
      <c r="J232" s="30"/>
      <c r="K232" s="28"/>
      <c r="L232" s="28"/>
      <c r="M232" s="28"/>
      <c r="N232" s="28"/>
      <c r="O232" s="28"/>
      <c r="P232" s="28"/>
      <c r="Q232" s="30"/>
      <c r="R232" s="30"/>
      <c r="S232" s="31" t="str">
        <f aca="false">IF(OR(Q232="",R232=""),"",ROUND(R232/((Q232/100)^2),1))</f>
        <v/>
      </c>
      <c r="T232" s="28" t="str">
        <f aca="false">IF(S232="","",IF(S232&lt;18.5,"Underweight",IF(S232&lt;25,"Normal",IF(S232&lt;30,"Overweight","Obese"))))</f>
        <v/>
      </c>
      <c r="U232" s="30"/>
      <c r="V232" s="30"/>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8"/>
      <c r="AZ232" s="28"/>
      <c r="BA232" s="28"/>
      <c r="BB232" s="28"/>
      <c r="BC232" s="28"/>
      <c r="BD232" s="28"/>
      <c r="BE232" s="28"/>
      <c r="BF232" s="31" t="str">
        <f aca="false">IF(T232="","",IF(T232="Normal",100,IF(T232="Overweight",65,IF(T232="Obese",50,IF(AND(U232&lt;&gt;"",U232&lt;18.5),30,45)))))</f>
        <v/>
      </c>
      <c r="BG232" s="31" t="str">
        <f aca="false">IF(COUNTBLANK(W232:AC232)&gt;0,"",ROUND(AVERAGE(INDEX('SCORING MASTER'!$D$5:$D$7,MATCH(W232,'SCORING MASTER'!$C$5:$C$7,0)),INDEX('SCORING MASTER'!$D$9:$D$11,MATCH(X232,'SCORING MASTER'!$C$9:$C$11,0)),INDEX('SCORING MASTER'!$D$13:$D$15,MATCH(Y232,'SCORING MASTER'!$C$13:$C$15,0)),INDEX('SCORING MASTER'!$D$17:$D$19,MATCH(Z232,'SCORING MASTER'!$C$17:$C$19,0)),INDEX('SCORING MASTER'!$D$21:$D$23,MATCH(AA232,'SCORING MASTER'!$C$21:$C$23,0)),INDEX('SCORING MASTER'!$D$25:$D$27,MATCH(AB232,'SCORING MASTER'!$C$25:$C$27,0)),INDEX('SCORING MASTER'!$D$29:$D$31,MATCH(AC232,'SCORING MASTER'!$C$29:$C$31,0)))*20,0))</f>
        <v/>
      </c>
      <c r="BH232" s="31" t="str">
        <f aca="false">IF(COUNTBLANK(AD232:AI232)&gt;0,"",ROUND(AVERAGE(INDEX('SCORING MASTER'!$D$33:$D$35,MATCH(AD232,'SCORING MASTER'!$C$33:$C$35,0)),INDEX('SCORING MASTER'!$D$37:$D$39,MATCH(AE232,'SCORING MASTER'!$C$37:$C$39,0)),INDEX('SCORING MASTER'!$D$41:$D$43,MATCH(AF232,'SCORING MASTER'!$C$41:$C$43,0)),INDEX('SCORING MASTER'!$D$45:$D$47,MATCH(AG232,'SCORING MASTER'!$C$45:$C$47,0)),INDEX('SCORING MASTER'!$D$49:$D$52,MATCH(AH232,'SCORING MASTER'!$C$49:$C$52,0)),INDEX('SCORING MASTER'!$D$54:$D$57,MATCH(AI232,'SCORING MASTER'!$C$54:$C$57,0)))*20,0))</f>
        <v/>
      </c>
      <c r="BI232" s="31" t="str">
        <f aca="false">IF(COUNTBLANK(AJ232:AP232)&gt;0,"",ROUND(AVERAGE(INDEX('SCORING MASTER'!$D$59:$D$60,MATCH(AJ232,'SCORING MASTER'!$C$59:$C$60,0)),INDEX('SCORING MASTER'!$D$62:$D$63,MATCH(AK232,'SCORING MASTER'!$C$62:$C$63,0)),INDEX('SCORING MASTER'!$D$65:$D$66,MATCH(AL232,'SCORING MASTER'!$C$65:$C$66,0)),INDEX('SCORING MASTER'!$D$68:$D$69,MATCH(AM232,'SCORING MASTER'!$C$68:$C$69,0)),INDEX('SCORING MASTER'!$D$71:$D$72,MATCH(AN232,'SCORING MASTER'!$C$71:$C$72,0)),INDEX('SCORING MASTER'!$D$74:$D$75,MATCH(AO232,'SCORING MASTER'!$C$74:$C$75,0)),INDEX('SCORING MASTER'!$D$77:$D$78,MATCH(AP232,'SCORING MASTER'!$C$77:$C$78,0)))*20,0))</f>
        <v/>
      </c>
      <c r="BJ232" s="31" t="str">
        <f aca="false">IF(COUNTBLANK(AU232:AZ232)&gt;0,"",ROUND(AVERAGE(INDEX('SCORING MASTER'!$D$95:$D$96,MATCH(AU232,'SCORING MASTER'!$C$95:$C$96,0)),INDEX('SCORING MASTER'!$D$98:$D$99,MATCH(AV232,'SCORING MASTER'!$C$98:$C$99,0)),INDEX('SCORING MASTER'!$D$101:$D$102,MATCH(AW232,'SCORING MASTER'!$C$101:$C$102,0)),INDEX('SCORING MASTER'!$D$104:$D$105,MATCH(AX232,'SCORING MASTER'!$C$104:$C$105,0)),INDEX('SCORING MASTER'!$D$107:$D$108,MATCH(AY232,'SCORING MASTER'!$C$107:$C$108,0)),INDEX('SCORING MASTER'!$D$110:$D$111,MATCH(AZ232,'SCORING MASTER'!$C$110:$C$111,0)))*20,0))</f>
        <v/>
      </c>
      <c r="BK232" s="31" t="str">
        <f aca="false">IF(COUNTBLANK(AQ232:AT232)&gt;0,"",ROUND(AVERAGE(INDEX('SCORING MASTER'!$D$80:$D$82,MATCH(AQ232,'SCORING MASTER'!$C$80:$C$82,0)),INDEX('SCORING MASTER'!$D$84:$D$86,MATCH(AR232,'SCORING MASTER'!$C$84:$C$86,0)),INDEX('SCORING MASTER'!$D$88:$D$90,MATCH(AS232,'SCORING MASTER'!$C$88:$C$90,0)),INDEX('SCORING MASTER'!$D$92:$D$93,MATCH(AT232,'SCORING MASTER'!$C$92:$C$93,0)))*20,0))</f>
        <v/>
      </c>
      <c r="BL232" s="31" t="str">
        <f aca="false">IF(COUNTBLANK(BA232:BE232)&gt;0,"",ROUND(AVERAGE(INDEX('SCORING MASTER'!$D$113:$D$115,MATCH(BA232,'SCORING MASTER'!$C$113:$C$115,0)),INDEX('SCORING MASTER'!$D$117:$D$119,MATCH(BB232,'SCORING MASTER'!$C$117:$C$119,0)),INDEX('SCORING MASTER'!$D$121:$D$123,MATCH(BC232,'SCORING MASTER'!$C$121:$C$123,0)),INDEX('SCORING MASTER'!$D$125:$D$126,MATCH(BD232,'SCORING MASTER'!$C$125:$C$126,0)),INDEX('SCORING MASTER'!$D$128:$D$129,MATCH(BE232,'SCORING MASTER'!$C$128:$C$129,0)))*20,0))</f>
        <v/>
      </c>
      <c r="BM232" s="31" t="str">
        <f aca="false">IF(OR(BF232="",BG232="",BH232="",BI232="",BJ232="",BK232="",BL232=""),"",ROUND(BF232*0.25+BG232*0.2+BH232*0.15+BI232*0.15+BJ232*0.1+BK232*0.1+BL232*0.05,0))</f>
        <v/>
      </c>
      <c r="BN232" s="31" t="str">
        <f aca="false">IF(OR(BF232="",BG232=""),"",ROUND(BF232*0.5+BG232*0.5,0))</f>
        <v/>
      </c>
      <c r="BO232" s="31" t="str">
        <f aca="false">IF(BN232="","",ROUND(MIN(100,MAX(0,(100-BN232)+IF(AL232="Yes",15,0)+IF(AM232="Yes",15,0)+IF(AND(U232&lt;&gt;"",U232&lt;18.5),20,0))),0))</f>
        <v/>
      </c>
      <c r="BP232" s="28" t="str">
        <f aca="false">IF(BM232="","",IF(BM232&gt;=90,"Green - Healthy",IF(BM232&gt;=75,"Light Green - Mild Watch",IF(BM232&gt;=60,"Yellow - Mild Risk",IF(BM232&gt;=40,"Orange - Moderate Risk","Red - High Risk")))))</f>
        <v/>
      </c>
      <c r="BQ232" s="28" t="str">
        <f aca="false">IF(BM232="","",IF(OR(BM232&lt;60,BO232&gt;=60,AJ232="Yes"),"Yes","No"))</f>
        <v/>
      </c>
      <c r="BR232" s="28" t="str">
        <f aca="false">IF(BM232="","",IF(OR(BP232="Orange - Moderate Risk",BP232="Red - High Risk",BQ232="Yes"),"Yes","No"))</f>
        <v/>
      </c>
    </row>
    <row r="233" customFormat="false" ht="15" hidden="false" customHeight="false" outlineLevel="0" collapsed="false">
      <c r="A233" s="32" t="str">
        <f aca="false">IF(I233="","","STU"&amp;TEXT(ROW()-3,"000000"))</f>
        <v/>
      </c>
      <c r="B233" s="32"/>
      <c r="C233" s="32"/>
      <c r="D233" s="32"/>
      <c r="E233" s="32"/>
      <c r="F233" s="32"/>
      <c r="G233" s="32"/>
      <c r="H233" s="32"/>
      <c r="I233" s="32"/>
      <c r="J233" s="34"/>
      <c r="K233" s="32"/>
      <c r="L233" s="32"/>
      <c r="M233" s="32"/>
      <c r="N233" s="32"/>
      <c r="O233" s="32"/>
      <c r="P233" s="32"/>
      <c r="Q233" s="34"/>
      <c r="R233" s="34"/>
      <c r="S233" s="35" t="str">
        <f aca="false">IF(OR(Q233="",R233=""),"",ROUND(R233/((Q233/100)^2),1))</f>
        <v/>
      </c>
      <c r="T233" s="32" t="str">
        <f aca="false">IF(S233="","",IF(S233&lt;18.5,"Underweight",IF(S233&lt;25,"Normal",IF(S233&lt;30,"Overweight","Obese"))))</f>
        <v/>
      </c>
      <c r="U233" s="34"/>
      <c r="V233" s="34"/>
      <c r="W233" s="32"/>
      <c r="X233" s="32"/>
      <c r="Y233" s="32"/>
      <c r="Z233" s="32"/>
      <c r="AA233" s="32"/>
      <c r="AB233" s="32"/>
      <c r="AC233" s="32"/>
      <c r="AD233" s="32"/>
      <c r="AE233" s="32"/>
      <c r="AF233" s="32"/>
      <c r="AG233" s="32"/>
      <c r="AH233" s="32"/>
      <c r="AI233" s="32"/>
      <c r="AJ233" s="32"/>
      <c r="AK233" s="32"/>
      <c r="AL233" s="32"/>
      <c r="AM233" s="32"/>
      <c r="AN233" s="32"/>
      <c r="AO233" s="32"/>
      <c r="AP233" s="32"/>
      <c r="AQ233" s="32"/>
      <c r="AR233" s="32"/>
      <c r="AS233" s="32"/>
      <c r="AT233" s="32"/>
      <c r="AU233" s="32"/>
      <c r="AV233" s="32"/>
      <c r="AW233" s="32"/>
      <c r="AX233" s="32"/>
      <c r="AY233" s="32"/>
      <c r="AZ233" s="32"/>
      <c r="BA233" s="32"/>
      <c r="BB233" s="32"/>
      <c r="BC233" s="32"/>
      <c r="BD233" s="32"/>
      <c r="BE233" s="32"/>
      <c r="BF233" s="35" t="str">
        <f aca="false">IF(T233="","",IF(T233="Normal",100,IF(T233="Overweight",65,IF(T233="Obese",50,IF(AND(U233&lt;&gt;"",U233&lt;18.5),30,45)))))</f>
        <v/>
      </c>
      <c r="BG233" s="35" t="str">
        <f aca="false">IF(COUNTBLANK(W233:AC233)&gt;0,"",ROUND(AVERAGE(INDEX('SCORING MASTER'!$D$5:$D$7,MATCH(W233,'SCORING MASTER'!$C$5:$C$7,0)),INDEX('SCORING MASTER'!$D$9:$D$11,MATCH(X233,'SCORING MASTER'!$C$9:$C$11,0)),INDEX('SCORING MASTER'!$D$13:$D$15,MATCH(Y233,'SCORING MASTER'!$C$13:$C$15,0)),INDEX('SCORING MASTER'!$D$17:$D$19,MATCH(Z233,'SCORING MASTER'!$C$17:$C$19,0)),INDEX('SCORING MASTER'!$D$21:$D$23,MATCH(AA233,'SCORING MASTER'!$C$21:$C$23,0)),INDEX('SCORING MASTER'!$D$25:$D$27,MATCH(AB233,'SCORING MASTER'!$C$25:$C$27,0)),INDEX('SCORING MASTER'!$D$29:$D$31,MATCH(AC233,'SCORING MASTER'!$C$29:$C$31,0)))*20,0))</f>
        <v/>
      </c>
      <c r="BH233" s="35" t="str">
        <f aca="false">IF(COUNTBLANK(AD233:AI233)&gt;0,"",ROUND(AVERAGE(INDEX('SCORING MASTER'!$D$33:$D$35,MATCH(AD233,'SCORING MASTER'!$C$33:$C$35,0)),INDEX('SCORING MASTER'!$D$37:$D$39,MATCH(AE233,'SCORING MASTER'!$C$37:$C$39,0)),INDEX('SCORING MASTER'!$D$41:$D$43,MATCH(AF233,'SCORING MASTER'!$C$41:$C$43,0)),INDEX('SCORING MASTER'!$D$45:$D$47,MATCH(AG233,'SCORING MASTER'!$C$45:$C$47,0)),INDEX('SCORING MASTER'!$D$49:$D$52,MATCH(AH233,'SCORING MASTER'!$C$49:$C$52,0)),INDEX('SCORING MASTER'!$D$54:$D$57,MATCH(AI233,'SCORING MASTER'!$C$54:$C$57,0)))*20,0))</f>
        <v/>
      </c>
      <c r="BI233" s="35" t="str">
        <f aca="false">IF(COUNTBLANK(AJ233:AP233)&gt;0,"",ROUND(AVERAGE(INDEX('SCORING MASTER'!$D$59:$D$60,MATCH(AJ233,'SCORING MASTER'!$C$59:$C$60,0)),INDEX('SCORING MASTER'!$D$62:$D$63,MATCH(AK233,'SCORING MASTER'!$C$62:$C$63,0)),INDEX('SCORING MASTER'!$D$65:$D$66,MATCH(AL233,'SCORING MASTER'!$C$65:$C$66,0)),INDEX('SCORING MASTER'!$D$68:$D$69,MATCH(AM233,'SCORING MASTER'!$C$68:$C$69,0)),INDEX('SCORING MASTER'!$D$71:$D$72,MATCH(AN233,'SCORING MASTER'!$C$71:$C$72,0)),INDEX('SCORING MASTER'!$D$74:$D$75,MATCH(AO233,'SCORING MASTER'!$C$74:$C$75,0)),INDEX('SCORING MASTER'!$D$77:$D$78,MATCH(AP233,'SCORING MASTER'!$C$77:$C$78,0)))*20,0))</f>
        <v/>
      </c>
      <c r="BJ233" s="35" t="str">
        <f aca="false">IF(COUNTBLANK(AU233:AZ233)&gt;0,"",ROUND(AVERAGE(INDEX('SCORING MASTER'!$D$95:$D$96,MATCH(AU233,'SCORING MASTER'!$C$95:$C$96,0)),INDEX('SCORING MASTER'!$D$98:$D$99,MATCH(AV233,'SCORING MASTER'!$C$98:$C$99,0)),INDEX('SCORING MASTER'!$D$101:$D$102,MATCH(AW233,'SCORING MASTER'!$C$101:$C$102,0)),INDEX('SCORING MASTER'!$D$104:$D$105,MATCH(AX233,'SCORING MASTER'!$C$104:$C$105,0)),INDEX('SCORING MASTER'!$D$107:$D$108,MATCH(AY233,'SCORING MASTER'!$C$107:$C$108,0)),INDEX('SCORING MASTER'!$D$110:$D$111,MATCH(AZ233,'SCORING MASTER'!$C$110:$C$111,0)))*20,0))</f>
        <v/>
      </c>
      <c r="BK233" s="35" t="str">
        <f aca="false">IF(COUNTBLANK(AQ233:AT233)&gt;0,"",ROUND(AVERAGE(INDEX('SCORING MASTER'!$D$80:$D$82,MATCH(AQ233,'SCORING MASTER'!$C$80:$C$82,0)),INDEX('SCORING MASTER'!$D$84:$D$86,MATCH(AR233,'SCORING MASTER'!$C$84:$C$86,0)),INDEX('SCORING MASTER'!$D$88:$D$90,MATCH(AS233,'SCORING MASTER'!$C$88:$C$90,0)),INDEX('SCORING MASTER'!$D$92:$D$93,MATCH(AT233,'SCORING MASTER'!$C$92:$C$93,0)))*20,0))</f>
        <v/>
      </c>
      <c r="BL233" s="35" t="str">
        <f aca="false">IF(COUNTBLANK(BA233:BE233)&gt;0,"",ROUND(AVERAGE(INDEX('SCORING MASTER'!$D$113:$D$115,MATCH(BA233,'SCORING MASTER'!$C$113:$C$115,0)),INDEX('SCORING MASTER'!$D$117:$D$119,MATCH(BB233,'SCORING MASTER'!$C$117:$C$119,0)),INDEX('SCORING MASTER'!$D$121:$D$123,MATCH(BC233,'SCORING MASTER'!$C$121:$C$123,0)),INDEX('SCORING MASTER'!$D$125:$D$126,MATCH(BD233,'SCORING MASTER'!$C$125:$C$126,0)),INDEX('SCORING MASTER'!$D$128:$D$129,MATCH(BE233,'SCORING MASTER'!$C$128:$C$129,0)))*20,0))</f>
        <v/>
      </c>
      <c r="BM233" s="35" t="str">
        <f aca="false">IF(OR(BF233="",BG233="",BH233="",BI233="",BJ233="",BK233="",BL233=""),"",ROUND(BF233*0.25+BG233*0.2+BH233*0.15+BI233*0.15+BJ233*0.1+BK233*0.1+BL233*0.05,0))</f>
        <v/>
      </c>
      <c r="BN233" s="35" t="str">
        <f aca="false">IF(OR(BF233="",BG233=""),"",ROUND(BF233*0.5+BG233*0.5,0))</f>
        <v/>
      </c>
      <c r="BO233" s="35" t="str">
        <f aca="false">IF(BN233="","",ROUND(MIN(100,MAX(0,(100-BN233)+IF(AL233="Yes",15,0)+IF(AM233="Yes",15,0)+IF(AND(U233&lt;&gt;"",U233&lt;18.5),20,0))),0))</f>
        <v/>
      </c>
      <c r="BP233" s="32" t="str">
        <f aca="false">IF(BM233="","",IF(BM233&gt;=90,"Green - Healthy",IF(BM233&gt;=75,"Light Green - Mild Watch",IF(BM233&gt;=60,"Yellow - Mild Risk",IF(BM233&gt;=40,"Orange - Moderate Risk","Red - High Risk")))))</f>
        <v/>
      </c>
      <c r="BQ233" s="32" t="str">
        <f aca="false">IF(BM233="","",IF(OR(BM233&lt;60,BO233&gt;=60,AJ233="Yes"),"Yes","No"))</f>
        <v/>
      </c>
      <c r="BR233" s="32" t="str">
        <f aca="false">IF(BM233="","",IF(OR(BP233="Orange - Moderate Risk",BP233="Red - High Risk",BQ233="Yes"),"Yes","No"))</f>
        <v/>
      </c>
    </row>
    <row r="234" customFormat="false" ht="15" hidden="false" customHeight="false" outlineLevel="0" collapsed="false">
      <c r="A234" s="28" t="str">
        <f aca="false">IF(I234="","","STU"&amp;TEXT(ROW()-3,"000000"))</f>
        <v/>
      </c>
      <c r="B234" s="28"/>
      <c r="C234" s="28"/>
      <c r="D234" s="28"/>
      <c r="E234" s="28"/>
      <c r="F234" s="28"/>
      <c r="G234" s="28"/>
      <c r="H234" s="28"/>
      <c r="I234" s="28"/>
      <c r="J234" s="30"/>
      <c r="K234" s="28"/>
      <c r="L234" s="28"/>
      <c r="M234" s="28"/>
      <c r="N234" s="28"/>
      <c r="O234" s="28"/>
      <c r="P234" s="28"/>
      <c r="Q234" s="30"/>
      <c r="R234" s="30"/>
      <c r="S234" s="31" t="str">
        <f aca="false">IF(OR(Q234="",R234=""),"",ROUND(R234/((Q234/100)^2),1))</f>
        <v/>
      </c>
      <c r="T234" s="28" t="str">
        <f aca="false">IF(S234="","",IF(S234&lt;18.5,"Underweight",IF(S234&lt;25,"Normal",IF(S234&lt;30,"Overweight","Obese"))))</f>
        <v/>
      </c>
      <c r="U234" s="30"/>
      <c r="V234" s="30"/>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c r="BE234" s="28"/>
      <c r="BF234" s="31" t="str">
        <f aca="false">IF(T234="","",IF(T234="Normal",100,IF(T234="Overweight",65,IF(T234="Obese",50,IF(AND(U234&lt;&gt;"",U234&lt;18.5),30,45)))))</f>
        <v/>
      </c>
      <c r="BG234" s="31" t="str">
        <f aca="false">IF(COUNTBLANK(W234:AC234)&gt;0,"",ROUND(AVERAGE(INDEX('SCORING MASTER'!$D$5:$D$7,MATCH(W234,'SCORING MASTER'!$C$5:$C$7,0)),INDEX('SCORING MASTER'!$D$9:$D$11,MATCH(X234,'SCORING MASTER'!$C$9:$C$11,0)),INDEX('SCORING MASTER'!$D$13:$D$15,MATCH(Y234,'SCORING MASTER'!$C$13:$C$15,0)),INDEX('SCORING MASTER'!$D$17:$D$19,MATCH(Z234,'SCORING MASTER'!$C$17:$C$19,0)),INDEX('SCORING MASTER'!$D$21:$D$23,MATCH(AA234,'SCORING MASTER'!$C$21:$C$23,0)),INDEX('SCORING MASTER'!$D$25:$D$27,MATCH(AB234,'SCORING MASTER'!$C$25:$C$27,0)),INDEX('SCORING MASTER'!$D$29:$D$31,MATCH(AC234,'SCORING MASTER'!$C$29:$C$31,0)))*20,0))</f>
        <v/>
      </c>
      <c r="BH234" s="31" t="str">
        <f aca="false">IF(COUNTBLANK(AD234:AI234)&gt;0,"",ROUND(AVERAGE(INDEX('SCORING MASTER'!$D$33:$D$35,MATCH(AD234,'SCORING MASTER'!$C$33:$C$35,0)),INDEX('SCORING MASTER'!$D$37:$D$39,MATCH(AE234,'SCORING MASTER'!$C$37:$C$39,0)),INDEX('SCORING MASTER'!$D$41:$D$43,MATCH(AF234,'SCORING MASTER'!$C$41:$C$43,0)),INDEX('SCORING MASTER'!$D$45:$D$47,MATCH(AG234,'SCORING MASTER'!$C$45:$C$47,0)),INDEX('SCORING MASTER'!$D$49:$D$52,MATCH(AH234,'SCORING MASTER'!$C$49:$C$52,0)),INDEX('SCORING MASTER'!$D$54:$D$57,MATCH(AI234,'SCORING MASTER'!$C$54:$C$57,0)))*20,0))</f>
        <v/>
      </c>
      <c r="BI234" s="31" t="str">
        <f aca="false">IF(COUNTBLANK(AJ234:AP234)&gt;0,"",ROUND(AVERAGE(INDEX('SCORING MASTER'!$D$59:$D$60,MATCH(AJ234,'SCORING MASTER'!$C$59:$C$60,0)),INDEX('SCORING MASTER'!$D$62:$D$63,MATCH(AK234,'SCORING MASTER'!$C$62:$C$63,0)),INDEX('SCORING MASTER'!$D$65:$D$66,MATCH(AL234,'SCORING MASTER'!$C$65:$C$66,0)),INDEX('SCORING MASTER'!$D$68:$D$69,MATCH(AM234,'SCORING MASTER'!$C$68:$C$69,0)),INDEX('SCORING MASTER'!$D$71:$D$72,MATCH(AN234,'SCORING MASTER'!$C$71:$C$72,0)),INDEX('SCORING MASTER'!$D$74:$D$75,MATCH(AO234,'SCORING MASTER'!$C$74:$C$75,0)),INDEX('SCORING MASTER'!$D$77:$D$78,MATCH(AP234,'SCORING MASTER'!$C$77:$C$78,0)))*20,0))</f>
        <v/>
      </c>
      <c r="BJ234" s="31" t="str">
        <f aca="false">IF(COUNTBLANK(AU234:AZ234)&gt;0,"",ROUND(AVERAGE(INDEX('SCORING MASTER'!$D$95:$D$96,MATCH(AU234,'SCORING MASTER'!$C$95:$C$96,0)),INDEX('SCORING MASTER'!$D$98:$D$99,MATCH(AV234,'SCORING MASTER'!$C$98:$C$99,0)),INDEX('SCORING MASTER'!$D$101:$D$102,MATCH(AW234,'SCORING MASTER'!$C$101:$C$102,0)),INDEX('SCORING MASTER'!$D$104:$D$105,MATCH(AX234,'SCORING MASTER'!$C$104:$C$105,0)),INDEX('SCORING MASTER'!$D$107:$D$108,MATCH(AY234,'SCORING MASTER'!$C$107:$C$108,0)),INDEX('SCORING MASTER'!$D$110:$D$111,MATCH(AZ234,'SCORING MASTER'!$C$110:$C$111,0)))*20,0))</f>
        <v/>
      </c>
      <c r="BK234" s="31" t="str">
        <f aca="false">IF(COUNTBLANK(AQ234:AT234)&gt;0,"",ROUND(AVERAGE(INDEX('SCORING MASTER'!$D$80:$D$82,MATCH(AQ234,'SCORING MASTER'!$C$80:$C$82,0)),INDEX('SCORING MASTER'!$D$84:$D$86,MATCH(AR234,'SCORING MASTER'!$C$84:$C$86,0)),INDEX('SCORING MASTER'!$D$88:$D$90,MATCH(AS234,'SCORING MASTER'!$C$88:$C$90,0)),INDEX('SCORING MASTER'!$D$92:$D$93,MATCH(AT234,'SCORING MASTER'!$C$92:$C$93,0)))*20,0))</f>
        <v/>
      </c>
      <c r="BL234" s="31" t="str">
        <f aca="false">IF(COUNTBLANK(BA234:BE234)&gt;0,"",ROUND(AVERAGE(INDEX('SCORING MASTER'!$D$113:$D$115,MATCH(BA234,'SCORING MASTER'!$C$113:$C$115,0)),INDEX('SCORING MASTER'!$D$117:$D$119,MATCH(BB234,'SCORING MASTER'!$C$117:$C$119,0)),INDEX('SCORING MASTER'!$D$121:$D$123,MATCH(BC234,'SCORING MASTER'!$C$121:$C$123,0)),INDEX('SCORING MASTER'!$D$125:$D$126,MATCH(BD234,'SCORING MASTER'!$C$125:$C$126,0)),INDEX('SCORING MASTER'!$D$128:$D$129,MATCH(BE234,'SCORING MASTER'!$C$128:$C$129,0)))*20,0))</f>
        <v/>
      </c>
      <c r="BM234" s="31" t="str">
        <f aca="false">IF(OR(BF234="",BG234="",BH234="",BI234="",BJ234="",BK234="",BL234=""),"",ROUND(BF234*0.25+BG234*0.2+BH234*0.15+BI234*0.15+BJ234*0.1+BK234*0.1+BL234*0.05,0))</f>
        <v/>
      </c>
      <c r="BN234" s="31" t="str">
        <f aca="false">IF(OR(BF234="",BG234=""),"",ROUND(BF234*0.5+BG234*0.5,0))</f>
        <v/>
      </c>
      <c r="BO234" s="31" t="str">
        <f aca="false">IF(BN234="","",ROUND(MIN(100,MAX(0,(100-BN234)+IF(AL234="Yes",15,0)+IF(AM234="Yes",15,0)+IF(AND(U234&lt;&gt;"",U234&lt;18.5),20,0))),0))</f>
        <v/>
      </c>
      <c r="BP234" s="28" t="str">
        <f aca="false">IF(BM234="","",IF(BM234&gt;=90,"Green - Healthy",IF(BM234&gt;=75,"Light Green - Mild Watch",IF(BM234&gt;=60,"Yellow - Mild Risk",IF(BM234&gt;=40,"Orange - Moderate Risk","Red - High Risk")))))</f>
        <v/>
      </c>
      <c r="BQ234" s="28" t="str">
        <f aca="false">IF(BM234="","",IF(OR(BM234&lt;60,BO234&gt;=60,AJ234="Yes"),"Yes","No"))</f>
        <v/>
      </c>
      <c r="BR234" s="28" t="str">
        <f aca="false">IF(BM234="","",IF(OR(BP234="Orange - Moderate Risk",BP234="Red - High Risk",BQ234="Yes"),"Yes","No"))</f>
        <v/>
      </c>
    </row>
    <row r="235" customFormat="false" ht="15" hidden="false" customHeight="false" outlineLevel="0" collapsed="false">
      <c r="A235" s="32" t="str">
        <f aca="false">IF(I235="","","STU"&amp;TEXT(ROW()-3,"000000"))</f>
        <v/>
      </c>
      <c r="B235" s="32"/>
      <c r="C235" s="32"/>
      <c r="D235" s="32"/>
      <c r="E235" s="32"/>
      <c r="F235" s="32"/>
      <c r="G235" s="32"/>
      <c r="H235" s="32"/>
      <c r="I235" s="32"/>
      <c r="J235" s="34"/>
      <c r="K235" s="32"/>
      <c r="L235" s="32"/>
      <c r="M235" s="32"/>
      <c r="N235" s="32"/>
      <c r="O235" s="32"/>
      <c r="P235" s="32"/>
      <c r="Q235" s="34"/>
      <c r="R235" s="34"/>
      <c r="S235" s="35" t="str">
        <f aca="false">IF(OR(Q235="",R235=""),"",ROUND(R235/((Q235/100)^2),1))</f>
        <v/>
      </c>
      <c r="T235" s="32" t="str">
        <f aca="false">IF(S235="","",IF(S235&lt;18.5,"Underweight",IF(S235&lt;25,"Normal",IF(S235&lt;30,"Overweight","Obese"))))</f>
        <v/>
      </c>
      <c r="U235" s="34"/>
      <c r="V235" s="34"/>
      <c r="W235" s="32"/>
      <c r="X235" s="32"/>
      <c r="Y235" s="32"/>
      <c r="Z235" s="32"/>
      <c r="AA235" s="32"/>
      <c r="AB235" s="32"/>
      <c r="AC235" s="32"/>
      <c r="AD235" s="32"/>
      <c r="AE235" s="32"/>
      <c r="AF235" s="32"/>
      <c r="AG235" s="32"/>
      <c r="AH235" s="32"/>
      <c r="AI235" s="32"/>
      <c r="AJ235" s="32"/>
      <c r="AK235" s="32"/>
      <c r="AL235" s="32"/>
      <c r="AM235" s="32"/>
      <c r="AN235" s="32"/>
      <c r="AO235" s="32"/>
      <c r="AP235" s="32"/>
      <c r="AQ235" s="32"/>
      <c r="AR235" s="32"/>
      <c r="AS235" s="32"/>
      <c r="AT235" s="32"/>
      <c r="AU235" s="32"/>
      <c r="AV235" s="32"/>
      <c r="AW235" s="32"/>
      <c r="AX235" s="32"/>
      <c r="AY235" s="32"/>
      <c r="AZ235" s="32"/>
      <c r="BA235" s="32"/>
      <c r="BB235" s="32"/>
      <c r="BC235" s="32"/>
      <c r="BD235" s="32"/>
      <c r="BE235" s="32"/>
      <c r="BF235" s="35" t="str">
        <f aca="false">IF(T235="","",IF(T235="Normal",100,IF(T235="Overweight",65,IF(T235="Obese",50,IF(AND(U235&lt;&gt;"",U235&lt;18.5),30,45)))))</f>
        <v/>
      </c>
      <c r="BG235" s="35" t="str">
        <f aca="false">IF(COUNTBLANK(W235:AC235)&gt;0,"",ROUND(AVERAGE(INDEX('SCORING MASTER'!$D$5:$D$7,MATCH(W235,'SCORING MASTER'!$C$5:$C$7,0)),INDEX('SCORING MASTER'!$D$9:$D$11,MATCH(X235,'SCORING MASTER'!$C$9:$C$11,0)),INDEX('SCORING MASTER'!$D$13:$D$15,MATCH(Y235,'SCORING MASTER'!$C$13:$C$15,0)),INDEX('SCORING MASTER'!$D$17:$D$19,MATCH(Z235,'SCORING MASTER'!$C$17:$C$19,0)),INDEX('SCORING MASTER'!$D$21:$D$23,MATCH(AA235,'SCORING MASTER'!$C$21:$C$23,0)),INDEX('SCORING MASTER'!$D$25:$D$27,MATCH(AB235,'SCORING MASTER'!$C$25:$C$27,0)),INDEX('SCORING MASTER'!$D$29:$D$31,MATCH(AC235,'SCORING MASTER'!$C$29:$C$31,0)))*20,0))</f>
        <v/>
      </c>
      <c r="BH235" s="35" t="str">
        <f aca="false">IF(COUNTBLANK(AD235:AI235)&gt;0,"",ROUND(AVERAGE(INDEX('SCORING MASTER'!$D$33:$D$35,MATCH(AD235,'SCORING MASTER'!$C$33:$C$35,0)),INDEX('SCORING MASTER'!$D$37:$D$39,MATCH(AE235,'SCORING MASTER'!$C$37:$C$39,0)),INDEX('SCORING MASTER'!$D$41:$D$43,MATCH(AF235,'SCORING MASTER'!$C$41:$C$43,0)),INDEX('SCORING MASTER'!$D$45:$D$47,MATCH(AG235,'SCORING MASTER'!$C$45:$C$47,0)),INDEX('SCORING MASTER'!$D$49:$D$52,MATCH(AH235,'SCORING MASTER'!$C$49:$C$52,0)),INDEX('SCORING MASTER'!$D$54:$D$57,MATCH(AI235,'SCORING MASTER'!$C$54:$C$57,0)))*20,0))</f>
        <v/>
      </c>
      <c r="BI235" s="35" t="str">
        <f aca="false">IF(COUNTBLANK(AJ235:AP235)&gt;0,"",ROUND(AVERAGE(INDEX('SCORING MASTER'!$D$59:$D$60,MATCH(AJ235,'SCORING MASTER'!$C$59:$C$60,0)),INDEX('SCORING MASTER'!$D$62:$D$63,MATCH(AK235,'SCORING MASTER'!$C$62:$C$63,0)),INDEX('SCORING MASTER'!$D$65:$D$66,MATCH(AL235,'SCORING MASTER'!$C$65:$C$66,0)),INDEX('SCORING MASTER'!$D$68:$D$69,MATCH(AM235,'SCORING MASTER'!$C$68:$C$69,0)),INDEX('SCORING MASTER'!$D$71:$D$72,MATCH(AN235,'SCORING MASTER'!$C$71:$C$72,0)),INDEX('SCORING MASTER'!$D$74:$D$75,MATCH(AO235,'SCORING MASTER'!$C$74:$C$75,0)),INDEX('SCORING MASTER'!$D$77:$D$78,MATCH(AP235,'SCORING MASTER'!$C$77:$C$78,0)))*20,0))</f>
        <v/>
      </c>
      <c r="BJ235" s="35" t="str">
        <f aca="false">IF(COUNTBLANK(AU235:AZ235)&gt;0,"",ROUND(AVERAGE(INDEX('SCORING MASTER'!$D$95:$D$96,MATCH(AU235,'SCORING MASTER'!$C$95:$C$96,0)),INDEX('SCORING MASTER'!$D$98:$D$99,MATCH(AV235,'SCORING MASTER'!$C$98:$C$99,0)),INDEX('SCORING MASTER'!$D$101:$D$102,MATCH(AW235,'SCORING MASTER'!$C$101:$C$102,0)),INDEX('SCORING MASTER'!$D$104:$D$105,MATCH(AX235,'SCORING MASTER'!$C$104:$C$105,0)),INDEX('SCORING MASTER'!$D$107:$D$108,MATCH(AY235,'SCORING MASTER'!$C$107:$C$108,0)),INDEX('SCORING MASTER'!$D$110:$D$111,MATCH(AZ235,'SCORING MASTER'!$C$110:$C$111,0)))*20,0))</f>
        <v/>
      </c>
      <c r="BK235" s="35" t="str">
        <f aca="false">IF(COUNTBLANK(AQ235:AT235)&gt;0,"",ROUND(AVERAGE(INDEX('SCORING MASTER'!$D$80:$D$82,MATCH(AQ235,'SCORING MASTER'!$C$80:$C$82,0)),INDEX('SCORING MASTER'!$D$84:$D$86,MATCH(AR235,'SCORING MASTER'!$C$84:$C$86,0)),INDEX('SCORING MASTER'!$D$88:$D$90,MATCH(AS235,'SCORING MASTER'!$C$88:$C$90,0)),INDEX('SCORING MASTER'!$D$92:$D$93,MATCH(AT235,'SCORING MASTER'!$C$92:$C$93,0)))*20,0))</f>
        <v/>
      </c>
      <c r="BL235" s="35" t="str">
        <f aca="false">IF(COUNTBLANK(BA235:BE235)&gt;0,"",ROUND(AVERAGE(INDEX('SCORING MASTER'!$D$113:$D$115,MATCH(BA235,'SCORING MASTER'!$C$113:$C$115,0)),INDEX('SCORING MASTER'!$D$117:$D$119,MATCH(BB235,'SCORING MASTER'!$C$117:$C$119,0)),INDEX('SCORING MASTER'!$D$121:$D$123,MATCH(BC235,'SCORING MASTER'!$C$121:$C$123,0)),INDEX('SCORING MASTER'!$D$125:$D$126,MATCH(BD235,'SCORING MASTER'!$C$125:$C$126,0)),INDEX('SCORING MASTER'!$D$128:$D$129,MATCH(BE235,'SCORING MASTER'!$C$128:$C$129,0)))*20,0))</f>
        <v/>
      </c>
      <c r="BM235" s="35" t="str">
        <f aca="false">IF(OR(BF235="",BG235="",BH235="",BI235="",BJ235="",BK235="",BL235=""),"",ROUND(BF235*0.25+BG235*0.2+BH235*0.15+BI235*0.15+BJ235*0.1+BK235*0.1+BL235*0.05,0))</f>
        <v/>
      </c>
      <c r="BN235" s="35" t="str">
        <f aca="false">IF(OR(BF235="",BG235=""),"",ROUND(BF235*0.5+BG235*0.5,0))</f>
        <v/>
      </c>
      <c r="BO235" s="35" t="str">
        <f aca="false">IF(BN235="","",ROUND(MIN(100,MAX(0,(100-BN235)+IF(AL235="Yes",15,0)+IF(AM235="Yes",15,0)+IF(AND(U235&lt;&gt;"",U235&lt;18.5),20,0))),0))</f>
        <v/>
      </c>
      <c r="BP235" s="32" t="str">
        <f aca="false">IF(BM235="","",IF(BM235&gt;=90,"Green - Healthy",IF(BM235&gt;=75,"Light Green - Mild Watch",IF(BM235&gt;=60,"Yellow - Mild Risk",IF(BM235&gt;=40,"Orange - Moderate Risk","Red - High Risk")))))</f>
        <v/>
      </c>
      <c r="BQ235" s="32" t="str">
        <f aca="false">IF(BM235="","",IF(OR(BM235&lt;60,BO235&gt;=60,AJ235="Yes"),"Yes","No"))</f>
        <v/>
      </c>
      <c r="BR235" s="32" t="str">
        <f aca="false">IF(BM235="","",IF(OR(BP235="Orange - Moderate Risk",BP235="Red - High Risk",BQ235="Yes"),"Yes","No"))</f>
        <v/>
      </c>
    </row>
    <row r="236" customFormat="false" ht="15" hidden="false" customHeight="false" outlineLevel="0" collapsed="false">
      <c r="A236" s="28" t="str">
        <f aca="false">IF(I236="","","STU"&amp;TEXT(ROW()-3,"000000"))</f>
        <v/>
      </c>
      <c r="B236" s="28"/>
      <c r="C236" s="28"/>
      <c r="D236" s="28"/>
      <c r="E236" s="28"/>
      <c r="F236" s="28"/>
      <c r="G236" s="28"/>
      <c r="H236" s="28"/>
      <c r="I236" s="28"/>
      <c r="J236" s="30"/>
      <c r="K236" s="28"/>
      <c r="L236" s="28"/>
      <c r="M236" s="28"/>
      <c r="N236" s="28"/>
      <c r="O236" s="28"/>
      <c r="P236" s="28"/>
      <c r="Q236" s="30"/>
      <c r="R236" s="30"/>
      <c r="S236" s="31" t="str">
        <f aca="false">IF(OR(Q236="",R236=""),"",ROUND(R236/((Q236/100)^2),1))</f>
        <v/>
      </c>
      <c r="T236" s="28" t="str">
        <f aca="false">IF(S236="","",IF(S236&lt;18.5,"Underweight",IF(S236&lt;25,"Normal",IF(S236&lt;30,"Overweight","Obese"))))</f>
        <v/>
      </c>
      <c r="U236" s="30"/>
      <c r="V236" s="30"/>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c r="BD236" s="28"/>
      <c r="BE236" s="28"/>
      <c r="BF236" s="31" t="str">
        <f aca="false">IF(T236="","",IF(T236="Normal",100,IF(T236="Overweight",65,IF(T236="Obese",50,IF(AND(U236&lt;&gt;"",U236&lt;18.5),30,45)))))</f>
        <v/>
      </c>
      <c r="BG236" s="31" t="str">
        <f aca="false">IF(COUNTBLANK(W236:AC236)&gt;0,"",ROUND(AVERAGE(INDEX('SCORING MASTER'!$D$5:$D$7,MATCH(W236,'SCORING MASTER'!$C$5:$C$7,0)),INDEX('SCORING MASTER'!$D$9:$D$11,MATCH(X236,'SCORING MASTER'!$C$9:$C$11,0)),INDEX('SCORING MASTER'!$D$13:$D$15,MATCH(Y236,'SCORING MASTER'!$C$13:$C$15,0)),INDEX('SCORING MASTER'!$D$17:$D$19,MATCH(Z236,'SCORING MASTER'!$C$17:$C$19,0)),INDEX('SCORING MASTER'!$D$21:$D$23,MATCH(AA236,'SCORING MASTER'!$C$21:$C$23,0)),INDEX('SCORING MASTER'!$D$25:$D$27,MATCH(AB236,'SCORING MASTER'!$C$25:$C$27,0)),INDEX('SCORING MASTER'!$D$29:$D$31,MATCH(AC236,'SCORING MASTER'!$C$29:$C$31,0)))*20,0))</f>
        <v/>
      </c>
      <c r="BH236" s="31" t="str">
        <f aca="false">IF(COUNTBLANK(AD236:AI236)&gt;0,"",ROUND(AVERAGE(INDEX('SCORING MASTER'!$D$33:$D$35,MATCH(AD236,'SCORING MASTER'!$C$33:$C$35,0)),INDEX('SCORING MASTER'!$D$37:$D$39,MATCH(AE236,'SCORING MASTER'!$C$37:$C$39,0)),INDEX('SCORING MASTER'!$D$41:$D$43,MATCH(AF236,'SCORING MASTER'!$C$41:$C$43,0)),INDEX('SCORING MASTER'!$D$45:$D$47,MATCH(AG236,'SCORING MASTER'!$C$45:$C$47,0)),INDEX('SCORING MASTER'!$D$49:$D$52,MATCH(AH236,'SCORING MASTER'!$C$49:$C$52,0)),INDEX('SCORING MASTER'!$D$54:$D$57,MATCH(AI236,'SCORING MASTER'!$C$54:$C$57,0)))*20,0))</f>
        <v/>
      </c>
      <c r="BI236" s="31" t="str">
        <f aca="false">IF(COUNTBLANK(AJ236:AP236)&gt;0,"",ROUND(AVERAGE(INDEX('SCORING MASTER'!$D$59:$D$60,MATCH(AJ236,'SCORING MASTER'!$C$59:$C$60,0)),INDEX('SCORING MASTER'!$D$62:$D$63,MATCH(AK236,'SCORING MASTER'!$C$62:$C$63,0)),INDEX('SCORING MASTER'!$D$65:$D$66,MATCH(AL236,'SCORING MASTER'!$C$65:$C$66,0)),INDEX('SCORING MASTER'!$D$68:$D$69,MATCH(AM236,'SCORING MASTER'!$C$68:$C$69,0)),INDEX('SCORING MASTER'!$D$71:$D$72,MATCH(AN236,'SCORING MASTER'!$C$71:$C$72,0)),INDEX('SCORING MASTER'!$D$74:$D$75,MATCH(AO236,'SCORING MASTER'!$C$74:$C$75,0)),INDEX('SCORING MASTER'!$D$77:$D$78,MATCH(AP236,'SCORING MASTER'!$C$77:$C$78,0)))*20,0))</f>
        <v/>
      </c>
      <c r="BJ236" s="31" t="str">
        <f aca="false">IF(COUNTBLANK(AU236:AZ236)&gt;0,"",ROUND(AVERAGE(INDEX('SCORING MASTER'!$D$95:$D$96,MATCH(AU236,'SCORING MASTER'!$C$95:$C$96,0)),INDEX('SCORING MASTER'!$D$98:$D$99,MATCH(AV236,'SCORING MASTER'!$C$98:$C$99,0)),INDEX('SCORING MASTER'!$D$101:$D$102,MATCH(AW236,'SCORING MASTER'!$C$101:$C$102,0)),INDEX('SCORING MASTER'!$D$104:$D$105,MATCH(AX236,'SCORING MASTER'!$C$104:$C$105,0)),INDEX('SCORING MASTER'!$D$107:$D$108,MATCH(AY236,'SCORING MASTER'!$C$107:$C$108,0)),INDEX('SCORING MASTER'!$D$110:$D$111,MATCH(AZ236,'SCORING MASTER'!$C$110:$C$111,0)))*20,0))</f>
        <v/>
      </c>
      <c r="BK236" s="31" t="str">
        <f aca="false">IF(COUNTBLANK(AQ236:AT236)&gt;0,"",ROUND(AVERAGE(INDEX('SCORING MASTER'!$D$80:$D$82,MATCH(AQ236,'SCORING MASTER'!$C$80:$C$82,0)),INDEX('SCORING MASTER'!$D$84:$D$86,MATCH(AR236,'SCORING MASTER'!$C$84:$C$86,0)),INDEX('SCORING MASTER'!$D$88:$D$90,MATCH(AS236,'SCORING MASTER'!$C$88:$C$90,0)),INDEX('SCORING MASTER'!$D$92:$D$93,MATCH(AT236,'SCORING MASTER'!$C$92:$C$93,0)))*20,0))</f>
        <v/>
      </c>
      <c r="BL236" s="31" t="str">
        <f aca="false">IF(COUNTBLANK(BA236:BE236)&gt;0,"",ROUND(AVERAGE(INDEX('SCORING MASTER'!$D$113:$D$115,MATCH(BA236,'SCORING MASTER'!$C$113:$C$115,0)),INDEX('SCORING MASTER'!$D$117:$D$119,MATCH(BB236,'SCORING MASTER'!$C$117:$C$119,0)),INDEX('SCORING MASTER'!$D$121:$D$123,MATCH(BC236,'SCORING MASTER'!$C$121:$C$123,0)),INDEX('SCORING MASTER'!$D$125:$D$126,MATCH(BD236,'SCORING MASTER'!$C$125:$C$126,0)),INDEX('SCORING MASTER'!$D$128:$D$129,MATCH(BE236,'SCORING MASTER'!$C$128:$C$129,0)))*20,0))</f>
        <v/>
      </c>
      <c r="BM236" s="31" t="str">
        <f aca="false">IF(OR(BF236="",BG236="",BH236="",BI236="",BJ236="",BK236="",BL236=""),"",ROUND(BF236*0.25+BG236*0.2+BH236*0.15+BI236*0.15+BJ236*0.1+BK236*0.1+BL236*0.05,0))</f>
        <v/>
      </c>
      <c r="BN236" s="31" t="str">
        <f aca="false">IF(OR(BF236="",BG236=""),"",ROUND(BF236*0.5+BG236*0.5,0))</f>
        <v/>
      </c>
      <c r="BO236" s="31" t="str">
        <f aca="false">IF(BN236="","",ROUND(MIN(100,MAX(0,(100-BN236)+IF(AL236="Yes",15,0)+IF(AM236="Yes",15,0)+IF(AND(U236&lt;&gt;"",U236&lt;18.5),20,0))),0))</f>
        <v/>
      </c>
      <c r="BP236" s="28" t="str">
        <f aca="false">IF(BM236="","",IF(BM236&gt;=90,"Green - Healthy",IF(BM236&gt;=75,"Light Green - Mild Watch",IF(BM236&gt;=60,"Yellow - Mild Risk",IF(BM236&gt;=40,"Orange - Moderate Risk","Red - High Risk")))))</f>
        <v/>
      </c>
      <c r="BQ236" s="28" t="str">
        <f aca="false">IF(BM236="","",IF(OR(BM236&lt;60,BO236&gt;=60,AJ236="Yes"),"Yes","No"))</f>
        <v/>
      </c>
      <c r="BR236" s="28" t="str">
        <f aca="false">IF(BM236="","",IF(OR(BP236="Orange - Moderate Risk",BP236="Red - High Risk",BQ236="Yes"),"Yes","No"))</f>
        <v/>
      </c>
    </row>
    <row r="237" customFormat="false" ht="15" hidden="false" customHeight="false" outlineLevel="0" collapsed="false">
      <c r="A237" s="32" t="str">
        <f aca="false">IF(I237="","","STU"&amp;TEXT(ROW()-3,"000000"))</f>
        <v/>
      </c>
      <c r="B237" s="32"/>
      <c r="C237" s="32"/>
      <c r="D237" s="32"/>
      <c r="E237" s="32"/>
      <c r="F237" s="32"/>
      <c r="G237" s="32"/>
      <c r="H237" s="32"/>
      <c r="I237" s="32"/>
      <c r="J237" s="34"/>
      <c r="K237" s="32"/>
      <c r="L237" s="32"/>
      <c r="M237" s="32"/>
      <c r="N237" s="32"/>
      <c r="O237" s="32"/>
      <c r="P237" s="32"/>
      <c r="Q237" s="34"/>
      <c r="R237" s="34"/>
      <c r="S237" s="35" t="str">
        <f aca="false">IF(OR(Q237="",R237=""),"",ROUND(R237/((Q237/100)^2),1))</f>
        <v/>
      </c>
      <c r="T237" s="32" t="str">
        <f aca="false">IF(S237="","",IF(S237&lt;18.5,"Underweight",IF(S237&lt;25,"Normal",IF(S237&lt;30,"Overweight","Obese"))))</f>
        <v/>
      </c>
      <c r="U237" s="34"/>
      <c r="V237" s="34"/>
      <c r="W237" s="32"/>
      <c r="X237" s="32"/>
      <c r="Y237" s="32"/>
      <c r="Z237" s="32"/>
      <c r="AA237" s="32"/>
      <c r="AB237" s="32"/>
      <c r="AC237" s="32"/>
      <c r="AD237" s="32"/>
      <c r="AE237" s="32"/>
      <c r="AF237" s="32"/>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5" t="str">
        <f aca="false">IF(T237="","",IF(T237="Normal",100,IF(T237="Overweight",65,IF(T237="Obese",50,IF(AND(U237&lt;&gt;"",U237&lt;18.5),30,45)))))</f>
        <v/>
      </c>
      <c r="BG237" s="35" t="str">
        <f aca="false">IF(COUNTBLANK(W237:AC237)&gt;0,"",ROUND(AVERAGE(INDEX('SCORING MASTER'!$D$5:$D$7,MATCH(W237,'SCORING MASTER'!$C$5:$C$7,0)),INDEX('SCORING MASTER'!$D$9:$D$11,MATCH(X237,'SCORING MASTER'!$C$9:$C$11,0)),INDEX('SCORING MASTER'!$D$13:$D$15,MATCH(Y237,'SCORING MASTER'!$C$13:$C$15,0)),INDEX('SCORING MASTER'!$D$17:$D$19,MATCH(Z237,'SCORING MASTER'!$C$17:$C$19,0)),INDEX('SCORING MASTER'!$D$21:$D$23,MATCH(AA237,'SCORING MASTER'!$C$21:$C$23,0)),INDEX('SCORING MASTER'!$D$25:$D$27,MATCH(AB237,'SCORING MASTER'!$C$25:$C$27,0)),INDEX('SCORING MASTER'!$D$29:$D$31,MATCH(AC237,'SCORING MASTER'!$C$29:$C$31,0)))*20,0))</f>
        <v/>
      </c>
      <c r="BH237" s="35" t="str">
        <f aca="false">IF(COUNTBLANK(AD237:AI237)&gt;0,"",ROUND(AVERAGE(INDEX('SCORING MASTER'!$D$33:$D$35,MATCH(AD237,'SCORING MASTER'!$C$33:$C$35,0)),INDEX('SCORING MASTER'!$D$37:$D$39,MATCH(AE237,'SCORING MASTER'!$C$37:$C$39,0)),INDEX('SCORING MASTER'!$D$41:$D$43,MATCH(AF237,'SCORING MASTER'!$C$41:$C$43,0)),INDEX('SCORING MASTER'!$D$45:$D$47,MATCH(AG237,'SCORING MASTER'!$C$45:$C$47,0)),INDEX('SCORING MASTER'!$D$49:$D$52,MATCH(AH237,'SCORING MASTER'!$C$49:$C$52,0)),INDEX('SCORING MASTER'!$D$54:$D$57,MATCH(AI237,'SCORING MASTER'!$C$54:$C$57,0)))*20,0))</f>
        <v/>
      </c>
      <c r="BI237" s="35" t="str">
        <f aca="false">IF(COUNTBLANK(AJ237:AP237)&gt;0,"",ROUND(AVERAGE(INDEX('SCORING MASTER'!$D$59:$D$60,MATCH(AJ237,'SCORING MASTER'!$C$59:$C$60,0)),INDEX('SCORING MASTER'!$D$62:$D$63,MATCH(AK237,'SCORING MASTER'!$C$62:$C$63,0)),INDEX('SCORING MASTER'!$D$65:$D$66,MATCH(AL237,'SCORING MASTER'!$C$65:$C$66,0)),INDEX('SCORING MASTER'!$D$68:$D$69,MATCH(AM237,'SCORING MASTER'!$C$68:$C$69,0)),INDEX('SCORING MASTER'!$D$71:$D$72,MATCH(AN237,'SCORING MASTER'!$C$71:$C$72,0)),INDEX('SCORING MASTER'!$D$74:$D$75,MATCH(AO237,'SCORING MASTER'!$C$74:$C$75,0)),INDEX('SCORING MASTER'!$D$77:$D$78,MATCH(AP237,'SCORING MASTER'!$C$77:$C$78,0)))*20,0))</f>
        <v/>
      </c>
      <c r="BJ237" s="35" t="str">
        <f aca="false">IF(COUNTBLANK(AU237:AZ237)&gt;0,"",ROUND(AVERAGE(INDEX('SCORING MASTER'!$D$95:$D$96,MATCH(AU237,'SCORING MASTER'!$C$95:$C$96,0)),INDEX('SCORING MASTER'!$D$98:$D$99,MATCH(AV237,'SCORING MASTER'!$C$98:$C$99,0)),INDEX('SCORING MASTER'!$D$101:$D$102,MATCH(AW237,'SCORING MASTER'!$C$101:$C$102,0)),INDEX('SCORING MASTER'!$D$104:$D$105,MATCH(AX237,'SCORING MASTER'!$C$104:$C$105,0)),INDEX('SCORING MASTER'!$D$107:$D$108,MATCH(AY237,'SCORING MASTER'!$C$107:$C$108,0)),INDEX('SCORING MASTER'!$D$110:$D$111,MATCH(AZ237,'SCORING MASTER'!$C$110:$C$111,0)))*20,0))</f>
        <v/>
      </c>
      <c r="BK237" s="35" t="str">
        <f aca="false">IF(COUNTBLANK(AQ237:AT237)&gt;0,"",ROUND(AVERAGE(INDEX('SCORING MASTER'!$D$80:$D$82,MATCH(AQ237,'SCORING MASTER'!$C$80:$C$82,0)),INDEX('SCORING MASTER'!$D$84:$D$86,MATCH(AR237,'SCORING MASTER'!$C$84:$C$86,0)),INDEX('SCORING MASTER'!$D$88:$D$90,MATCH(AS237,'SCORING MASTER'!$C$88:$C$90,0)),INDEX('SCORING MASTER'!$D$92:$D$93,MATCH(AT237,'SCORING MASTER'!$C$92:$C$93,0)))*20,0))</f>
        <v/>
      </c>
      <c r="BL237" s="35" t="str">
        <f aca="false">IF(COUNTBLANK(BA237:BE237)&gt;0,"",ROUND(AVERAGE(INDEX('SCORING MASTER'!$D$113:$D$115,MATCH(BA237,'SCORING MASTER'!$C$113:$C$115,0)),INDEX('SCORING MASTER'!$D$117:$D$119,MATCH(BB237,'SCORING MASTER'!$C$117:$C$119,0)),INDEX('SCORING MASTER'!$D$121:$D$123,MATCH(BC237,'SCORING MASTER'!$C$121:$C$123,0)),INDEX('SCORING MASTER'!$D$125:$D$126,MATCH(BD237,'SCORING MASTER'!$C$125:$C$126,0)),INDEX('SCORING MASTER'!$D$128:$D$129,MATCH(BE237,'SCORING MASTER'!$C$128:$C$129,0)))*20,0))</f>
        <v/>
      </c>
      <c r="BM237" s="35" t="str">
        <f aca="false">IF(OR(BF237="",BG237="",BH237="",BI237="",BJ237="",BK237="",BL237=""),"",ROUND(BF237*0.25+BG237*0.2+BH237*0.15+BI237*0.15+BJ237*0.1+BK237*0.1+BL237*0.05,0))</f>
        <v/>
      </c>
      <c r="BN237" s="35" t="str">
        <f aca="false">IF(OR(BF237="",BG237=""),"",ROUND(BF237*0.5+BG237*0.5,0))</f>
        <v/>
      </c>
      <c r="BO237" s="35" t="str">
        <f aca="false">IF(BN237="","",ROUND(MIN(100,MAX(0,(100-BN237)+IF(AL237="Yes",15,0)+IF(AM237="Yes",15,0)+IF(AND(U237&lt;&gt;"",U237&lt;18.5),20,0))),0))</f>
        <v/>
      </c>
      <c r="BP237" s="32" t="str">
        <f aca="false">IF(BM237="","",IF(BM237&gt;=90,"Green - Healthy",IF(BM237&gt;=75,"Light Green - Mild Watch",IF(BM237&gt;=60,"Yellow - Mild Risk",IF(BM237&gt;=40,"Orange - Moderate Risk","Red - High Risk")))))</f>
        <v/>
      </c>
      <c r="BQ237" s="32" t="str">
        <f aca="false">IF(BM237="","",IF(OR(BM237&lt;60,BO237&gt;=60,AJ237="Yes"),"Yes","No"))</f>
        <v/>
      </c>
      <c r="BR237" s="32" t="str">
        <f aca="false">IF(BM237="","",IF(OR(BP237="Orange - Moderate Risk",BP237="Red - High Risk",BQ237="Yes"),"Yes","No"))</f>
        <v/>
      </c>
    </row>
    <row r="238" customFormat="false" ht="15" hidden="false" customHeight="false" outlineLevel="0" collapsed="false">
      <c r="A238" s="28" t="str">
        <f aca="false">IF(I238="","","STU"&amp;TEXT(ROW()-3,"000000"))</f>
        <v/>
      </c>
      <c r="B238" s="28"/>
      <c r="C238" s="28"/>
      <c r="D238" s="28"/>
      <c r="E238" s="28"/>
      <c r="F238" s="28"/>
      <c r="G238" s="28"/>
      <c r="H238" s="28"/>
      <c r="I238" s="28"/>
      <c r="J238" s="30"/>
      <c r="K238" s="28"/>
      <c r="L238" s="28"/>
      <c r="M238" s="28"/>
      <c r="N238" s="28"/>
      <c r="O238" s="28"/>
      <c r="P238" s="28"/>
      <c r="Q238" s="30"/>
      <c r="R238" s="30"/>
      <c r="S238" s="31" t="str">
        <f aca="false">IF(OR(Q238="",R238=""),"",ROUND(R238/((Q238/100)^2),1))</f>
        <v/>
      </c>
      <c r="T238" s="28" t="str">
        <f aca="false">IF(S238="","",IF(S238&lt;18.5,"Underweight",IF(S238&lt;25,"Normal",IF(S238&lt;30,"Overweight","Obese"))))</f>
        <v/>
      </c>
      <c r="U238" s="30"/>
      <c r="V238" s="30"/>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31" t="str">
        <f aca="false">IF(T238="","",IF(T238="Normal",100,IF(T238="Overweight",65,IF(T238="Obese",50,IF(AND(U238&lt;&gt;"",U238&lt;18.5),30,45)))))</f>
        <v/>
      </c>
      <c r="BG238" s="31" t="str">
        <f aca="false">IF(COUNTBLANK(W238:AC238)&gt;0,"",ROUND(AVERAGE(INDEX('SCORING MASTER'!$D$5:$D$7,MATCH(W238,'SCORING MASTER'!$C$5:$C$7,0)),INDEX('SCORING MASTER'!$D$9:$D$11,MATCH(X238,'SCORING MASTER'!$C$9:$C$11,0)),INDEX('SCORING MASTER'!$D$13:$D$15,MATCH(Y238,'SCORING MASTER'!$C$13:$C$15,0)),INDEX('SCORING MASTER'!$D$17:$D$19,MATCH(Z238,'SCORING MASTER'!$C$17:$C$19,0)),INDEX('SCORING MASTER'!$D$21:$D$23,MATCH(AA238,'SCORING MASTER'!$C$21:$C$23,0)),INDEX('SCORING MASTER'!$D$25:$D$27,MATCH(AB238,'SCORING MASTER'!$C$25:$C$27,0)),INDEX('SCORING MASTER'!$D$29:$D$31,MATCH(AC238,'SCORING MASTER'!$C$29:$C$31,0)))*20,0))</f>
        <v/>
      </c>
      <c r="BH238" s="31" t="str">
        <f aca="false">IF(COUNTBLANK(AD238:AI238)&gt;0,"",ROUND(AVERAGE(INDEX('SCORING MASTER'!$D$33:$D$35,MATCH(AD238,'SCORING MASTER'!$C$33:$C$35,0)),INDEX('SCORING MASTER'!$D$37:$D$39,MATCH(AE238,'SCORING MASTER'!$C$37:$C$39,0)),INDEX('SCORING MASTER'!$D$41:$D$43,MATCH(AF238,'SCORING MASTER'!$C$41:$C$43,0)),INDEX('SCORING MASTER'!$D$45:$D$47,MATCH(AG238,'SCORING MASTER'!$C$45:$C$47,0)),INDEX('SCORING MASTER'!$D$49:$D$52,MATCH(AH238,'SCORING MASTER'!$C$49:$C$52,0)),INDEX('SCORING MASTER'!$D$54:$D$57,MATCH(AI238,'SCORING MASTER'!$C$54:$C$57,0)))*20,0))</f>
        <v/>
      </c>
      <c r="BI238" s="31" t="str">
        <f aca="false">IF(COUNTBLANK(AJ238:AP238)&gt;0,"",ROUND(AVERAGE(INDEX('SCORING MASTER'!$D$59:$D$60,MATCH(AJ238,'SCORING MASTER'!$C$59:$C$60,0)),INDEX('SCORING MASTER'!$D$62:$D$63,MATCH(AK238,'SCORING MASTER'!$C$62:$C$63,0)),INDEX('SCORING MASTER'!$D$65:$D$66,MATCH(AL238,'SCORING MASTER'!$C$65:$C$66,0)),INDEX('SCORING MASTER'!$D$68:$D$69,MATCH(AM238,'SCORING MASTER'!$C$68:$C$69,0)),INDEX('SCORING MASTER'!$D$71:$D$72,MATCH(AN238,'SCORING MASTER'!$C$71:$C$72,0)),INDEX('SCORING MASTER'!$D$74:$D$75,MATCH(AO238,'SCORING MASTER'!$C$74:$C$75,0)),INDEX('SCORING MASTER'!$D$77:$D$78,MATCH(AP238,'SCORING MASTER'!$C$77:$C$78,0)))*20,0))</f>
        <v/>
      </c>
      <c r="BJ238" s="31" t="str">
        <f aca="false">IF(COUNTBLANK(AU238:AZ238)&gt;0,"",ROUND(AVERAGE(INDEX('SCORING MASTER'!$D$95:$D$96,MATCH(AU238,'SCORING MASTER'!$C$95:$C$96,0)),INDEX('SCORING MASTER'!$D$98:$D$99,MATCH(AV238,'SCORING MASTER'!$C$98:$C$99,0)),INDEX('SCORING MASTER'!$D$101:$D$102,MATCH(AW238,'SCORING MASTER'!$C$101:$C$102,0)),INDEX('SCORING MASTER'!$D$104:$D$105,MATCH(AX238,'SCORING MASTER'!$C$104:$C$105,0)),INDEX('SCORING MASTER'!$D$107:$D$108,MATCH(AY238,'SCORING MASTER'!$C$107:$C$108,0)),INDEX('SCORING MASTER'!$D$110:$D$111,MATCH(AZ238,'SCORING MASTER'!$C$110:$C$111,0)))*20,0))</f>
        <v/>
      </c>
      <c r="BK238" s="31" t="str">
        <f aca="false">IF(COUNTBLANK(AQ238:AT238)&gt;0,"",ROUND(AVERAGE(INDEX('SCORING MASTER'!$D$80:$D$82,MATCH(AQ238,'SCORING MASTER'!$C$80:$C$82,0)),INDEX('SCORING MASTER'!$D$84:$D$86,MATCH(AR238,'SCORING MASTER'!$C$84:$C$86,0)),INDEX('SCORING MASTER'!$D$88:$D$90,MATCH(AS238,'SCORING MASTER'!$C$88:$C$90,0)),INDEX('SCORING MASTER'!$D$92:$D$93,MATCH(AT238,'SCORING MASTER'!$C$92:$C$93,0)))*20,0))</f>
        <v/>
      </c>
      <c r="BL238" s="31" t="str">
        <f aca="false">IF(COUNTBLANK(BA238:BE238)&gt;0,"",ROUND(AVERAGE(INDEX('SCORING MASTER'!$D$113:$D$115,MATCH(BA238,'SCORING MASTER'!$C$113:$C$115,0)),INDEX('SCORING MASTER'!$D$117:$D$119,MATCH(BB238,'SCORING MASTER'!$C$117:$C$119,0)),INDEX('SCORING MASTER'!$D$121:$D$123,MATCH(BC238,'SCORING MASTER'!$C$121:$C$123,0)),INDEX('SCORING MASTER'!$D$125:$D$126,MATCH(BD238,'SCORING MASTER'!$C$125:$C$126,0)),INDEX('SCORING MASTER'!$D$128:$D$129,MATCH(BE238,'SCORING MASTER'!$C$128:$C$129,0)))*20,0))</f>
        <v/>
      </c>
      <c r="BM238" s="31" t="str">
        <f aca="false">IF(OR(BF238="",BG238="",BH238="",BI238="",BJ238="",BK238="",BL238=""),"",ROUND(BF238*0.25+BG238*0.2+BH238*0.15+BI238*0.15+BJ238*0.1+BK238*0.1+BL238*0.05,0))</f>
        <v/>
      </c>
      <c r="BN238" s="31" t="str">
        <f aca="false">IF(OR(BF238="",BG238=""),"",ROUND(BF238*0.5+BG238*0.5,0))</f>
        <v/>
      </c>
      <c r="BO238" s="31" t="str">
        <f aca="false">IF(BN238="","",ROUND(MIN(100,MAX(0,(100-BN238)+IF(AL238="Yes",15,0)+IF(AM238="Yes",15,0)+IF(AND(U238&lt;&gt;"",U238&lt;18.5),20,0))),0))</f>
        <v/>
      </c>
      <c r="BP238" s="28" t="str">
        <f aca="false">IF(BM238="","",IF(BM238&gt;=90,"Green - Healthy",IF(BM238&gt;=75,"Light Green - Mild Watch",IF(BM238&gt;=60,"Yellow - Mild Risk",IF(BM238&gt;=40,"Orange - Moderate Risk","Red - High Risk")))))</f>
        <v/>
      </c>
      <c r="BQ238" s="28" t="str">
        <f aca="false">IF(BM238="","",IF(OR(BM238&lt;60,BO238&gt;=60,AJ238="Yes"),"Yes","No"))</f>
        <v/>
      </c>
      <c r="BR238" s="28" t="str">
        <f aca="false">IF(BM238="","",IF(OR(BP238="Orange - Moderate Risk",BP238="Red - High Risk",BQ238="Yes"),"Yes","No"))</f>
        <v/>
      </c>
    </row>
    <row r="239" customFormat="false" ht="15" hidden="false" customHeight="false" outlineLevel="0" collapsed="false">
      <c r="A239" s="32" t="str">
        <f aca="false">IF(I239="","","STU"&amp;TEXT(ROW()-3,"000000"))</f>
        <v/>
      </c>
      <c r="B239" s="32"/>
      <c r="C239" s="32"/>
      <c r="D239" s="32"/>
      <c r="E239" s="32"/>
      <c r="F239" s="32"/>
      <c r="G239" s="32"/>
      <c r="H239" s="32"/>
      <c r="I239" s="32"/>
      <c r="J239" s="34"/>
      <c r="K239" s="32"/>
      <c r="L239" s="32"/>
      <c r="M239" s="32"/>
      <c r="N239" s="32"/>
      <c r="O239" s="32"/>
      <c r="P239" s="32"/>
      <c r="Q239" s="34"/>
      <c r="R239" s="34"/>
      <c r="S239" s="35" t="str">
        <f aca="false">IF(OR(Q239="",R239=""),"",ROUND(R239/((Q239/100)^2),1))</f>
        <v/>
      </c>
      <c r="T239" s="32" t="str">
        <f aca="false">IF(S239="","",IF(S239&lt;18.5,"Underweight",IF(S239&lt;25,"Normal",IF(S239&lt;30,"Overweight","Obese"))))</f>
        <v/>
      </c>
      <c r="U239" s="34"/>
      <c r="V239" s="34"/>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2"/>
      <c r="BF239" s="35" t="str">
        <f aca="false">IF(T239="","",IF(T239="Normal",100,IF(T239="Overweight",65,IF(T239="Obese",50,IF(AND(U239&lt;&gt;"",U239&lt;18.5),30,45)))))</f>
        <v/>
      </c>
      <c r="BG239" s="35" t="str">
        <f aca="false">IF(COUNTBLANK(W239:AC239)&gt;0,"",ROUND(AVERAGE(INDEX('SCORING MASTER'!$D$5:$D$7,MATCH(W239,'SCORING MASTER'!$C$5:$C$7,0)),INDEX('SCORING MASTER'!$D$9:$D$11,MATCH(X239,'SCORING MASTER'!$C$9:$C$11,0)),INDEX('SCORING MASTER'!$D$13:$D$15,MATCH(Y239,'SCORING MASTER'!$C$13:$C$15,0)),INDEX('SCORING MASTER'!$D$17:$D$19,MATCH(Z239,'SCORING MASTER'!$C$17:$C$19,0)),INDEX('SCORING MASTER'!$D$21:$D$23,MATCH(AA239,'SCORING MASTER'!$C$21:$C$23,0)),INDEX('SCORING MASTER'!$D$25:$D$27,MATCH(AB239,'SCORING MASTER'!$C$25:$C$27,0)),INDEX('SCORING MASTER'!$D$29:$D$31,MATCH(AC239,'SCORING MASTER'!$C$29:$C$31,0)))*20,0))</f>
        <v/>
      </c>
      <c r="BH239" s="35" t="str">
        <f aca="false">IF(COUNTBLANK(AD239:AI239)&gt;0,"",ROUND(AVERAGE(INDEX('SCORING MASTER'!$D$33:$D$35,MATCH(AD239,'SCORING MASTER'!$C$33:$C$35,0)),INDEX('SCORING MASTER'!$D$37:$D$39,MATCH(AE239,'SCORING MASTER'!$C$37:$C$39,0)),INDEX('SCORING MASTER'!$D$41:$D$43,MATCH(AF239,'SCORING MASTER'!$C$41:$C$43,0)),INDEX('SCORING MASTER'!$D$45:$D$47,MATCH(AG239,'SCORING MASTER'!$C$45:$C$47,0)),INDEX('SCORING MASTER'!$D$49:$D$52,MATCH(AH239,'SCORING MASTER'!$C$49:$C$52,0)),INDEX('SCORING MASTER'!$D$54:$D$57,MATCH(AI239,'SCORING MASTER'!$C$54:$C$57,0)))*20,0))</f>
        <v/>
      </c>
      <c r="BI239" s="35" t="str">
        <f aca="false">IF(COUNTBLANK(AJ239:AP239)&gt;0,"",ROUND(AVERAGE(INDEX('SCORING MASTER'!$D$59:$D$60,MATCH(AJ239,'SCORING MASTER'!$C$59:$C$60,0)),INDEX('SCORING MASTER'!$D$62:$D$63,MATCH(AK239,'SCORING MASTER'!$C$62:$C$63,0)),INDEX('SCORING MASTER'!$D$65:$D$66,MATCH(AL239,'SCORING MASTER'!$C$65:$C$66,0)),INDEX('SCORING MASTER'!$D$68:$D$69,MATCH(AM239,'SCORING MASTER'!$C$68:$C$69,0)),INDEX('SCORING MASTER'!$D$71:$D$72,MATCH(AN239,'SCORING MASTER'!$C$71:$C$72,0)),INDEX('SCORING MASTER'!$D$74:$D$75,MATCH(AO239,'SCORING MASTER'!$C$74:$C$75,0)),INDEX('SCORING MASTER'!$D$77:$D$78,MATCH(AP239,'SCORING MASTER'!$C$77:$C$78,0)))*20,0))</f>
        <v/>
      </c>
      <c r="BJ239" s="35" t="str">
        <f aca="false">IF(COUNTBLANK(AU239:AZ239)&gt;0,"",ROUND(AVERAGE(INDEX('SCORING MASTER'!$D$95:$D$96,MATCH(AU239,'SCORING MASTER'!$C$95:$C$96,0)),INDEX('SCORING MASTER'!$D$98:$D$99,MATCH(AV239,'SCORING MASTER'!$C$98:$C$99,0)),INDEX('SCORING MASTER'!$D$101:$D$102,MATCH(AW239,'SCORING MASTER'!$C$101:$C$102,0)),INDEX('SCORING MASTER'!$D$104:$D$105,MATCH(AX239,'SCORING MASTER'!$C$104:$C$105,0)),INDEX('SCORING MASTER'!$D$107:$D$108,MATCH(AY239,'SCORING MASTER'!$C$107:$C$108,0)),INDEX('SCORING MASTER'!$D$110:$D$111,MATCH(AZ239,'SCORING MASTER'!$C$110:$C$111,0)))*20,0))</f>
        <v/>
      </c>
      <c r="BK239" s="35" t="str">
        <f aca="false">IF(COUNTBLANK(AQ239:AT239)&gt;0,"",ROUND(AVERAGE(INDEX('SCORING MASTER'!$D$80:$D$82,MATCH(AQ239,'SCORING MASTER'!$C$80:$C$82,0)),INDEX('SCORING MASTER'!$D$84:$D$86,MATCH(AR239,'SCORING MASTER'!$C$84:$C$86,0)),INDEX('SCORING MASTER'!$D$88:$D$90,MATCH(AS239,'SCORING MASTER'!$C$88:$C$90,0)),INDEX('SCORING MASTER'!$D$92:$D$93,MATCH(AT239,'SCORING MASTER'!$C$92:$C$93,0)))*20,0))</f>
        <v/>
      </c>
      <c r="BL239" s="35" t="str">
        <f aca="false">IF(COUNTBLANK(BA239:BE239)&gt;0,"",ROUND(AVERAGE(INDEX('SCORING MASTER'!$D$113:$D$115,MATCH(BA239,'SCORING MASTER'!$C$113:$C$115,0)),INDEX('SCORING MASTER'!$D$117:$D$119,MATCH(BB239,'SCORING MASTER'!$C$117:$C$119,0)),INDEX('SCORING MASTER'!$D$121:$D$123,MATCH(BC239,'SCORING MASTER'!$C$121:$C$123,0)),INDEX('SCORING MASTER'!$D$125:$D$126,MATCH(BD239,'SCORING MASTER'!$C$125:$C$126,0)),INDEX('SCORING MASTER'!$D$128:$D$129,MATCH(BE239,'SCORING MASTER'!$C$128:$C$129,0)))*20,0))</f>
        <v/>
      </c>
      <c r="BM239" s="35" t="str">
        <f aca="false">IF(OR(BF239="",BG239="",BH239="",BI239="",BJ239="",BK239="",BL239=""),"",ROUND(BF239*0.25+BG239*0.2+BH239*0.15+BI239*0.15+BJ239*0.1+BK239*0.1+BL239*0.05,0))</f>
        <v/>
      </c>
      <c r="BN239" s="35" t="str">
        <f aca="false">IF(OR(BF239="",BG239=""),"",ROUND(BF239*0.5+BG239*0.5,0))</f>
        <v/>
      </c>
      <c r="BO239" s="35" t="str">
        <f aca="false">IF(BN239="","",ROUND(MIN(100,MAX(0,(100-BN239)+IF(AL239="Yes",15,0)+IF(AM239="Yes",15,0)+IF(AND(U239&lt;&gt;"",U239&lt;18.5),20,0))),0))</f>
        <v/>
      </c>
      <c r="BP239" s="32" t="str">
        <f aca="false">IF(BM239="","",IF(BM239&gt;=90,"Green - Healthy",IF(BM239&gt;=75,"Light Green - Mild Watch",IF(BM239&gt;=60,"Yellow - Mild Risk",IF(BM239&gt;=40,"Orange - Moderate Risk","Red - High Risk")))))</f>
        <v/>
      </c>
      <c r="BQ239" s="32" t="str">
        <f aca="false">IF(BM239="","",IF(OR(BM239&lt;60,BO239&gt;=60,AJ239="Yes"),"Yes","No"))</f>
        <v/>
      </c>
      <c r="BR239" s="32" t="str">
        <f aca="false">IF(BM239="","",IF(OR(BP239="Orange - Moderate Risk",BP239="Red - High Risk",BQ239="Yes"),"Yes","No"))</f>
        <v/>
      </c>
    </row>
    <row r="240" customFormat="false" ht="15" hidden="false" customHeight="false" outlineLevel="0" collapsed="false">
      <c r="A240" s="28" t="str">
        <f aca="false">IF(I240="","","STU"&amp;TEXT(ROW()-3,"000000"))</f>
        <v/>
      </c>
      <c r="B240" s="28"/>
      <c r="C240" s="28"/>
      <c r="D240" s="28"/>
      <c r="E240" s="28"/>
      <c r="F240" s="28"/>
      <c r="G240" s="28"/>
      <c r="H240" s="28"/>
      <c r="I240" s="28"/>
      <c r="J240" s="30"/>
      <c r="K240" s="28"/>
      <c r="L240" s="28"/>
      <c r="M240" s="28"/>
      <c r="N240" s="28"/>
      <c r="O240" s="28"/>
      <c r="P240" s="28"/>
      <c r="Q240" s="30"/>
      <c r="R240" s="30"/>
      <c r="S240" s="31" t="str">
        <f aca="false">IF(OR(Q240="",R240=""),"",ROUND(R240/((Q240/100)^2),1))</f>
        <v/>
      </c>
      <c r="T240" s="28" t="str">
        <f aca="false">IF(S240="","",IF(S240&lt;18.5,"Underweight",IF(S240&lt;25,"Normal",IF(S240&lt;30,"Overweight","Obese"))))</f>
        <v/>
      </c>
      <c r="U240" s="30"/>
      <c r="V240" s="30"/>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c r="BD240" s="28"/>
      <c r="BE240" s="28"/>
      <c r="BF240" s="31" t="str">
        <f aca="false">IF(T240="","",IF(T240="Normal",100,IF(T240="Overweight",65,IF(T240="Obese",50,IF(AND(U240&lt;&gt;"",U240&lt;18.5),30,45)))))</f>
        <v/>
      </c>
      <c r="BG240" s="31" t="str">
        <f aca="false">IF(COUNTBLANK(W240:AC240)&gt;0,"",ROUND(AVERAGE(INDEX('SCORING MASTER'!$D$5:$D$7,MATCH(W240,'SCORING MASTER'!$C$5:$C$7,0)),INDEX('SCORING MASTER'!$D$9:$D$11,MATCH(X240,'SCORING MASTER'!$C$9:$C$11,0)),INDEX('SCORING MASTER'!$D$13:$D$15,MATCH(Y240,'SCORING MASTER'!$C$13:$C$15,0)),INDEX('SCORING MASTER'!$D$17:$D$19,MATCH(Z240,'SCORING MASTER'!$C$17:$C$19,0)),INDEX('SCORING MASTER'!$D$21:$D$23,MATCH(AA240,'SCORING MASTER'!$C$21:$C$23,0)),INDEX('SCORING MASTER'!$D$25:$D$27,MATCH(AB240,'SCORING MASTER'!$C$25:$C$27,0)),INDEX('SCORING MASTER'!$D$29:$D$31,MATCH(AC240,'SCORING MASTER'!$C$29:$C$31,0)))*20,0))</f>
        <v/>
      </c>
      <c r="BH240" s="31" t="str">
        <f aca="false">IF(COUNTBLANK(AD240:AI240)&gt;0,"",ROUND(AVERAGE(INDEX('SCORING MASTER'!$D$33:$D$35,MATCH(AD240,'SCORING MASTER'!$C$33:$C$35,0)),INDEX('SCORING MASTER'!$D$37:$D$39,MATCH(AE240,'SCORING MASTER'!$C$37:$C$39,0)),INDEX('SCORING MASTER'!$D$41:$D$43,MATCH(AF240,'SCORING MASTER'!$C$41:$C$43,0)),INDEX('SCORING MASTER'!$D$45:$D$47,MATCH(AG240,'SCORING MASTER'!$C$45:$C$47,0)),INDEX('SCORING MASTER'!$D$49:$D$52,MATCH(AH240,'SCORING MASTER'!$C$49:$C$52,0)),INDEX('SCORING MASTER'!$D$54:$D$57,MATCH(AI240,'SCORING MASTER'!$C$54:$C$57,0)))*20,0))</f>
        <v/>
      </c>
      <c r="BI240" s="31" t="str">
        <f aca="false">IF(COUNTBLANK(AJ240:AP240)&gt;0,"",ROUND(AVERAGE(INDEX('SCORING MASTER'!$D$59:$D$60,MATCH(AJ240,'SCORING MASTER'!$C$59:$C$60,0)),INDEX('SCORING MASTER'!$D$62:$D$63,MATCH(AK240,'SCORING MASTER'!$C$62:$C$63,0)),INDEX('SCORING MASTER'!$D$65:$D$66,MATCH(AL240,'SCORING MASTER'!$C$65:$C$66,0)),INDEX('SCORING MASTER'!$D$68:$D$69,MATCH(AM240,'SCORING MASTER'!$C$68:$C$69,0)),INDEX('SCORING MASTER'!$D$71:$D$72,MATCH(AN240,'SCORING MASTER'!$C$71:$C$72,0)),INDEX('SCORING MASTER'!$D$74:$D$75,MATCH(AO240,'SCORING MASTER'!$C$74:$C$75,0)),INDEX('SCORING MASTER'!$D$77:$D$78,MATCH(AP240,'SCORING MASTER'!$C$77:$C$78,0)))*20,0))</f>
        <v/>
      </c>
      <c r="BJ240" s="31" t="str">
        <f aca="false">IF(COUNTBLANK(AU240:AZ240)&gt;0,"",ROUND(AVERAGE(INDEX('SCORING MASTER'!$D$95:$D$96,MATCH(AU240,'SCORING MASTER'!$C$95:$C$96,0)),INDEX('SCORING MASTER'!$D$98:$D$99,MATCH(AV240,'SCORING MASTER'!$C$98:$C$99,0)),INDEX('SCORING MASTER'!$D$101:$D$102,MATCH(AW240,'SCORING MASTER'!$C$101:$C$102,0)),INDEX('SCORING MASTER'!$D$104:$D$105,MATCH(AX240,'SCORING MASTER'!$C$104:$C$105,0)),INDEX('SCORING MASTER'!$D$107:$D$108,MATCH(AY240,'SCORING MASTER'!$C$107:$C$108,0)),INDEX('SCORING MASTER'!$D$110:$D$111,MATCH(AZ240,'SCORING MASTER'!$C$110:$C$111,0)))*20,0))</f>
        <v/>
      </c>
      <c r="BK240" s="31" t="str">
        <f aca="false">IF(COUNTBLANK(AQ240:AT240)&gt;0,"",ROUND(AVERAGE(INDEX('SCORING MASTER'!$D$80:$D$82,MATCH(AQ240,'SCORING MASTER'!$C$80:$C$82,0)),INDEX('SCORING MASTER'!$D$84:$D$86,MATCH(AR240,'SCORING MASTER'!$C$84:$C$86,0)),INDEX('SCORING MASTER'!$D$88:$D$90,MATCH(AS240,'SCORING MASTER'!$C$88:$C$90,0)),INDEX('SCORING MASTER'!$D$92:$D$93,MATCH(AT240,'SCORING MASTER'!$C$92:$C$93,0)))*20,0))</f>
        <v/>
      </c>
      <c r="BL240" s="31" t="str">
        <f aca="false">IF(COUNTBLANK(BA240:BE240)&gt;0,"",ROUND(AVERAGE(INDEX('SCORING MASTER'!$D$113:$D$115,MATCH(BA240,'SCORING MASTER'!$C$113:$C$115,0)),INDEX('SCORING MASTER'!$D$117:$D$119,MATCH(BB240,'SCORING MASTER'!$C$117:$C$119,0)),INDEX('SCORING MASTER'!$D$121:$D$123,MATCH(BC240,'SCORING MASTER'!$C$121:$C$123,0)),INDEX('SCORING MASTER'!$D$125:$D$126,MATCH(BD240,'SCORING MASTER'!$C$125:$C$126,0)),INDEX('SCORING MASTER'!$D$128:$D$129,MATCH(BE240,'SCORING MASTER'!$C$128:$C$129,0)))*20,0))</f>
        <v/>
      </c>
      <c r="BM240" s="31" t="str">
        <f aca="false">IF(OR(BF240="",BG240="",BH240="",BI240="",BJ240="",BK240="",BL240=""),"",ROUND(BF240*0.25+BG240*0.2+BH240*0.15+BI240*0.15+BJ240*0.1+BK240*0.1+BL240*0.05,0))</f>
        <v/>
      </c>
      <c r="BN240" s="31" t="str">
        <f aca="false">IF(OR(BF240="",BG240=""),"",ROUND(BF240*0.5+BG240*0.5,0))</f>
        <v/>
      </c>
      <c r="BO240" s="31" t="str">
        <f aca="false">IF(BN240="","",ROUND(MIN(100,MAX(0,(100-BN240)+IF(AL240="Yes",15,0)+IF(AM240="Yes",15,0)+IF(AND(U240&lt;&gt;"",U240&lt;18.5),20,0))),0))</f>
        <v/>
      </c>
      <c r="BP240" s="28" t="str">
        <f aca="false">IF(BM240="","",IF(BM240&gt;=90,"Green - Healthy",IF(BM240&gt;=75,"Light Green - Mild Watch",IF(BM240&gt;=60,"Yellow - Mild Risk",IF(BM240&gt;=40,"Orange - Moderate Risk","Red - High Risk")))))</f>
        <v/>
      </c>
      <c r="BQ240" s="28" t="str">
        <f aca="false">IF(BM240="","",IF(OR(BM240&lt;60,BO240&gt;=60,AJ240="Yes"),"Yes","No"))</f>
        <v/>
      </c>
      <c r="BR240" s="28" t="str">
        <f aca="false">IF(BM240="","",IF(OR(BP240="Orange - Moderate Risk",BP240="Red - High Risk",BQ240="Yes"),"Yes","No"))</f>
        <v/>
      </c>
    </row>
    <row r="241" customFormat="false" ht="15" hidden="false" customHeight="false" outlineLevel="0" collapsed="false">
      <c r="A241" s="32" t="str">
        <f aca="false">IF(I241="","","STU"&amp;TEXT(ROW()-3,"000000"))</f>
        <v/>
      </c>
      <c r="B241" s="32"/>
      <c r="C241" s="32"/>
      <c r="D241" s="32"/>
      <c r="E241" s="32"/>
      <c r="F241" s="32"/>
      <c r="G241" s="32"/>
      <c r="H241" s="32"/>
      <c r="I241" s="32"/>
      <c r="J241" s="34"/>
      <c r="K241" s="32"/>
      <c r="L241" s="32"/>
      <c r="M241" s="32"/>
      <c r="N241" s="32"/>
      <c r="O241" s="32"/>
      <c r="P241" s="32"/>
      <c r="Q241" s="34"/>
      <c r="R241" s="34"/>
      <c r="S241" s="35" t="str">
        <f aca="false">IF(OR(Q241="",R241=""),"",ROUND(R241/((Q241/100)^2),1))</f>
        <v/>
      </c>
      <c r="T241" s="32" t="str">
        <f aca="false">IF(S241="","",IF(S241&lt;18.5,"Underweight",IF(S241&lt;25,"Normal",IF(S241&lt;30,"Overweight","Obese"))))</f>
        <v/>
      </c>
      <c r="U241" s="34"/>
      <c r="V241" s="34"/>
      <c r="W241" s="32"/>
      <c r="X241" s="32"/>
      <c r="Y241" s="32"/>
      <c r="Z241" s="32"/>
      <c r="AA241" s="32"/>
      <c r="AB241" s="32"/>
      <c r="AC241" s="32"/>
      <c r="AD241" s="32"/>
      <c r="AE241" s="32"/>
      <c r="AF241" s="32"/>
      <c r="AG241" s="32"/>
      <c r="AH241" s="32"/>
      <c r="AI241" s="32"/>
      <c r="AJ241" s="32"/>
      <c r="AK241" s="32"/>
      <c r="AL241" s="32"/>
      <c r="AM241" s="32"/>
      <c r="AN241" s="32"/>
      <c r="AO241" s="32"/>
      <c r="AP241" s="32"/>
      <c r="AQ241" s="32"/>
      <c r="AR241" s="32"/>
      <c r="AS241" s="32"/>
      <c r="AT241" s="32"/>
      <c r="AU241" s="32"/>
      <c r="AV241" s="32"/>
      <c r="AW241" s="32"/>
      <c r="AX241" s="32"/>
      <c r="AY241" s="32"/>
      <c r="AZ241" s="32"/>
      <c r="BA241" s="32"/>
      <c r="BB241" s="32"/>
      <c r="BC241" s="32"/>
      <c r="BD241" s="32"/>
      <c r="BE241" s="32"/>
      <c r="BF241" s="35" t="str">
        <f aca="false">IF(T241="","",IF(T241="Normal",100,IF(T241="Overweight",65,IF(T241="Obese",50,IF(AND(U241&lt;&gt;"",U241&lt;18.5),30,45)))))</f>
        <v/>
      </c>
      <c r="BG241" s="35" t="str">
        <f aca="false">IF(COUNTBLANK(W241:AC241)&gt;0,"",ROUND(AVERAGE(INDEX('SCORING MASTER'!$D$5:$D$7,MATCH(W241,'SCORING MASTER'!$C$5:$C$7,0)),INDEX('SCORING MASTER'!$D$9:$D$11,MATCH(X241,'SCORING MASTER'!$C$9:$C$11,0)),INDEX('SCORING MASTER'!$D$13:$D$15,MATCH(Y241,'SCORING MASTER'!$C$13:$C$15,0)),INDEX('SCORING MASTER'!$D$17:$D$19,MATCH(Z241,'SCORING MASTER'!$C$17:$C$19,0)),INDEX('SCORING MASTER'!$D$21:$D$23,MATCH(AA241,'SCORING MASTER'!$C$21:$C$23,0)),INDEX('SCORING MASTER'!$D$25:$D$27,MATCH(AB241,'SCORING MASTER'!$C$25:$C$27,0)),INDEX('SCORING MASTER'!$D$29:$D$31,MATCH(AC241,'SCORING MASTER'!$C$29:$C$31,0)))*20,0))</f>
        <v/>
      </c>
      <c r="BH241" s="35" t="str">
        <f aca="false">IF(COUNTBLANK(AD241:AI241)&gt;0,"",ROUND(AVERAGE(INDEX('SCORING MASTER'!$D$33:$D$35,MATCH(AD241,'SCORING MASTER'!$C$33:$C$35,0)),INDEX('SCORING MASTER'!$D$37:$D$39,MATCH(AE241,'SCORING MASTER'!$C$37:$C$39,0)),INDEX('SCORING MASTER'!$D$41:$D$43,MATCH(AF241,'SCORING MASTER'!$C$41:$C$43,0)),INDEX('SCORING MASTER'!$D$45:$D$47,MATCH(AG241,'SCORING MASTER'!$C$45:$C$47,0)),INDEX('SCORING MASTER'!$D$49:$D$52,MATCH(AH241,'SCORING MASTER'!$C$49:$C$52,0)),INDEX('SCORING MASTER'!$D$54:$D$57,MATCH(AI241,'SCORING MASTER'!$C$54:$C$57,0)))*20,0))</f>
        <v/>
      </c>
      <c r="BI241" s="35" t="str">
        <f aca="false">IF(COUNTBLANK(AJ241:AP241)&gt;0,"",ROUND(AVERAGE(INDEX('SCORING MASTER'!$D$59:$D$60,MATCH(AJ241,'SCORING MASTER'!$C$59:$C$60,0)),INDEX('SCORING MASTER'!$D$62:$D$63,MATCH(AK241,'SCORING MASTER'!$C$62:$C$63,0)),INDEX('SCORING MASTER'!$D$65:$D$66,MATCH(AL241,'SCORING MASTER'!$C$65:$C$66,0)),INDEX('SCORING MASTER'!$D$68:$D$69,MATCH(AM241,'SCORING MASTER'!$C$68:$C$69,0)),INDEX('SCORING MASTER'!$D$71:$D$72,MATCH(AN241,'SCORING MASTER'!$C$71:$C$72,0)),INDEX('SCORING MASTER'!$D$74:$D$75,MATCH(AO241,'SCORING MASTER'!$C$74:$C$75,0)),INDEX('SCORING MASTER'!$D$77:$D$78,MATCH(AP241,'SCORING MASTER'!$C$77:$C$78,0)))*20,0))</f>
        <v/>
      </c>
      <c r="BJ241" s="35" t="str">
        <f aca="false">IF(COUNTBLANK(AU241:AZ241)&gt;0,"",ROUND(AVERAGE(INDEX('SCORING MASTER'!$D$95:$D$96,MATCH(AU241,'SCORING MASTER'!$C$95:$C$96,0)),INDEX('SCORING MASTER'!$D$98:$D$99,MATCH(AV241,'SCORING MASTER'!$C$98:$C$99,0)),INDEX('SCORING MASTER'!$D$101:$D$102,MATCH(AW241,'SCORING MASTER'!$C$101:$C$102,0)),INDEX('SCORING MASTER'!$D$104:$D$105,MATCH(AX241,'SCORING MASTER'!$C$104:$C$105,0)),INDEX('SCORING MASTER'!$D$107:$D$108,MATCH(AY241,'SCORING MASTER'!$C$107:$C$108,0)),INDEX('SCORING MASTER'!$D$110:$D$111,MATCH(AZ241,'SCORING MASTER'!$C$110:$C$111,0)))*20,0))</f>
        <v/>
      </c>
      <c r="BK241" s="35" t="str">
        <f aca="false">IF(COUNTBLANK(AQ241:AT241)&gt;0,"",ROUND(AVERAGE(INDEX('SCORING MASTER'!$D$80:$D$82,MATCH(AQ241,'SCORING MASTER'!$C$80:$C$82,0)),INDEX('SCORING MASTER'!$D$84:$D$86,MATCH(AR241,'SCORING MASTER'!$C$84:$C$86,0)),INDEX('SCORING MASTER'!$D$88:$D$90,MATCH(AS241,'SCORING MASTER'!$C$88:$C$90,0)),INDEX('SCORING MASTER'!$D$92:$D$93,MATCH(AT241,'SCORING MASTER'!$C$92:$C$93,0)))*20,0))</f>
        <v/>
      </c>
      <c r="BL241" s="35" t="str">
        <f aca="false">IF(COUNTBLANK(BA241:BE241)&gt;0,"",ROUND(AVERAGE(INDEX('SCORING MASTER'!$D$113:$D$115,MATCH(BA241,'SCORING MASTER'!$C$113:$C$115,0)),INDEX('SCORING MASTER'!$D$117:$D$119,MATCH(BB241,'SCORING MASTER'!$C$117:$C$119,0)),INDEX('SCORING MASTER'!$D$121:$D$123,MATCH(BC241,'SCORING MASTER'!$C$121:$C$123,0)),INDEX('SCORING MASTER'!$D$125:$D$126,MATCH(BD241,'SCORING MASTER'!$C$125:$C$126,0)),INDEX('SCORING MASTER'!$D$128:$D$129,MATCH(BE241,'SCORING MASTER'!$C$128:$C$129,0)))*20,0))</f>
        <v/>
      </c>
      <c r="BM241" s="35" t="str">
        <f aca="false">IF(OR(BF241="",BG241="",BH241="",BI241="",BJ241="",BK241="",BL241=""),"",ROUND(BF241*0.25+BG241*0.2+BH241*0.15+BI241*0.15+BJ241*0.1+BK241*0.1+BL241*0.05,0))</f>
        <v/>
      </c>
      <c r="BN241" s="35" t="str">
        <f aca="false">IF(OR(BF241="",BG241=""),"",ROUND(BF241*0.5+BG241*0.5,0))</f>
        <v/>
      </c>
      <c r="BO241" s="35" t="str">
        <f aca="false">IF(BN241="","",ROUND(MIN(100,MAX(0,(100-BN241)+IF(AL241="Yes",15,0)+IF(AM241="Yes",15,0)+IF(AND(U241&lt;&gt;"",U241&lt;18.5),20,0))),0))</f>
        <v/>
      </c>
      <c r="BP241" s="32" t="str">
        <f aca="false">IF(BM241="","",IF(BM241&gt;=90,"Green - Healthy",IF(BM241&gt;=75,"Light Green - Mild Watch",IF(BM241&gt;=60,"Yellow - Mild Risk",IF(BM241&gt;=40,"Orange - Moderate Risk","Red - High Risk")))))</f>
        <v/>
      </c>
      <c r="BQ241" s="32" t="str">
        <f aca="false">IF(BM241="","",IF(OR(BM241&lt;60,BO241&gt;=60,AJ241="Yes"),"Yes","No"))</f>
        <v/>
      </c>
      <c r="BR241" s="32" t="str">
        <f aca="false">IF(BM241="","",IF(OR(BP241="Orange - Moderate Risk",BP241="Red - High Risk",BQ241="Yes"),"Yes","No"))</f>
        <v/>
      </c>
    </row>
    <row r="242" customFormat="false" ht="15" hidden="false" customHeight="false" outlineLevel="0" collapsed="false">
      <c r="A242" s="28" t="str">
        <f aca="false">IF(I242="","","STU"&amp;TEXT(ROW()-3,"000000"))</f>
        <v/>
      </c>
      <c r="B242" s="28"/>
      <c r="C242" s="28"/>
      <c r="D242" s="28"/>
      <c r="E242" s="28"/>
      <c r="F242" s="28"/>
      <c r="G242" s="28"/>
      <c r="H242" s="28"/>
      <c r="I242" s="28"/>
      <c r="J242" s="30"/>
      <c r="K242" s="28"/>
      <c r="L242" s="28"/>
      <c r="M242" s="28"/>
      <c r="N242" s="28"/>
      <c r="O242" s="28"/>
      <c r="P242" s="28"/>
      <c r="Q242" s="30"/>
      <c r="R242" s="30"/>
      <c r="S242" s="31" t="str">
        <f aca="false">IF(OR(Q242="",R242=""),"",ROUND(R242/((Q242/100)^2),1))</f>
        <v/>
      </c>
      <c r="T242" s="28" t="str">
        <f aca="false">IF(S242="","",IF(S242&lt;18.5,"Underweight",IF(S242&lt;25,"Normal",IF(S242&lt;30,"Overweight","Obese"))))</f>
        <v/>
      </c>
      <c r="U242" s="30"/>
      <c r="V242" s="30"/>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c r="BD242" s="28"/>
      <c r="BE242" s="28"/>
      <c r="BF242" s="31" t="str">
        <f aca="false">IF(T242="","",IF(T242="Normal",100,IF(T242="Overweight",65,IF(T242="Obese",50,IF(AND(U242&lt;&gt;"",U242&lt;18.5),30,45)))))</f>
        <v/>
      </c>
      <c r="BG242" s="31" t="str">
        <f aca="false">IF(COUNTBLANK(W242:AC242)&gt;0,"",ROUND(AVERAGE(INDEX('SCORING MASTER'!$D$5:$D$7,MATCH(W242,'SCORING MASTER'!$C$5:$C$7,0)),INDEX('SCORING MASTER'!$D$9:$D$11,MATCH(X242,'SCORING MASTER'!$C$9:$C$11,0)),INDEX('SCORING MASTER'!$D$13:$D$15,MATCH(Y242,'SCORING MASTER'!$C$13:$C$15,0)),INDEX('SCORING MASTER'!$D$17:$D$19,MATCH(Z242,'SCORING MASTER'!$C$17:$C$19,0)),INDEX('SCORING MASTER'!$D$21:$D$23,MATCH(AA242,'SCORING MASTER'!$C$21:$C$23,0)),INDEX('SCORING MASTER'!$D$25:$D$27,MATCH(AB242,'SCORING MASTER'!$C$25:$C$27,0)),INDEX('SCORING MASTER'!$D$29:$D$31,MATCH(AC242,'SCORING MASTER'!$C$29:$C$31,0)))*20,0))</f>
        <v/>
      </c>
      <c r="BH242" s="31" t="str">
        <f aca="false">IF(COUNTBLANK(AD242:AI242)&gt;0,"",ROUND(AVERAGE(INDEX('SCORING MASTER'!$D$33:$D$35,MATCH(AD242,'SCORING MASTER'!$C$33:$C$35,0)),INDEX('SCORING MASTER'!$D$37:$D$39,MATCH(AE242,'SCORING MASTER'!$C$37:$C$39,0)),INDEX('SCORING MASTER'!$D$41:$D$43,MATCH(AF242,'SCORING MASTER'!$C$41:$C$43,0)),INDEX('SCORING MASTER'!$D$45:$D$47,MATCH(AG242,'SCORING MASTER'!$C$45:$C$47,0)),INDEX('SCORING MASTER'!$D$49:$D$52,MATCH(AH242,'SCORING MASTER'!$C$49:$C$52,0)),INDEX('SCORING MASTER'!$D$54:$D$57,MATCH(AI242,'SCORING MASTER'!$C$54:$C$57,0)))*20,0))</f>
        <v/>
      </c>
      <c r="BI242" s="31" t="str">
        <f aca="false">IF(COUNTBLANK(AJ242:AP242)&gt;0,"",ROUND(AVERAGE(INDEX('SCORING MASTER'!$D$59:$D$60,MATCH(AJ242,'SCORING MASTER'!$C$59:$C$60,0)),INDEX('SCORING MASTER'!$D$62:$D$63,MATCH(AK242,'SCORING MASTER'!$C$62:$C$63,0)),INDEX('SCORING MASTER'!$D$65:$D$66,MATCH(AL242,'SCORING MASTER'!$C$65:$C$66,0)),INDEX('SCORING MASTER'!$D$68:$D$69,MATCH(AM242,'SCORING MASTER'!$C$68:$C$69,0)),INDEX('SCORING MASTER'!$D$71:$D$72,MATCH(AN242,'SCORING MASTER'!$C$71:$C$72,0)),INDEX('SCORING MASTER'!$D$74:$D$75,MATCH(AO242,'SCORING MASTER'!$C$74:$C$75,0)),INDEX('SCORING MASTER'!$D$77:$D$78,MATCH(AP242,'SCORING MASTER'!$C$77:$C$78,0)))*20,0))</f>
        <v/>
      </c>
      <c r="BJ242" s="31" t="str">
        <f aca="false">IF(COUNTBLANK(AU242:AZ242)&gt;0,"",ROUND(AVERAGE(INDEX('SCORING MASTER'!$D$95:$D$96,MATCH(AU242,'SCORING MASTER'!$C$95:$C$96,0)),INDEX('SCORING MASTER'!$D$98:$D$99,MATCH(AV242,'SCORING MASTER'!$C$98:$C$99,0)),INDEX('SCORING MASTER'!$D$101:$D$102,MATCH(AW242,'SCORING MASTER'!$C$101:$C$102,0)),INDEX('SCORING MASTER'!$D$104:$D$105,MATCH(AX242,'SCORING MASTER'!$C$104:$C$105,0)),INDEX('SCORING MASTER'!$D$107:$D$108,MATCH(AY242,'SCORING MASTER'!$C$107:$C$108,0)),INDEX('SCORING MASTER'!$D$110:$D$111,MATCH(AZ242,'SCORING MASTER'!$C$110:$C$111,0)))*20,0))</f>
        <v/>
      </c>
      <c r="BK242" s="31" t="str">
        <f aca="false">IF(COUNTBLANK(AQ242:AT242)&gt;0,"",ROUND(AVERAGE(INDEX('SCORING MASTER'!$D$80:$D$82,MATCH(AQ242,'SCORING MASTER'!$C$80:$C$82,0)),INDEX('SCORING MASTER'!$D$84:$D$86,MATCH(AR242,'SCORING MASTER'!$C$84:$C$86,0)),INDEX('SCORING MASTER'!$D$88:$D$90,MATCH(AS242,'SCORING MASTER'!$C$88:$C$90,0)),INDEX('SCORING MASTER'!$D$92:$D$93,MATCH(AT242,'SCORING MASTER'!$C$92:$C$93,0)))*20,0))</f>
        <v/>
      </c>
      <c r="BL242" s="31" t="str">
        <f aca="false">IF(COUNTBLANK(BA242:BE242)&gt;0,"",ROUND(AVERAGE(INDEX('SCORING MASTER'!$D$113:$D$115,MATCH(BA242,'SCORING MASTER'!$C$113:$C$115,0)),INDEX('SCORING MASTER'!$D$117:$D$119,MATCH(BB242,'SCORING MASTER'!$C$117:$C$119,0)),INDEX('SCORING MASTER'!$D$121:$D$123,MATCH(BC242,'SCORING MASTER'!$C$121:$C$123,0)),INDEX('SCORING MASTER'!$D$125:$D$126,MATCH(BD242,'SCORING MASTER'!$C$125:$C$126,0)),INDEX('SCORING MASTER'!$D$128:$D$129,MATCH(BE242,'SCORING MASTER'!$C$128:$C$129,0)))*20,0))</f>
        <v/>
      </c>
      <c r="BM242" s="31" t="str">
        <f aca="false">IF(OR(BF242="",BG242="",BH242="",BI242="",BJ242="",BK242="",BL242=""),"",ROUND(BF242*0.25+BG242*0.2+BH242*0.15+BI242*0.15+BJ242*0.1+BK242*0.1+BL242*0.05,0))</f>
        <v/>
      </c>
      <c r="BN242" s="31" t="str">
        <f aca="false">IF(OR(BF242="",BG242=""),"",ROUND(BF242*0.5+BG242*0.5,0))</f>
        <v/>
      </c>
      <c r="BO242" s="31" t="str">
        <f aca="false">IF(BN242="","",ROUND(MIN(100,MAX(0,(100-BN242)+IF(AL242="Yes",15,0)+IF(AM242="Yes",15,0)+IF(AND(U242&lt;&gt;"",U242&lt;18.5),20,0))),0))</f>
        <v/>
      </c>
      <c r="BP242" s="28" t="str">
        <f aca="false">IF(BM242="","",IF(BM242&gt;=90,"Green - Healthy",IF(BM242&gt;=75,"Light Green - Mild Watch",IF(BM242&gt;=60,"Yellow - Mild Risk",IF(BM242&gt;=40,"Orange - Moderate Risk","Red - High Risk")))))</f>
        <v/>
      </c>
      <c r="BQ242" s="28" t="str">
        <f aca="false">IF(BM242="","",IF(OR(BM242&lt;60,BO242&gt;=60,AJ242="Yes"),"Yes","No"))</f>
        <v/>
      </c>
      <c r="BR242" s="28" t="str">
        <f aca="false">IF(BM242="","",IF(OR(BP242="Orange - Moderate Risk",BP242="Red - High Risk",BQ242="Yes"),"Yes","No"))</f>
        <v/>
      </c>
    </row>
    <row r="243" customFormat="false" ht="15" hidden="false" customHeight="false" outlineLevel="0" collapsed="false">
      <c r="A243" s="32" t="str">
        <f aca="false">IF(I243="","","STU"&amp;TEXT(ROW()-3,"000000"))</f>
        <v/>
      </c>
      <c r="B243" s="32"/>
      <c r="C243" s="32"/>
      <c r="D243" s="32"/>
      <c r="E243" s="32"/>
      <c r="F243" s="32"/>
      <c r="G243" s="32"/>
      <c r="H243" s="32"/>
      <c r="I243" s="32"/>
      <c r="J243" s="34"/>
      <c r="K243" s="32"/>
      <c r="L243" s="32"/>
      <c r="M243" s="32"/>
      <c r="N243" s="32"/>
      <c r="O243" s="32"/>
      <c r="P243" s="32"/>
      <c r="Q243" s="34"/>
      <c r="R243" s="34"/>
      <c r="S243" s="35" t="str">
        <f aca="false">IF(OR(Q243="",R243=""),"",ROUND(R243/((Q243/100)^2),1))</f>
        <v/>
      </c>
      <c r="T243" s="32" t="str">
        <f aca="false">IF(S243="","",IF(S243&lt;18.5,"Underweight",IF(S243&lt;25,"Normal",IF(S243&lt;30,"Overweight","Obese"))))</f>
        <v/>
      </c>
      <c r="U243" s="34"/>
      <c r="V243" s="34"/>
      <c r="W243" s="32"/>
      <c r="X243" s="32"/>
      <c r="Y243" s="32"/>
      <c r="Z243" s="32"/>
      <c r="AA243" s="32"/>
      <c r="AB243" s="32"/>
      <c r="AC243" s="32"/>
      <c r="AD243" s="32"/>
      <c r="AE243" s="32"/>
      <c r="AF243" s="32"/>
      <c r="AG243" s="32"/>
      <c r="AH243" s="32"/>
      <c r="AI243" s="32"/>
      <c r="AJ243" s="32"/>
      <c r="AK243" s="32"/>
      <c r="AL243" s="32"/>
      <c r="AM243" s="32"/>
      <c r="AN243" s="32"/>
      <c r="AO243" s="32"/>
      <c r="AP243" s="32"/>
      <c r="AQ243" s="32"/>
      <c r="AR243" s="32"/>
      <c r="AS243" s="32"/>
      <c r="AT243" s="32"/>
      <c r="AU243" s="32"/>
      <c r="AV243" s="32"/>
      <c r="AW243" s="32"/>
      <c r="AX243" s="32"/>
      <c r="AY243" s="32"/>
      <c r="AZ243" s="32"/>
      <c r="BA243" s="32"/>
      <c r="BB243" s="32"/>
      <c r="BC243" s="32"/>
      <c r="BD243" s="32"/>
      <c r="BE243" s="32"/>
      <c r="BF243" s="35" t="str">
        <f aca="false">IF(T243="","",IF(T243="Normal",100,IF(T243="Overweight",65,IF(T243="Obese",50,IF(AND(U243&lt;&gt;"",U243&lt;18.5),30,45)))))</f>
        <v/>
      </c>
      <c r="BG243" s="35" t="str">
        <f aca="false">IF(COUNTBLANK(W243:AC243)&gt;0,"",ROUND(AVERAGE(INDEX('SCORING MASTER'!$D$5:$D$7,MATCH(W243,'SCORING MASTER'!$C$5:$C$7,0)),INDEX('SCORING MASTER'!$D$9:$D$11,MATCH(X243,'SCORING MASTER'!$C$9:$C$11,0)),INDEX('SCORING MASTER'!$D$13:$D$15,MATCH(Y243,'SCORING MASTER'!$C$13:$C$15,0)),INDEX('SCORING MASTER'!$D$17:$D$19,MATCH(Z243,'SCORING MASTER'!$C$17:$C$19,0)),INDEX('SCORING MASTER'!$D$21:$D$23,MATCH(AA243,'SCORING MASTER'!$C$21:$C$23,0)),INDEX('SCORING MASTER'!$D$25:$D$27,MATCH(AB243,'SCORING MASTER'!$C$25:$C$27,0)),INDEX('SCORING MASTER'!$D$29:$D$31,MATCH(AC243,'SCORING MASTER'!$C$29:$C$31,0)))*20,0))</f>
        <v/>
      </c>
      <c r="BH243" s="35" t="str">
        <f aca="false">IF(COUNTBLANK(AD243:AI243)&gt;0,"",ROUND(AVERAGE(INDEX('SCORING MASTER'!$D$33:$D$35,MATCH(AD243,'SCORING MASTER'!$C$33:$C$35,0)),INDEX('SCORING MASTER'!$D$37:$D$39,MATCH(AE243,'SCORING MASTER'!$C$37:$C$39,0)),INDEX('SCORING MASTER'!$D$41:$D$43,MATCH(AF243,'SCORING MASTER'!$C$41:$C$43,0)),INDEX('SCORING MASTER'!$D$45:$D$47,MATCH(AG243,'SCORING MASTER'!$C$45:$C$47,0)),INDEX('SCORING MASTER'!$D$49:$D$52,MATCH(AH243,'SCORING MASTER'!$C$49:$C$52,0)),INDEX('SCORING MASTER'!$D$54:$D$57,MATCH(AI243,'SCORING MASTER'!$C$54:$C$57,0)))*20,0))</f>
        <v/>
      </c>
      <c r="BI243" s="35" t="str">
        <f aca="false">IF(COUNTBLANK(AJ243:AP243)&gt;0,"",ROUND(AVERAGE(INDEX('SCORING MASTER'!$D$59:$D$60,MATCH(AJ243,'SCORING MASTER'!$C$59:$C$60,0)),INDEX('SCORING MASTER'!$D$62:$D$63,MATCH(AK243,'SCORING MASTER'!$C$62:$C$63,0)),INDEX('SCORING MASTER'!$D$65:$D$66,MATCH(AL243,'SCORING MASTER'!$C$65:$C$66,0)),INDEX('SCORING MASTER'!$D$68:$D$69,MATCH(AM243,'SCORING MASTER'!$C$68:$C$69,0)),INDEX('SCORING MASTER'!$D$71:$D$72,MATCH(AN243,'SCORING MASTER'!$C$71:$C$72,0)),INDEX('SCORING MASTER'!$D$74:$D$75,MATCH(AO243,'SCORING MASTER'!$C$74:$C$75,0)),INDEX('SCORING MASTER'!$D$77:$D$78,MATCH(AP243,'SCORING MASTER'!$C$77:$C$78,0)))*20,0))</f>
        <v/>
      </c>
      <c r="BJ243" s="35" t="str">
        <f aca="false">IF(COUNTBLANK(AU243:AZ243)&gt;0,"",ROUND(AVERAGE(INDEX('SCORING MASTER'!$D$95:$D$96,MATCH(AU243,'SCORING MASTER'!$C$95:$C$96,0)),INDEX('SCORING MASTER'!$D$98:$D$99,MATCH(AV243,'SCORING MASTER'!$C$98:$C$99,0)),INDEX('SCORING MASTER'!$D$101:$D$102,MATCH(AW243,'SCORING MASTER'!$C$101:$C$102,0)),INDEX('SCORING MASTER'!$D$104:$D$105,MATCH(AX243,'SCORING MASTER'!$C$104:$C$105,0)),INDEX('SCORING MASTER'!$D$107:$D$108,MATCH(AY243,'SCORING MASTER'!$C$107:$C$108,0)),INDEX('SCORING MASTER'!$D$110:$D$111,MATCH(AZ243,'SCORING MASTER'!$C$110:$C$111,0)))*20,0))</f>
        <v/>
      </c>
      <c r="BK243" s="35" t="str">
        <f aca="false">IF(COUNTBLANK(AQ243:AT243)&gt;0,"",ROUND(AVERAGE(INDEX('SCORING MASTER'!$D$80:$D$82,MATCH(AQ243,'SCORING MASTER'!$C$80:$C$82,0)),INDEX('SCORING MASTER'!$D$84:$D$86,MATCH(AR243,'SCORING MASTER'!$C$84:$C$86,0)),INDEX('SCORING MASTER'!$D$88:$D$90,MATCH(AS243,'SCORING MASTER'!$C$88:$C$90,0)),INDEX('SCORING MASTER'!$D$92:$D$93,MATCH(AT243,'SCORING MASTER'!$C$92:$C$93,0)))*20,0))</f>
        <v/>
      </c>
      <c r="BL243" s="35" t="str">
        <f aca="false">IF(COUNTBLANK(BA243:BE243)&gt;0,"",ROUND(AVERAGE(INDEX('SCORING MASTER'!$D$113:$D$115,MATCH(BA243,'SCORING MASTER'!$C$113:$C$115,0)),INDEX('SCORING MASTER'!$D$117:$D$119,MATCH(BB243,'SCORING MASTER'!$C$117:$C$119,0)),INDEX('SCORING MASTER'!$D$121:$D$123,MATCH(BC243,'SCORING MASTER'!$C$121:$C$123,0)),INDEX('SCORING MASTER'!$D$125:$D$126,MATCH(BD243,'SCORING MASTER'!$C$125:$C$126,0)),INDEX('SCORING MASTER'!$D$128:$D$129,MATCH(BE243,'SCORING MASTER'!$C$128:$C$129,0)))*20,0))</f>
        <v/>
      </c>
      <c r="BM243" s="35" t="str">
        <f aca="false">IF(OR(BF243="",BG243="",BH243="",BI243="",BJ243="",BK243="",BL243=""),"",ROUND(BF243*0.25+BG243*0.2+BH243*0.15+BI243*0.15+BJ243*0.1+BK243*0.1+BL243*0.05,0))</f>
        <v/>
      </c>
      <c r="BN243" s="35" t="str">
        <f aca="false">IF(OR(BF243="",BG243=""),"",ROUND(BF243*0.5+BG243*0.5,0))</f>
        <v/>
      </c>
      <c r="BO243" s="35" t="str">
        <f aca="false">IF(BN243="","",ROUND(MIN(100,MAX(0,(100-BN243)+IF(AL243="Yes",15,0)+IF(AM243="Yes",15,0)+IF(AND(U243&lt;&gt;"",U243&lt;18.5),20,0))),0))</f>
        <v/>
      </c>
      <c r="BP243" s="32" t="str">
        <f aca="false">IF(BM243="","",IF(BM243&gt;=90,"Green - Healthy",IF(BM243&gt;=75,"Light Green - Mild Watch",IF(BM243&gt;=60,"Yellow - Mild Risk",IF(BM243&gt;=40,"Orange - Moderate Risk","Red - High Risk")))))</f>
        <v/>
      </c>
      <c r="BQ243" s="32" t="str">
        <f aca="false">IF(BM243="","",IF(OR(BM243&lt;60,BO243&gt;=60,AJ243="Yes"),"Yes","No"))</f>
        <v/>
      </c>
      <c r="BR243" s="32" t="str">
        <f aca="false">IF(BM243="","",IF(OR(BP243="Orange - Moderate Risk",BP243="Red - High Risk",BQ243="Yes"),"Yes","No"))</f>
        <v/>
      </c>
    </row>
    <row r="244" customFormat="false" ht="15" hidden="false" customHeight="false" outlineLevel="0" collapsed="false">
      <c r="A244" s="28" t="str">
        <f aca="false">IF(I244="","","STU"&amp;TEXT(ROW()-3,"000000"))</f>
        <v/>
      </c>
      <c r="B244" s="28"/>
      <c r="C244" s="28"/>
      <c r="D244" s="28"/>
      <c r="E244" s="28"/>
      <c r="F244" s="28"/>
      <c r="G244" s="28"/>
      <c r="H244" s="28"/>
      <c r="I244" s="28"/>
      <c r="J244" s="30"/>
      <c r="K244" s="28"/>
      <c r="L244" s="28"/>
      <c r="M244" s="28"/>
      <c r="N244" s="28"/>
      <c r="O244" s="28"/>
      <c r="P244" s="28"/>
      <c r="Q244" s="30"/>
      <c r="R244" s="30"/>
      <c r="S244" s="31" t="str">
        <f aca="false">IF(OR(Q244="",R244=""),"",ROUND(R244/((Q244/100)^2),1))</f>
        <v/>
      </c>
      <c r="T244" s="28" t="str">
        <f aca="false">IF(S244="","",IF(S244&lt;18.5,"Underweight",IF(S244&lt;25,"Normal",IF(S244&lt;30,"Overweight","Obese"))))</f>
        <v/>
      </c>
      <c r="U244" s="30"/>
      <c r="V244" s="30"/>
      <c r="W244" s="28"/>
      <c r="X244" s="28"/>
      <c r="Y244" s="28"/>
      <c r="Z244" s="28"/>
      <c r="AA244" s="28"/>
      <c r="AB244" s="28"/>
      <c r="AC244" s="28"/>
      <c r="AD244" s="28"/>
      <c r="AE244" s="28"/>
      <c r="AF244" s="28"/>
      <c r="AG244" s="28"/>
      <c r="AH244" s="28"/>
      <c r="AI244" s="28"/>
      <c r="AJ244" s="28"/>
      <c r="AK244" s="28"/>
      <c r="AL244" s="28"/>
      <c r="AM244" s="28"/>
      <c r="AN244" s="28"/>
      <c r="AO244" s="28"/>
      <c r="AP244" s="28"/>
      <c r="AQ244" s="28"/>
      <c r="AR244" s="28"/>
      <c r="AS244" s="28"/>
      <c r="AT244" s="28"/>
      <c r="AU244" s="28"/>
      <c r="AV244" s="28"/>
      <c r="AW244" s="28"/>
      <c r="AX244" s="28"/>
      <c r="AY244" s="28"/>
      <c r="AZ244" s="28"/>
      <c r="BA244" s="28"/>
      <c r="BB244" s="28"/>
      <c r="BC244" s="28"/>
      <c r="BD244" s="28"/>
      <c r="BE244" s="28"/>
      <c r="BF244" s="31" t="str">
        <f aca="false">IF(T244="","",IF(T244="Normal",100,IF(T244="Overweight",65,IF(T244="Obese",50,IF(AND(U244&lt;&gt;"",U244&lt;18.5),30,45)))))</f>
        <v/>
      </c>
      <c r="BG244" s="31" t="str">
        <f aca="false">IF(COUNTBLANK(W244:AC244)&gt;0,"",ROUND(AVERAGE(INDEX('SCORING MASTER'!$D$5:$D$7,MATCH(W244,'SCORING MASTER'!$C$5:$C$7,0)),INDEX('SCORING MASTER'!$D$9:$D$11,MATCH(X244,'SCORING MASTER'!$C$9:$C$11,0)),INDEX('SCORING MASTER'!$D$13:$D$15,MATCH(Y244,'SCORING MASTER'!$C$13:$C$15,0)),INDEX('SCORING MASTER'!$D$17:$D$19,MATCH(Z244,'SCORING MASTER'!$C$17:$C$19,0)),INDEX('SCORING MASTER'!$D$21:$D$23,MATCH(AA244,'SCORING MASTER'!$C$21:$C$23,0)),INDEX('SCORING MASTER'!$D$25:$D$27,MATCH(AB244,'SCORING MASTER'!$C$25:$C$27,0)),INDEX('SCORING MASTER'!$D$29:$D$31,MATCH(AC244,'SCORING MASTER'!$C$29:$C$31,0)))*20,0))</f>
        <v/>
      </c>
      <c r="BH244" s="31" t="str">
        <f aca="false">IF(COUNTBLANK(AD244:AI244)&gt;0,"",ROUND(AVERAGE(INDEX('SCORING MASTER'!$D$33:$D$35,MATCH(AD244,'SCORING MASTER'!$C$33:$C$35,0)),INDEX('SCORING MASTER'!$D$37:$D$39,MATCH(AE244,'SCORING MASTER'!$C$37:$C$39,0)),INDEX('SCORING MASTER'!$D$41:$D$43,MATCH(AF244,'SCORING MASTER'!$C$41:$C$43,0)),INDEX('SCORING MASTER'!$D$45:$D$47,MATCH(AG244,'SCORING MASTER'!$C$45:$C$47,0)),INDEX('SCORING MASTER'!$D$49:$D$52,MATCH(AH244,'SCORING MASTER'!$C$49:$C$52,0)),INDEX('SCORING MASTER'!$D$54:$D$57,MATCH(AI244,'SCORING MASTER'!$C$54:$C$57,0)))*20,0))</f>
        <v/>
      </c>
      <c r="BI244" s="31" t="str">
        <f aca="false">IF(COUNTBLANK(AJ244:AP244)&gt;0,"",ROUND(AVERAGE(INDEX('SCORING MASTER'!$D$59:$D$60,MATCH(AJ244,'SCORING MASTER'!$C$59:$C$60,0)),INDEX('SCORING MASTER'!$D$62:$D$63,MATCH(AK244,'SCORING MASTER'!$C$62:$C$63,0)),INDEX('SCORING MASTER'!$D$65:$D$66,MATCH(AL244,'SCORING MASTER'!$C$65:$C$66,0)),INDEX('SCORING MASTER'!$D$68:$D$69,MATCH(AM244,'SCORING MASTER'!$C$68:$C$69,0)),INDEX('SCORING MASTER'!$D$71:$D$72,MATCH(AN244,'SCORING MASTER'!$C$71:$C$72,0)),INDEX('SCORING MASTER'!$D$74:$D$75,MATCH(AO244,'SCORING MASTER'!$C$74:$C$75,0)),INDEX('SCORING MASTER'!$D$77:$D$78,MATCH(AP244,'SCORING MASTER'!$C$77:$C$78,0)))*20,0))</f>
        <v/>
      </c>
      <c r="BJ244" s="31" t="str">
        <f aca="false">IF(COUNTBLANK(AU244:AZ244)&gt;0,"",ROUND(AVERAGE(INDEX('SCORING MASTER'!$D$95:$D$96,MATCH(AU244,'SCORING MASTER'!$C$95:$C$96,0)),INDEX('SCORING MASTER'!$D$98:$D$99,MATCH(AV244,'SCORING MASTER'!$C$98:$C$99,0)),INDEX('SCORING MASTER'!$D$101:$D$102,MATCH(AW244,'SCORING MASTER'!$C$101:$C$102,0)),INDEX('SCORING MASTER'!$D$104:$D$105,MATCH(AX244,'SCORING MASTER'!$C$104:$C$105,0)),INDEX('SCORING MASTER'!$D$107:$D$108,MATCH(AY244,'SCORING MASTER'!$C$107:$C$108,0)),INDEX('SCORING MASTER'!$D$110:$D$111,MATCH(AZ244,'SCORING MASTER'!$C$110:$C$111,0)))*20,0))</f>
        <v/>
      </c>
      <c r="BK244" s="31" t="str">
        <f aca="false">IF(COUNTBLANK(AQ244:AT244)&gt;0,"",ROUND(AVERAGE(INDEX('SCORING MASTER'!$D$80:$D$82,MATCH(AQ244,'SCORING MASTER'!$C$80:$C$82,0)),INDEX('SCORING MASTER'!$D$84:$D$86,MATCH(AR244,'SCORING MASTER'!$C$84:$C$86,0)),INDEX('SCORING MASTER'!$D$88:$D$90,MATCH(AS244,'SCORING MASTER'!$C$88:$C$90,0)),INDEX('SCORING MASTER'!$D$92:$D$93,MATCH(AT244,'SCORING MASTER'!$C$92:$C$93,0)))*20,0))</f>
        <v/>
      </c>
      <c r="BL244" s="31" t="str">
        <f aca="false">IF(COUNTBLANK(BA244:BE244)&gt;0,"",ROUND(AVERAGE(INDEX('SCORING MASTER'!$D$113:$D$115,MATCH(BA244,'SCORING MASTER'!$C$113:$C$115,0)),INDEX('SCORING MASTER'!$D$117:$D$119,MATCH(BB244,'SCORING MASTER'!$C$117:$C$119,0)),INDEX('SCORING MASTER'!$D$121:$D$123,MATCH(BC244,'SCORING MASTER'!$C$121:$C$123,0)),INDEX('SCORING MASTER'!$D$125:$D$126,MATCH(BD244,'SCORING MASTER'!$C$125:$C$126,0)),INDEX('SCORING MASTER'!$D$128:$D$129,MATCH(BE244,'SCORING MASTER'!$C$128:$C$129,0)))*20,0))</f>
        <v/>
      </c>
      <c r="BM244" s="31" t="str">
        <f aca="false">IF(OR(BF244="",BG244="",BH244="",BI244="",BJ244="",BK244="",BL244=""),"",ROUND(BF244*0.25+BG244*0.2+BH244*0.15+BI244*0.15+BJ244*0.1+BK244*0.1+BL244*0.05,0))</f>
        <v/>
      </c>
      <c r="BN244" s="31" t="str">
        <f aca="false">IF(OR(BF244="",BG244=""),"",ROUND(BF244*0.5+BG244*0.5,0))</f>
        <v/>
      </c>
      <c r="BO244" s="31" t="str">
        <f aca="false">IF(BN244="","",ROUND(MIN(100,MAX(0,(100-BN244)+IF(AL244="Yes",15,0)+IF(AM244="Yes",15,0)+IF(AND(U244&lt;&gt;"",U244&lt;18.5),20,0))),0))</f>
        <v/>
      </c>
      <c r="BP244" s="28" t="str">
        <f aca="false">IF(BM244="","",IF(BM244&gt;=90,"Green - Healthy",IF(BM244&gt;=75,"Light Green - Mild Watch",IF(BM244&gt;=60,"Yellow - Mild Risk",IF(BM244&gt;=40,"Orange - Moderate Risk","Red - High Risk")))))</f>
        <v/>
      </c>
      <c r="BQ244" s="28" t="str">
        <f aca="false">IF(BM244="","",IF(OR(BM244&lt;60,BO244&gt;=60,AJ244="Yes"),"Yes","No"))</f>
        <v/>
      </c>
      <c r="BR244" s="28" t="str">
        <f aca="false">IF(BM244="","",IF(OR(BP244="Orange - Moderate Risk",BP244="Red - High Risk",BQ244="Yes"),"Yes","No"))</f>
        <v/>
      </c>
    </row>
    <row r="245" customFormat="false" ht="15" hidden="false" customHeight="false" outlineLevel="0" collapsed="false">
      <c r="A245" s="32" t="str">
        <f aca="false">IF(I245="","","STU"&amp;TEXT(ROW()-3,"000000"))</f>
        <v/>
      </c>
      <c r="B245" s="32"/>
      <c r="C245" s="32"/>
      <c r="D245" s="32"/>
      <c r="E245" s="32"/>
      <c r="F245" s="32"/>
      <c r="G245" s="32"/>
      <c r="H245" s="32"/>
      <c r="I245" s="32"/>
      <c r="J245" s="34"/>
      <c r="K245" s="32"/>
      <c r="L245" s="32"/>
      <c r="M245" s="32"/>
      <c r="N245" s="32"/>
      <c r="O245" s="32"/>
      <c r="P245" s="32"/>
      <c r="Q245" s="34"/>
      <c r="R245" s="34"/>
      <c r="S245" s="35" t="str">
        <f aca="false">IF(OR(Q245="",R245=""),"",ROUND(R245/((Q245/100)^2),1))</f>
        <v/>
      </c>
      <c r="T245" s="32" t="str">
        <f aca="false">IF(S245="","",IF(S245&lt;18.5,"Underweight",IF(S245&lt;25,"Normal",IF(S245&lt;30,"Overweight","Obese"))))</f>
        <v/>
      </c>
      <c r="U245" s="34"/>
      <c r="V245" s="34"/>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c r="BC245" s="32"/>
      <c r="BD245" s="32"/>
      <c r="BE245" s="32"/>
      <c r="BF245" s="35" t="str">
        <f aca="false">IF(T245="","",IF(T245="Normal",100,IF(T245="Overweight",65,IF(T245="Obese",50,IF(AND(U245&lt;&gt;"",U245&lt;18.5),30,45)))))</f>
        <v/>
      </c>
      <c r="BG245" s="35" t="str">
        <f aca="false">IF(COUNTBLANK(W245:AC245)&gt;0,"",ROUND(AVERAGE(INDEX('SCORING MASTER'!$D$5:$D$7,MATCH(W245,'SCORING MASTER'!$C$5:$C$7,0)),INDEX('SCORING MASTER'!$D$9:$D$11,MATCH(X245,'SCORING MASTER'!$C$9:$C$11,0)),INDEX('SCORING MASTER'!$D$13:$D$15,MATCH(Y245,'SCORING MASTER'!$C$13:$C$15,0)),INDEX('SCORING MASTER'!$D$17:$D$19,MATCH(Z245,'SCORING MASTER'!$C$17:$C$19,0)),INDEX('SCORING MASTER'!$D$21:$D$23,MATCH(AA245,'SCORING MASTER'!$C$21:$C$23,0)),INDEX('SCORING MASTER'!$D$25:$D$27,MATCH(AB245,'SCORING MASTER'!$C$25:$C$27,0)),INDEX('SCORING MASTER'!$D$29:$D$31,MATCH(AC245,'SCORING MASTER'!$C$29:$C$31,0)))*20,0))</f>
        <v/>
      </c>
      <c r="BH245" s="35" t="str">
        <f aca="false">IF(COUNTBLANK(AD245:AI245)&gt;0,"",ROUND(AVERAGE(INDEX('SCORING MASTER'!$D$33:$D$35,MATCH(AD245,'SCORING MASTER'!$C$33:$C$35,0)),INDEX('SCORING MASTER'!$D$37:$D$39,MATCH(AE245,'SCORING MASTER'!$C$37:$C$39,0)),INDEX('SCORING MASTER'!$D$41:$D$43,MATCH(AF245,'SCORING MASTER'!$C$41:$C$43,0)),INDEX('SCORING MASTER'!$D$45:$D$47,MATCH(AG245,'SCORING MASTER'!$C$45:$C$47,0)),INDEX('SCORING MASTER'!$D$49:$D$52,MATCH(AH245,'SCORING MASTER'!$C$49:$C$52,0)),INDEX('SCORING MASTER'!$D$54:$D$57,MATCH(AI245,'SCORING MASTER'!$C$54:$C$57,0)))*20,0))</f>
        <v/>
      </c>
      <c r="BI245" s="35" t="str">
        <f aca="false">IF(COUNTBLANK(AJ245:AP245)&gt;0,"",ROUND(AVERAGE(INDEX('SCORING MASTER'!$D$59:$D$60,MATCH(AJ245,'SCORING MASTER'!$C$59:$C$60,0)),INDEX('SCORING MASTER'!$D$62:$D$63,MATCH(AK245,'SCORING MASTER'!$C$62:$C$63,0)),INDEX('SCORING MASTER'!$D$65:$D$66,MATCH(AL245,'SCORING MASTER'!$C$65:$C$66,0)),INDEX('SCORING MASTER'!$D$68:$D$69,MATCH(AM245,'SCORING MASTER'!$C$68:$C$69,0)),INDEX('SCORING MASTER'!$D$71:$D$72,MATCH(AN245,'SCORING MASTER'!$C$71:$C$72,0)),INDEX('SCORING MASTER'!$D$74:$D$75,MATCH(AO245,'SCORING MASTER'!$C$74:$C$75,0)),INDEX('SCORING MASTER'!$D$77:$D$78,MATCH(AP245,'SCORING MASTER'!$C$77:$C$78,0)))*20,0))</f>
        <v/>
      </c>
      <c r="BJ245" s="35" t="str">
        <f aca="false">IF(COUNTBLANK(AU245:AZ245)&gt;0,"",ROUND(AVERAGE(INDEX('SCORING MASTER'!$D$95:$D$96,MATCH(AU245,'SCORING MASTER'!$C$95:$C$96,0)),INDEX('SCORING MASTER'!$D$98:$D$99,MATCH(AV245,'SCORING MASTER'!$C$98:$C$99,0)),INDEX('SCORING MASTER'!$D$101:$D$102,MATCH(AW245,'SCORING MASTER'!$C$101:$C$102,0)),INDEX('SCORING MASTER'!$D$104:$D$105,MATCH(AX245,'SCORING MASTER'!$C$104:$C$105,0)),INDEX('SCORING MASTER'!$D$107:$D$108,MATCH(AY245,'SCORING MASTER'!$C$107:$C$108,0)),INDEX('SCORING MASTER'!$D$110:$D$111,MATCH(AZ245,'SCORING MASTER'!$C$110:$C$111,0)))*20,0))</f>
        <v/>
      </c>
      <c r="BK245" s="35" t="str">
        <f aca="false">IF(COUNTBLANK(AQ245:AT245)&gt;0,"",ROUND(AVERAGE(INDEX('SCORING MASTER'!$D$80:$D$82,MATCH(AQ245,'SCORING MASTER'!$C$80:$C$82,0)),INDEX('SCORING MASTER'!$D$84:$D$86,MATCH(AR245,'SCORING MASTER'!$C$84:$C$86,0)),INDEX('SCORING MASTER'!$D$88:$D$90,MATCH(AS245,'SCORING MASTER'!$C$88:$C$90,0)),INDEX('SCORING MASTER'!$D$92:$D$93,MATCH(AT245,'SCORING MASTER'!$C$92:$C$93,0)))*20,0))</f>
        <v/>
      </c>
      <c r="BL245" s="35" t="str">
        <f aca="false">IF(COUNTBLANK(BA245:BE245)&gt;0,"",ROUND(AVERAGE(INDEX('SCORING MASTER'!$D$113:$D$115,MATCH(BA245,'SCORING MASTER'!$C$113:$C$115,0)),INDEX('SCORING MASTER'!$D$117:$D$119,MATCH(BB245,'SCORING MASTER'!$C$117:$C$119,0)),INDEX('SCORING MASTER'!$D$121:$D$123,MATCH(BC245,'SCORING MASTER'!$C$121:$C$123,0)),INDEX('SCORING MASTER'!$D$125:$D$126,MATCH(BD245,'SCORING MASTER'!$C$125:$C$126,0)),INDEX('SCORING MASTER'!$D$128:$D$129,MATCH(BE245,'SCORING MASTER'!$C$128:$C$129,0)))*20,0))</f>
        <v/>
      </c>
      <c r="BM245" s="35" t="str">
        <f aca="false">IF(OR(BF245="",BG245="",BH245="",BI245="",BJ245="",BK245="",BL245=""),"",ROUND(BF245*0.25+BG245*0.2+BH245*0.15+BI245*0.15+BJ245*0.1+BK245*0.1+BL245*0.05,0))</f>
        <v/>
      </c>
      <c r="BN245" s="35" t="str">
        <f aca="false">IF(OR(BF245="",BG245=""),"",ROUND(BF245*0.5+BG245*0.5,0))</f>
        <v/>
      </c>
      <c r="BO245" s="35" t="str">
        <f aca="false">IF(BN245="","",ROUND(MIN(100,MAX(0,(100-BN245)+IF(AL245="Yes",15,0)+IF(AM245="Yes",15,0)+IF(AND(U245&lt;&gt;"",U245&lt;18.5),20,0))),0))</f>
        <v/>
      </c>
      <c r="BP245" s="32" t="str">
        <f aca="false">IF(BM245="","",IF(BM245&gt;=90,"Green - Healthy",IF(BM245&gt;=75,"Light Green - Mild Watch",IF(BM245&gt;=60,"Yellow - Mild Risk",IF(BM245&gt;=40,"Orange - Moderate Risk","Red - High Risk")))))</f>
        <v/>
      </c>
      <c r="BQ245" s="32" t="str">
        <f aca="false">IF(BM245="","",IF(OR(BM245&lt;60,BO245&gt;=60,AJ245="Yes"),"Yes","No"))</f>
        <v/>
      </c>
      <c r="BR245" s="32" t="str">
        <f aca="false">IF(BM245="","",IF(OR(BP245="Orange - Moderate Risk",BP245="Red - High Risk",BQ245="Yes"),"Yes","No"))</f>
        <v/>
      </c>
    </row>
    <row r="246" customFormat="false" ht="15" hidden="false" customHeight="false" outlineLevel="0" collapsed="false">
      <c r="A246" s="28" t="str">
        <f aca="false">IF(I246="","","STU"&amp;TEXT(ROW()-3,"000000"))</f>
        <v/>
      </c>
      <c r="B246" s="28"/>
      <c r="C246" s="28"/>
      <c r="D246" s="28"/>
      <c r="E246" s="28"/>
      <c r="F246" s="28"/>
      <c r="G246" s="28"/>
      <c r="H246" s="28"/>
      <c r="I246" s="28"/>
      <c r="J246" s="30"/>
      <c r="K246" s="28"/>
      <c r="L246" s="28"/>
      <c r="M246" s="28"/>
      <c r="N246" s="28"/>
      <c r="O246" s="28"/>
      <c r="P246" s="28"/>
      <c r="Q246" s="30"/>
      <c r="R246" s="30"/>
      <c r="S246" s="31" t="str">
        <f aca="false">IF(OR(Q246="",R246=""),"",ROUND(R246/((Q246/100)^2),1))</f>
        <v/>
      </c>
      <c r="T246" s="28" t="str">
        <f aca="false">IF(S246="","",IF(S246&lt;18.5,"Underweight",IF(S246&lt;25,"Normal",IF(S246&lt;30,"Overweight","Obese"))))</f>
        <v/>
      </c>
      <c r="U246" s="30"/>
      <c r="V246" s="30"/>
      <c r="W246" s="28"/>
      <c r="X246" s="28"/>
      <c r="Y246" s="28"/>
      <c r="Z246" s="28"/>
      <c r="AA246" s="28"/>
      <c r="AB246" s="28"/>
      <c r="AC246" s="28"/>
      <c r="AD246" s="28"/>
      <c r="AE246" s="28"/>
      <c r="AF246" s="28"/>
      <c r="AG246" s="28"/>
      <c r="AH246" s="28"/>
      <c r="AI246" s="28"/>
      <c r="AJ246" s="28"/>
      <c r="AK246" s="28"/>
      <c r="AL246" s="28"/>
      <c r="AM246" s="28"/>
      <c r="AN246" s="28"/>
      <c r="AO246" s="28"/>
      <c r="AP246" s="28"/>
      <c r="AQ246" s="28"/>
      <c r="AR246" s="28"/>
      <c r="AS246" s="28"/>
      <c r="AT246" s="28"/>
      <c r="AU246" s="28"/>
      <c r="AV246" s="28"/>
      <c r="AW246" s="28"/>
      <c r="AX246" s="28"/>
      <c r="AY246" s="28"/>
      <c r="AZ246" s="28"/>
      <c r="BA246" s="28"/>
      <c r="BB246" s="28"/>
      <c r="BC246" s="28"/>
      <c r="BD246" s="28"/>
      <c r="BE246" s="28"/>
      <c r="BF246" s="31" t="str">
        <f aca="false">IF(T246="","",IF(T246="Normal",100,IF(T246="Overweight",65,IF(T246="Obese",50,IF(AND(U246&lt;&gt;"",U246&lt;18.5),30,45)))))</f>
        <v/>
      </c>
      <c r="BG246" s="31" t="str">
        <f aca="false">IF(COUNTBLANK(W246:AC246)&gt;0,"",ROUND(AVERAGE(INDEX('SCORING MASTER'!$D$5:$D$7,MATCH(W246,'SCORING MASTER'!$C$5:$C$7,0)),INDEX('SCORING MASTER'!$D$9:$D$11,MATCH(X246,'SCORING MASTER'!$C$9:$C$11,0)),INDEX('SCORING MASTER'!$D$13:$D$15,MATCH(Y246,'SCORING MASTER'!$C$13:$C$15,0)),INDEX('SCORING MASTER'!$D$17:$D$19,MATCH(Z246,'SCORING MASTER'!$C$17:$C$19,0)),INDEX('SCORING MASTER'!$D$21:$D$23,MATCH(AA246,'SCORING MASTER'!$C$21:$C$23,0)),INDEX('SCORING MASTER'!$D$25:$D$27,MATCH(AB246,'SCORING MASTER'!$C$25:$C$27,0)),INDEX('SCORING MASTER'!$D$29:$D$31,MATCH(AC246,'SCORING MASTER'!$C$29:$C$31,0)))*20,0))</f>
        <v/>
      </c>
      <c r="BH246" s="31" t="str">
        <f aca="false">IF(COUNTBLANK(AD246:AI246)&gt;0,"",ROUND(AVERAGE(INDEX('SCORING MASTER'!$D$33:$D$35,MATCH(AD246,'SCORING MASTER'!$C$33:$C$35,0)),INDEX('SCORING MASTER'!$D$37:$D$39,MATCH(AE246,'SCORING MASTER'!$C$37:$C$39,0)),INDEX('SCORING MASTER'!$D$41:$D$43,MATCH(AF246,'SCORING MASTER'!$C$41:$C$43,0)),INDEX('SCORING MASTER'!$D$45:$D$47,MATCH(AG246,'SCORING MASTER'!$C$45:$C$47,0)),INDEX('SCORING MASTER'!$D$49:$D$52,MATCH(AH246,'SCORING MASTER'!$C$49:$C$52,0)),INDEX('SCORING MASTER'!$D$54:$D$57,MATCH(AI246,'SCORING MASTER'!$C$54:$C$57,0)))*20,0))</f>
        <v/>
      </c>
      <c r="BI246" s="31" t="str">
        <f aca="false">IF(COUNTBLANK(AJ246:AP246)&gt;0,"",ROUND(AVERAGE(INDEX('SCORING MASTER'!$D$59:$D$60,MATCH(AJ246,'SCORING MASTER'!$C$59:$C$60,0)),INDEX('SCORING MASTER'!$D$62:$D$63,MATCH(AK246,'SCORING MASTER'!$C$62:$C$63,0)),INDEX('SCORING MASTER'!$D$65:$D$66,MATCH(AL246,'SCORING MASTER'!$C$65:$C$66,0)),INDEX('SCORING MASTER'!$D$68:$D$69,MATCH(AM246,'SCORING MASTER'!$C$68:$C$69,0)),INDEX('SCORING MASTER'!$D$71:$D$72,MATCH(AN246,'SCORING MASTER'!$C$71:$C$72,0)),INDEX('SCORING MASTER'!$D$74:$D$75,MATCH(AO246,'SCORING MASTER'!$C$74:$C$75,0)),INDEX('SCORING MASTER'!$D$77:$D$78,MATCH(AP246,'SCORING MASTER'!$C$77:$C$78,0)))*20,0))</f>
        <v/>
      </c>
      <c r="BJ246" s="31" t="str">
        <f aca="false">IF(COUNTBLANK(AU246:AZ246)&gt;0,"",ROUND(AVERAGE(INDEX('SCORING MASTER'!$D$95:$D$96,MATCH(AU246,'SCORING MASTER'!$C$95:$C$96,0)),INDEX('SCORING MASTER'!$D$98:$D$99,MATCH(AV246,'SCORING MASTER'!$C$98:$C$99,0)),INDEX('SCORING MASTER'!$D$101:$D$102,MATCH(AW246,'SCORING MASTER'!$C$101:$C$102,0)),INDEX('SCORING MASTER'!$D$104:$D$105,MATCH(AX246,'SCORING MASTER'!$C$104:$C$105,0)),INDEX('SCORING MASTER'!$D$107:$D$108,MATCH(AY246,'SCORING MASTER'!$C$107:$C$108,0)),INDEX('SCORING MASTER'!$D$110:$D$111,MATCH(AZ246,'SCORING MASTER'!$C$110:$C$111,0)))*20,0))</f>
        <v/>
      </c>
      <c r="BK246" s="31" t="str">
        <f aca="false">IF(COUNTBLANK(AQ246:AT246)&gt;0,"",ROUND(AVERAGE(INDEX('SCORING MASTER'!$D$80:$D$82,MATCH(AQ246,'SCORING MASTER'!$C$80:$C$82,0)),INDEX('SCORING MASTER'!$D$84:$D$86,MATCH(AR246,'SCORING MASTER'!$C$84:$C$86,0)),INDEX('SCORING MASTER'!$D$88:$D$90,MATCH(AS246,'SCORING MASTER'!$C$88:$C$90,0)),INDEX('SCORING MASTER'!$D$92:$D$93,MATCH(AT246,'SCORING MASTER'!$C$92:$C$93,0)))*20,0))</f>
        <v/>
      </c>
      <c r="BL246" s="31" t="str">
        <f aca="false">IF(COUNTBLANK(BA246:BE246)&gt;0,"",ROUND(AVERAGE(INDEX('SCORING MASTER'!$D$113:$D$115,MATCH(BA246,'SCORING MASTER'!$C$113:$C$115,0)),INDEX('SCORING MASTER'!$D$117:$D$119,MATCH(BB246,'SCORING MASTER'!$C$117:$C$119,0)),INDEX('SCORING MASTER'!$D$121:$D$123,MATCH(BC246,'SCORING MASTER'!$C$121:$C$123,0)),INDEX('SCORING MASTER'!$D$125:$D$126,MATCH(BD246,'SCORING MASTER'!$C$125:$C$126,0)),INDEX('SCORING MASTER'!$D$128:$D$129,MATCH(BE246,'SCORING MASTER'!$C$128:$C$129,0)))*20,0))</f>
        <v/>
      </c>
      <c r="BM246" s="31" t="str">
        <f aca="false">IF(OR(BF246="",BG246="",BH246="",BI246="",BJ246="",BK246="",BL246=""),"",ROUND(BF246*0.25+BG246*0.2+BH246*0.15+BI246*0.15+BJ246*0.1+BK246*0.1+BL246*0.05,0))</f>
        <v/>
      </c>
      <c r="BN246" s="31" t="str">
        <f aca="false">IF(OR(BF246="",BG246=""),"",ROUND(BF246*0.5+BG246*0.5,0))</f>
        <v/>
      </c>
      <c r="BO246" s="31" t="str">
        <f aca="false">IF(BN246="","",ROUND(MIN(100,MAX(0,(100-BN246)+IF(AL246="Yes",15,0)+IF(AM246="Yes",15,0)+IF(AND(U246&lt;&gt;"",U246&lt;18.5),20,0))),0))</f>
        <v/>
      </c>
      <c r="BP246" s="28" t="str">
        <f aca="false">IF(BM246="","",IF(BM246&gt;=90,"Green - Healthy",IF(BM246&gt;=75,"Light Green - Mild Watch",IF(BM246&gt;=60,"Yellow - Mild Risk",IF(BM246&gt;=40,"Orange - Moderate Risk","Red - High Risk")))))</f>
        <v/>
      </c>
      <c r="BQ246" s="28" t="str">
        <f aca="false">IF(BM246="","",IF(OR(BM246&lt;60,BO246&gt;=60,AJ246="Yes"),"Yes","No"))</f>
        <v/>
      </c>
      <c r="BR246" s="28" t="str">
        <f aca="false">IF(BM246="","",IF(OR(BP246="Orange - Moderate Risk",BP246="Red - High Risk",BQ246="Yes"),"Yes","No"))</f>
        <v/>
      </c>
    </row>
    <row r="247" customFormat="false" ht="15" hidden="false" customHeight="false" outlineLevel="0" collapsed="false">
      <c r="A247" s="32" t="str">
        <f aca="false">IF(I247="","","STU"&amp;TEXT(ROW()-3,"000000"))</f>
        <v/>
      </c>
      <c r="B247" s="32"/>
      <c r="C247" s="32"/>
      <c r="D247" s="32"/>
      <c r="E247" s="32"/>
      <c r="F247" s="32"/>
      <c r="G247" s="32"/>
      <c r="H247" s="32"/>
      <c r="I247" s="32"/>
      <c r="J247" s="34"/>
      <c r="K247" s="32"/>
      <c r="L247" s="32"/>
      <c r="M247" s="32"/>
      <c r="N247" s="32"/>
      <c r="O247" s="32"/>
      <c r="P247" s="32"/>
      <c r="Q247" s="34"/>
      <c r="R247" s="34"/>
      <c r="S247" s="35" t="str">
        <f aca="false">IF(OR(Q247="",R247=""),"",ROUND(R247/((Q247/100)^2),1))</f>
        <v/>
      </c>
      <c r="T247" s="32" t="str">
        <f aca="false">IF(S247="","",IF(S247&lt;18.5,"Underweight",IF(S247&lt;25,"Normal",IF(S247&lt;30,"Overweight","Obese"))))</f>
        <v/>
      </c>
      <c r="U247" s="34"/>
      <c r="V247" s="34"/>
      <c r="W247" s="32"/>
      <c r="X247" s="32"/>
      <c r="Y247" s="32"/>
      <c r="Z247" s="32"/>
      <c r="AA247" s="32"/>
      <c r="AB247" s="32"/>
      <c r="AC247" s="32"/>
      <c r="AD247" s="32"/>
      <c r="AE247" s="32"/>
      <c r="AF247" s="32"/>
      <c r="AG247" s="32"/>
      <c r="AH247" s="32"/>
      <c r="AI247" s="32"/>
      <c r="AJ247" s="32"/>
      <c r="AK247" s="32"/>
      <c r="AL247" s="32"/>
      <c r="AM247" s="32"/>
      <c r="AN247" s="32"/>
      <c r="AO247" s="32"/>
      <c r="AP247" s="32"/>
      <c r="AQ247" s="32"/>
      <c r="AR247" s="32"/>
      <c r="AS247" s="32"/>
      <c r="AT247" s="32"/>
      <c r="AU247" s="32"/>
      <c r="AV247" s="32"/>
      <c r="AW247" s="32"/>
      <c r="AX247" s="32"/>
      <c r="AY247" s="32"/>
      <c r="AZ247" s="32"/>
      <c r="BA247" s="32"/>
      <c r="BB247" s="32"/>
      <c r="BC247" s="32"/>
      <c r="BD247" s="32"/>
      <c r="BE247" s="32"/>
      <c r="BF247" s="35" t="str">
        <f aca="false">IF(T247="","",IF(T247="Normal",100,IF(T247="Overweight",65,IF(T247="Obese",50,IF(AND(U247&lt;&gt;"",U247&lt;18.5),30,45)))))</f>
        <v/>
      </c>
      <c r="BG247" s="35" t="str">
        <f aca="false">IF(COUNTBLANK(W247:AC247)&gt;0,"",ROUND(AVERAGE(INDEX('SCORING MASTER'!$D$5:$D$7,MATCH(W247,'SCORING MASTER'!$C$5:$C$7,0)),INDEX('SCORING MASTER'!$D$9:$D$11,MATCH(X247,'SCORING MASTER'!$C$9:$C$11,0)),INDEX('SCORING MASTER'!$D$13:$D$15,MATCH(Y247,'SCORING MASTER'!$C$13:$C$15,0)),INDEX('SCORING MASTER'!$D$17:$D$19,MATCH(Z247,'SCORING MASTER'!$C$17:$C$19,0)),INDEX('SCORING MASTER'!$D$21:$D$23,MATCH(AA247,'SCORING MASTER'!$C$21:$C$23,0)),INDEX('SCORING MASTER'!$D$25:$D$27,MATCH(AB247,'SCORING MASTER'!$C$25:$C$27,0)),INDEX('SCORING MASTER'!$D$29:$D$31,MATCH(AC247,'SCORING MASTER'!$C$29:$C$31,0)))*20,0))</f>
        <v/>
      </c>
      <c r="BH247" s="35" t="str">
        <f aca="false">IF(COUNTBLANK(AD247:AI247)&gt;0,"",ROUND(AVERAGE(INDEX('SCORING MASTER'!$D$33:$D$35,MATCH(AD247,'SCORING MASTER'!$C$33:$C$35,0)),INDEX('SCORING MASTER'!$D$37:$D$39,MATCH(AE247,'SCORING MASTER'!$C$37:$C$39,0)),INDEX('SCORING MASTER'!$D$41:$D$43,MATCH(AF247,'SCORING MASTER'!$C$41:$C$43,0)),INDEX('SCORING MASTER'!$D$45:$D$47,MATCH(AG247,'SCORING MASTER'!$C$45:$C$47,0)),INDEX('SCORING MASTER'!$D$49:$D$52,MATCH(AH247,'SCORING MASTER'!$C$49:$C$52,0)),INDEX('SCORING MASTER'!$D$54:$D$57,MATCH(AI247,'SCORING MASTER'!$C$54:$C$57,0)))*20,0))</f>
        <v/>
      </c>
      <c r="BI247" s="35" t="str">
        <f aca="false">IF(COUNTBLANK(AJ247:AP247)&gt;0,"",ROUND(AVERAGE(INDEX('SCORING MASTER'!$D$59:$D$60,MATCH(AJ247,'SCORING MASTER'!$C$59:$C$60,0)),INDEX('SCORING MASTER'!$D$62:$D$63,MATCH(AK247,'SCORING MASTER'!$C$62:$C$63,0)),INDEX('SCORING MASTER'!$D$65:$D$66,MATCH(AL247,'SCORING MASTER'!$C$65:$C$66,0)),INDEX('SCORING MASTER'!$D$68:$D$69,MATCH(AM247,'SCORING MASTER'!$C$68:$C$69,0)),INDEX('SCORING MASTER'!$D$71:$D$72,MATCH(AN247,'SCORING MASTER'!$C$71:$C$72,0)),INDEX('SCORING MASTER'!$D$74:$D$75,MATCH(AO247,'SCORING MASTER'!$C$74:$C$75,0)),INDEX('SCORING MASTER'!$D$77:$D$78,MATCH(AP247,'SCORING MASTER'!$C$77:$C$78,0)))*20,0))</f>
        <v/>
      </c>
      <c r="BJ247" s="35" t="str">
        <f aca="false">IF(COUNTBLANK(AU247:AZ247)&gt;0,"",ROUND(AVERAGE(INDEX('SCORING MASTER'!$D$95:$D$96,MATCH(AU247,'SCORING MASTER'!$C$95:$C$96,0)),INDEX('SCORING MASTER'!$D$98:$D$99,MATCH(AV247,'SCORING MASTER'!$C$98:$C$99,0)),INDEX('SCORING MASTER'!$D$101:$D$102,MATCH(AW247,'SCORING MASTER'!$C$101:$C$102,0)),INDEX('SCORING MASTER'!$D$104:$D$105,MATCH(AX247,'SCORING MASTER'!$C$104:$C$105,0)),INDEX('SCORING MASTER'!$D$107:$D$108,MATCH(AY247,'SCORING MASTER'!$C$107:$C$108,0)),INDEX('SCORING MASTER'!$D$110:$D$111,MATCH(AZ247,'SCORING MASTER'!$C$110:$C$111,0)))*20,0))</f>
        <v/>
      </c>
      <c r="BK247" s="35" t="str">
        <f aca="false">IF(COUNTBLANK(AQ247:AT247)&gt;0,"",ROUND(AVERAGE(INDEX('SCORING MASTER'!$D$80:$D$82,MATCH(AQ247,'SCORING MASTER'!$C$80:$C$82,0)),INDEX('SCORING MASTER'!$D$84:$D$86,MATCH(AR247,'SCORING MASTER'!$C$84:$C$86,0)),INDEX('SCORING MASTER'!$D$88:$D$90,MATCH(AS247,'SCORING MASTER'!$C$88:$C$90,0)),INDEX('SCORING MASTER'!$D$92:$D$93,MATCH(AT247,'SCORING MASTER'!$C$92:$C$93,0)))*20,0))</f>
        <v/>
      </c>
      <c r="BL247" s="35" t="str">
        <f aca="false">IF(COUNTBLANK(BA247:BE247)&gt;0,"",ROUND(AVERAGE(INDEX('SCORING MASTER'!$D$113:$D$115,MATCH(BA247,'SCORING MASTER'!$C$113:$C$115,0)),INDEX('SCORING MASTER'!$D$117:$D$119,MATCH(BB247,'SCORING MASTER'!$C$117:$C$119,0)),INDEX('SCORING MASTER'!$D$121:$D$123,MATCH(BC247,'SCORING MASTER'!$C$121:$C$123,0)),INDEX('SCORING MASTER'!$D$125:$D$126,MATCH(BD247,'SCORING MASTER'!$C$125:$C$126,0)),INDEX('SCORING MASTER'!$D$128:$D$129,MATCH(BE247,'SCORING MASTER'!$C$128:$C$129,0)))*20,0))</f>
        <v/>
      </c>
      <c r="BM247" s="35" t="str">
        <f aca="false">IF(OR(BF247="",BG247="",BH247="",BI247="",BJ247="",BK247="",BL247=""),"",ROUND(BF247*0.25+BG247*0.2+BH247*0.15+BI247*0.15+BJ247*0.1+BK247*0.1+BL247*0.05,0))</f>
        <v/>
      </c>
      <c r="BN247" s="35" t="str">
        <f aca="false">IF(OR(BF247="",BG247=""),"",ROUND(BF247*0.5+BG247*0.5,0))</f>
        <v/>
      </c>
      <c r="BO247" s="35" t="str">
        <f aca="false">IF(BN247="","",ROUND(MIN(100,MAX(0,(100-BN247)+IF(AL247="Yes",15,0)+IF(AM247="Yes",15,0)+IF(AND(U247&lt;&gt;"",U247&lt;18.5),20,0))),0))</f>
        <v/>
      </c>
      <c r="BP247" s="32" t="str">
        <f aca="false">IF(BM247="","",IF(BM247&gt;=90,"Green - Healthy",IF(BM247&gt;=75,"Light Green - Mild Watch",IF(BM247&gt;=60,"Yellow - Mild Risk",IF(BM247&gt;=40,"Orange - Moderate Risk","Red - High Risk")))))</f>
        <v/>
      </c>
      <c r="BQ247" s="32" t="str">
        <f aca="false">IF(BM247="","",IF(OR(BM247&lt;60,BO247&gt;=60,AJ247="Yes"),"Yes","No"))</f>
        <v/>
      </c>
      <c r="BR247" s="32" t="str">
        <f aca="false">IF(BM247="","",IF(OR(BP247="Orange - Moderate Risk",BP247="Red - High Risk",BQ247="Yes"),"Yes","No"))</f>
        <v/>
      </c>
    </row>
    <row r="248" customFormat="false" ht="15" hidden="false" customHeight="false" outlineLevel="0" collapsed="false">
      <c r="A248" s="28" t="str">
        <f aca="false">IF(I248="","","STU"&amp;TEXT(ROW()-3,"000000"))</f>
        <v/>
      </c>
      <c r="B248" s="28"/>
      <c r="C248" s="28"/>
      <c r="D248" s="28"/>
      <c r="E248" s="28"/>
      <c r="F248" s="28"/>
      <c r="G248" s="28"/>
      <c r="H248" s="28"/>
      <c r="I248" s="28"/>
      <c r="J248" s="30"/>
      <c r="K248" s="28"/>
      <c r="L248" s="28"/>
      <c r="M248" s="28"/>
      <c r="N248" s="28"/>
      <c r="O248" s="28"/>
      <c r="P248" s="28"/>
      <c r="Q248" s="30"/>
      <c r="R248" s="30"/>
      <c r="S248" s="31" t="str">
        <f aca="false">IF(OR(Q248="",R248=""),"",ROUND(R248/((Q248/100)^2),1))</f>
        <v/>
      </c>
      <c r="T248" s="28" t="str">
        <f aca="false">IF(S248="","",IF(S248&lt;18.5,"Underweight",IF(S248&lt;25,"Normal",IF(S248&lt;30,"Overweight","Obese"))))</f>
        <v/>
      </c>
      <c r="U248" s="30"/>
      <c r="V248" s="30"/>
      <c r="W248" s="28"/>
      <c r="X248" s="28"/>
      <c r="Y248" s="28"/>
      <c r="Z248" s="28"/>
      <c r="AA248" s="28"/>
      <c r="AB248" s="28"/>
      <c r="AC248" s="28"/>
      <c r="AD248" s="28"/>
      <c r="AE248" s="28"/>
      <c r="AF248" s="28"/>
      <c r="AG248" s="28"/>
      <c r="AH248" s="28"/>
      <c r="AI248" s="28"/>
      <c r="AJ248" s="28"/>
      <c r="AK248" s="28"/>
      <c r="AL248" s="28"/>
      <c r="AM248" s="28"/>
      <c r="AN248" s="28"/>
      <c r="AO248" s="28"/>
      <c r="AP248" s="28"/>
      <c r="AQ248" s="28"/>
      <c r="AR248" s="28"/>
      <c r="AS248" s="28"/>
      <c r="AT248" s="28"/>
      <c r="AU248" s="28"/>
      <c r="AV248" s="28"/>
      <c r="AW248" s="28"/>
      <c r="AX248" s="28"/>
      <c r="AY248" s="28"/>
      <c r="AZ248" s="28"/>
      <c r="BA248" s="28"/>
      <c r="BB248" s="28"/>
      <c r="BC248" s="28"/>
      <c r="BD248" s="28"/>
      <c r="BE248" s="28"/>
      <c r="BF248" s="31" t="str">
        <f aca="false">IF(T248="","",IF(T248="Normal",100,IF(T248="Overweight",65,IF(T248="Obese",50,IF(AND(U248&lt;&gt;"",U248&lt;18.5),30,45)))))</f>
        <v/>
      </c>
      <c r="BG248" s="31" t="str">
        <f aca="false">IF(COUNTBLANK(W248:AC248)&gt;0,"",ROUND(AVERAGE(INDEX('SCORING MASTER'!$D$5:$D$7,MATCH(W248,'SCORING MASTER'!$C$5:$C$7,0)),INDEX('SCORING MASTER'!$D$9:$D$11,MATCH(X248,'SCORING MASTER'!$C$9:$C$11,0)),INDEX('SCORING MASTER'!$D$13:$D$15,MATCH(Y248,'SCORING MASTER'!$C$13:$C$15,0)),INDEX('SCORING MASTER'!$D$17:$D$19,MATCH(Z248,'SCORING MASTER'!$C$17:$C$19,0)),INDEX('SCORING MASTER'!$D$21:$D$23,MATCH(AA248,'SCORING MASTER'!$C$21:$C$23,0)),INDEX('SCORING MASTER'!$D$25:$D$27,MATCH(AB248,'SCORING MASTER'!$C$25:$C$27,0)),INDEX('SCORING MASTER'!$D$29:$D$31,MATCH(AC248,'SCORING MASTER'!$C$29:$C$31,0)))*20,0))</f>
        <v/>
      </c>
      <c r="BH248" s="31" t="str">
        <f aca="false">IF(COUNTBLANK(AD248:AI248)&gt;0,"",ROUND(AVERAGE(INDEX('SCORING MASTER'!$D$33:$D$35,MATCH(AD248,'SCORING MASTER'!$C$33:$C$35,0)),INDEX('SCORING MASTER'!$D$37:$D$39,MATCH(AE248,'SCORING MASTER'!$C$37:$C$39,0)),INDEX('SCORING MASTER'!$D$41:$D$43,MATCH(AF248,'SCORING MASTER'!$C$41:$C$43,0)),INDEX('SCORING MASTER'!$D$45:$D$47,MATCH(AG248,'SCORING MASTER'!$C$45:$C$47,0)),INDEX('SCORING MASTER'!$D$49:$D$52,MATCH(AH248,'SCORING MASTER'!$C$49:$C$52,0)),INDEX('SCORING MASTER'!$D$54:$D$57,MATCH(AI248,'SCORING MASTER'!$C$54:$C$57,0)))*20,0))</f>
        <v/>
      </c>
      <c r="BI248" s="31" t="str">
        <f aca="false">IF(COUNTBLANK(AJ248:AP248)&gt;0,"",ROUND(AVERAGE(INDEX('SCORING MASTER'!$D$59:$D$60,MATCH(AJ248,'SCORING MASTER'!$C$59:$C$60,0)),INDEX('SCORING MASTER'!$D$62:$D$63,MATCH(AK248,'SCORING MASTER'!$C$62:$C$63,0)),INDEX('SCORING MASTER'!$D$65:$D$66,MATCH(AL248,'SCORING MASTER'!$C$65:$C$66,0)),INDEX('SCORING MASTER'!$D$68:$D$69,MATCH(AM248,'SCORING MASTER'!$C$68:$C$69,0)),INDEX('SCORING MASTER'!$D$71:$D$72,MATCH(AN248,'SCORING MASTER'!$C$71:$C$72,0)),INDEX('SCORING MASTER'!$D$74:$D$75,MATCH(AO248,'SCORING MASTER'!$C$74:$C$75,0)),INDEX('SCORING MASTER'!$D$77:$D$78,MATCH(AP248,'SCORING MASTER'!$C$77:$C$78,0)))*20,0))</f>
        <v/>
      </c>
      <c r="BJ248" s="31" t="str">
        <f aca="false">IF(COUNTBLANK(AU248:AZ248)&gt;0,"",ROUND(AVERAGE(INDEX('SCORING MASTER'!$D$95:$D$96,MATCH(AU248,'SCORING MASTER'!$C$95:$C$96,0)),INDEX('SCORING MASTER'!$D$98:$D$99,MATCH(AV248,'SCORING MASTER'!$C$98:$C$99,0)),INDEX('SCORING MASTER'!$D$101:$D$102,MATCH(AW248,'SCORING MASTER'!$C$101:$C$102,0)),INDEX('SCORING MASTER'!$D$104:$D$105,MATCH(AX248,'SCORING MASTER'!$C$104:$C$105,0)),INDEX('SCORING MASTER'!$D$107:$D$108,MATCH(AY248,'SCORING MASTER'!$C$107:$C$108,0)),INDEX('SCORING MASTER'!$D$110:$D$111,MATCH(AZ248,'SCORING MASTER'!$C$110:$C$111,0)))*20,0))</f>
        <v/>
      </c>
      <c r="BK248" s="31" t="str">
        <f aca="false">IF(COUNTBLANK(AQ248:AT248)&gt;0,"",ROUND(AVERAGE(INDEX('SCORING MASTER'!$D$80:$D$82,MATCH(AQ248,'SCORING MASTER'!$C$80:$C$82,0)),INDEX('SCORING MASTER'!$D$84:$D$86,MATCH(AR248,'SCORING MASTER'!$C$84:$C$86,0)),INDEX('SCORING MASTER'!$D$88:$D$90,MATCH(AS248,'SCORING MASTER'!$C$88:$C$90,0)),INDEX('SCORING MASTER'!$D$92:$D$93,MATCH(AT248,'SCORING MASTER'!$C$92:$C$93,0)))*20,0))</f>
        <v/>
      </c>
      <c r="BL248" s="31" t="str">
        <f aca="false">IF(COUNTBLANK(BA248:BE248)&gt;0,"",ROUND(AVERAGE(INDEX('SCORING MASTER'!$D$113:$D$115,MATCH(BA248,'SCORING MASTER'!$C$113:$C$115,0)),INDEX('SCORING MASTER'!$D$117:$D$119,MATCH(BB248,'SCORING MASTER'!$C$117:$C$119,0)),INDEX('SCORING MASTER'!$D$121:$D$123,MATCH(BC248,'SCORING MASTER'!$C$121:$C$123,0)),INDEX('SCORING MASTER'!$D$125:$D$126,MATCH(BD248,'SCORING MASTER'!$C$125:$C$126,0)),INDEX('SCORING MASTER'!$D$128:$D$129,MATCH(BE248,'SCORING MASTER'!$C$128:$C$129,0)))*20,0))</f>
        <v/>
      </c>
      <c r="BM248" s="31" t="str">
        <f aca="false">IF(OR(BF248="",BG248="",BH248="",BI248="",BJ248="",BK248="",BL248=""),"",ROUND(BF248*0.25+BG248*0.2+BH248*0.15+BI248*0.15+BJ248*0.1+BK248*0.1+BL248*0.05,0))</f>
        <v/>
      </c>
      <c r="BN248" s="31" t="str">
        <f aca="false">IF(OR(BF248="",BG248=""),"",ROUND(BF248*0.5+BG248*0.5,0))</f>
        <v/>
      </c>
      <c r="BO248" s="31" t="str">
        <f aca="false">IF(BN248="","",ROUND(MIN(100,MAX(0,(100-BN248)+IF(AL248="Yes",15,0)+IF(AM248="Yes",15,0)+IF(AND(U248&lt;&gt;"",U248&lt;18.5),20,0))),0))</f>
        <v/>
      </c>
      <c r="BP248" s="28" t="str">
        <f aca="false">IF(BM248="","",IF(BM248&gt;=90,"Green - Healthy",IF(BM248&gt;=75,"Light Green - Mild Watch",IF(BM248&gt;=60,"Yellow - Mild Risk",IF(BM248&gt;=40,"Orange - Moderate Risk","Red - High Risk")))))</f>
        <v/>
      </c>
      <c r="BQ248" s="28" t="str">
        <f aca="false">IF(BM248="","",IF(OR(BM248&lt;60,BO248&gt;=60,AJ248="Yes"),"Yes","No"))</f>
        <v/>
      </c>
      <c r="BR248" s="28" t="str">
        <f aca="false">IF(BM248="","",IF(OR(BP248="Orange - Moderate Risk",BP248="Red - High Risk",BQ248="Yes"),"Yes","No"))</f>
        <v/>
      </c>
    </row>
    <row r="249" customFormat="false" ht="15" hidden="false" customHeight="false" outlineLevel="0" collapsed="false">
      <c r="A249" s="32" t="str">
        <f aca="false">IF(I249="","","STU"&amp;TEXT(ROW()-3,"000000"))</f>
        <v/>
      </c>
      <c r="B249" s="32"/>
      <c r="C249" s="32"/>
      <c r="D249" s="32"/>
      <c r="E249" s="32"/>
      <c r="F249" s="32"/>
      <c r="G249" s="32"/>
      <c r="H249" s="32"/>
      <c r="I249" s="32"/>
      <c r="J249" s="34"/>
      <c r="K249" s="32"/>
      <c r="L249" s="32"/>
      <c r="M249" s="32"/>
      <c r="N249" s="32"/>
      <c r="O249" s="32"/>
      <c r="P249" s="32"/>
      <c r="Q249" s="34"/>
      <c r="R249" s="34"/>
      <c r="S249" s="35" t="str">
        <f aca="false">IF(OR(Q249="",R249=""),"",ROUND(R249/((Q249/100)^2),1))</f>
        <v/>
      </c>
      <c r="T249" s="32" t="str">
        <f aca="false">IF(S249="","",IF(S249&lt;18.5,"Underweight",IF(S249&lt;25,"Normal",IF(S249&lt;30,"Overweight","Obese"))))</f>
        <v/>
      </c>
      <c r="U249" s="34"/>
      <c r="V249" s="34"/>
      <c r="W249" s="32"/>
      <c r="X249" s="32"/>
      <c r="Y249" s="32"/>
      <c r="Z249" s="32"/>
      <c r="AA249" s="32"/>
      <c r="AB249" s="32"/>
      <c r="AC249" s="32"/>
      <c r="AD249" s="32"/>
      <c r="AE249" s="32"/>
      <c r="AF249" s="32"/>
      <c r="AG249" s="32"/>
      <c r="AH249" s="32"/>
      <c r="AI249" s="32"/>
      <c r="AJ249" s="32"/>
      <c r="AK249" s="32"/>
      <c r="AL249" s="32"/>
      <c r="AM249" s="32"/>
      <c r="AN249" s="32"/>
      <c r="AO249" s="32"/>
      <c r="AP249" s="32"/>
      <c r="AQ249" s="32"/>
      <c r="AR249" s="32"/>
      <c r="AS249" s="32"/>
      <c r="AT249" s="32"/>
      <c r="AU249" s="32"/>
      <c r="AV249" s="32"/>
      <c r="AW249" s="32"/>
      <c r="AX249" s="32"/>
      <c r="AY249" s="32"/>
      <c r="AZ249" s="32"/>
      <c r="BA249" s="32"/>
      <c r="BB249" s="32"/>
      <c r="BC249" s="32"/>
      <c r="BD249" s="32"/>
      <c r="BE249" s="32"/>
      <c r="BF249" s="35" t="str">
        <f aca="false">IF(T249="","",IF(T249="Normal",100,IF(T249="Overweight",65,IF(T249="Obese",50,IF(AND(U249&lt;&gt;"",U249&lt;18.5),30,45)))))</f>
        <v/>
      </c>
      <c r="BG249" s="35" t="str">
        <f aca="false">IF(COUNTBLANK(W249:AC249)&gt;0,"",ROUND(AVERAGE(INDEX('SCORING MASTER'!$D$5:$D$7,MATCH(W249,'SCORING MASTER'!$C$5:$C$7,0)),INDEX('SCORING MASTER'!$D$9:$D$11,MATCH(X249,'SCORING MASTER'!$C$9:$C$11,0)),INDEX('SCORING MASTER'!$D$13:$D$15,MATCH(Y249,'SCORING MASTER'!$C$13:$C$15,0)),INDEX('SCORING MASTER'!$D$17:$D$19,MATCH(Z249,'SCORING MASTER'!$C$17:$C$19,0)),INDEX('SCORING MASTER'!$D$21:$D$23,MATCH(AA249,'SCORING MASTER'!$C$21:$C$23,0)),INDEX('SCORING MASTER'!$D$25:$D$27,MATCH(AB249,'SCORING MASTER'!$C$25:$C$27,0)),INDEX('SCORING MASTER'!$D$29:$D$31,MATCH(AC249,'SCORING MASTER'!$C$29:$C$31,0)))*20,0))</f>
        <v/>
      </c>
      <c r="BH249" s="35" t="str">
        <f aca="false">IF(COUNTBLANK(AD249:AI249)&gt;0,"",ROUND(AVERAGE(INDEX('SCORING MASTER'!$D$33:$D$35,MATCH(AD249,'SCORING MASTER'!$C$33:$C$35,0)),INDEX('SCORING MASTER'!$D$37:$D$39,MATCH(AE249,'SCORING MASTER'!$C$37:$C$39,0)),INDEX('SCORING MASTER'!$D$41:$D$43,MATCH(AF249,'SCORING MASTER'!$C$41:$C$43,0)),INDEX('SCORING MASTER'!$D$45:$D$47,MATCH(AG249,'SCORING MASTER'!$C$45:$C$47,0)),INDEX('SCORING MASTER'!$D$49:$D$52,MATCH(AH249,'SCORING MASTER'!$C$49:$C$52,0)),INDEX('SCORING MASTER'!$D$54:$D$57,MATCH(AI249,'SCORING MASTER'!$C$54:$C$57,0)))*20,0))</f>
        <v/>
      </c>
      <c r="BI249" s="35" t="str">
        <f aca="false">IF(COUNTBLANK(AJ249:AP249)&gt;0,"",ROUND(AVERAGE(INDEX('SCORING MASTER'!$D$59:$D$60,MATCH(AJ249,'SCORING MASTER'!$C$59:$C$60,0)),INDEX('SCORING MASTER'!$D$62:$D$63,MATCH(AK249,'SCORING MASTER'!$C$62:$C$63,0)),INDEX('SCORING MASTER'!$D$65:$D$66,MATCH(AL249,'SCORING MASTER'!$C$65:$C$66,0)),INDEX('SCORING MASTER'!$D$68:$D$69,MATCH(AM249,'SCORING MASTER'!$C$68:$C$69,0)),INDEX('SCORING MASTER'!$D$71:$D$72,MATCH(AN249,'SCORING MASTER'!$C$71:$C$72,0)),INDEX('SCORING MASTER'!$D$74:$D$75,MATCH(AO249,'SCORING MASTER'!$C$74:$C$75,0)),INDEX('SCORING MASTER'!$D$77:$D$78,MATCH(AP249,'SCORING MASTER'!$C$77:$C$78,0)))*20,0))</f>
        <v/>
      </c>
      <c r="BJ249" s="35" t="str">
        <f aca="false">IF(COUNTBLANK(AU249:AZ249)&gt;0,"",ROUND(AVERAGE(INDEX('SCORING MASTER'!$D$95:$D$96,MATCH(AU249,'SCORING MASTER'!$C$95:$C$96,0)),INDEX('SCORING MASTER'!$D$98:$D$99,MATCH(AV249,'SCORING MASTER'!$C$98:$C$99,0)),INDEX('SCORING MASTER'!$D$101:$D$102,MATCH(AW249,'SCORING MASTER'!$C$101:$C$102,0)),INDEX('SCORING MASTER'!$D$104:$D$105,MATCH(AX249,'SCORING MASTER'!$C$104:$C$105,0)),INDEX('SCORING MASTER'!$D$107:$D$108,MATCH(AY249,'SCORING MASTER'!$C$107:$C$108,0)),INDEX('SCORING MASTER'!$D$110:$D$111,MATCH(AZ249,'SCORING MASTER'!$C$110:$C$111,0)))*20,0))</f>
        <v/>
      </c>
      <c r="BK249" s="35" t="str">
        <f aca="false">IF(COUNTBLANK(AQ249:AT249)&gt;0,"",ROUND(AVERAGE(INDEX('SCORING MASTER'!$D$80:$D$82,MATCH(AQ249,'SCORING MASTER'!$C$80:$C$82,0)),INDEX('SCORING MASTER'!$D$84:$D$86,MATCH(AR249,'SCORING MASTER'!$C$84:$C$86,0)),INDEX('SCORING MASTER'!$D$88:$D$90,MATCH(AS249,'SCORING MASTER'!$C$88:$C$90,0)),INDEX('SCORING MASTER'!$D$92:$D$93,MATCH(AT249,'SCORING MASTER'!$C$92:$C$93,0)))*20,0))</f>
        <v/>
      </c>
      <c r="BL249" s="35" t="str">
        <f aca="false">IF(COUNTBLANK(BA249:BE249)&gt;0,"",ROUND(AVERAGE(INDEX('SCORING MASTER'!$D$113:$D$115,MATCH(BA249,'SCORING MASTER'!$C$113:$C$115,0)),INDEX('SCORING MASTER'!$D$117:$D$119,MATCH(BB249,'SCORING MASTER'!$C$117:$C$119,0)),INDEX('SCORING MASTER'!$D$121:$D$123,MATCH(BC249,'SCORING MASTER'!$C$121:$C$123,0)),INDEX('SCORING MASTER'!$D$125:$D$126,MATCH(BD249,'SCORING MASTER'!$C$125:$C$126,0)),INDEX('SCORING MASTER'!$D$128:$D$129,MATCH(BE249,'SCORING MASTER'!$C$128:$C$129,0)))*20,0))</f>
        <v/>
      </c>
      <c r="BM249" s="35" t="str">
        <f aca="false">IF(OR(BF249="",BG249="",BH249="",BI249="",BJ249="",BK249="",BL249=""),"",ROUND(BF249*0.25+BG249*0.2+BH249*0.15+BI249*0.15+BJ249*0.1+BK249*0.1+BL249*0.05,0))</f>
        <v/>
      </c>
      <c r="BN249" s="35" t="str">
        <f aca="false">IF(OR(BF249="",BG249=""),"",ROUND(BF249*0.5+BG249*0.5,0))</f>
        <v/>
      </c>
      <c r="BO249" s="35" t="str">
        <f aca="false">IF(BN249="","",ROUND(MIN(100,MAX(0,(100-BN249)+IF(AL249="Yes",15,0)+IF(AM249="Yes",15,0)+IF(AND(U249&lt;&gt;"",U249&lt;18.5),20,0))),0))</f>
        <v/>
      </c>
      <c r="BP249" s="32" t="str">
        <f aca="false">IF(BM249="","",IF(BM249&gt;=90,"Green - Healthy",IF(BM249&gt;=75,"Light Green - Mild Watch",IF(BM249&gt;=60,"Yellow - Mild Risk",IF(BM249&gt;=40,"Orange - Moderate Risk","Red - High Risk")))))</f>
        <v/>
      </c>
      <c r="BQ249" s="32" t="str">
        <f aca="false">IF(BM249="","",IF(OR(BM249&lt;60,BO249&gt;=60,AJ249="Yes"),"Yes","No"))</f>
        <v/>
      </c>
      <c r="BR249" s="32" t="str">
        <f aca="false">IF(BM249="","",IF(OR(BP249="Orange - Moderate Risk",BP249="Red - High Risk",BQ249="Yes"),"Yes","No"))</f>
        <v/>
      </c>
    </row>
    <row r="250" customFormat="false" ht="15" hidden="false" customHeight="false" outlineLevel="0" collapsed="false">
      <c r="A250" s="28" t="str">
        <f aca="false">IF(I250="","","STU"&amp;TEXT(ROW()-3,"000000"))</f>
        <v/>
      </c>
      <c r="B250" s="28"/>
      <c r="C250" s="28"/>
      <c r="D250" s="28"/>
      <c r="E250" s="28"/>
      <c r="F250" s="28"/>
      <c r="G250" s="28"/>
      <c r="H250" s="28"/>
      <c r="I250" s="28"/>
      <c r="J250" s="30"/>
      <c r="K250" s="28"/>
      <c r="L250" s="28"/>
      <c r="M250" s="28"/>
      <c r="N250" s="28"/>
      <c r="O250" s="28"/>
      <c r="P250" s="28"/>
      <c r="Q250" s="30"/>
      <c r="R250" s="30"/>
      <c r="S250" s="31" t="str">
        <f aca="false">IF(OR(Q250="",R250=""),"",ROUND(R250/((Q250/100)^2),1))</f>
        <v/>
      </c>
      <c r="T250" s="28" t="str">
        <f aca="false">IF(S250="","",IF(S250&lt;18.5,"Underweight",IF(S250&lt;25,"Normal",IF(S250&lt;30,"Overweight","Obese"))))</f>
        <v/>
      </c>
      <c r="U250" s="30"/>
      <c r="V250" s="30"/>
      <c r="W250" s="28"/>
      <c r="X250" s="28"/>
      <c r="Y250" s="28"/>
      <c r="Z250" s="28"/>
      <c r="AA250" s="28"/>
      <c r="AB250" s="28"/>
      <c r="AC250" s="28"/>
      <c r="AD250" s="28"/>
      <c r="AE250" s="28"/>
      <c r="AF250" s="28"/>
      <c r="AG250" s="28"/>
      <c r="AH250" s="28"/>
      <c r="AI250" s="28"/>
      <c r="AJ250" s="28"/>
      <c r="AK250" s="28"/>
      <c r="AL250" s="28"/>
      <c r="AM250" s="28"/>
      <c r="AN250" s="28"/>
      <c r="AO250" s="28"/>
      <c r="AP250" s="28"/>
      <c r="AQ250" s="28"/>
      <c r="AR250" s="28"/>
      <c r="AS250" s="28"/>
      <c r="AT250" s="28"/>
      <c r="AU250" s="28"/>
      <c r="AV250" s="28"/>
      <c r="AW250" s="28"/>
      <c r="AX250" s="28"/>
      <c r="AY250" s="28"/>
      <c r="AZ250" s="28"/>
      <c r="BA250" s="28"/>
      <c r="BB250" s="28"/>
      <c r="BC250" s="28"/>
      <c r="BD250" s="28"/>
      <c r="BE250" s="28"/>
      <c r="BF250" s="31" t="str">
        <f aca="false">IF(T250="","",IF(T250="Normal",100,IF(T250="Overweight",65,IF(T250="Obese",50,IF(AND(U250&lt;&gt;"",U250&lt;18.5),30,45)))))</f>
        <v/>
      </c>
      <c r="BG250" s="31" t="str">
        <f aca="false">IF(COUNTBLANK(W250:AC250)&gt;0,"",ROUND(AVERAGE(INDEX('SCORING MASTER'!$D$5:$D$7,MATCH(W250,'SCORING MASTER'!$C$5:$C$7,0)),INDEX('SCORING MASTER'!$D$9:$D$11,MATCH(X250,'SCORING MASTER'!$C$9:$C$11,0)),INDEX('SCORING MASTER'!$D$13:$D$15,MATCH(Y250,'SCORING MASTER'!$C$13:$C$15,0)),INDEX('SCORING MASTER'!$D$17:$D$19,MATCH(Z250,'SCORING MASTER'!$C$17:$C$19,0)),INDEX('SCORING MASTER'!$D$21:$D$23,MATCH(AA250,'SCORING MASTER'!$C$21:$C$23,0)),INDEX('SCORING MASTER'!$D$25:$D$27,MATCH(AB250,'SCORING MASTER'!$C$25:$C$27,0)),INDEX('SCORING MASTER'!$D$29:$D$31,MATCH(AC250,'SCORING MASTER'!$C$29:$C$31,0)))*20,0))</f>
        <v/>
      </c>
      <c r="BH250" s="31" t="str">
        <f aca="false">IF(COUNTBLANK(AD250:AI250)&gt;0,"",ROUND(AVERAGE(INDEX('SCORING MASTER'!$D$33:$D$35,MATCH(AD250,'SCORING MASTER'!$C$33:$C$35,0)),INDEX('SCORING MASTER'!$D$37:$D$39,MATCH(AE250,'SCORING MASTER'!$C$37:$C$39,0)),INDEX('SCORING MASTER'!$D$41:$D$43,MATCH(AF250,'SCORING MASTER'!$C$41:$C$43,0)),INDEX('SCORING MASTER'!$D$45:$D$47,MATCH(AG250,'SCORING MASTER'!$C$45:$C$47,0)),INDEX('SCORING MASTER'!$D$49:$D$52,MATCH(AH250,'SCORING MASTER'!$C$49:$C$52,0)),INDEX('SCORING MASTER'!$D$54:$D$57,MATCH(AI250,'SCORING MASTER'!$C$54:$C$57,0)))*20,0))</f>
        <v/>
      </c>
      <c r="BI250" s="31" t="str">
        <f aca="false">IF(COUNTBLANK(AJ250:AP250)&gt;0,"",ROUND(AVERAGE(INDEX('SCORING MASTER'!$D$59:$D$60,MATCH(AJ250,'SCORING MASTER'!$C$59:$C$60,0)),INDEX('SCORING MASTER'!$D$62:$D$63,MATCH(AK250,'SCORING MASTER'!$C$62:$C$63,0)),INDEX('SCORING MASTER'!$D$65:$D$66,MATCH(AL250,'SCORING MASTER'!$C$65:$C$66,0)),INDEX('SCORING MASTER'!$D$68:$D$69,MATCH(AM250,'SCORING MASTER'!$C$68:$C$69,0)),INDEX('SCORING MASTER'!$D$71:$D$72,MATCH(AN250,'SCORING MASTER'!$C$71:$C$72,0)),INDEX('SCORING MASTER'!$D$74:$D$75,MATCH(AO250,'SCORING MASTER'!$C$74:$C$75,0)),INDEX('SCORING MASTER'!$D$77:$D$78,MATCH(AP250,'SCORING MASTER'!$C$77:$C$78,0)))*20,0))</f>
        <v/>
      </c>
      <c r="BJ250" s="31" t="str">
        <f aca="false">IF(COUNTBLANK(AU250:AZ250)&gt;0,"",ROUND(AVERAGE(INDEX('SCORING MASTER'!$D$95:$D$96,MATCH(AU250,'SCORING MASTER'!$C$95:$C$96,0)),INDEX('SCORING MASTER'!$D$98:$D$99,MATCH(AV250,'SCORING MASTER'!$C$98:$C$99,0)),INDEX('SCORING MASTER'!$D$101:$D$102,MATCH(AW250,'SCORING MASTER'!$C$101:$C$102,0)),INDEX('SCORING MASTER'!$D$104:$D$105,MATCH(AX250,'SCORING MASTER'!$C$104:$C$105,0)),INDEX('SCORING MASTER'!$D$107:$D$108,MATCH(AY250,'SCORING MASTER'!$C$107:$C$108,0)),INDEX('SCORING MASTER'!$D$110:$D$111,MATCH(AZ250,'SCORING MASTER'!$C$110:$C$111,0)))*20,0))</f>
        <v/>
      </c>
      <c r="BK250" s="31" t="str">
        <f aca="false">IF(COUNTBLANK(AQ250:AT250)&gt;0,"",ROUND(AVERAGE(INDEX('SCORING MASTER'!$D$80:$D$82,MATCH(AQ250,'SCORING MASTER'!$C$80:$C$82,0)),INDEX('SCORING MASTER'!$D$84:$D$86,MATCH(AR250,'SCORING MASTER'!$C$84:$C$86,0)),INDEX('SCORING MASTER'!$D$88:$D$90,MATCH(AS250,'SCORING MASTER'!$C$88:$C$90,0)),INDEX('SCORING MASTER'!$D$92:$D$93,MATCH(AT250,'SCORING MASTER'!$C$92:$C$93,0)))*20,0))</f>
        <v/>
      </c>
      <c r="BL250" s="31" t="str">
        <f aca="false">IF(COUNTBLANK(BA250:BE250)&gt;0,"",ROUND(AVERAGE(INDEX('SCORING MASTER'!$D$113:$D$115,MATCH(BA250,'SCORING MASTER'!$C$113:$C$115,0)),INDEX('SCORING MASTER'!$D$117:$D$119,MATCH(BB250,'SCORING MASTER'!$C$117:$C$119,0)),INDEX('SCORING MASTER'!$D$121:$D$123,MATCH(BC250,'SCORING MASTER'!$C$121:$C$123,0)),INDEX('SCORING MASTER'!$D$125:$D$126,MATCH(BD250,'SCORING MASTER'!$C$125:$C$126,0)),INDEX('SCORING MASTER'!$D$128:$D$129,MATCH(BE250,'SCORING MASTER'!$C$128:$C$129,0)))*20,0))</f>
        <v/>
      </c>
      <c r="BM250" s="31" t="str">
        <f aca="false">IF(OR(BF250="",BG250="",BH250="",BI250="",BJ250="",BK250="",BL250=""),"",ROUND(BF250*0.25+BG250*0.2+BH250*0.15+BI250*0.15+BJ250*0.1+BK250*0.1+BL250*0.05,0))</f>
        <v/>
      </c>
      <c r="BN250" s="31" t="str">
        <f aca="false">IF(OR(BF250="",BG250=""),"",ROUND(BF250*0.5+BG250*0.5,0))</f>
        <v/>
      </c>
      <c r="BO250" s="31" t="str">
        <f aca="false">IF(BN250="","",ROUND(MIN(100,MAX(0,(100-BN250)+IF(AL250="Yes",15,0)+IF(AM250="Yes",15,0)+IF(AND(U250&lt;&gt;"",U250&lt;18.5),20,0))),0))</f>
        <v/>
      </c>
      <c r="BP250" s="28" t="str">
        <f aca="false">IF(BM250="","",IF(BM250&gt;=90,"Green - Healthy",IF(BM250&gt;=75,"Light Green - Mild Watch",IF(BM250&gt;=60,"Yellow - Mild Risk",IF(BM250&gt;=40,"Orange - Moderate Risk","Red - High Risk")))))</f>
        <v/>
      </c>
      <c r="BQ250" s="28" t="str">
        <f aca="false">IF(BM250="","",IF(OR(BM250&lt;60,BO250&gt;=60,AJ250="Yes"),"Yes","No"))</f>
        <v/>
      </c>
      <c r="BR250" s="28" t="str">
        <f aca="false">IF(BM250="","",IF(OR(BP250="Orange - Moderate Risk",BP250="Red - High Risk",BQ250="Yes"),"Yes","No"))</f>
        <v/>
      </c>
    </row>
    <row r="251" customFormat="false" ht="15" hidden="false" customHeight="false" outlineLevel="0" collapsed="false">
      <c r="A251" s="32" t="str">
        <f aca="false">IF(I251="","","STU"&amp;TEXT(ROW()-3,"000000"))</f>
        <v/>
      </c>
      <c r="B251" s="32"/>
      <c r="C251" s="32"/>
      <c r="D251" s="32"/>
      <c r="E251" s="32"/>
      <c r="F251" s="32"/>
      <c r="G251" s="32"/>
      <c r="H251" s="32"/>
      <c r="I251" s="32"/>
      <c r="J251" s="34"/>
      <c r="K251" s="32"/>
      <c r="L251" s="32"/>
      <c r="M251" s="32"/>
      <c r="N251" s="32"/>
      <c r="O251" s="32"/>
      <c r="P251" s="32"/>
      <c r="Q251" s="34"/>
      <c r="R251" s="34"/>
      <c r="S251" s="35" t="str">
        <f aca="false">IF(OR(Q251="",R251=""),"",ROUND(R251/((Q251/100)^2),1))</f>
        <v/>
      </c>
      <c r="T251" s="32" t="str">
        <f aca="false">IF(S251="","",IF(S251&lt;18.5,"Underweight",IF(S251&lt;25,"Normal",IF(S251&lt;30,"Overweight","Obese"))))</f>
        <v/>
      </c>
      <c r="U251" s="34"/>
      <c r="V251" s="34"/>
      <c r="W251" s="32"/>
      <c r="X251" s="32"/>
      <c r="Y251" s="32"/>
      <c r="Z251" s="32"/>
      <c r="AA251" s="32"/>
      <c r="AB251" s="32"/>
      <c r="AC251" s="32"/>
      <c r="AD251" s="32"/>
      <c r="AE251" s="32"/>
      <c r="AF251" s="32"/>
      <c r="AG251" s="32"/>
      <c r="AH251" s="32"/>
      <c r="AI251" s="32"/>
      <c r="AJ251" s="32"/>
      <c r="AK251" s="32"/>
      <c r="AL251" s="32"/>
      <c r="AM251" s="32"/>
      <c r="AN251" s="32"/>
      <c r="AO251" s="32"/>
      <c r="AP251" s="32"/>
      <c r="AQ251" s="32"/>
      <c r="AR251" s="32"/>
      <c r="AS251" s="32"/>
      <c r="AT251" s="32"/>
      <c r="AU251" s="32"/>
      <c r="AV251" s="32"/>
      <c r="AW251" s="32"/>
      <c r="AX251" s="32"/>
      <c r="AY251" s="32"/>
      <c r="AZ251" s="32"/>
      <c r="BA251" s="32"/>
      <c r="BB251" s="32"/>
      <c r="BC251" s="32"/>
      <c r="BD251" s="32"/>
      <c r="BE251" s="32"/>
      <c r="BF251" s="35" t="str">
        <f aca="false">IF(T251="","",IF(T251="Normal",100,IF(T251="Overweight",65,IF(T251="Obese",50,IF(AND(U251&lt;&gt;"",U251&lt;18.5),30,45)))))</f>
        <v/>
      </c>
      <c r="BG251" s="35" t="str">
        <f aca="false">IF(COUNTBLANK(W251:AC251)&gt;0,"",ROUND(AVERAGE(INDEX('SCORING MASTER'!$D$5:$D$7,MATCH(W251,'SCORING MASTER'!$C$5:$C$7,0)),INDEX('SCORING MASTER'!$D$9:$D$11,MATCH(X251,'SCORING MASTER'!$C$9:$C$11,0)),INDEX('SCORING MASTER'!$D$13:$D$15,MATCH(Y251,'SCORING MASTER'!$C$13:$C$15,0)),INDEX('SCORING MASTER'!$D$17:$D$19,MATCH(Z251,'SCORING MASTER'!$C$17:$C$19,0)),INDEX('SCORING MASTER'!$D$21:$D$23,MATCH(AA251,'SCORING MASTER'!$C$21:$C$23,0)),INDEX('SCORING MASTER'!$D$25:$D$27,MATCH(AB251,'SCORING MASTER'!$C$25:$C$27,0)),INDEX('SCORING MASTER'!$D$29:$D$31,MATCH(AC251,'SCORING MASTER'!$C$29:$C$31,0)))*20,0))</f>
        <v/>
      </c>
      <c r="BH251" s="35" t="str">
        <f aca="false">IF(COUNTBLANK(AD251:AI251)&gt;0,"",ROUND(AVERAGE(INDEX('SCORING MASTER'!$D$33:$D$35,MATCH(AD251,'SCORING MASTER'!$C$33:$C$35,0)),INDEX('SCORING MASTER'!$D$37:$D$39,MATCH(AE251,'SCORING MASTER'!$C$37:$C$39,0)),INDEX('SCORING MASTER'!$D$41:$D$43,MATCH(AF251,'SCORING MASTER'!$C$41:$C$43,0)),INDEX('SCORING MASTER'!$D$45:$D$47,MATCH(AG251,'SCORING MASTER'!$C$45:$C$47,0)),INDEX('SCORING MASTER'!$D$49:$D$52,MATCH(AH251,'SCORING MASTER'!$C$49:$C$52,0)),INDEX('SCORING MASTER'!$D$54:$D$57,MATCH(AI251,'SCORING MASTER'!$C$54:$C$57,0)))*20,0))</f>
        <v/>
      </c>
      <c r="BI251" s="35" t="str">
        <f aca="false">IF(COUNTBLANK(AJ251:AP251)&gt;0,"",ROUND(AVERAGE(INDEX('SCORING MASTER'!$D$59:$D$60,MATCH(AJ251,'SCORING MASTER'!$C$59:$C$60,0)),INDEX('SCORING MASTER'!$D$62:$D$63,MATCH(AK251,'SCORING MASTER'!$C$62:$C$63,0)),INDEX('SCORING MASTER'!$D$65:$D$66,MATCH(AL251,'SCORING MASTER'!$C$65:$C$66,0)),INDEX('SCORING MASTER'!$D$68:$D$69,MATCH(AM251,'SCORING MASTER'!$C$68:$C$69,0)),INDEX('SCORING MASTER'!$D$71:$D$72,MATCH(AN251,'SCORING MASTER'!$C$71:$C$72,0)),INDEX('SCORING MASTER'!$D$74:$D$75,MATCH(AO251,'SCORING MASTER'!$C$74:$C$75,0)),INDEX('SCORING MASTER'!$D$77:$D$78,MATCH(AP251,'SCORING MASTER'!$C$77:$C$78,0)))*20,0))</f>
        <v/>
      </c>
      <c r="BJ251" s="35" t="str">
        <f aca="false">IF(COUNTBLANK(AU251:AZ251)&gt;0,"",ROUND(AVERAGE(INDEX('SCORING MASTER'!$D$95:$D$96,MATCH(AU251,'SCORING MASTER'!$C$95:$C$96,0)),INDEX('SCORING MASTER'!$D$98:$D$99,MATCH(AV251,'SCORING MASTER'!$C$98:$C$99,0)),INDEX('SCORING MASTER'!$D$101:$D$102,MATCH(AW251,'SCORING MASTER'!$C$101:$C$102,0)),INDEX('SCORING MASTER'!$D$104:$D$105,MATCH(AX251,'SCORING MASTER'!$C$104:$C$105,0)),INDEX('SCORING MASTER'!$D$107:$D$108,MATCH(AY251,'SCORING MASTER'!$C$107:$C$108,0)),INDEX('SCORING MASTER'!$D$110:$D$111,MATCH(AZ251,'SCORING MASTER'!$C$110:$C$111,0)))*20,0))</f>
        <v/>
      </c>
      <c r="BK251" s="35" t="str">
        <f aca="false">IF(COUNTBLANK(AQ251:AT251)&gt;0,"",ROUND(AVERAGE(INDEX('SCORING MASTER'!$D$80:$D$82,MATCH(AQ251,'SCORING MASTER'!$C$80:$C$82,0)),INDEX('SCORING MASTER'!$D$84:$D$86,MATCH(AR251,'SCORING MASTER'!$C$84:$C$86,0)),INDEX('SCORING MASTER'!$D$88:$D$90,MATCH(AS251,'SCORING MASTER'!$C$88:$C$90,0)),INDEX('SCORING MASTER'!$D$92:$D$93,MATCH(AT251,'SCORING MASTER'!$C$92:$C$93,0)))*20,0))</f>
        <v/>
      </c>
      <c r="BL251" s="35" t="str">
        <f aca="false">IF(COUNTBLANK(BA251:BE251)&gt;0,"",ROUND(AVERAGE(INDEX('SCORING MASTER'!$D$113:$D$115,MATCH(BA251,'SCORING MASTER'!$C$113:$C$115,0)),INDEX('SCORING MASTER'!$D$117:$D$119,MATCH(BB251,'SCORING MASTER'!$C$117:$C$119,0)),INDEX('SCORING MASTER'!$D$121:$D$123,MATCH(BC251,'SCORING MASTER'!$C$121:$C$123,0)),INDEX('SCORING MASTER'!$D$125:$D$126,MATCH(BD251,'SCORING MASTER'!$C$125:$C$126,0)),INDEX('SCORING MASTER'!$D$128:$D$129,MATCH(BE251,'SCORING MASTER'!$C$128:$C$129,0)))*20,0))</f>
        <v/>
      </c>
      <c r="BM251" s="35" t="str">
        <f aca="false">IF(OR(BF251="",BG251="",BH251="",BI251="",BJ251="",BK251="",BL251=""),"",ROUND(BF251*0.25+BG251*0.2+BH251*0.15+BI251*0.15+BJ251*0.1+BK251*0.1+BL251*0.05,0))</f>
        <v/>
      </c>
      <c r="BN251" s="35" t="str">
        <f aca="false">IF(OR(BF251="",BG251=""),"",ROUND(BF251*0.5+BG251*0.5,0))</f>
        <v/>
      </c>
      <c r="BO251" s="35" t="str">
        <f aca="false">IF(BN251="","",ROUND(MIN(100,MAX(0,(100-BN251)+IF(AL251="Yes",15,0)+IF(AM251="Yes",15,0)+IF(AND(U251&lt;&gt;"",U251&lt;18.5),20,0))),0))</f>
        <v/>
      </c>
      <c r="BP251" s="32" t="str">
        <f aca="false">IF(BM251="","",IF(BM251&gt;=90,"Green - Healthy",IF(BM251&gt;=75,"Light Green - Mild Watch",IF(BM251&gt;=60,"Yellow - Mild Risk",IF(BM251&gt;=40,"Orange - Moderate Risk","Red - High Risk")))))</f>
        <v/>
      </c>
      <c r="BQ251" s="32" t="str">
        <f aca="false">IF(BM251="","",IF(OR(BM251&lt;60,BO251&gt;=60,AJ251="Yes"),"Yes","No"))</f>
        <v/>
      </c>
      <c r="BR251" s="32" t="str">
        <f aca="false">IF(BM251="","",IF(OR(BP251="Orange - Moderate Risk",BP251="Red - High Risk",BQ251="Yes"),"Yes","No"))</f>
        <v/>
      </c>
    </row>
    <row r="252" customFormat="false" ht="15" hidden="false" customHeight="false" outlineLevel="0" collapsed="false">
      <c r="A252" s="28" t="str">
        <f aca="false">IF(I252="","","STU"&amp;TEXT(ROW()-3,"000000"))</f>
        <v/>
      </c>
      <c r="B252" s="28"/>
      <c r="C252" s="28"/>
      <c r="D252" s="28"/>
      <c r="E252" s="28"/>
      <c r="F252" s="28"/>
      <c r="G252" s="28"/>
      <c r="H252" s="28"/>
      <c r="I252" s="28"/>
      <c r="J252" s="30"/>
      <c r="K252" s="28"/>
      <c r="L252" s="28"/>
      <c r="M252" s="28"/>
      <c r="N252" s="28"/>
      <c r="O252" s="28"/>
      <c r="P252" s="28"/>
      <c r="Q252" s="30"/>
      <c r="R252" s="30"/>
      <c r="S252" s="31" t="str">
        <f aca="false">IF(OR(Q252="",R252=""),"",ROUND(R252/((Q252/100)^2),1))</f>
        <v/>
      </c>
      <c r="T252" s="28" t="str">
        <f aca="false">IF(S252="","",IF(S252&lt;18.5,"Underweight",IF(S252&lt;25,"Normal",IF(S252&lt;30,"Overweight","Obese"))))</f>
        <v/>
      </c>
      <c r="U252" s="30"/>
      <c r="V252" s="30"/>
      <c r="W252" s="28"/>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8"/>
      <c r="AT252" s="28"/>
      <c r="AU252" s="28"/>
      <c r="AV252" s="28"/>
      <c r="AW252" s="28"/>
      <c r="AX252" s="28"/>
      <c r="AY252" s="28"/>
      <c r="AZ252" s="28"/>
      <c r="BA252" s="28"/>
      <c r="BB252" s="28"/>
      <c r="BC252" s="28"/>
      <c r="BD252" s="28"/>
      <c r="BE252" s="28"/>
      <c r="BF252" s="31" t="str">
        <f aca="false">IF(T252="","",IF(T252="Normal",100,IF(T252="Overweight",65,IF(T252="Obese",50,IF(AND(U252&lt;&gt;"",U252&lt;18.5),30,45)))))</f>
        <v/>
      </c>
      <c r="BG252" s="31" t="str">
        <f aca="false">IF(COUNTBLANK(W252:AC252)&gt;0,"",ROUND(AVERAGE(INDEX('SCORING MASTER'!$D$5:$D$7,MATCH(W252,'SCORING MASTER'!$C$5:$C$7,0)),INDEX('SCORING MASTER'!$D$9:$D$11,MATCH(X252,'SCORING MASTER'!$C$9:$C$11,0)),INDEX('SCORING MASTER'!$D$13:$D$15,MATCH(Y252,'SCORING MASTER'!$C$13:$C$15,0)),INDEX('SCORING MASTER'!$D$17:$D$19,MATCH(Z252,'SCORING MASTER'!$C$17:$C$19,0)),INDEX('SCORING MASTER'!$D$21:$D$23,MATCH(AA252,'SCORING MASTER'!$C$21:$C$23,0)),INDEX('SCORING MASTER'!$D$25:$D$27,MATCH(AB252,'SCORING MASTER'!$C$25:$C$27,0)),INDEX('SCORING MASTER'!$D$29:$D$31,MATCH(AC252,'SCORING MASTER'!$C$29:$C$31,0)))*20,0))</f>
        <v/>
      </c>
      <c r="BH252" s="31" t="str">
        <f aca="false">IF(COUNTBLANK(AD252:AI252)&gt;0,"",ROUND(AVERAGE(INDEX('SCORING MASTER'!$D$33:$D$35,MATCH(AD252,'SCORING MASTER'!$C$33:$C$35,0)),INDEX('SCORING MASTER'!$D$37:$D$39,MATCH(AE252,'SCORING MASTER'!$C$37:$C$39,0)),INDEX('SCORING MASTER'!$D$41:$D$43,MATCH(AF252,'SCORING MASTER'!$C$41:$C$43,0)),INDEX('SCORING MASTER'!$D$45:$D$47,MATCH(AG252,'SCORING MASTER'!$C$45:$C$47,0)),INDEX('SCORING MASTER'!$D$49:$D$52,MATCH(AH252,'SCORING MASTER'!$C$49:$C$52,0)),INDEX('SCORING MASTER'!$D$54:$D$57,MATCH(AI252,'SCORING MASTER'!$C$54:$C$57,0)))*20,0))</f>
        <v/>
      </c>
      <c r="BI252" s="31" t="str">
        <f aca="false">IF(COUNTBLANK(AJ252:AP252)&gt;0,"",ROUND(AVERAGE(INDEX('SCORING MASTER'!$D$59:$D$60,MATCH(AJ252,'SCORING MASTER'!$C$59:$C$60,0)),INDEX('SCORING MASTER'!$D$62:$D$63,MATCH(AK252,'SCORING MASTER'!$C$62:$C$63,0)),INDEX('SCORING MASTER'!$D$65:$D$66,MATCH(AL252,'SCORING MASTER'!$C$65:$C$66,0)),INDEX('SCORING MASTER'!$D$68:$D$69,MATCH(AM252,'SCORING MASTER'!$C$68:$C$69,0)),INDEX('SCORING MASTER'!$D$71:$D$72,MATCH(AN252,'SCORING MASTER'!$C$71:$C$72,0)),INDEX('SCORING MASTER'!$D$74:$D$75,MATCH(AO252,'SCORING MASTER'!$C$74:$C$75,0)),INDEX('SCORING MASTER'!$D$77:$D$78,MATCH(AP252,'SCORING MASTER'!$C$77:$C$78,0)))*20,0))</f>
        <v/>
      </c>
      <c r="BJ252" s="31" t="str">
        <f aca="false">IF(COUNTBLANK(AU252:AZ252)&gt;0,"",ROUND(AVERAGE(INDEX('SCORING MASTER'!$D$95:$D$96,MATCH(AU252,'SCORING MASTER'!$C$95:$C$96,0)),INDEX('SCORING MASTER'!$D$98:$D$99,MATCH(AV252,'SCORING MASTER'!$C$98:$C$99,0)),INDEX('SCORING MASTER'!$D$101:$D$102,MATCH(AW252,'SCORING MASTER'!$C$101:$C$102,0)),INDEX('SCORING MASTER'!$D$104:$D$105,MATCH(AX252,'SCORING MASTER'!$C$104:$C$105,0)),INDEX('SCORING MASTER'!$D$107:$D$108,MATCH(AY252,'SCORING MASTER'!$C$107:$C$108,0)),INDEX('SCORING MASTER'!$D$110:$D$111,MATCH(AZ252,'SCORING MASTER'!$C$110:$C$111,0)))*20,0))</f>
        <v/>
      </c>
      <c r="BK252" s="31" t="str">
        <f aca="false">IF(COUNTBLANK(AQ252:AT252)&gt;0,"",ROUND(AVERAGE(INDEX('SCORING MASTER'!$D$80:$D$82,MATCH(AQ252,'SCORING MASTER'!$C$80:$C$82,0)),INDEX('SCORING MASTER'!$D$84:$D$86,MATCH(AR252,'SCORING MASTER'!$C$84:$C$86,0)),INDEX('SCORING MASTER'!$D$88:$D$90,MATCH(AS252,'SCORING MASTER'!$C$88:$C$90,0)),INDEX('SCORING MASTER'!$D$92:$D$93,MATCH(AT252,'SCORING MASTER'!$C$92:$C$93,0)))*20,0))</f>
        <v/>
      </c>
      <c r="BL252" s="31" t="str">
        <f aca="false">IF(COUNTBLANK(BA252:BE252)&gt;0,"",ROUND(AVERAGE(INDEX('SCORING MASTER'!$D$113:$D$115,MATCH(BA252,'SCORING MASTER'!$C$113:$C$115,0)),INDEX('SCORING MASTER'!$D$117:$D$119,MATCH(BB252,'SCORING MASTER'!$C$117:$C$119,0)),INDEX('SCORING MASTER'!$D$121:$D$123,MATCH(BC252,'SCORING MASTER'!$C$121:$C$123,0)),INDEX('SCORING MASTER'!$D$125:$D$126,MATCH(BD252,'SCORING MASTER'!$C$125:$C$126,0)),INDEX('SCORING MASTER'!$D$128:$D$129,MATCH(BE252,'SCORING MASTER'!$C$128:$C$129,0)))*20,0))</f>
        <v/>
      </c>
      <c r="BM252" s="31" t="str">
        <f aca="false">IF(OR(BF252="",BG252="",BH252="",BI252="",BJ252="",BK252="",BL252=""),"",ROUND(BF252*0.25+BG252*0.2+BH252*0.15+BI252*0.15+BJ252*0.1+BK252*0.1+BL252*0.05,0))</f>
        <v/>
      </c>
      <c r="BN252" s="31" t="str">
        <f aca="false">IF(OR(BF252="",BG252=""),"",ROUND(BF252*0.5+BG252*0.5,0))</f>
        <v/>
      </c>
      <c r="BO252" s="31" t="str">
        <f aca="false">IF(BN252="","",ROUND(MIN(100,MAX(0,(100-BN252)+IF(AL252="Yes",15,0)+IF(AM252="Yes",15,0)+IF(AND(U252&lt;&gt;"",U252&lt;18.5),20,0))),0))</f>
        <v/>
      </c>
      <c r="BP252" s="28" t="str">
        <f aca="false">IF(BM252="","",IF(BM252&gt;=90,"Green - Healthy",IF(BM252&gt;=75,"Light Green - Mild Watch",IF(BM252&gt;=60,"Yellow - Mild Risk",IF(BM252&gt;=40,"Orange - Moderate Risk","Red - High Risk")))))</f>
        <v/>
      </c>
      <c r="BQ252" s="28" t="str">
        <f aca="false">IF(BM252="","",IF(OR(BM252&lt;60,BO252&gt;=60,AJ252="Yes"),"Yes","No"))</f>
        <v/>
      </c>
      <c r="BR252" s="28" t="str">
        <f aca="false">IF(BM252="","",IF(OR(BP252="Orange - Moderate Risk",BP252="Red - High Risk",BQ252="Yes"),"Yes","No"))</f>
        <v/>
      </c>
    </row>
    <row r="253" customFormat="false" ht="15" hidden="false" customHeight="false" outlineLevel="0" collapsed="false">
      <c r="A253" s="32" t="str">
        <f aca="false">IF(I253="","","STU"&amp;TEXT(ROW()-3,"000000"))</f>
        <v/>
      </c>
      <c r="B253" s="32"/>
      <c r="C253" s="32"/>
      <c r="D253" s="32"/>
      <c r="E253" s="32"/>
      <c r="F253" s="32"/>
      <c r="G253" s="32"/>
      <c r="H253" s="32"/>
      <c r="I253" s="32"/>
      <c r="J253" s="34"/>
      <c r="K253" s="32"/>
      <c r="L253" s="32"/>
      <c r="M253" s="32"/>
      <c r="N253" s="32"/>
      <c r="O253" s="32"/>
      <c r="P253" s="32"/>
      <c r="Q253" s="34"/>
      <c r="R253" s="34"/>
      <c r="S253" s="35" t="str">
        <f aca="false">IF(OR(Q253="",R253=""),"",ROUND(R253/((Q253/100)^2),1))</f>
        <v/>
      </c>
      <c r="T253" s="32" t="str">
        <f aca="false">IF(S253="","",IF(S253&lt;18.5,"Underweight",IF(S253&lt;25,"Normal",IF(S253&lt;30,"Overweight","Obese"))))</f>
        <v/>
      </c>
      <c r="U253" s="34"/>
      <c r="V253" s="34"/>
      <c r="W253" s="32"/>
      <c r="X253" s="32"/>
      <c r="Y253" s="32"/>
      <c r="Z253" s="32"/>
      <c r="AA253" s="32"/>
      <c r="AB253" s="32"/>
      <c r="AC253" s="32"/>
      <c r="AD253" s="32"/>
      <c r="AE253" s="32"/>
      <c r="AF253" s="32"/>
      <c r="AG253" s="32"/>
      <c r="AH253" s="32"/>
      <c r="AI253" s="32"/>
      <c r="AJ253" s="32"/>
      <c r="AK253" s="32"/>
      <c r="AL253" s="32"/>
      <c r="AM253" s="32"/>
      <c r="AN253" s="32"/>
      <c r="AO253" s="32"/>
      <c r="AP253" s="32"/>
      <c r="AQ253" s="32"/>
      <c r="AR253" s="32"/>
      <c r="AS253" s="32"/>
      <c r="AT253" s="32"/>
      <c r="AU253" s="32"/>
      <c r="AV253" s="32"/>
      <c r="AW253" s="32"/>
      <c r="AX253" s="32"/>
      <c r="AY253" s="32"/>
      <c r="AZ253" s="32"/>
      <c r="BA253" s="32"/>
      <c r="BB253" s="32"/>
      <c r="BC253" s="32"/>
      <c r="BD253" s="32"/>
      <c r="BE253" s="32"/>
      <c r="BF253" s="35" t="str">
        <f aca="false">IF(T253="","",IF(T253="Normal",100,IF(T253="Overweight",65,IF(T253="Obese",50,IF(AND(U253&lt;&gt;"",U253&lt;18.5),30,45)))))</f>
        <v/>
      </c>
      <c r="BG253" s="35" t="str">
        <f aca="false">IF(COUNTBLANK(W253:AC253)&gt;0,"",ROUND(AVERAGE(INDEX('SCORING MASTER'!$D$5:$D$7,MATCH(W253,'SCORING MASTER'!$C$5:$C$7,0)),INDEX('SCORING MASTER'!$D$9:$D$11,MATCH(X253,'SCORING MASTER'!$C$9:$C$11,0)),INDEX('SCORING MASTER'!$D$13:$D$15,MATCH(Y253,'SCORING MASTER'!$C$13:$C$15,0)),INDEX('SCORING MASTER'!$D$17:$D$19,MATCH(Z253,'SCORING MASTER'!$C$17:$C$19,0)),INDEX('SCORING MASTER'!$D$21:$D$23,MATCH(AA253,'SCORING MASTER'!$C$21:$C$23,0)),INDEX('SCORING MASTER'!$D$25:$D$27,MATCH(AB253,'SCORING MASTER'!$C$25:$C$27,0)),INDEX('SCORING MASTER'!$D$29:$D$31,MATCH(AC253,'SCORING MASTER'!$C$29:$C$31,0)))*20,0))</f>
        <v/>
      </c>
      <c r="BH253" s="35" t="str">
        <f aca="false">IF(COUNTBLANK(AD253:AI253)&gt;0,"",ROUND(AVERAGE(INDEX('SCORING MASTER'!$D$33:$D$35,MATCH(AD253,'SCORING MASTER'!$C$33:$C$35,0)),INDEX('SCORING MASTER'!$D$37:$D$39,MATCH(AE253,'SCORING MASTER'!$C$37:$C$39,0)),INDEX('SCORING MASTER'!$D$41:$D$43,MATCH(AF253,'SCORING MASTER'!$C$41:$C$43,0)),INDEX('SCORING MASTER'!$D$45:$D$47,MATCH(AG253,'SCORING MASTER'!$C$45:$C$47,0)),INDEX('SCORING MASTER'!$D$49:$D$52,MATCH(AH253,'SCORING MASTER'!$C$49:$C$52,0)),INDEX('SCORING MASTER'!$D$54:$D$57,MATCH(AI253,'SCORING MASTER'!$C$54:$C$57,0)))*20,0))</f>
        <v/>
      </c>
      <c r="BI253" s="35" t="str">
        <f aca="false">IF(COUNTBLANK(AJ253:AP253)&gt;0,"",ROUND(AVERAGE(INDEX('SCORING MASTER'!$D$59:$D$60,MATCH(AJ253,'SCORING MASTER'!$C$59:$C$60,0)),INDEX('SCORING MASTER'!$D$62:$D$63,MATCH(AK253,'SCORING MASTER'!$C$62:$C$63,0)),INDEX('SCORING MASTER'!$D$65:$D$66,MATCH(AL253,'SCORING MASTER'!$C$65:$C$66,0)),INDEX('SCORING MASTER'!$D$68:$D$69,MATCH(AM253,'SCORING MASTER'!$C$68:$C$69,0)),INDEX('SCORING MASTER'!$D$71:$D$72,MATCH(AN253,'SCORING MASTER'!$C$71:$C$72,0)),INDEX('SCORING MASTER'!$D$74:$D$75,MATCH(AO253,'SCORING MASTER'!$C$74:$C$75,0)),INDEX('SCORING MASTER'!$D$77:$D$78,MATCH(AP253,'SCORING MASTER'!$C$77:$C$78,0)))*20,0))</f>
        <v/>
      </c>
      <c r="BJ253" s="35" t="str">
        <f aca="false">IF(COUNTBLANK(AU253:AZ253)&gt;0,"",ROUND(AVERAGE(INDEX('SCORING MASTER'!$D$95:$D$96,MATCH(AU253,'SCORING MASTER'!$C$95:$C$96,0)),INDEX('SCORING MASTER'!$D$98:$D$99,MATCH(AV253,'SCORING MASTER'!$C$98:$C$99,0)),INDEX('SCORING MASTER'!$D$101:$D$102,MATCH(AW253,'SCORING MASTER'!$C$101:$C$102,0)),INDEX('SCORING MASTER'!$D$104:$D$105,MATCH(AX253,'SCORING MASTER'!$C$104:$C$105,0)),INDEX('SCORING MASTER'!$D$107:$D$108,MATCH(AY253,'SCORING MASTER'!$C$107:$C$108,0)),INDEX('SCORING MASTER'!$D$110:$D$111,MATCH(AZ253,'SCORING MASTER'!$C$110:$C$111,0)))*20,0))</f>
        <v/>
      </c>
      <c r="BK253" s="35" t="str">
        <f aca="false">IF(COUNTBLANK(AQ253:AT253)&gt;0,"",ROUND(AVERAGE(INDEX('SCORING MASTER'!$D$80:$D$82,MATCH(AQ253,'SCORING MASTER'!$C$80:$C$82,0)),INDEX('SCORING MASTER'!$D$84:$D$86,MATCH(AR253,'SCORING MASTER'!$C$84:$C$86,0)),INDEX('SCORING MASTER'!$D$88:$D$90,MATCH(AS253,'SCORING MASTER'!$C$88:$C$90,0)),INDEX('SCORING MASTER'!$D$92:$D$93,MATCH(AT253,'SCORING MASTER'!$C$92:$C$93,0)))*20,0))</f>
        <v/>
      </c>
      <c r="BL253" s="35" t="str">
        <f aca="false">IF(COUNTBLANK(BA253:BE253)&gt;0,"",ROUND(AVERAGE(INDEX('SCORING MASTER'!$D$113:$D$115,MATCH(BA253,'SCORING MASTER'!$C$113:$C$115,0)),INDEX('SCORING MASTER'!$D$117:$D$119,MATCH(BB253,'SCORING MASTER'!$C$117:$C$119,0)),INDEX('SCORING MASTER'!$D$121:$D$123,MATCH(BC253,'SCORING MASTER'!$C$121:$C$123,0)),INDEX('SCORING MASTER'!$D$125:$D$126,MATCH(BD253,'SCORING MASTER'!$C$125:$C$126,0)),INDEX('SCORING MASTER'!$D$128:$D$129,MATCH(BE253,'SCORING MASTER'!$C$128:$C$129,0)))*20,0))</f>
        <v/>
      </c>
      <c r="BM253" s="35" t="str">
        <f aca="false">IF(OR(BF253="",BG253="",BH253="",BI253="",BJ253="",BK253="",BL253=""),"",ROUND(BF253*0.25+BG253*0.2+BH253*0.15+BI253*0.15+BJ253*0.1+BK253*0.1+BL253*0.05,0))</f>
        <v/>
      </c>
      <c r="BN253" s="35" t="str">
        <f aca="false">IF(OR(BF253="",BG253=""),"",ROUND(BF253*0.5+BG253*0.5,0))</f>
        <v/>
      </c>
      <c r="BO253" s="35" t="str">
        <f aca="false">IF(BN253="","",ROUND(MIN(100,MAX(0,(100-BN253)+IF(AL253="Yes",15,0)+IF(AM253="Yes",15,0)+IF(AND(U253&lt;&gt;"",U253&lt;18.5),20,0))),0))</f>
        <v/>
      </c>
      <c r="BP253" s="32" t="str">
        <f aca="false">IF(BM253="","",IF(BM253&gt;=90,"Green - Healthy",IF(BM253&gt;=75,"Light Green - Mild Watch",IF(BM253&gt;=60,"Yellow - Mild Risk",IF(BM253&gt;=40,"Orange - Moderate Risk","Red - High Risk")))))</f>
        <v/>
      </c>
      <c r="BQ253" s="32" t="str">
        <f aca="false">IF(BM253="","",IF(OR(BM253&lt;60,BO253&gt;=60,AJ253="Yes"),"Yes","No"))</f>
        <v/>
      </c>
      <c r="BR253" s="32" t="str">
        <f aca="false">IF(BM253="","",IF(OR(BP253="Orange - Moderate Risk",BP253="Red - High Risk",BQ253="Yes"),"Yes","No"))</f>
        <v/>
      </c>
    </row>
    <row r="254" customFormat="false" ht="15" hidden="false" customHeight="false" outlineLevel="0" collapsed="false">
      <c r="A254" s="28" t="str">
        <f aca="false">IF(I254="","","STU"&amp;TEXT(ROW()-3,"000000"))</f>
        <v/>
      </c>
      <c r="B254" s="28"/>
      <c r="C254" s="28"/>
      <c r="D254" s="28"/>
      <c r="E254" s="28"/>
      <c r="F254" s="28"/>
      <c r="G254" s="28"/>
      <c r="H254" s="28"/>
      <c r="I254" s="28"/>
      <c r="J254" s="30"/>
      <c r="K254" s="28"/>
      <c r="L254" s="28"/>
      <c r="M254" s="28"/>
      <c r="N254" s="28"/>
      <c r="O254" s="28"/>
      <c r="P254" s="28"/>
      <c r="Q254" s="30"/>
      <c r="R254" s="30"/>
      <c r="S254" s="31" t="str">
        <f aca="false">IF(OR(Q254="",R254=""),"",ROUND(R254/((Q254/100)^2),1))</f>
        <v/>
      </c>
      <c r="T254" s="28" t="str">
        <f aca="false">IF(S254="","",IF(S254&lt;18.5,"Underweight",IF(S254&lt;25,"Normal",IF(S254&lt;30,"Overweight","Obese"))))</f>
        <v/>
      </c>
      <c r="U254" s="30"/>
      <c r="V254" s="30"/>
      <c r="W254" s="28"/>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V254" s="28"/>
      <c r="AW254" s="28"/>
      <c r="AX254" s="28"/>
      <c r="AY254" s="28"/>
      <c r="AZ254" s="28"/>
      <c r="BA254" s="28"/>
      <c r="BB254" s="28"/>
      <c r="BC254" s="28"/>
      <c r="BD254" s="28"/>
      <c r="BE254" s="28"/>
      <c r="BF254" s="31" t="str">
        <f aca="false">IF(T254="","",IF(T254="Normal",100,IF(T254="Overweight",65,IF(T254="Obese",50,IF(AND(U254&lt;&gt;"",U254&lt;18.5),30,45)))))</f>
        <v/>
      </c>
      <c r="BG254" s="31" t="str">
        <f aca="false">IF(COUNTBLANK(W254:AC254)&gt;0,"",ROUND(AVERAGE(INDEX('SCORING MASTER'!$D$5:$D$7,MATCH(W254,'SCORING MASTER'!$C$5:$C$7,0)),INDEX('SCORING MASTER'!$D$9:$D$11,MATCH(X254,'SCORING MASTER'!$C$9:$C$11,0)),INDEX('SCORING MASTER'!$D$13:$D$15,MATCH(Y254,'SCORING MASTER'!$C$13:$C$15,0)),INDEX('SCORING MASTER'!$D$17:$D$19,MATCH(Z254,'SCORING MASTER'!$C$17:$C$19,0)),INDEX('SCORING MASTER'!$D$21:$D$23,MATCH(AA254,'SCORING MASTER'!$C$21:$C$23,0)),INDEX('SCORING MASTER'!$D$25:$D$27,MATCH(AB254,'SCORING MASTER'!$C$25:$C$27,0)),INDEX('SCORING MASTER'!$D$29:$D$31,MATCH(AC254,'SCORING MASTER'!$C$29:$C$31,0)))*20,0))</f>
        <v/>
      </c>
      <c r="BH254" s="31" t="str">
        <f aca="false">IF(COUNTBLANK(AD254:AI254)&gt;0,"",ROUND(AVERAGE(INDEX('SCORING MASTER'!$D$33:$D$35,MATCH(AD254,'SCORING MASTER'!$C$33:$C$35,0)),INDEX('SCORING MASTER'!$D$37:$D$39,MATCH(AE254,'SCORING MASTER'!$C$37:$C$39,0)),INDEX('SCORING MASTER'!$D$41:$D$43,MATCH(AF254,'SCORING MASTER'!$C$41:$C$43,0)),INDEX('SCORING MASTER'!$D$45:$D$47,MATCH(AG254,'SCORING MASTER'!$C$45:$C$47,0)),INDEX('SCORING MASTER'!$D$49:$D$52,MATCH(AH254,'SCORING MASTER'!$C$49:$C$52,0)),INDEX('SCORING MASTER'!$D$54:$D$57,MATCH(AI254,'SCORING MASTER'!$C$54:$C$57,0)))*20,0))</f>
        <v/>
      </c>
      <c r="BI254" s="31" t="str">
        <f aca="false">IF(COUNTBLANK(AJ254:AP254)&gt;0,"",ROUND(AVERAGE(INDEX('SCORING MASTER'!$D$59:$D$60,MATCH(AJ254,'SCORING MASTER'!$C$59:$C$60,0)),INDEX('SCORING MASTER'!$D$62:$D$63,MATCH(AK254,'SCORING MASTER'!$C$62:$C$63,0)),INDEX('SCORING MASTER'!$D$65:$D$66,MATCH(AL254,'SCORING MASTER'!$C$65:$C$66,0)),INDEX('SCORING MASTER'!$D$68:$D$69,MATCH(AM254,'SCORING MASTER'!$C$68:$C$69,0)),INDEX('SCORING MASTER'!$D$71:$D$72,MATCH(AN254,'SCORING MASTER'!$C$71:$C$72,0)),INDEX('SCORING MASTER'!$D$74:$D$75,MATCH(AO254,'SCORING MASTER'!$C$74:$C$75,0)),INDEX('SCORING MASTER'!$D$77:$D$78,MATCH(AP254,'SCORING MASTER'!$C$77:$C$78,0)))*20,0))</f>
        <v/>
      </c>
      <c r="BJ254" s="31" t="str">
        <f aca="false">IF(COUNTBLANK(AU254:AZ254)&gt;0,"",ROUND(AVERAGE(INDEX('SCORING MASTER'!$D$95:$D$96,MATCH(AU254,'SCORING MASTER'!$C$95:$C$96,0)),INDEX('SCORING MASTER'!$D$98:$D$99,MATCH(AV254,'SCORING MASTER'!$C$98:$C$99,0)),INDEX('SCORING MASTER'!$D$101:$D$102,MATCH(AW254,'SCORING MASTER'!$C$101:$C$102,0)),INDEX('SCORING MASTER'!$D$104:$D$105,MATCH(AX254,'SCORING MASTER'!$C$104:$C$105,0)),INDEX('SCORING MASTER'!$D$107:$D$108,MATCH(AY254,'SCORING MASTER'!$C$107:$C$108,0)),INDEX('SCORING MASTER'!$D$110:$D$111,MATCH(AZ254,'SCORING MASTER'!$C$110:$C$111,0)))*20,0))</f>
        <v/>
      </c>
      <c r="BK254" s="31" t="str">
        <f aca="false">IF(COUNTBLANK(AQ254:AT254)&gt;0,"",ROUND(AVERAGE(INDEX('SCORING MASTER'!$D$80:$D$82,MATCH(AQ254,'SCORING MASTER'!$C$80:$C$82,0)),INDEX('SCORING MASTER'!$D$84:$D$86,MATCH(AR254,'SCORING MASTER'!$C$84:$C$86,0)),INDEX('SCORING MASTER'!$D$88:$D$90,MATCH(AS254,'SCORING MASTER'!$C$88:$C$90,0)),INDEX('SCORING MASTER'!$D$92:$D$93,MATCH(AT254,'SCORING MASTER'!$C$92:$C$93,0)))*20,0))</f>
        <v/>
      </c>
      <c r="BL254" s="31" t="str">
        <f aca="false">IF(COUNTBLANK(BA254:BE254)&gt;0,"",ROUND(AVERAGE(INDEX('SCORING MASTER'!$D$113:$D$115,MATCH(BA254,'SCORING MASTER'!$C$113:$C$115,0)),INDEX('SCORING MASTER'!$D$117:$D$119,MATCH(BB254,'SCORING MASTER'!$C$117:$C$119,0)),INDEX('SCORING MASTER'!$D$121:$D$123,MATCH(BC254,'SCORING MASTER'!$C$121:$C$123,0)),INDEX('SCORING MASTER'!$D$125:$D$126,MATCH(BD254,'SCORING MASTER'!$C$125:$C$126,0)),INDEX('SCORING MASTER'!$D$128:$D$129,MATCH(BE254,'SCORING MASTER'!$C$128:$C$129,0)))*20,0))</f>
        <v/>
      </c>
      <c r="BM254" s="31" t="str">
        <f aca="false">IF(OR(BF254="",BG254="",BH254="",BI254="",BJ254="",BK254="",BL254=""),"",ROUND(BF254*0.25+BG254*0.2+BH254*0.15+BI254*0.15+BJ254*0.1+BK254*0.1+BL254*0.05,0))</f>
        <v/>
      </c>
      <c r="BN254" s="31" t="str">
        <f aca="false">IF(OR(BF254="",BG254=""),"",ROUND(BF254*0.5+BG254*0.5,0))</f>
        <v/>
      </c>
      <c r="BO254" s="31" t="str">
        <f aca="false">IF(BN254="","",ROUND(MIN(100,MAX(0,(100-BN254)+IF(AL254="Yes",15,0)+IF(AM254="Yes",15,0)+IF(AND(U254&lt;&gt;"",U254&lt;18.5),20,0))),0))</f>
        <v/>
      </c>
      <c r="BP254" s="28" t="str">
        <f aca="false">IF(BM254="","",IF(BM254&gt;=90,"Green - Healthy",IF(BM254&gt;=75,"Light Green - Mild Watch",IF(BM254&gt;=60,"Yellow - Mild Risk",IF(BM254&gt;=40,"Orange - Moderate Risk","Red - High Risk")))))</f>
        <v/>
      </c>
      <c r="BQ254" s="28" t="str">
        <f aca="false">IF(BM254="","",IF(OR(BM254&lt;60,BO254&gt;=60,AJ254="Yes"),"Yes","No"))</f>
        <v/>
      </c>
      <c r="BR254" s="28" t="str">
        <f aca="false">IF(BM254="","",IF(OR(BP254="Orange - Moderate Risk",BP254="Red - High Risk",BQ254="Yes"),"Yes","No"))</f>
        <v/>
      </c>
    </row>
    <row r="255" customFormat="false" ht="15" hidden="false" customHeight="false" outlineLevel="0" collapsed="false">
      <c r="A255" s="32" t="str">
        <f aca="false">IF(I255="","","STU"&amp;TEXT(ROW()-3,"000000"))</f>
        <v/>
      </c>
      <c r="B255" s="32"/>
      <c r="C255" s="32"/>
      <c r="D255" s="32"/>
      <c r="E255" s="32"/>
      <c r="F255" s="32"/>
      <c r="G255" s="32"/>
      <c r="H255" s="32"/>
      <c r="I255" s="32"/>
      <c r="J255" s="34"/>
      <c r="K255" s="32"/>
      <c r="L255" s="32"/>
      <c r="M255" s="32"/>
      <c r="N255" s="32"/>
      <c r="O255" s="32"/>
      <c r="P255" s="32"/>
      <c r="Q255" s="34"/>
      <c r="R255" s="34"/>
      <c r="S255" s="35" t="str">
        <f aca="false">IF(OR(Q255="",R255=""),"",ROUND(R255/((Q255/100)^2),1))</f>
        <v/>
      </c>
      <c r="T255" s="32" t="str">
        <f aca="false">IF(S255="","",IF(S255&lt;18.5,"Underweight",IF(S255&lt;25,"Normal",IF(S255&lt;30,"Overweight","Obese"))))</f>
        <v/>
      </c>
      <c r="U255" s="34"/>
      <c r="V255" s="34"/>
      <c r="W255" s="32"/>
      <c r="X255" s="32"/>
      <c r="Y255" s="32"/>
      <c r="Z255" s="32"/>
      <c r="AA255" s="32"/>
      <c r="AB255" s="32"/>
      <c r="AC255" s="32"/>
      <c r="AD255" s="32"/>
      <c r="AE255" s="32"/>
      <c r="AF255" s="32"/>
      <c r="AG255" s="32"/>
      <c r="AH255" s="32"/>
      <c r="AI255" s="32"/>
      <c r="AJ255" s="32"/>
      <c r="AK255" s="32"/>
      <c r="AL255" s="32"/>
      <c r="AM255" s="32"/>
      <c r="AN255" s="32"/>
      <c r="AO255" s="32"/>
      <c r="AP255" s="32"/>
      <c r="AQ255" s="32"/>
      <c r="AR255" s="32"/>
      <c r="AS255" s="32"/>
      <c r="AT255" s="32"/>
      <c r="AU255" s="32"/>
      <c r="AV255" s="32"/>
      <c r="AW255" s="32"/>
      <c r="AX255" s="32"/>
      <c r="AY255" s="32"/>
      <c r="AZ255" s="32"/>
      <c r="BA255" s="32"/>
      <c r="BB255" s="32"/>
      <c r="BC255" s="32"/>
      <c r="BD255" s="32"/>
      <c r="BE255" s="32"/>
      <c r="BF255" s="35" t="str">
        <f aca="false">IF(T255="","",IF(T255="Normal",100,IF(T255="Overweight",65,IF(T255="Obese",50,IF(AND(U255&lt;&gt;"",U255&lt;18.5),30,45)))))</f>
        <v/>
      </c>
      <c r="BG255" s="35" t="str">
        <f aca="false">IF(COUNTBLANK(W255:AC255)&gt;0,"",ROUND(AVERAGE(INDEX('SCORING MASTER'!$D$5:$D$7,MATCH(W255,'SCORING MASTER'!$C$5:$C$7,0)),INDEX('SCORING MASTER'!$D$9:$D$11,MATCH(X255,'SCORING MASTER'!$C$9:$C$11,0)),INDEX('SCORING MASTER'!$D$13:$D$15,MATCH(Y255,'SCORING MASTER'!$C$13:$C$15,0)),INDEX('SCORING MASTER'!$D$17:$D$19,MATCH(Z255,'SCORING MASTER'!$C$17:$C$19,0)),INDEX('SCORING MASTER'!$D$21:$D$23,MATCH(AA255,'SCORING MASTER'!$C$21:$C$23,0)),INDEX('SCORING MASTER'!$D$25:$D$27,MATCH(AB255,'SCORING MASTER'!$C$25:$C$27,0)),INDEX('SCORING MASTER'!$D$29:$D$31,MATCH(AC255,'SCORING MASTER'!$C$29:$C$31,0)))*20,0))</f>
        <v/>
      </c>
      <c r="BH255" s="35" t="str">
        <f aca="false">IF(COUNTBLANK(AD255:AI255)&gt;0,"",ROUND(AVERAGE(INDEX('SCORING MASTER'!$D$33:$D$35,MATCH(AD255,'SCORING MASTER'!$C$33:$C$35,0)),INDEX('SCORING MASTER'!$D$37:$D$39,MATCH(AE255,'SCORING MASTER'!$C$37:$C$39,0)),INDEX('SCORING MASTER'!$D$41:$D$43,MATCH(AF255,'SCORING MASTER'!$C$41:$C$43,0)),INDEX('SCORING MASTER'!$D$45:$D$47,MATCH(AG255,'SCORING MASTER'!$C$45:$C$47,0)),INDEX('SCORING MASTER'!$D$49:$D$52,MATCH(AH255,'SCORING MASTER'!$C$49:$C$52,0)),INDEX('SCORING MASTER'!$D$54:$D$57,MATCH(AI255,'SCORING MASTER'!$C$54:$C$57,0)))*20,0))</f>
        <v/>
      </c>
      <c r="BI255" s="35" t="str">
        <f aca="false">IF(COUNTBLANK(AJ255:AP255)&gt;0,"",ROUND(AVERAGE(INDEX('SCORING MASTER'!$D$59:$D$60,MATCH(AJ255,'SCORING MASTER'!$C$59:$C$60,0)),INDEX('SCORING MASTER'!$D$62:$D$63,MATCH(AK255,'SCORING MASTER'!$C$62:$C$63,0)),INDEX('SCORING MASTER'!$D$65:$D$66,MATCH(AL255,'SCORING MASTER'!$C$65:$C$66,0)),INDEX('SCORING MASTER'!$D$68:$D$69,MATCH(AM255,'SCORING MASTER'!$C$68:$C$69,0)),INDEX('SCORING MASTER'!$D$71:$D$72,MATCH(AN255,'SCORING MASTER'!$C$71:$C$72,0)),INDEX('SCORING MASTER'!$D$74:$D$75,MATCH(AO255,'SCORING MASTER'!$C$74:$C$75,0)),INDEX('SCORING MASTER'!$D$77:$D$78,MATCH(AP255,'SCORING MASTER'!$C$77:$C$78,0)))*20,0))</f>
        <v/>
      </c>
      <c r="BJ255" s="35" t="str">
        <f aca="false">IF(COUNTBLANK(AU255:AZ255)&gt;0,"",ROUND(AVERAGE(INDEX('SCORING MASTER'!$D$95:$D$96,MATCH(AU255,'SCORING MASTER'!$C$95:$C$96,0)),INDEX('SCORING MASTER'!$D$98:$D$99,MATCH(AV255,'SCORING MASTER'!$C$98:$C$99,0)),INDEX('SCORING MASTER'!$D$101:$D$102,MATCH(AW255,'SCORING MASTER'!$C$101:$C$102,0)),INDEX('SCORING MASTER'!$D$104:$D$105,MATCH(AX255,'SCORING MASTER'!$C$104:$C$105,0)),INDEX('SCORING MASTER'!$D$107:$D$108,MATCH(AY255,'SCORING MASTER'!$C$107:$C$108,0)),INDEX('SCORING MASTER'!$D$110:$D$111,MATCH(AZ255,'SCORING MASTER'!$C$110:$C$111,0)))*20,0))</f>
        <v/>
      </c>
      <c r="BK255" s="35" t="str">
        <f aca="false">IF(COUNTBLANK(AQ255:AT255)&gt;0,"",ROUND(AVERAGE(INDEX('SCORING MASTER'!$D$80:$D$82,MATCH(AQ255,'SCORING MASTER'!$C$80:$C$82,0)),INDEX('SCORING MASTER'!$D$84:$D$86,MATCH(AR255,'SCORING MASTER'!$C$84:$C$86,0)),INDEX('SCORING MASTER'!$D$88:$D$90,MATCH(AS255,'SCORING MASTER'!$C$88:$C$90,0)),INDEX('SCORING MASTER'!$D$92:$D$93,MATCH(AT255,'SCORING MASTER'!$C$92:$C$93,0)))*20,0))</f>
        <v/>
      </c>
      <c r="BL255" s="35" t="str">
        <f aca="false">IF(COUNTBLANK(BA255:BE255)&gt;0,"",ROUND(AVERAGE(INDEX('SCORING MASTER'!$D$113:$D$115,MATCH(BA255,'SCORING MASTER'!$C$113:$C$115,0)),INDEX('SCORING MASTER'!$D$117:$D$119,MATCH(BB255,'SCORING MASTER'!$C$117:$C$119,0)),INDEX('SCORING MASTER'!$D$121:$D$123,MATCH(BC255,'SCORING MASTER'!$C$121:$C$123,0)),INDEX('SCORING MASTER'!$D$125:$D$126,MATCH(BD255,'SCORING MASTER'!$C$125:$C$126,0)),INDEX('SCORING MASTER'!$D$128:$D$129,MATCH(BE255,'SCORING MASTER'!$C$128:$C$129,0)))*20,0))</f>
        <v/>
      </c>
      <c r="BM255" s="35" t="str">
        <f aca="false">IF(OR(BF255="",BG255="",BH255="",BI255="",BJ255="",BK255="",BL255=""),"",ROUND(BF255*0.25+BG255*0.2+BH255*0.15+BI255*0.15+BJ255*0.1+BK255*0.1+BL255*0.05,0))</f>
        <v/>
      </c>
      <c r="BN255" s="35" t="str">
        <f aca="false">IF(OR(BF255="",BG255=""),"",ROUND(BF255*0.5+BG255*0.5,0))</f>
        <v/>
      </c>
      <c r="BO255" s="35" t="str">
        <f aca="false">IF(BN255="","",ROUND(MIN(100,MAX(0,(100-BN255)+IF(AL255="Yes",15,0)+IF(AM255="Yes",15,0)+IF(AND(U255&lt;&gt;"",U255&lt;18.5),20,0))),0))</f>
        <v/>
      </c>
      <c r="BP255" s="32" t="str">
        <f aca="false">IF(BM255="","",IF(BM255&gt;=90,"Green - Healthy",IF(BM255&gt;=75,"Light Green - Mild Watch",IF(BM255&gt;=60,"Yellow - Mild Risk",IF(BM255&gt;=40,"Orange - Moderate Risk","Red - High Risk")))))</f>
        <v/>
      </c>
      <c r="BQ255" s="32" t="str">
        <f aca="false">IF(BM255="","",IF(OR(BM255&lt;60,BO255&gt;=60,AJ255="Yes"),"Yes","No"))</f>
        <v/>
      </c>
      <c r="BR255" s="32" t="str">
        <f aca="false">IF(BM255="","",IF(OR(BP255="Orange - Moderate Risk",BP255="Red - High Risk",BQ255="Yes"),"Yes","No"))</f>
        <v/>
      </c>
    </row>
    <row r="256" customFormat="false" ht="15" hidden="false" customHeight="false" outlineLevel="0" collapsed="false">
      <c r="A256" s="28" t="str">
        <f aca="false">IF(I256="","","STU"&amp;TEXT(ROW()-3,"000000"))</f>
        <v/>
      </c>
      <c r="B256" s="28"/>
      <c r="C256" s="28"/>
      <c r="D256" s="28"/>
      <c r="E256" s="28"/>
      <c r="F256" s="28"/>
      <c r="G256" s="28"/>
      <c r="H256" s="28"/>
      <c r="I256" s="28"/>
      <c r="J256" s="30"/>
      <c r="K256" s="28"/>
      <c r="L256" s="28"/>
      <c r="M256" s="28"/>
      <c r="N256" s="28"/>
      <c r="O256" s="28"/>
      <c r="P256" s="28"/>
      <c r="Q256" s="30"/>
      <c r="R256" s="30"/>
      <c r="S256" s="31" t="str">
        <f aca="false">IF(OR(Q256="",R256=""),"",ROUND(R256/((Q256/100)^2),1))</f>
        <v/>
      </c>
      <c r="T256" s="28" t="str">
        <f aca="false">IF(S256="","",IF(S256&lt;18.5,"Underweight",IF(S256&lt;25,"Normal",IF(S256&lt;30,"Overweight","Obese"))))</f>
        <v/>
      </c>
      <c r="U256" s="30"/>
      <c r="V256" s="30"/>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c r="BD256" s="28"/>
      <c r="BE256" s="28"/>
      <c r="BF256" s="31" t="str">
        <f aca="false">IF(T256="","",IF(T256="Normal",100,IF(T256="Overweight",65,IF(T256="Obese",50,IF(AND(U256&lt;&gt;"",U256&lt;18.5),30,45)))))</f>
        <v/>
      </c>
      <c r="BG256" s="31" t="str">
        <f aca="false">IF(COUNTBLANK(W256:AC256)&gt;0,"",ROUND(AVERAGE(INDEX('SCORING MASTER'!$D$5:$D$7,MATCH(W256,'SCORING MASTER'!$C$5:$C$7,0)),INDEX('SCORING MASTER'!$D$9:$D$11,MATCH(X256,'SCORING MASTER'!$C$9:$C$11,0)),INDEX('SCORING MASTER'!$D$13:$D$15,MATCH(Y256,'SCORING MASTER'!$C$13:$C$15,0)),INDEX('SCORING MASTER'!$D$17:$D$19,MATCH(Z256,'SCORING MASTER'!$C$17:$C$19,0)),INDEX('SCORING MASTER'!$D$21:$D$23,MATCH(AA256,'SCORING MASTER'!$C$21:$C$23,0)),INDEX('SCORING MASTER'!$D$25:$D$27,MATCH(AB256,'SCORING MASTER'!$C$25:$C$27,0)),INDEX('SCORING MASTER'!$D$29:$D$31,MATCH(AC256,'SCORING MASTER'!$C$29:$C$31,0)))*20,0))</f>
        <v/>
      </c>
      <c r="BH256" s="31" t="str">
        <f aca="false">IF(COUNTBLANK(AD256:AI256)&gt;0,"",ROUND(AVERAGE(INDEX('SCORING MASTER'!$D$33:$D$35,MATCH(AD256,'SCORING MASTER'!$C$33:$C$35,0)),INDEX('SCORING MASTER'!$D$37:$D$39,MATCH(AE256,'SCORING MASTER'!$C$37:$C$39,0)),INDEX('SCORING MASTER'!$D$41:$D$43,MATCH(AF256,'SCORING MASTER'!$C$41:$C$43,0)),INDEX('SCORING MASTER'!$D$45:$D$47,MATCH(AG256,'SCORING MASTER'!$C$45:$C$47,0)),INDEX('SCORING MASTER'!$D$49:$D$52,MATCH(AH256,'SCORING MASTER'!$C$49:$C$52,0)),INDEX('SCORING MASTER'!$D$54:$D$57,MATCH(AI256,'SCORING MASTER'!$C$54:$C$57,0)))*20,0))</f>
        <v/>
      </c>
      <c r="BI256" s="31" t="str">
        <f aca="false">IF(COUNTBLANK(AJ256:AP256)&gt;0,"",ROUND(AVERAGE(INDEX('SCORING MASTER'!$D$59:$D$60,MATCH(AJ256,'SCORING MASTER'!$C$59:$C$60,0)),INDEX('SCORING MASTER'!$D$62:$D$63,MATCH(AK256,'SCORING MASTER'!$C$62:$C$63,0)),INDEX('SCORING MASTER'!$D$65:$D$66,MATCH(AL256,'SCORING MASTER'!$C$65:$C$66,0)),INDEX('SCORING MASTER'!$D$68:$D$69,MATCH(AM256,'SCORING MASTER'!$C$68:$C$69,0)),INDEX('SCORING MASTER'!$D$71:$D$72,MATCH(AN256,'SCORING MASTER'!$C$71:$C$72,0)),INDEX('SCORING MASTER'!$D$74:$D$75,MATCH(AO256,'SCORING MASTER'!$C$74:$C$75,0)),INDEX('SCORING MASTER'!$D$77:$D$78,MATCH(AP256,'SCORING MASTER'!$C$77:$C$78,0)))*20,0))</f>
        <v/>
      </c>
      <c r="BJ256" s="31" t="str">
        <f aca="false">IF(COUNTBLANK(AU256:AZ256)&gt;0,"",ROUND(AVERAGE(INDEX('SCORING MASTER'!$D$95:$D$96,MATCH(AU256,'SCORING MASTER'!$C$95:$C$96,0)),INDEX('SCORING MASTER'!$D$98:$D$99,MATCH(AV256,'SCORING MASTER'!$C$98:$C$99,0)),INDEX('SCORING MASTER'!$D$101:$D$102,MATCH(AW256,'SCORING MASTER'!$C$101:$C$102,0)),INDEX('SCORING MASTER'!$D$104:$D$105,MATCH(AX256,'SCORING MASTER'!$C$104:$C$105,0)),INDEX('SCORING MASTER'!$D$107:$D$108,MATCH(AY256,'SCORING MASTER'!$C$107:$C$108,0)),INDEX('SCORING MASTER'!$D$110:$D$111,MATCH(AZ256,'SCORING MASTER'!$C$110:$C$111,0)))*20,0))</f>
        <v/>
      </c>
      <c r="BK256" s="31" t="str">
        <f aca="false">IF(COUNTBLANK(AQ256:AT256)&gt;0,"",ROUND(AVERAGE(INDEX('SCORING MASTER'!$D$80:$D$82,MATCH(AQ256,'SCORING MASTER'!$C$80:$C$82,0)),INDEX('SCORING MASTER'!$D$84:$D$86,MATCH(AR256,'SCORING MASTER'!$C$84:$C$86,0)),INDEX('SCORING MASTER'!$D$88:$D$90,MATCH(AS256,'SCORING MASTER'!$C$88:$C$90,0)),INDEX('SCORING MASTER'!$D$92:$D$93,MATCH(AT256,'SCORING MASTER'!$C$92:$C$93,0)))*20,0))</f>
        <v/>
      </c>
      <c r="BL256" s="31" t="str">
        <f aca="false">IF(COUNTBLANK(BA256:BE256)&gt;0,"",ROUND(AVERAGE(INDEX('SCORING MASTER'!$D$113:$D$115,MATCH(BA256,'SCORING MASTER'!$C$113:$C$115,0)),INDEX('SCORING MASTER'!$D$117:$D$119,MATCH(BB256,'SCORING MASTER'!$C$117:$C$119,0)),INDEX('SCORING MASTER'!$D$121:$D$123,MATCH(BC256,'SCORING MASTER'!$C$121:$C$123,0)),INDEX('SCORING MASTER'!$D$125:$D$126,MATCH(BD256,'SCORING MASTER'!$C$125:$C$126,0)),INDEX('SCORING MASTER'!$D$128:$D$129,MATCH(BE256,'SCORING MASTER'!$C$128:$C$129,0)))*20,0))</f>
        <v/>
      </c>
      <c r="BM256" s="31" t="str">
        <f aca="false">IF(OR(BF256="",BG256="",BH256="",BI256="",BJ256="",BK256="",BL256=""),"",ROUND(BF256*0.25+BG256*0.2+BH256*0.15+BI256*0.15+BJ256*0.1+BK256*0.1+BL256*0.05,0))</f>
        <v/>
      </c>
      <c r="BN256" s="31" t="str">
        <f aca="false">IF(OR(BF256="",BG256=""),"",ROUND(BF256*0.5+BG256*0.5,0))</f>
        <v/>
      </c>
      <c r="BO256" s="31" t="str">
        <f aca="false">IF(BN256="","",ROUND(MIN(100,MAX(0,(100-BN256)+IF(AL256="Yes",15,0)+IF(AM256="Yes",15,0)+IF(AND(U256&lt;&gt;"",U256&lt;18.5),20,0))),0))</f>
        <v/>
      </c>
      <c r="BP256" s="28" t="str">
        <f aca="false">IF(BM256="","",IF(BM256&gt;=90,"Green - Healthy",IF(BM256&gt;=75,"Light Green - Mild Watch",IF(BM256&gt;=60,"Yellow - Mild Risk",IF(BM256&gt;=40,"Orange - Moderate Risk","Red - High Risk")))))</f>
        <v/>
      </c>
      <c r="BQ256" s="28" t="str">
        <f aca="false">IF(BM256="","",IF(OR(BM256&lt;60,BO256&gt;=60,AJ256="Yes"),"Yes","No"))</f>
        <v/>
      </c>
      <c r="BR256" s="28" t="str">
        <f aca="false">IF(BM256="","",IF(OR(BP256="Orange - Moderate Risk",BP256="Red - High Risk",BQ256="Yes"),"Yes","No"))</f>
        <v/>
      </c>
    </row>
    <row r="257" customFormat="false" ht="15" hidden="false" customHeight="false" outlineLevel="0" collapsed="false">
      <c r="A257" s="32" t="str">
        <f aca="false">IF(I257="","","STU"&amp;TEXT(ROW()-3,"000000"))</f>
        <v/>
      </c>
      <c r="B257" s="32"/>
      <c r="C257" s="32"/>
      <c r="D257" s="32"/>
      <c r="E257" s="32"/>
      <c r="F257" s="32"/>
      <c r="G257" s="32"/>
      <c r="H257" s="32"/>
      <c r="I257" s="32"/>
      <c r="J257" s="34"/>
      <c r="K257" s="32"/>
      <c r="L257" s="32"/>
      <c r="M257" s="32"/>
      <c r="N257" s="32"/>
      <c r="O257" s="32"/>
      <c r="P257" s="32"/>
      <c r="Q257" s="34"/>
      <c r="R257" s="34"/>
      <c r="S257" s="35" t="str">
        <f aca="false">IF(OR(Q257="",R257=""),"",ROUND(R257/((Q257/100)^2),1))</f>
        <v/>
      </c>
      <c r="T257" s="32" t="str">
        <f aca="false">IF(S257="","",IF(S257&lt;18.5,"Underweight",IF(S257&lt;25,"Normal",IF(S257&lt;30,"Overweight","Obese"))))</f>
        <v/>
      </c>
      <c r="U257" s="34"/>
      <c r="V257" s="34"/>
      <c r="W257" s="32"/>
      <c r="X257" s="32"/>
      <c r="Y257" s="32"/>
      <c r="Z257" s="32"/>
      <c r="AA257" s="32"/>
      <c r="AB257" s="32"/>
      <c r="AC257" s="32"/>
      <c r="AD257" s="32"/>
      <c r="AE257" s="32"/>
      <c r="AF257" s="32"/>
      <c r="AG257" s="32"/>
      <c r="AH257" s="32"/>
      <c r="AI257" s="32"/>
      <c r="AJ257" s="32"/>
      <c r="AK257" s="32"/>
      <c r="AL257" s="32"/>
      <c r="AM257" s="32"/>
      <c r="AN257" s="32"/>
      <c r="AO257" s="32"/>
      <c r="AP257" s="32"/>
      <c r="AQ257" s="32"/>
      <c r="AR257" s="32"/>
      <c r="AS257" s="32"/>
      <c r="AT257" s="32"/>
      <c r="AU257" s="32"/>
      <c r="AV257" s="32"/>
      <c r="AW257" s="32"/>
      <c r="AX257" s="32"/>
      <c r="AY257" s="32"/>
      <c r="AZ257" s="32"/>
      <c r="BA257" s="32"/>
      <c r="BB257" s="32"/>
      <c r="BC257" s="32"/>
      <c r="BD257" s="32"/>
      <c r="BE257" s="32"/>
      <c r="BF257" s="35" t="str">
        <f aca="false">IF(T257="","",IF(T257="Normal",100,IF(T257="Overweight",65,IF(T257="Obese",50,IF(AND(U257&lt;&gt;"",U257&lt;18.5),30,45)))))</f>
        <v/>
      </c>
      <c r="BG257" s="35" t="str">
        <f aca="false">IF(COUNTBLANK(W257:AC257)&gt;0,"",ROUND(AVERAGE(INDEX('SCORING MASTER'!$D$5:$D$7,MATCH(W257,'SCORING MASTER'!$C$5:$C$7,0)),INDEX('SCORING MASTER'!$D$9:$D$11,MATCH(X257,'SCORING MASTER'!$C$9:$C$11,0)),INDEX('SCORING MASTER'!$D$13:$D$15,MATCH(Y257,'SCORING MASTER'!$C$13:$C$15,0)),INDEX('SCORING MASTER'!$D$17:$D$19,MATCH(Z257,'SCORING MASTER'!$C$17:$C$19,0)),INDEX('SCORING MASTER'!$D$21:$D$23,MATCH(AA257,'SCORING MASTER'!$C$21:$C$23,0)),INDEX('SCORING MASTER'!$D$25:$D$27,MATCH(AB257,'SCORING MASTER'!$C$25:$C$27,0)),INDEX('SCORING MASTER'!$D$29:$D$31,MATCH(AC257,'SCORING MASTER'!$C$29:$C$31,0)))*20,0))</f>
        <v/>
      </c>
      <c r="BH257" s="35" t="str">
        <f aca="false">IF(COUNTBLANK(AD257:AI257)&gt;0,"",ROUND(AVERAGE(INDEX('SCORING MASTER'!$D$33:$D$35,MATCH(AD257,'SCORING MASTER'!$C$33:$C$35,0)),INDEX('SCORING MASTER'!$D$37:$D$39,MATCH(AE257,'SCORING MASTER'!$C$37:$C$39,0)),INDEX('SCORING MASTER'!$D$41:$D$43,MATCH(AF257,'SCORING MASTER'!$C$41:$C$43,0)),INDEX('SCORING MASTER'!$D$45:$D$47,MATCH(AG257,'SCORING MASTER'!$C$45:$C$47,0)),INDEX('SCORING MASTER'!$D$49:$D$52,MATCH(AH257,'SCORING MASTER'!$C$49:$C$52,0)),INDEX('SCORING MASTER'!$D$54:$D$57,MATCH(AI257,'SCORING MASTER'!$C$54:$C$57,0)))*20,0))</f>
        <v/>
      </c>
      <c r="BI257" s="35" t="str">
        <f aca="false">IF(COUNTBLANK(AJ257:AP257)&gt;0,"",ROUND(AVERAGE(INDEX('SCORING MASTER'!$D$59:$D$60,MATCH(AJ257,'SCORING MASTER'!$C$59:$C$60,0)),INDEX('SCORING MASTER'!$D$62:$D$63,MATCH(AK257,'SCORING MASTER'!$C$62:$C$63,0)),INDEX('SCORING MASTER'!$D$65:$D$66,MATCH(AL257,'SCORING MASTER'!$C$65:$C$66,0)),INDEX('SCORING MASTER'!$D$68:$D$69,MATCH(AM257,'SCORING MASTER'!$C$68:$C$69,0)),INDEX('SCORING MASTER'!$D$71:$D$72,MATCH(AN257,'SCORING MASTER'!$C$71:$C$72,0)),INDEX('SCORING MASTER'!$D$74:$D$75,MATCH(AO257,'SCORING MASTER'!$C$74:$C$75,0)),INDEX('SCORING MASTER'!$D$77:$D$78,MATCH(AP257,'SCORING MASTER'!$C$77:$C$78,0)))*20,0))</f>
        <v/>
      </c>
      <c r="BJ257" s="35" t="str">
        <f aca="false">IF(COUNTBLANK(AU257:AZ257)&gt;0,"",ROUND(AVERAGE(INDEX('SCORING MASTER'!$D$95:$D$96,MATCH(AU257,'SCORING MASTER'!$C$95:$C$96,0)),INDEX('SCORING MASTER'!$D$98:$D$99,MATCH(AV257,'SCORING MASTER'!$C$98:$C$99,0)),INDEX('SCORING MASTER'!$D$101:$D$102,MATCH(AW257,'SCORING MASTER'!$C$101:$C$102,0)),INDEX('SCORING MASTER'!$D$104:$D$105,MATCH(AX257,'SCORING MASTER'!$C$104:$C$105,0)),INDEX('SCORING MASTER'!$D$107:$D$108,MATCH(AY257,'SCORING MASTER'!$C$107:$C$108,0)),INDEX('SCORING MASTER'!$D$110:$D$111,MATCH(AZ257,'SCORING MASTER'!$C$110:$C$111,0)))*20,0))</f>
        <v/>
      </c>
      <c r="BK257" s="35" t="str">
        <f aca="false">IF(COUNTBLANK(AQ257:AT257)&gt;0,"",ROUND(AVERAGE(INDEX('SCORING MASTER'!$D$80:$D$82,MATCH(AQ257,'SCORING MASTER'!$C$80:$C$82,0)),INDEX('SCORING MASTER'!$D$84:$D$86,MATCH(AR257,'SCORING MASTER'!$C$84:$C$86,0)),INDEX('SCORING MASTER'!$D$88:$D$90,MATCH(AS257,'SCORING MASTER'!$C$88:$C$90,0)),INDEX('SCORING MASTER'!$D$92:$D$93,MATCH(AT257,'SCORING MASTER'!$C$92:$C$93,0)))*20,0))</f>
        <v/>
      </c>
      <c r="BL257" s="35" t="str">
        <f aca="false">IF(COUNTBLANK(BA257:BE257)&gt;0,"",ROUND(AVERAGE(INDEX('SCORING MASTER'!$D$113:$D$115,MATCH(BA257,'SCORING MASTER'!$C$113:$C$115,0)),INDEX('SCORING MASTER'!$D$117:$D$119,MATCH(BB257,'SCORING MASTER'!$C$117:$C$119,0)),INDEX('SCORING MASTER'!$D$121:$D$123,MATCH(BC257,'SCORING MASTER'!$C$121:$C$123,0)),INDEX('SCORING MASTER'!$D$125:$D$126,MATCH(BD257,'SCORING MASTER'!$C$125:$C$126,0)),INDEX('SCORING MASTER'!$D$128:$D$129,MATCH(BE257,'SCORING MASTER'!$C$128:$C$129,0)))*20,0))</f>
        <v/>
      </c>
      <c r="BM257" s="35" t="str">
        <f aca="false">IF(OR(BF257="",BG257="",BH257="",BI257="",BJ257="",BK257="",BL257=""),"",ROUND(BF257*0.25+BG257*0.2+BH257*0.15+BI257*0.15+BJ257*0.1+BK257*0.1+BL257*0.05,0))</f>
        <v/>
      </c>
      <c r="BN257" s="35" t="str">
        <f aca="false">IF(OR(BF257="",BG257=""),"",ROUND(BF257*0.5+BG257*0.5,0))</f>
        <v/>
      </c>
      <c r="BO257" s="35" t="str">
        <f aca="false">IF(BN257="","",ROUND(MIN(100,MAX(0,(100-BN257)+IF(AL257="Yes",15,0)+IF(AM257="Yes",15,0)+IF(AND(U257&lt;&gt;"",U257&lt;18.5),20,0))),0))</f>
        <v/>
      </c>
      <c r="BP257" s="32" t="str">
        <f aca="false">IF(BM257="","",IF(BM257&gt;=90,"Green - Healthy",IF(BM257&gt;=75,"Light Green - Mild Watch",IF(BM257&gt;=60,"Yellow - Mild Risk",IF(BM257&gt;=40,"Orange - Moderate Risk","Red - High Risk")))))</f>
        <v/>
      </c>
      <c r="BQ257" s="32" t="str">
        <f aca="false">IF(BM257="","",IF(OR(BM257&lt;60,BO257&gt;=60,AJ257="Yes"),"Yes","No"))</f>
        <v/>
      </c>
      <c r="BR257" s="32" t="str">
        <f aca="false">IF(BM257="","",IF(OR(BP257="Orange - Moderate Risk",BP257="Red - High Risk",BQ257="Yes"),"Yes","No"))</f>
        <v/>
      </c>
    </row>
    <row r="258" customFormat="false" ht="15" hidden="false" customHeight="false" outlineLevel="0" collapsed="false">
      <c r="A258" s="28" t="str">
        <f aca="false">IF(I258="","","STU"&amp;TEXT(ROW()-3,"000000"))</f>
        <v/>
      </c>
      <c r="B258" s="28"/>
      <c r="C258" s="28"/>
      <c r="D258" s="28"/>
      <c r="E258" s="28"/>
      <c r="F258" s="28"/>
      <c r="G258" s="28"/>
      <c r="H258" s="28"/>
      <c r="I258" s="28"/>
      <c r="J258" s="30"/>
      <c r="K258" s="28"/>
      <c r="L258" s="28"/>
      <c r="M258" s="28"/>
      <c r="N258" s="28"/>
      <c r="O258" s="28"/>
      <c r="P258" s="28"/>
      <c r="Q258" s="30"/>
      <c r="R258" s="30"/>
      <c r="S258" s="31" t="str">
        <f aca="false">IF(OR(Q258="",R258=""),"",ROUND(R258/((Q258/100)^2),1))</f>
        <v/>
      </c>
      <c r="T258" s="28" t="str">
        <f aca="false">IF(S258="","",IF(S258&lt;18.5,"Underweight",IF(S258&lt;25,"Normal",IF(S258&lt;30,"Overweight","Obese"))))</f>
        <v/>
      </c>
      <c r="U258" s="30"/>
      <c r="V258" s="30"/>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c r="BE258" s="28"/>
      <c r="BF258" s="31" t="str">
        <f aca="false">IF(T258="","",IF(T258="Normal",100,IF(T258="Overweight",65,IF(T258="Obese",50,IF(AND(U258&lt;&gt;"",U258&lt;18.5),30,45)))))</f>
        <v/>
      </c>
      <c r="BG258" s="31" t="str">
        <f aca="false">IF(COUNTBLANK(W258:AC258)&gt;0,"",ROUND(AVERAGE(INDEX('SCORING MASTER'!$D$5:$D$7,MATCH(W258,'SCORING MASTER'!$C$5:$C$7,0)),INDEX('SCORING MASTER'!$D$9:$D$11,MATCH(X258,'SCORING MASTER'!$C$9:$C$11,0)),INDEX('SCORING MASTER'!$D$13:$D$15,MATCH(Y258,'SCORING MASTER'!$C$13:$C$15,0)),INDEX('SCORING MASTER'!$D$17:$D$19,MATCH(Z258,'SCORING MASTER'!$C$17:$C$19,0)),INDEX('SCORING MASTER'!$D$21:$D$23,MATCH(AA258,'SCORING MASTER'!$C$21:$C$23,0)),INDEX('SCORING MASTER'!$D$25:$D$27,MATCH(AB258,'SCORING MASTER'!$C$25:$C$27,0)),INDEX('SCORING MASTER'!$D$29:$D$31,MATCH(AC258,'SCORING MASTER'!$C$29:$C$31,0)))*20,0))</f>
        <v/>
      </c>
      <c r="BH258" s="31" t="str">
        <f aca="false">IF(COUNTBLANK(AD258:AI258)&gt;0,"",ROUND(AVERAGE(INDEX('SCORING MASTER'!$D$33:$D$35,MATCH(AD258,'SCORING MASTER'!$C$33:$C$35,0)),INDEX('SCORING MASTER'!$D$37:$D$39,MATCH(AE258,'SCORING MASTER'!$C$37:$C$39,0)),INDEX('SCORING MASTER'!$D$41:$D$43,MATCH(AF258,'SCORING MASTER'!$C$41:$C$43,0)),INDEX('SCORING MASTER'!$D$45:$D$47,MATCH(AG258,'SCORING MASTER'!$C$45:$C$47,0)),INDEX('SCORING MASTER'!$D$49:$D$52,MATCH(AH258,'SCORING MASTER'!$C$49:$C$52,0)),INDEX('SCORING MASTER'!$D$54:$D$57,MATCH(AI258,'SCORING MASTER'!$C$54:$C$57,0)))*20,0))</f>
        <v/>
      </c>
      <c r="BI258" s="31" t="str">
        <f aca="false">IF(COUNTBLANK(AJ258:AP258)&gt;0,"",ROUND(AVERAGE(INDEX('SCORING MASTER'!$D$59:$D$60,MATCH(AJ258,'SCORING MASTER'!$C$59:$C$60,0)),INDEX('SCORING MASTER'!$D$62:$D$63,MATCH(AK258,'SCORING MASTER'!$C$62:$C$63,0)),INDEX('SCORING MASTER'!$D$65:$D$66,MATCH(AL258,'SCORING MASTER'!$C$65:$C$66,0)),INDEX('SCORING MASTER'!$D$68:$D$69,MATCH(AM258,'SCORING MASTER'!$C$68:$C$69,0)),INDEX('SCORING MASTER'!$D$71:$D$72,MATCH(AN258,'SCORING MASTER'!$C$71:$C$72,0)),INDEX('SCORING MASTER'!$D$74:$D$75,MATCH(AO258,'SCORING MASTER'!$C$74:$C$75,0)),INDEX('SCORING MASTER'!$D$77:$D$78,MATCH(AP258,'SCORING MASTER'!$C$77:$C$78,0)))*20,0))</f>
        <v/>
      </c>
      <c r="BJ258" s="31" t="str">
        <f aca="false">IF(COUNTBLANK(AU258:AZ258)&gt;0,"",ROUND(AVERAGE(INDEX('SCORING MASTER'!$D$95:$D$96,MATCH(AU258,'SCORING MASTER'!$C$95:$C$96,0)),INDEX('SCORING MASTER'!$D$98:$D$99,MATCH(AV258,'SCORING MASTER'!$C$98:$C$99,0)),INDEX('SCORING MASTER'!$D$101:$D$102,MATCH(AW258,'SCORING MASTER'!$C$101:$C$102,0)),INDEX('SCORING MASTER'!$D$104:$D$105,MATCH(AX258,'SCORING MASTER'!$C$104:$C$105,0)),INDEX('SCORING MASTER'!$D$107:$D$108,MATCH(AY258,'SCORING MASTER'!$C$107:$C$108,0)),INDEX('SCORING MASTER'!$D$110:$D$111,MATCH(AZ258,'SCORING MASTER'!$C$110:$C$111,0)))*20,0))</f>
        <v/>
      </c>
      <c r="BK258" s="31" t="str">
        <f aca="false">IF(COUNTBLANK(AQ258:AT258)&gt;0,"",ROUND(AVERAGE(INDEX('SCORING MASTER'!$D$80:$D$82,MATCH(AQ258,'SCORING MASTER'!$C$80:$C$82,0)),INDEX('SCORING MASTER'!$D$84:$D$86,MATCH(AR258,'SCORING MASTER'!$C$84:$C$86,0)),INDEX('SCORING MASTER'!$D$88:$D$90,MATCH(AS258,'SCORING MASTER'!$C$88:$C$90,0)),INDEX('SCORING MASTER'!$D$92:$D$93,MATCH(AT258,'SCORING MASTER'!$C$92:$C$93,0)))*20,0))</f>
        <v/>
      </c>
      <c r="BL258" s="31" t="str">
        <f aca="false">IF(COUNTBLANK(BA258:BE258)&gt;0,"",ROUND(AVERAGE(INDEX('SCORING MASTER'!$D$113:$D$115,MATCH(BA258,'SCORING MASTER'!$C$113:$C$115,0)),INDEX('SCORING MASTER'!$D$117:$D$119,MATCH(BB258,'SCORING MASTER'!$C$117:$C$119,0)),INDEX('SCORING MASTER'!$D$121:$D$123,MATCH(BC258,'SCORING MASTER'!$C$121:$C$123,0)),INDEX('SCORING MASTER'!$D$125:$D$126,MATCH(BD258,'SCORING MASTER'!$C$125:$C$126,0)),INDEX('SCORING MASTER'!$D$128:$D$129,MATCH(BE258,'SCORING MASTER'!$C$128:$C$129,0)))*20,0))</f>
        <v/>
      </c>
      <c r="BM258" s="31" t="str">
        <f aca="false">IF(OR(BF258="",BG258="",BH258="",BI258="",BJ258="",BK258="",BL258=""),"",ROUND(BF258*0.25+BG258*0.2+BH258*0.15+BI258*0.15+BJ258*0.1+BK258*0.1+BL258*0.05,0))</f>
        <v/>
      </c>
      <c r="BN258" s="31" t="str">
        <f aca="false">IF(OR(BF258="",BG258=""),"",ROUND(BF258*0.5+BG258*0.5,0))</f>
        <v/>
      </c>
      <c r="BO258" s="31" t="str">
        <f aca="false">IF(BN258="","",ROUND(MIN(100,MAX(0,(100-BN258)+IF(AL258="Yes",15,0)+IF(AM258="Yes",15,0)+IF(AND(U258&lt;&gt;"",U258&lt;18.5),20,0))),0))</f>
        <v/>
      </c>
      <c r="BP258" s="28" t="str">
        <f aca="false">IF(BM258="","",IF(BM258&gt;=90,"Green - Healthy",IF(BM258&gt;=75,"Light Green - Mild Watch",IF(BM258&gt;=60,"Yellow - Mild Risk",IF(BM258&gt;=40,"Orange - Moderate Risk","Red - High Risk")))))</f>
        <v/>
      </c>
      <c r="BQ258" s="28" t="str">
        <f aca="false">IF(BM258="","",IF(OR(BM258&lt;60,BO258&gt;=60,AJ258="Yes"),"Yes","No"))</f>
        <v/>
      </c>
      <c r="BR258" s="28" t="str">
        <f aca="false">IF(BM258="","",IF(OR(BP258="Orange - Moderate Risk",BP258="Red - High Risk",BQ258="Yes"),"Yes","No"))</f>
        <v/>
      </c>
    </row>
    <row r="259" customFormat="false" ht="15" hidden="false" customHeight="false" outlineLevel="0" collapsed="false">
      <c r="A259" s="32" t="str">
        <f aca="false">IF(I259="","","STU"&amp;TEXT(ROW()-3,"000000"))</f>
        <v/>
      </c>
      <c r="B259" s="32"/>
      <c r="C259" s="32"/>
      <c r="D259" s="32"/>
      <c r="E259" s="32"/>
      <c r="F259" s="32"/>
      <c r="G259" s="32"/>
      <c r="H259" s="32"/>
      <c r="I259" s="32"/>
      <c r="J259" s="34"/>
      <c r="K259" s="32"/>
      <c r="L259" s="32"/>
      <c r="M259" s="32"/>
      <c r="N259" s="32"/>
      <c r="O259" s="32"/>
      <c r="P259" s="32"/>
      <c r="Q259" s="34"/>
      <c r="R259" s="34"/>
      <c r="S259" s="35" t="str">
        <f aca="false">IF(OR(Q259="",R259=""),"",ROUND(R259/((Q259/100)^2),1))</f>
        <v/>
      </c>
      <c r="T259" s="32" t="str">
        <f aca="false">IF(S259="","",IF(S259&lt;18.5,"Underweight",IF(S259&lt;25,"Normal",IF(S259&lt;30,"Overweight","Obese"))))</f>
        <v/>
      </c>
      <c r="U259" s="34"/>
      <c r="V259" s="34"/>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AS259" s="32"/>
      <c r="AT259" s="32"/>
      <c r="AU259" s="32"/>
      <c r="AV259" s="32"/>
      <c r="AW259" s="32"/>
      <c r="AX259" s="32"/>
      <c r="AY259" s="32"/>
      <c r="AZ259" s="32"/>
      <c r="BA259" s="32"/>
      <c r="BB259" s="32"/>
      <c r="BC259" s="32"/>
      <c r="BD259" s="32"/>
      <c r="BE259" s="32"/>
      <c r="BF259" s="35" t="str">
        <f aca="false">IF(T259="","",IF(T259="Normal",100,IF(T259="Overweight",65,IF(T259="Obese",50,IF(AND(U259&lt;&gt;"",U259&lt;18.5),30,45)))))</f>
        <v/>
      </c>
      <c r="BG259" s="35" t="str">
        <f aca="false">IF(COUNTBLANK(W259:AC259)&gt;0,"",ROUND(AVERAGE(INDEX('SCORING MASTER'!$D$5:$D$7,MATCH(W259,'SCORING MASTER'!$C$5:$C$7,0)),INDEX('SCORING MASTER'!$D$9:$D$11,MATCH(X259,'SCORING MASTER'!$C$9:$C$11,0)),INDEX('SCORING MASTER'!$D$13:$D$15,MATCH(Y259,'SCORING MASTER'!$C$13:$C$15,0)),INDEX('SCORING MASTER'!$D$17:$D$19,MATCH(Z259,'SCORING MASTER'!$C$17:$C$19,0)),INDEX('SCORING MASTER'!$D$21:$D$23,MATCH(AA259,'SCORING MASTER'!$C$21:$C$23,0)),INDEX('SCORING MASTER'!$D$25:$D$27,MATCH(AB259,'SCORING MASTER'!$C$25:$C$27,0)),INDEX('SCORING MASTER'!$D$29:$D$31,MATCH(AC259,'SCORING MASTER'!$C$29:$C$31,0)))*20,0))</f>
        <v/>
      </c>
      <c r="BH259" s="35" t="str">
        <f aca="false">IF(COUNTBLANK(AD259:AI259)&gt;0,"",ROUND(AVERAGE(INDEX('SCORING MASTER'!$D$33:$D$35,MATCH(AD259,'SCORING MASTER'!$C$33:$C$35,0)),INDEX('SCORING MASTER'!$D$37:$D$39,MATCH(AE259,'SCORING MASTER'!$C$37:$C$39,0)),INDEX('SCORING MASTER'!$D$41:$D$43,MATCH(AF259,'SCORING MASTER'!$C$41:$C$43,0)),INDEX('SCORING MASTER'!$D$45:$D$47,MATCH(AG259,'SCORING MASTER'!$C$45:$C$47,0)),INDEX('SCORING MASTER'!$D$49:$D$52,MATCH(AH259,'SCORING MASTER'!$C$49:$C$52,0)),INDEX('SCORING MASTER'!$D$54:$D$57,MATCH(AI259,'SCORING MASTER'!$C$54:$C$57,0)))*20,0))</f>
        <v/>
      </c>
      <c r="BI259" s="35" t="str">
        <f aca="false">IF(COUNTBLANK(AJ259:AP259)&gt;0,"",ROUND(AVERAGE(INDEX('SCORING MASTER'!$D$59:$D$60,MATCH(AJ259,'SCORING MASTER'!$C$59:$C$60,0)),INDEX('SCORING MASTER'!$D$62:$D$63,MATCH(AK259,'SCORING MASTER'!$C$62:$C$63,0)),INDEX('SCORING MASTER'!$D$65:$D$66,MATCH(AL259,'SCORING MASTER'!$C$65:$C$66,0)),INDEX('SCORING MASTER'!$D$68:$D$69,MATCH(AM259,'SCORING MASTER'!$C$68:$C$69,0)),INDEX('SCORING MASTER'!$D$71:$D$72,MATCH(AN259,'SCORING MASTER'!$C$71:$C$72,0)),INDEX('SCORING MASTER'!$D$74:$D$75,MATCH(AO259,'SCORING MASTER'!$C$74:$C$75,0)),INDEX('SCORING MASTER'!$D$77:$D$78,MATCH(AP259,'SCORING MASTER'!$C$77:$C$78,0)))*20,0))</f>
        <v/>
      </c>
      <c r="BJ259" s="35" t="str">
        <f aca="false">IF(COUNTBLANK(AU259:AZ259)&gt;0,"",ROUND(AVERAGE(INDEX('SCORING MASTER'!$D$95:$D$96,MATCH(AU259,'SCORING MASTER'!$C$95:$C$96,0)),INDEX('SCORING MASTER'!$D$98:$D$99,MATCH(AV259,'SCORING MASTER'!$C$98:$C$99,0)),INDEX('SCORING MASTER'!$D$101:$D$102,MATCH(AW259,'SCORING MASTER'!$C$101:$C$102,0)),INDEX('SCORING MASTER'!$D$104:$D$105,MATCH(AX259,'SCORING MASTER'!$C$104:$C$105,0)),INDEX('SCORING MASTER'!$D$107:$D$108,MATCH(AY259,'SCORING MASTER'!$C$107:$C$108,0)),INDEX('SCORING MASTER'!$D$110:$D$111,MATCH(AZ259,'SCORING MASTER'!$C$110:$C$111,0)))*20,0))</f>
        <v/>
      </c>
      <c r="BK259" s="35" t="str">
        <f aca="false">IF(COUNTBLANK(AQ259:AT259)&gt;0,"",ROUND(AVERAGE(INDEX('SCORING MASTER'!$D$80:$D$82,MATCH(AQ259,'SCORING MASTER'!$C$80:$C$82,0)),INDEX('SCORING MASTER'!$D$84:$D$86,MATCH(AR259,'SCORING MASTER'!$C$84:$C$86,0)),INDEX('SCORING MASTER'!$D$88:$D$90,MATCH(AS259,'SCORING MASTER'!$C$88:$C$90,0)),INDEX('SCORING MASTER'!$D$92:$D$93,MATCH(AT259,'SCORING MASTER'!$C$92:$C$93,0)))*20,0))</f>
        <v/>
      </c>
      <c r="BL259" s="35" t="str">
        <f aca="false">IF(COUNTBLANK(BA259:BE259)&gt;0,"",ROUND(AVERAGE(INDEX('SCORING MASTER'!$D$113:$D$115,MATCH(BA259,'SCORING MASTER'!$C$113:$C$115,0)),INDEX('SCORING MASTER'!$D$117:$D$119,MATCH(BB259,'SCORING MASTER'!$C$117:$C$119,0)),INDEX('SCORING MASTER'!$D$121:$D$123,MATCH(BC259,'SCORING MASTER'!$C$121:$C$123,0)),INDEX('SCORING MASTER'!$D$125:$D$126,MATCH(BD259,'SCORING MASTER'!$C$125:$C$126,0)),INDEX('SCORING MASTER'!$D$128:$D$129,MATCH(BE259,'SCORING MASTER'!$C$128:$C$129,0)))*20,0))</f>
        <v/>
      </c>
      <c r="BM259" s="35" t="str">
        <f aca="false">IF(OR(BF259="",BG259="",BH259="",BI259="",BJ259="",BK259="",BL259=""),"",ROUND(BF259*0.25+BG259*0.2+BH259*0.15+BI259*0.15+BJ259*0.1+BK259*0.1+BL259*0.05,0))</f>
        <v/>
      </c>
      <c r="BN259" s="35" t="str">
        <f aca="false">IF(OR(BF259="",BG259=""),"",ROUND(BF259*0.5+BG259*0.5,0))</f>
        <v/>
      </c>
      <c r="BO259" s="35" t="str">
        <f aca="false">IF(BN259="","",ROUND(MIN(100,MAX(0,(100-BN259)+IF(AL259="Yes",15,0)+IF(AM259="Yes",15,0)+IF(AND(U259&lt;&gt;"",U259&lt;18.5),20,0))),0))</f>
        <v/>
      </c>
      <c r="BP259" s="32" t="str">
        <f aca="false">IF(BM259="","",IF(BM259&gt;=90,"Green - Healthy",IF(BM259&gt;=75,"Light Green - Mild Watch",IF(BM259&gt;=60,"Yellow - Mild Risk",IF(BM259&gt;=40,"Orange - Moderate Risk","Red - High Risk")))))</f>
        <v/>
      </c>
      <c r="BQ259" s="32" t="str">
        <f aca="false">IF(BM259="","",IF(OR(BM259&lt;60,BO259&gt;=60,AJ259="Yes"),"Yes","No"))</f>
        <v/>
      </c>
      <c r="BR259" s="32" t="str">
        <f aca="false">IF(BM259="","",IF(OR(BP259="Orange - Moderate Risk",BP259="Red - High Risk",BQ259="Yes"),"Yes","No"))</f>
        <v/>
      </c>
    </row>
    <row r="260" customFormat="false" ht="15" hidden="false" customHeight="false" outlineLevel="0" collapsed="false">
      <c r="A260" s="28" t="str">
        <f aca="false">IF(I260="","","STU"&amp;TEXT(ROW()-3,"000000"))</f>
        <v/>
      </c>
      <c r="B260" s="28"/>
      <c r="C260" s="28"/>
      <c r="D260" s="28"/>
      <c r="E260" s="28"/>
      <c r="F260" s="28"/>
      <c r="G260" s="28"/>
      <c r="H260" s="28"/>
      <c r="I260" s="28"/>
      <c r="J260" s="30"/>
      <c r="K260" s="28"/>
      <c r="L260" s="28"/>
      <c r="M260" s="28"/>
      <c r="N260" s="28"/>
      <c r="O260" s="28"/>
      <c r="P260" s="28"/>
      <c r="Q260" s="30"/>
      <c r="R260" s="30"/>
      <c r="S260" s="31" t="str">
        <f aca="false">IF(OR(Q260="",R260=""),"",ROUND(R260/((Q260/100)^2),1))</f>
        <v/>
      </c>
      <c r="T260" s="28" t="str">
        <f aca="false">IF(S260="","",IF(S260&lt;18.5,"Underweight",IF(S260&lt;25,"Normal",IF(S260&lt;30,"Overweight","Obese"))))</f>
        <v/>
      </c>
      <c r="U260" s="30"/>
      <c r="V260" s="30"/>
      <c r="W260" s="28"/>
      <c r="X260" s="28"/>
      <c r="Y260" s="28"/>
      <c r="Z260" s="28"/>
      <c r="AA260" s="28"/>
      <c r="AB260" s="28"/>
      <c r="AC260" s="28"/>
      <c r="AD260" s="28"/>
      <c r="AE260" s="28"/>
      <c r="AF260" s="28"/>
      <c r="AG260" s="28"/>
      <c r="AH260" s="28"/>
      <c r="AI260" s="28"/>
      <c r="AJ260" s="28"/>
      <c r="AK260" s="28"/>
      <c r="AL260" s="28"/>
      <c r="AM260" s="28"/>
      <c r="AN260" s="28"/>
      <c r="AO260" s="28"/>
      <c r="AP260" s="28"/>
      <c r="AQ260" s="28"/>
      <c r="AR260" s="28"/>
      <c r="AS260" s="28"/>
      <c r="AT260" s="28"/>
      <c r="AU260" s="28"/>
      <c r="AV260" s="28"/>
      <c r="AW260" s="28"/>
      <c r="AX260" s="28"/>
      <c r="AY260" s="28"/>
      <c r="AZ260" s="28"/>
      <c r="BA260" s="28"/>
      <c r="BB260" s="28"/>
      <c r="BC260" s="28"/>
      <c r="BD260" s="28"/>
      <c r="BE260" s="28"/>
      <c r="BF260" s="31" t="str">
        <f aca="false">IF(T260="","",IF(T260="Normal",100,IF(T260="Overweight",65,IF(T260="Obese",50,IF(AND(U260&lt;&gt;"",U260&lt;18.5),30,45)))))</f>
        <v/>
      </c>
      <c r="BG260" s="31" t="str">
        <f aca="false">IF(COUNTBLANK(W260:AC260)&gt;0,"",ROUND(AVERAGE(INDEX('SCORING MASTER'!$D$5:$D$7,MATCH(W260,'SCORING MASTER'!$C$5:$C$7,0)),INDEX('SCORING MASTER'!$D$9:$D$11,MATCH(X260,'SCORING MASTER'!$C$9:$C$11,0)),INDEX('SCORING MASTER'!$D$13:$D$15,MATCH(Y260,'SCORING MASTER'!$C$13:$C$15,0)),INDEX('SCORING MASTER'!$D$17:$D$19,MATCH(Z260,'SCORING MASTER'!$C$17:$C$19,0)),INDEX('SCORING MASTER'!$D$21:$D$23,MATCH(AA260,'SCORING MASTER'!$C$21:$C$23,0)),INDEX('SCORING MASTER'!$D$25:$D$27,MATCH(AB260,'SCORING MASTER'!$C$25:$C$27,0)),INDEX('SCORING MASTER'!$D$29:$D$31,MATCH(AC260,'SCORING MASTER'!$C$29:$C$31,0)))*20,0))</f>
        <v/>
      </c>
      <c r="BH260" s="31" t="str">
        <f aca="false">IF(COUNTBLANK(AD260:AI260)&gt;0,"",ROUND(AVERAGE(INDEX('SCORING MASTER'!$D$33:$D$35,MATCH(AD260,'SCORING MASTER'!$C$33:$C$35,0)),INDEX('SCORING MASTER'!$D$37:$D$39,MATCH(AE260,'SCORING MASTER'!$C$37:$C$39,0)),INDEX('SCORING MASTER'!$D$41:$D$43,MATCH(AF260,'SCORING MASTER'!$C$41:$C$43,0)),INDEX('SCORING MASTER'!$D$45:$D$47,MATCH(AG260,'SCORING MASTER'!$C$45:$C$47,0)),INDEX('SCORING MASTER'!$D$49:$D$52,MATCH(AH260,'SCORING MASTER'!$C$49:$C$52,0)),INDEX('SCORING MASTER'!$D$54:$D$57,MATCH(AI260,'SCORING MASTER'!$C$54:$C$57,0)))*20,0))</f>
        <v/>
      </c>
      <c r="BI260" s="31" t="str">
        <f aca="false">IF(COUNTBLANK(AJ260:AP260)&gt;0,"",ROUND(AVERAGE(INDEX('SCORING MASTER'!$D$59:$D$60,MATCH(AJ260,'SCORING MASTER'!$C$59:$C$60,0)),INDEX('SCORING MASTER'!$D$62:$D$63,MATCH(AK260,'SCORING MASTER'!$C$62:$C$63,0)),INDEX('SCORING MASTER'!$D$65:$D$66,MATCH(AL260,'SCORING MASTER'!$C$65:$C$66,0)),INDEX('SCORING MASTER'!$D$68:$D$69,MATCH(AM260,'SCORING MASTER'!$C$68:$C$69,0)),INDEX('SCORING MASTER'!$D$71:$D$72,MATCH(AN260,'SCORING MASTER'!$C$71:$C$72,0)),INDEX('SCORING MASTER'!$D$74:$D$75,MATCH(AO260,'SCORING MASTER'!$C$74:$C$75,0)),INDEX('SCORING MASTER'!$D$77:$D$78,MATCH(AP260,'SCORING MASTER'!$C$77:$C$78,0)))*20,0))</f>
        <v/>
      </c>
      <c r="BJ260" s="31" t="str">
        <f aca="false">IF(COUNTBLANK(AU260:AZ260)&gt;0,"",ROUND(AVERAGE(INDEX('SCORING MASTER'!$D$95:$D$96,MATCH(AU260,'SCORING MASTER'!$C$95:$C$96,0)),INDEX('SCORING MASTER'!$D$98:$D$99,MATCH(AV260,'SCORING MASTER'!$C$98:$C$99,0)),INDEX('SCORING MASTER'!$D$101:$D$102,MATCH(AW260,'SCORING MASTER'!$C$101:$C$102,0)),INDEX('SCORING MASTER'!$D$104:$D$105,MATCH(AX260,'SCORING MASTER'!$C$104:$C$105,0)),INDEX('SCORING MASTER'!$D$107:$D$108,MATCH(AY260,'SCORING MASTER'!$C$107:$C$108,0)),INDEX('SCORING MASTER'!$D$110:$D$111,MATCH(AZ260,'SCORING MASTER'!$C$110:$C$111,0)))*20,0))</f>
        <v/>
      </c>
      <c r="BK260" s="31" t="str">
        <f aca="false">IF(COUNTBLANK(AQ260:AT260)&gt;0,"",ROUND(AVERAGE(INDEX('SCORING MASTER'!$D$80:$D$82,MATCH(AQ260,'SCORING MASTER'!$C$80:$C$82,0)),INDEX('SCORING MASTER'!$D$84:$D$86,MATCH(AR260,'SCORING MASTER'!$C$84:$C$86,0)),INDEX('SCORING MASTER'!$D$88:$D$90,MATCH(AS260,'SCORING MASTER'!$C$88:$C$90,0)),INDEX('SCORING MASTER'!$D$92:$D$93,MATCH(AT260,'SCORING MASTER'!$C$92:$C$93,0)))*20,0))</f>
        <v/>
      </c>
      <c r="BL260" s="31" t="str">
        <f aca="false">IF(COUNTBLANK(BA260:BE260)&gt;0,"",ROUND(AVERAGE(INDEX('SCORING MASTER'!$D$113:$D$115,MATCH(BA260,'SCORING MASTER'!$C$113:$C$115,0)),INDEX('SCORING MASTER'!$D$117:$D$119,MATCH(BB260,'SCORING MASTER'!$C$117:$C$119,0)),INDEX('SCORING MASTER'!$D$121:$D$123,MATCH(BC260,'SCORING MASTER'!$C$121:$C$123,0)),INDEX('SCORING MASTER'!$D$125:$D$126,MATCH(BD260,'SCORING MASTER'!$C$125:$C$126,0)),INDEX('SCORING MASTER'!$D$128:$D$129,MATCH(BE260,'SCORING MASTER'!$C$128:$C$129,0)))*20,0))</f>
        <v/>
      </c>
      <c r="BM260" s="31" t="str">
        <f aca="false">IF(OR(BF260="",BG260="",BH260="",BI260="",BJ260="",BK260="",BL260=""),"",ROUND(BF260*0.25+BG260*0.2+BH260*0.15+BI260*0.15+BJ260*0.1+BK260*0.1+BL260*0.05,0))</f>
        <v/>
      </c>
      <c r="BN260" s="31" t="str">
        <f aca="false">IF(OR(BF260="",BG260=""),"",ROUND(BF260*0.5+BG260*0.5,0))</f>
        <v/>
      </c>
      <c r="BO260" s="31" t="str">
        <f aca="false">IF(BN260="","",ROUND(MIN(100,MAX(0,(100-BN260)+IF(AL260="Yes",15,0)+IF(AM260="Yes",15,0)+IF(AND(U260&lt;&gt;"",U260&lt;18.5),20,0))),0))</f>
        <v/>
      </c>
      <c r="BP260" s="28" t="str">
        <f aca="false">IF(BM260="","",IF(BM260&gt;=90,"Green - Healthy",IF(BM260&gt;=75,"Light Green - Mild Watch",IF(BM260&gt;=60,"Yellow - Mild Risk",IF(BM260&gt;=40,"Orange - Moderate Risk","Red - High Risk")))))</f>
        <v/>
      </c>
      <c r="BQ260" s="28" t="str">
        <f aca="false">IF(BM260="","",IF(OR(BM260&lt;60,BO260&gt;=60,AJ260="Yes"),"Yes","No"))</f>
        <v/>
      </c>
      <c r="BR260" s="28" t="str">
        <f aca="false">IF(BM260="","",IF(OR(BP260="Orange - Moderate Risk",BP260="Red - High Risk",BQ260="Yes"),"Yes","No"))</f>
        <v/>
      </c>
    </row>
    <row r="261" customFormat="false" ht="15" hidden="false" customHeight="false" outlineLevel="0" collapsed="false">
      <c r="A261" s="32" t="str">
        <f aca="false">IF(I261="","","STU"&amp;TEXT(ROW()-3,"000000"))</f>
        <v/>
      </c>
      <c r="B261" s="32"/>
      <c r="C261" s="32"/>
      <c r="D261" s="32"/>
      <c r="E261" s="32"/>
      <c r="F261" s="32"/>
      <c r="G261" s="32"/>
      <c r="H261" s="32"/>
      <c r="I261" s="32"/>
      <c r="J261" s="34"/>
      <c r="K261" s="32"/>
      <c r="L261" s="32"/>
      <c r="M261" s="32"/>
      <c r="N261" s="32"/>
      <c r="O261" s="32"/>
      <c r="P261" s="32"/>
      <c r="Q261" s="34"/>
      <c r="R261" s="34"/>
      <c r="S261" s="35" t="str">
        <f aca="false">IF(OR(Q261="",R261=""),"",ROUND(R261/((Q261/100)^2),1))</f>
        <v/>
      </c>
      <c r="T261" s="32" t="str">
        <f aca="false">IF(S261="","",IF(S261&lt;18.5,"Underweight",IF(S261&lt;25,"Normal",IF(S261&lt;30,"Overweight","Obese"))))</f>
        <v/>
      </c>
      <c r="U261" s="34"/>
      <c r="V261" s="34"/>
      <c r="W261" s="32"/>
      <c r="X261" s="32"/>
      <c r="Y261" s="32"/>
      <c r="Z261" s="32"/>
      <c r="AA261" s="32"/>
      <c r="AB261" s="32"/>
      <c r="AC261" s="32"/>
      <c r="AD261" s="32"/>
      <c r="AE261" s="32"/>
      <c r="AF261" s="32"/>
      <c r="AG261" s="32"/>
      <c r="AH261" s="32"/>
      <c r="AI261" s="32"/>
      <c r="AJ261" s="32"/>
      <c r="AK261" s="32"/>
      <c r="AL261" s="32"/>
      <c r="AM261" s="32"/>
      <c r="AN261" s="32"/>
      <c r="AO261" s="32"/>
      <c r="AP261" s="32"/>
      <c r="AQ261" s="32"/>
      <c r="AR261" s="32"/>
      <c r="AS261" s="32"/>
      <c r="AT261" s="32"/>
      <c r="AU261" s="32"/>
      <c r="AV261" s="32"/>
      <c r="AW261" s="32"/>
      <c r="AX261" s="32"/>
      <c r="AY261" s="32"/>
      <c r="AZ261" s="32"/>
      <c r="BA261" s="32"/>
      <c r="BB261" s="32"/>
      <c r="BC261" s="32"/>
      <c r="BD261" s="32"/>
      <c r="BE261" s="32"/>
      <c r="BF261" s="35" t="str">
        <f aca="false">IF(T261="","",IF(T261="Normal",100,IF(T261="Overweight",65,IF(T261="Obese",50,IF(AND(U261&lt;&gt;"",U261&lt;18.5),30,45)))))</f>
        <v/>
      </c>
      <c r="BG261" s="35" t="str">
        <f aca="false">IF(COUNTBLANK(W261:AC261)&gt;0,"",ROUND(AVERAGE(INDEX('SCORING MASTER'!$D$5:$D$7,MATCH(W261,'SCORING MASTER'!$C$5:$C$7,0)),INDEX('SCORING MASTER'!$D$9:$D$11,MATCH(X261,'SCORING MASTER'!$C$9:$C$11,0)),INDEX('SCORING MASTER'!$D$13:$D$15,MATCH(Y261,'SCORING MASTER'!$C$13:$C$15,0)),INDEX('SCORING MASTER'!$D$17:$D$19,MATCH(Z261,'SCORING MASTER'!$C$17:$C$19,0)),INDEX('SCORING MASTER'!$D$21:$D$23,MATCH(AA261,'SCORING MASTER'!$C$21:$C$23,0)),INDEX('SCORING MASTER'!$D$25:$D$27,MATCH(AB261,'SCORING MASTER'!$C$25:$C$27,0)),INDEX('SCORING MASTER'!$D$29:$D$31,MATCH(AC261,'SCORING MASTER'!$C$29:$C$31,0)))*20,0))</f>
        <v/>
      </c>
      <c r="BH261" s="35" t="str">
        <f aca="false">IF(COUNTBLANK(AD261:AI261)&gt;0,"",ROUND(AVERAGE(INDEX('SCORING MASTER'!$D$33:$D$35,MATCH(AD261,'SCORING MASTER'!$C$33:$C$35,0)),INDEX('SCORING MASTER'!$D$37:$D$39,MATCH(AE261,'SCORING MASTER'!$C$37:$C$39,0)),INDEX('SCORING MASTER'!$D$41:$D$43,MATCH(AF261,'SCORING MASTER'!$C$41:$C$43,0)),INDEX('SCORING MASTER'!$D$45:$D$47,MATCH(AG261,'SCORING MASTER'!$C$45:$C$47,0)),INDEX('SCORING MASTER'!$D$49:$D$52,MATCH(AH261,'SCORING MASTER'!$C$49:$C$52,0)),INDEX('SCORING MASTER'!$D$54:$D$57,MATCH(AI261,'SCORING MASTER'!$C$54:$C$57,0)))*20,0))</f>
        <v/>
      </c>
      <c r="BI261" s="35" t="str">
        <f aca="false">IF(COUNTBLANK(AJ261:AP261)&gt;0,"",ROUND(AVERAGE(INDEX('SCORING MASTER'!$D$59:$D$60,MATCH(AJ261,'SCORING MASTER'!$C$59:$C$60,0)),INDEX('SCORING MASTER'!$D$62:$D$63,MATCH(AK261,'SCORING MASTER'!$C$62:$C$63,0)),INDEX('SCORING MASTER'!$D$65:$D$66,MATCH(AL261,'SCORING MASTER'!$C$65:$C$66,0)),INDEX('SCORING MASTER'!$D$68:$D$69,MATCH(AM261,'SCORING MASTER'!$C$68:$C$69,0)),INDEX('SCORING MASTER'!$D$71:$D$72,MATCH(AN261,'SCORING MASTER'!$C$71:$C$72,0)),INDEX('SCORING MASTER'!$D$74:$D$75,MATCH(AO261,'SCORING MASTER'!$C$74:$C$75,0)),INDEX('SCORING MASTER'!$D$77:$D$78,MATCH(AP261,'SCORING MASTER'!$C$77:$C$78,0)))*20,0))</f>
        <v/>
      </c>
      <c r="BJ261" s="35" t="str">
        <f aca="false">IF(COUNTBLANK(AU261:AZ261)&gt;0,"",ROUND(AVERAGE(INDEX('SCORING MASTER'!$D$95:$D$96,MATCH(AU261,'SCORING MASTER'!$C$95:$C$96,0)),INDEX('SCORING MASTER'!$D$98:$D$99,MATCH(AV261,'SCORING MASTER'!$C$98:$C$99,0)),INDEX('SCORING MASTER'!$D$101:$D$102,MATCH(AW261,'SCORING MASTER'!$C$101:$C$102,0)),INDEX('SCORING MASTER'!$D$104:$D$105,MATCH(AX261,'SCORING MASTER'!$C$104:$C$105,0)),INDEX('SCORING MASTER'!$D$107:$D$108,MATCH(AY261,'SCORING MASTER'!$C$107:$C$108,0)),INDEX('SCORING MASTER'!$D$110:$D$111,MATCH(AZ261,'SCORING MASTER'!$C$110:$C$111,0)))*20,0))</f>
        <v/>
      </c>
      <c r="BK261" s="35" t="str">
        <f aca="false">IF(COUNTBLANK(AQ261:AT261)&gt;0,"",ROUND(AVERAGE(INDEX('SCORING MASTER'!$D$80:$D$82,MATCH(AQ261,'SCORING MASTER'!$C$80:$C$82,0)),INDEX('SCORING MASTER'!$D$84:$D$86,MATCH(AR261,'SCORING MASTER'!$C$84:$C$86,0)),INDEX('SCORING MASTER'!$D$88:$D$90,MATCH(AS261,'SCORING MASTER'!$C$88:$C$90,0)),INDEX('SCORING MASTER'!$D$92:$D$93,MATCH(AT261,'SCORING MASTER'!$C$92:$C$93,0)))*20,0))</f>
        <v/>
      </c>
      <c r="BL261" s="35" t="str">
        <f aca="false">IF(COUNTBLANK(BA261:BE261)&gt;0,"",ROUND(AVERAGE(INDEX('SCORING MASTER'!$D$113:$D$115,MATCH(BA261,'SCORING MASTER'!$C$113:$C$115,0)),INDEX('SCORING MASTER'!$D$117:$D$119,MATCH(BB261,'SCORING MASTER'!$C$117:$C$119,0)),INDEX('SCORING MASTER'!$D$121:$D$123,MATCH(BC261,'SCORING MASTER'!$C$121:$C$123,0)),INDEX('SCORING MASTER'!$D$125:$D$126,MATCH(BD261,'SCORING MASTER'!$C$125:$C$126,0)),INDEX('SCORING MASTER'!$D$128:$D$129,MATCH(BE261,'SCORING MASTER'!$C$128:$C$129,0)))*20,0))</f>
        <v/>
      </c>
      <c r="BM261" s="35" t="str">
        <f aca="false">IF(OR(BF261="",BG261="",BH261="",BI261="",BJ261="",BK261="",BL261=""),"",ROUND(BF261*0.25+BG261*0.2+BH261*0.15+BI261*0.15+BJ261*0.1+BK261*0.1+BL261*0.05,0))</f>
        <v/>
      </c>
      <c r="BN261" s="35" t="str">
        <f aca="false">IF(OR(BF261="",BG261=""),"",ROUND(BF261*0.5+BG261*0.5,0))</f>
        <v/>
      </c>
      <c r="BO261" s="35" t="str">
        <f aca="false">IF(BN261="","",ROUND(MIN(100,MAX(0,(100-BN261)+IF(AL261="Yes",15,0)+IF(AM261="Yes",15,0)+IF(AND(U261&lt;&gt;"",U261&lt;18.5),20,0))),0))</f>
        <v/>
      </c>
      <c r="BP261" s="32" t="str">
        <f aca="false">IF(BM261="","",IF(BM261&gt;=90,"Green - Healthy",IF(BM261&gt;=75,"Light Green - Mild Watch",IF(BM261&gt;=60,"Yellow - Mild Risk",IF(BM261&gt;=40,"Orange - Moderate Risk","Red - High Risk")))))</f>
        <v/>
      </c>
      <c r="BQ261" s="32" t="str">
        <f aca="false">IF(BM261="","",IF(OR(BM261&lt;60,BO261&gt;=60,AJ261="Yes"),"Yes","No"))</f>
        <v/>
      </c>
      <c r="BR261" s="32" t="str">
        <f aca="false">IF(BM261="","",IF(OR(BP261="Orange - Moderate Risk",BP261="Red - High Risk",BQ261="Yes"),"Yes","No"))</f>
        <v/>
      </c>
    </row>
    <row r="262" customFormat="false" ht="15" hidden="false" customHeight="false" outlineLevel="0" collapsed="false">
      <c r="A262" s="28" t="str">
        <f aca="false">IF(I262="","","STU"&amp;TEXT(ROW()-3,"000000"))</f>
        <v/>
      </c>
      <c r="B262" s="28"/>
      <c r="C262" s="28"/>
      <c r="D262" s="28"/>
      <c r="E262" s="28"/>
      <c r="F262" s="28"/>
      <c r="G262" s="28"/>
      <c r="H262" s="28"/>
      <c r="I262" s="28"/>
      <c r="J262" s="30"/>
      <c r="K262" s="28"/>
      <c r="L262" s="28"/>
      <c r="M262" s="28"/>
      <c r="N262" s="28"/>
      <c r="O262" s="28"/>
      <c r="P262" s="28"/>
      <c r="Q262" s="30"/>
      <c r="R262" s="30"/>
      <c r="S262" s="31" t="str">
        <f aca="false">IF(OR(Q262="",R262=""),"",ROUND(R262/((Q262/100)^2),1))</f>
        <v/>
      </c>
      <c r="T262" s="28" t="str">
        <f aca="false">IF(S262="","",IF(S262&lt;18.5,"Underweight",IF(S262&lt;25,"Normal",IF(S262&lt;30,"Overweight","Obese"))))</f>
        <v/>
      </c>
      <c r="U262" s="30"/>
      <c r="V262" s="30"/>
      <c r="W262" s="28"/>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c r="AT262" s="28"/>
      <c r="AU262" s="28"/>
      <c r="AV262" s="28"/>
      <c r="AW262" s="28"/>
      <c r="AX262" s="28"/>
      <c r="AY262" s="28"/>
      <c r="AZ262" s="28"/>
      <c r="BA262" s="28"/>
      <c r="BB262" s="28"/>
      <c r="BC262" s="28"/>
      <c r="BD262" s="28"/>
      <c r="BE262" s="28"/>
      <c r="BF262" s="31" t="str">
        <f aca="false">IF(T262="","",IF(T262="Normal",100,IF(T262="Overweight",65,IF(T262="Obese",50,IF(AND(U262&lt;&gt;"",U262&lt;18.5),30,45)))))</f>
        <v/>
      </c>
      <c r="BG262" s="31" t="str">
        <f aca="false">IF(COUNTBLANK(W262:AC262)&gt;0,"",ROUND(AVERAGE(INDEX('SCORING MASTER'!$D$5:$D$7,MATCH(W262,'SCORING MASTER'!$C$5:$C$7,0)),INDEX('SCORING MASTER'!$D$9:$D$11,MATCH(X262,'SCORING MASTER'!$C$9:$C$11,0)),INDEX('SCORING MASTER'!$D$13:$D$15,MATCH(Y262,'SCORING MASTER'!$C$13:$C$15,0)),INDEX('SCORING MASTER'!$D$17:$D$19,MATCH(Z262,'SCORING MASTER'!$C$17:$C$19,0)),INDEX('SCORING MASTER'!$D$21:$D$23,MATCH(AA262,'SCORING MASTER'!$C$21:$C$23,0)),INDEX('SCORING MASTER'!$D$25:$D$27,MATCH(AB262,'SCORING MASTER'!$C$25:$C$27,0)),INDEX('SCORING MASTER'!$D$29:$D$31,MATCH(AC262,'SCORING MASTER'!$C$29:$C$31,0)))*20,0))</f>
        <v/>
      </c>
      <c r="BH262" s="31" t="str">
        <f aca="false">IF(COUNTBLANK(AD262:AI262)&gt;0,"",ROUND(AVERAGE(INDEX('SCORING MASTER'!$D$33:$D$35,MATCH(AD262,'SCORING MASTER'!$C$33:$C$35,0)),INDEX('SCORING MASTER'!$D$37:$D$39,MATCH(AE262,'SCORING MASTER'!$C$37:$C$39,0)),INDEX('SCORING MASTER'!$D$41:$D$43,MATCH(AF262,'SCORING MASTER'!$C$41:$C$43,0)),INDEX('SCORING MASTER'!$D$45:$D$47,MATCH(AG262,'SCORING MASTER'!$C$45:$C$47,0)),INDEX('SCORING MASTER'!$D$49:$D$52,MATCH(AH262,'SCORING MASTER'!$C$49:$C$52,0)),INDEX('SCORING MASTER'!$D$54:$D$57,MATCH(AI262,'SCORING MASTER'!$C$54:$C$57,0)))*20,0))</f>
        <v/>
      </c>
      <c r="BI262" s="31" t="str">
        <f aca="false">IF(COUNTBLANK(AJ262:AP262)&gt;0,"",ROUND(AVERAGE(INDEX('SCORING MASTER'!$D$59:$D$60,MATCH(AJ262,'SCORING MASTER'!$C$59:$C$60,0)),INDEX('SCORING MASTER'!$D$62:$D$63,MATCH(AK262,'SCORING MASTER'!$C$62:$C$63,0)),INDEX('SCORING MASTER'!$D$65:$D$66,MATCH(AL262,'SCORING MASTER'!$C$65:$C$66,0)),INDEX('SCORING MASTER'!$D$68:$D$69,MATCH(AM262,'SCORING MASTER'!$C$68:$C$69,0)),INDEX('SCORING MASTER'!$D$71:$D$72,MATCH(AN262,'SCORING MASTER'!$C$71:$C$72,0)),INDEX('SCORING MASTER'!$D$74:$D$75,MATCH(AO262,'SCORING MASTER'!$C$74:$C$75,0)),INDEX('SCORING MASTER'!$D$77:$D$78,MATCH(AP262,'SCORING MASTER'!$C$77:$C$78,0)))*20,0))</f>
        <v/>
      </c>
      <c r="BJ262" s="31" t="str">
        <f aca="false">IF(COUNTBLANK(AU262:AZ262)&gt;0,"",ROUND(AVERAGE(INDEX('SCORING MASTER'!$D$95:$D$96,MATCH(AU262,'SCORING MASTER'!$C$95:$C$96,0)),INDEX('SCORING MASTER'!$D$98:$D$99,MATCH(AV262,'SCORING MASTER'!$C$98:$C$99,0)),INDEX('SCORING MASTER'!$D$101:$D$102,MATCH(AW262,'SCORING MASTER'!$C$101:$C$102,0)),INDEX('SCORING MASTER'!$D$104:$D$105,MATCH(AX262,'SCORING MASTER'!$C$104:$C$105,0)),INDEX('SCORING MASTER'!$D$107:$D$108,MATCH(AY262,'SCORING MASTER'!$C$107:$C$108,0)),INDEX('SCORING MASTER'!$D$110:$D$111,MATCH(AZ262,'SCORING MASTER'!$C$110:$C$111,0)))*20,0))</f>
        <v/>
      </c>
      <c r="BK262" s="31" t="str">
        <f aca="false">IF(COUNTBLANK(AQ262:AT262)&gt;0,"",ROUND(AVERAGE(INDEX('SCORING MASTER'!$D$80:$D$82,MATCH(AQ262,'SCORING MASTER'!$C$80:$C$82,0)),INDEX('SCORING MASTER'!$D$84:$D$86,MATCH(AR262,'SCORING MASTER'!$C$84:$C$86,0)),INDEX('SCORING MASTER'!$D$88:$D$90,MATCH(AS262,'SCORING MASTER'!$C$88:$C$90,0)),INDEX('SCORING MASTER'!$D$92:$D$93,MATCH(AT262,'SCORING MASTER'!$C$92:$C$93,0)))*20,0))</f>
        <v/>
      </c>
      <c r="BL262" s="31" t="str">
        <f aca="false">IF(COUNTBLANK(BA262:BE262)&gt;0,"",ROUND(AVERAGE(INDEX('SCORING MASTER'!$D$113:$D$115,MATCH(BA262,'SCORING MASTER'!$C$113:$C$115,0)),INDEX('SCORING MASTER'!$D$117:$D$119,MATCH(BB262,'SCORING MASTER'!$C$117:$C$119,0)),INDEX('SCORING MASTER'!$D$121:$D$123,MATCH(BC262,'SCORING MASTER'!$C$121:$C$123,0)),INDEX('SCORING MASTER'!$D$125:$D$126,MATCH(BD262,'SCORING MASTER'!$C$125:$C$126,0)),INDEX('SCORING MASTER'!$D$128:$D$129,MATCH(BE262,'SCORING MASTER'!$C$128:$C$129,0)))*20,0))</f>
        <v/>
      </c>
      <c r="BM262" s="31" t="str">
        <f aca="false">IF(OR(BF262="",BG262="",BH262="",BI262="",BJ262="",BK262="",BL262=""),"",ROUND(BF262*0.25+BG262*0.2+BH262*0.15+BI262*0.15+BJ262*0.1+BK262*0.1+BL262*0.05,0))</f>
        <v/>
      </c>
      <c r="BN262" s="31" t="str">
        <f aca="false">IF(OR(BF262="",BG262=""),"",ROUND(BF262*0.5+BG262*0.5,0))</f>
        <v/>
      </c>
      <c r="BO262" s="31" t="str">
        <f aca="false">IF(BN262="","",ROUND(MIN(100,MAX(0,(100-BN262)+IF(AL262="Yes",15,0)+IF(AM262="Yes",15,0)+IF(AND(U262&lt;&gt;"",U262&lt;18.5),20,0))),0))</f>
        <v/>
      </c>
      <c r="BP262" s="28" t="str">
        <f aca="false">IF(BM262="","",IF(BM262&gt;=90,"Green - Healthy",IF(BM262&gt;=75,"Light Green - Mild Watch",IF(BM262&gt;=60,"Yellow - Mild Risk",IF(BM262&gt;=40,"Orange - Moderate Risk","Red - High Risk")))))</f>
        <v/>
      </c>
      <c r="BQ262" s="28" t="str">
        <f aca="false">IF(BM262="","",IF(OR(BM262&lt;60,BO262&gt;=60,AJ262="Yes"),"Yes","No"))</f>
        <v/>
      </c>
      <c r="BR262" s="28" t="str">
        <f aca="false">IF(BM262="","",IF(OR(BP262="Orange - Moderate Risk",BP262="Red - High Risk",BQ262="Yes"),"Yes","No"))</f>
        <v/>
      </c>
    </row>
    <row r="263" customFormat="false" ht="15" hidden="false" customHeight="false" outlineLevel="0" collapsed="false">
      <c r="A263" s="32" t="str">
        <f aca="false">IF(I263="","","STU"&amp;TEXT(ROW()-3,"000000"))</f>
        <v/>
      </c>
      <c r="B263" s="32"/>
      <c r="C263" s="32"/>
      <c r="D263" s="32"/>
      <c r="E263" s="32"/>
      <c r="F263" s="32"/>
      <c r="G263" s="32"/>
      <c r="H263" s="32"/>
      <c r="I263" s="32"/>
      <c r="J263" s="34"/>
      <c r="K263" s="32"/>
      <c r="L263" s="32"/>
      <c r="M263" s="32"/>
      <c r="N263" s="32"/>
      <c r="O263" s="32"/>
      <c r="P263" s="32"/>
      <c r="Q263" s="34"/>
      <c r="R263" s="34"/>
      <c r="S263" s="35" t="str">
        <f aca="false">IF(OR(Q263="",R263=""),"",ROUND(R263/((Q263/100)^2),1))</f>
        <v/>
      </c>
      <c r="T263" s="32" t="str">
        <f aca="false">IF(S263="","",IF(S263&lt;18.5,"Underweight",IF(S263&lt;25,"Normal",IF(S263&lt;30,"Overweight","Obese"))))</f>
        <v/>
      </c>
      <c r="U263" s="34"/>
      <c r="V263" s="34"/>
      <c r="W263" s="32"/>
      <c r="X263" s="32"/>
      <c r="Y263" s="32"/>
      <c r="Z263" s="32"/>
      <c r="AA263" s="32"/>
      <c r="AB263" s="32"/>
      <c r="AC263" s="32"/>
      <c r="AD263" s="32"/>
      <c r="AE263" s="32"/>
      <c r="AF263" s="32"/>
      <c r="AG263" s="32"/>
      <c r="AH263" s="32"/>
      <c r="AI263" s="32"/>
      <c r="AJ263" s="32"/>
      <c r="AK263" s="32"/>
      <c r="AL263" s="32"/>
      <c r="AM263" s="32"/>
      <c r="AN263" s="32"/>
      <c r="AO263" s="32"/>
      <c r="AP263" s="32"/>
      <c r="AQ263" s="32"/>
      <c r="AR263" s="32"/>
      <c r="AS263" s="32"/>
      <c r="AT263" s="32"/>
      <c r="AU263" s="32"/>
      <c r="AV263" s="32"/>
      <c r="AW263" s="32"/>
      <c r="AX263" s="32"/>
      <c r="AY263" s="32"/>
      <c r="AZ263" s="32"/>
      <c r="BA263" s="32"/>
      <c r="BB263" s="32"/>
      <c r="BC263" s="32"/>
      <c r="BD263" s="32"/>
      <c r="BE263" s="32"/>
      <c r="BF263" s="35" t="str">
        <f aca="false">IF(T263="","",IF(T263="Normal",100,IF(T263="Overweight",65,IF(T263="Obese",50,IF(AND(U263&lt;&gt;"",U263&lt;18.5),30,45)))))</f>
        <v/>
      </c>
      <c r="BG263" s="35" t="str">
        <f aca="false">IF(COUNTBLANK(W263:AC263)&gt;0,"",ROUND(AVERAGE(INDEX('SCORING MASTER'!$D$5:$D$7,MATCH(W263,'SCORING MASTER'!$C$5:$C$7,0)),INDEX('SCORING MASTER'!$D$9:$D$11,MATCH(X263,'SCORING MASTER'!$C$9:$C$11,0)),INDEX('SCORING MASTER'!$D$13:$D$15,MATCH(Y263,'SCORING MASTER'!$C$13:$C$15,0)),INDEX('SCORING MASTER'!$D$17:$D$19,MATCH(Z263,'SCORING MASTER'!$C$17:$C$19,0)),INDEX('SCORING MASTER'!$D$21:$D$23,MATCH(AA263,'SCORING MASTER'!$C$21:$C$23,0)),INDEX('SCORING MASTER'!$D$25:$D$27,MATCH(AB263,'SCORING MASTER'!$C$25:$C$27,0)),INDEX('SCORING MASTER'!$D$29:$D$31,MATCH(AC263,'SCORING MASTER'!$C$29:$C$31,0)))*20,0))</f>
        <v/>
      </c>
      <c r="BH263" s="35" t="str">
        <f aca="false">IF(COUNTBLANK(AD263:AI263)&gt;0,"",ROUND(AVERAGE(INDEX('SCORING MASTER'!$D$33:$D$35,MATCH(AD263,'SCORING MASTER'!$C$33:$C$35,0)),INDEX('SCORING MASTER'!$D$37:$D$39,MATCH(AE263,'SCORING MASTER'!$C$37:$C$39,0)),INDEX('SCORING MASTER'!$D$41:$D$43,MATCH(AF263,'SCORING MASTER'!$C$41:$C$43,0)),INDEX('SCORING MASTER'!$D$45:$D$47,MATCH(AG263,'SCORING MASTER'!$C$45:$C$47,0)),INDEX('SCORING MASTER'!$D$49:$D$52,MATCH(AH263,'SCORING MASTER'!$C$49:$C$52,0)),INDEX('SCORING MASTER'!$D$54:$D$57,MATCH(AI263,'SCORING MASTER'!$C$54:$C$57,0)))*20,0))</f>
        <v/>
      </c>
      <c r="BI263" s="35" t="str">
        <f aca="false">IF(COUNTBLANK(AJ263:AP263)&gt;0,"",ROUND(AVERAGE(INDEX('SCORING MASTER'!$D$59:$D$60,MATCH(AJ263,'SCORING MASTER'!$C$59:$C$60,0)),INDEX('SCORING MASTER'!$D$62:$D$63,MATCH(AK263,'SCORING MASTER'!$C$62:$C$63,0)),INDEX('SCORING MASTER'!$D$65:$D$66,MATCH(AL263,'SCORING MASTER'!$C$65:$C$66,0)),INDEX('SCORING MASTER'!$D$68:$D$69,MATCH(AM263,'SCORING MASTER'!$C$68:$C$69,0)),INDEX('SCORING MASTER'!$D$71:$D$72,MATCH(AN263,'SCORING MASTER'!$C$71:$C$72,0)),INDEX('SCORING MASTER'!$D$74:$D$75,MATCH(AO263,'SCORING MASTER'!$C$74:$C$75,0)),INDEX('SCORING MASTER'!$D$77:$D$78,MATCH(AP263,'SCORING MASTER'!$C$77:$C$78,0)))*20,0))</f>
        <v/>
      </c>
      <c r="BJ263" s="35" t="str">
        <f aca="false">IF(COUNTBLANK(AU263:AZ263)&gt;0,"",ROUND(AVERAGE(INDEX('SCORING MASTER'!$D$95:$D$96,MATCH(AU263,'SCORING MASTER'!$C$95:$C$96,0)),INDEX('SCORING MASTER'!$D$98:$D$99,MATCH(AV263,'SCORING MASTER'!$C$98:$C$99,0)),INDEX('SCORING MASTER'!$D$101:$D$102,MATCH(AW263,'SCORING MASTER'!$C$101:$C$102,0)),INDEX('SCORING MASTER'!$D$104:$D$105,MATCH(AX263,'SCORING MASTER'!$C$104:$C$105,0)),INDEX('SCORING MASTER'!$D$107:$D$108,MATCH(AY263,'SCORING MASTER'!$C$107:$C$108,0)),INDEX('SCORING MASTER'!$D$110:$D$111,MATCH(AZ263,'SCORING MASTER'!$C$110:$C$111,0)))*20,0))</f>
        <v/>
      </c>
      <c r="BK263" s="35" t="str">
        <f aca="false">IF(COUNTBLANK(AQ263:AT263)&gt;0,"",ROUND(AVERAGE(INDEX('SCORING MASTER'!$D$80:$D$82,MATCH(AQ263,'SCORING MASTER'!$C$80:$C$82,0)),INDEX('SCORING MASTER'!$D$84:$D$86,MATCH(AR263,'SCORING MASTER'!$C$84:$C$86,0)),INDEX('SCORING MASTER'!$D$88:$D$90,MATCH(AS263,'SCORING MASTER'!$C$88:$C$90,0)),INDEX('SCORING MASTER'!$D$92:$D$93,MATCH(AT263,'SCORING MASTER'!$C$92:$C$93,0)))*20,0))</f>
        <v/>
      </c>
      <c r="BL263" s="35" t="str">
        <f aca="false">IF(COUNTBLANK(BA263:BE263)&gt;0,"",ROUND(AVERAGE(INDEX('SCORING MASTER'!$D$113:$D$115,MATCH(BA263,'SCORING MASTER'!$C$113:$C$115,0)),INDEX('SCORING MASTER'!$D$117:$D$119,MATCH(BB263,'SCORING MASTER'!$C$117:$C$119,0)),INDEX('SCORING MASTER'!$D$121:$D$123,MATCH(BC263,'SCORING MASTER'!$C$121:$C$123,0)),INDEX('SCORING MASTER'!$D$125:$D$126,MATCH(BD263,'SCORING MASTER'!$C$125:$C$126,0)),INDEX('SCORING MASTER'!$D$128:$D$129,MATCH(BE263,'SCORING MASTER'!$C$128:$C$129,0)))*20,0))</f>
        <v/>
      </c>
      <c r="BM263" s="35" t="str">
        <f aca="false">IF(OR(BF263="",BG263="",BH263="",BI263="",BJ263="",BK263="",BL263=""),"",ROUND(BF263*0.25+BG263*0.2+BH263*0.15+BI263*0.15+BJ263*0.1+BK263*0.1+BL263*0.05,0))</f>
        <v/>
      </c>
      <c r="BN263" s="35" t="str">
        <f aca="false">IF(OR(BF263="",BG263=""),"",ROUND(BF263*0.5+BG263*0.5,0))</f>
        <v/>
      </c>
      <c r="BO263" s="35" t="str">
        <f aca="false">IF(BN263="","",ROUND(MIN(100,MAX(0,(100-BN263)+IF(AL263="Yes",15,0)+IF(AM263="Yes",15,0)+IF(AND(U263&lt;&gt;"",U263&lt;18.5),20,0))),0))</f>
        <v/>
      </c>
      <c r="BP263" s="32" t="str">
        <f aca="false">IF(BM263="","",IF(BM263&gt;=90,"Green - Healthy",IF(BM263&gt;=75,"Light Green - Mild Watch",IF(BM263&gt;=60,"Yellow - Mild Risk",IF(BM263&gt;=40,"Orange - Moderate Risk","Red - High Risk")))))</f>
        <v/>
      </c>
      <c r="BQ263" s="32" t="str">
        <f aca="false">IF(BM263="","",IF(OR(BM263&lt;60,BO263&gt;=60,AJ263="Yes"),"Yes","No"))</f>
        <v/>
      </c>
      <c r="BR263" s="32" t="str">
        <f aca="false">IF(BM263="","",IF(OR(BP263="Orange - Moderate Risk",BP263="Red - High Risk",BQ263="Yes"),"Yes","No"))</f>
        <v/>
      </c>
    </row>
    <row r="264" customFormat="false" ht="15" hidden="false" customHeight="false" outlineLevel="0" collapsed="false">
      <c r="A264" s="28" t="str">
        <f aca="false">IF(I264="","","STU"&amp;TEXT(ROW()-3,"000000"))</f>
        <v/>
      </c>
      <c r="B264" s="28"/>
      <c r="C264" s="28"/>
      <c r="D264" s="28"/>
      <c r="E264" s="28"/>
      <c r="F264" s="28"/>
      <c r="G264" s="28"/>
      <c r="H264" s="28"/>
      <c r="I264" s="28"/>
      <c r="J264" s="30"/>
      <c r="K264" s="28"/>
      <c r="L264" s="28"/>
      <c r="M264" s="28"/>
      <c r="N264" s="28"/>
      <c r="O264" s="28"/>
      <c r="P264" s="28"/>
      <c r="Q264" s="30"/>
      <c r="R264" s="30"/>
      <c r="S264" s="31" t="str">
        <f aca="false">IF(OR(Q264="",R264=""),"",ROUND(R264/((Q264/100)^2),1))</f>
        <v/>
      </c>
      <c r="T264" s="28" t="str">
        <f aca="false">IF(S264="","",IF(S264&lt;18.5,"Underweight",IF(S264&lt;25,"Normal",IF(S264&lt;30,"Overweight","Obese"))))</f>
        <v/>
      </c>
      <c r="U264" s="30"/>
      <c r="V264" s="30"/>
      <c r="W264" s="28"/>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8"/>
      <c r="AZ264" s="28"/>
      <c r="BA264" s="28"/>
      <c r="BB264" s="28"/>
      <c r="BC264" s="28"/>
      <c r="BD264" s="28"/>
      <c r="BE264" s="28"/>
      <c r="BF264" s="31" t="str">
        <f aca="false">IF(T264="","",IF(T264="Normal",100,IF(T264="Overweight",65,IF(T264="Obese",50,IF(AND(U264&lt;&gt;"",U264&lt;18.5),30,45)))))</f>
        <v/>
      </c>
      <c r="BG264" s="31" t="str">
        <f aca="false">IF(COUNTBLANK(W264:AC264)&gt;0,"",ROUND(AVERAGE(INDEX('SCORING MASTER'!$D$5:$D$7,MATCH(W264,'SCORING MASTER'!$C$5:$C$7,0)),INDEX('SCORING MASTER'!$D$9:$D$11,MATCH(X264,'SCORING MASTER'!$C$9:$C$11,0)),INDEX('SCORING MASTER'!$D$13:$D$15,MATCH(Y264,'SCORING MASTER'!$C$13:$C$15,0)),INDEX('SCORING MASTER'!$D$17:$D$19,MATCH(Z264,'SCORING MASTER'!$C$17:$C$19,0)),INDEX('SCORING MASTER'!$D$21:$D$23,MATCH(AA264,'SCORING MASTER'!$C$21:$C$23,0)),INDEX('SCORING MASTER'!$D$25:$D$27,MATCH(AB264,'SCORING MASTER'!$C$25:$C$27,0)),INDEX('SCORING MASTER'!$D$29:$D$31,MATCH(AC264,'SCORING MASTER'!$C$29:$C$31,0)))*20,0))</f>
        <v/>
      </c>
      <c r="BH264" s="31" t="str">
        <f aca="false">IF(COUNTBLANK(AD264:AI264)&gt;0,"",ROUND(AVERAGE(INDEX('SCORING MASTER'!$D$33:$D$35,MATCH(AD264,'SCORING MASTER'!$C$33:$C$35,0)),INDEX('SCORING MASTER'!$D$37:$D$39,MATCH(AE264,'SCORING MASTER'!$C$37:$C$39,0)),INDEX('SCORING MASTER'!$D$41:$D$43,MATCH(AF264,'SCORING MASTER'!$C$41:$C$43,0)),INDEX('SCORING MASTER'!$D$45:$D$47,MATCH(AG264,'SCORING MASTER'!$C$45:$C$47,0)),INDEX('SCORING MASTER'!$D$49:$D$52,MATCH(AH264,'SCORING MASTER'!$C$49:$C$52,0)),INDEX('SCORING MASTER'!$D$54:$D$57,MATCH(AI264,'SCORING MASTER'!$C$54:$C$57,0)))*20,0))</f>
        <v/>
      </c>
      <c r="BI264" s="31" t="str">
        <f aca="false">IF(COUNTBLANK(AJ264:AP264)&gt;0,"",ROUND(AVERAGE(INDEX('SCORING MASTER'!$D$59:$D$60,MATCH(AJ264,'SCORING MASTER'!$C$59:$C$60,0)),INDEX('SCORING MASTER'!$D$62:$D$63,MATCH(AK264,'SCORING MASTER'!$C$62:$C$63,0)),INDEX('SCORING MASTER'!$D$65:$D$66,MATCH(AL264,'SCORING MASTER'!$C$65:$C$66,0)),INDEX('SCORING MASTER'!$D$68:$D$69,MATCH(AM264,'SCORING MASTER'!$C$68:$C$69,0)),INDEX('SCORING MASTER'!$D$71:$D$72,MATCH(AN264,'SCORING MASTER'!$C$71:$C$72,0)),INDEX('SCORING MASTER'!$D$74:$D$75,MATCH(AO264,'SCORING MASTER'!$C$74:$C$75,0)),INDEX('SCORING MASTER'!$D$77:$D$78,MATCH(AP264,'SCORING MASTER'!$C$77:$C$78,0)))*20,0))</f>
        <v/>
      </c>
      <c r="BJ264" s="31" t="str">
        <f aca="false">IF(COUNTBLANK(AU264:AZ264)&gt;0,"",ROUND(AVERAGE(INDEX('SCORING MASTER'!$D$95:$D$96,MATCH(AU264,'SCORING MASTER'!$C$95:$C$96,0)),INDEX('SCORING MASTER'!$D$98:$D$99,MATCH(AV264,'SCORING MASTER'!$C$98:$C$99,0)),INDEX('SCORING MASTER'!$D$101:$D$102,MATCH(AW264,'SCORING MASTER'!$C$101:$C$102,0)),INDEX('SCORING MASTER'!$D$104:$D$105,MATCH(AX264,'SCORING MASTER'!$C$104:$C$105,0)),INDEX('SCORING MASTER'!$D$107:$D$108,MATCH(AY264,'SCORING MASTER'!$C$107:$C$108,0)),INDEX('SCORING MASTER'!$D$110:$D$111,MATCH(AZ264,'SCORING MASTER'!$C$110:$C$111,0)))*20,0))</f>
        <v/>
      </c>
      <c r="BK264" s="31" t="str">
        <f aca="false">IF(COUNTBLANK(AQ264:AT264)&gt;0,"",ROUND(AVERAGE(INDEX('SCORING MASTER'!$D$80:$D$82,MATCH(AQ264,'SCORING MASTER'!$C$80:$C$82,0)),INDEX('SCORING MASTER'!$D$84:$D$86,MATCH(AR264,'SCORING MASTER'!$C$84:$C$86,0)),INDEX('SCORING MASTER'!$D$88:$D$90,MATCH(AS264,'SCORING MASTER'!$C$88:$C$90,0)),INDEX('SCORING MASTER'!$D$92:$D$93,MATCH(AT264,'SCORING MASTER'!$C$92:$C$93,0)))*20,0))</f>
        <v/>
      </c>
      <c r="BL264" s="31" t="str">
        <f aca="false">IF(COUNTBLANK(BA264:BE264)&gt;0,"",ROUND(AVERAGE(INDEX('SCORING MASTER'!$D$113:$D$115,MATCH(BA264,'SCORING MASTER'!$C$113:$C$115,0)),INDEX('SCORING MASTER'!$D$117:$D$119,MATCH(BB264,'SCORING MASTER'!$C$117:$C$119,0)),INDEX('SCORING MASTER'!$D$121:$D$123,MATCH(BC264,'SCORING MASTER'!$C$121:$C$123,0)),INDEX('SCORING MASTER'!$D$125:$D$126,MATCH(BD264,'SCORING MASTER'!$C$125:$C$126,0)),INDEX('SCORING MASTER'!$D$128:$D$129,MATCH(BE264,'SCORING MASTER'!$C$128:$C$129,0)))*20,0))</f>
        <v/>
      </c>
      <c r="BM264" s="31" t="str">
        <f aca="false">IF(OR(BF264="",BG264="",BH264="",BI264="",BJ264="",BK264="",BL264=""),"",ROUND(BF264*0.25+BG264*0.2+BH264*0.15+BI264*0.15+BJ264*0.1+BK264*0.1+BL264*0.05,0))</f>
        <v/>
      </c>
      <c r="BN264" s="31" t="str">
        <f aca="false">IF(OR(BF264="",BG264=""),"",ROUND(BF264*0.5+BG264*0.5,0))</f>
        <v/>
      </c>
      <c r="BO264" s="31" t="str">
        <f aca="false">IF(BN264="","",ROUND(MIN(100,MAX(0,(100-BN264)+IF(AL264="Yes",15,0)+IF(AM264="Yes",15,0)+IF(AND(U264&lt;&gt;"",U264&lt;18.5),20,0))),0))</f>
        <v/>
      </c>
      <c r="BP264" s="28" t="str">
        <f aca="false">IF(BM264="","",IF(BM264&gt;=90,"Green - Healthy",IF(BM264&gt;=75,"Light Green - Mild Watch",IF(BM264&gt;=60,"Yellow - Mild Risk",IF(BM264&gt;=40,"Orange - Moderate Risk","Red - High Risk")))))</f>
        <v/>
      </c>
      <c r="BQ264" s="28" t="str">
        <f aca="false">IF(BM264="","",IF(OR(BM264&lt;60,BO264&gt;=60,AJ264="Yes"),"Yes","No"))</f>
        <v/>
      </c>
      <c r="BR264" s="28" t="str">
        <f aca="false">IF(BM264="","",IF(OR(BP264="Orange - Moderate Risk",BP264="Red - High Risk",BQ264="Yes"),"Yes","No"))</f>
        <v/>
      </c>
    </row>
    <row r="265" customFormat="false" ht="15" hidden="false" customHeight="false" outlineLevel="0" collapsed="false">
      <c r="A265" s="32" t="str">
        <f aca="false">IF(I265="","","STU"&amp;TEXT(ROW()-3,"000000"))</f>
        <v/>
      </c>
      <c r="B265" s="32"/>
      <c r="C265" s="32"/>
      <c r="D265" s="32"/>
      <c r="E265" s="32"/>
      <c r="F265" s="32"/>
      <c r="G265" s="32"/>
      <c r="H265" s="32"/>
      <c r="I265" s="32"/>
      <c r="J265" s="34"/>
      <c r="K265" s="32"/>
      <c r="L265" s="32"/>
      <c r="M265" s="32"/>
      <c r="N265" s="32"/>
      <c r="O265" s="32"/>
      <c r="P265" s="32"/>
      <c r="Q265" s="34"/>
      <c r="R265" s="34"/>
      <c r="S265" s="35" t="str">
        <f aca="false">IF(OR(Q265="",R265=""),"",ROUND(R265/((Q265/100)^2),1))</f>
        <v/>
      </c>
      <c r="T265" s="32" t="str">
        <f aca="false">IF(S265="","",IF(S265&lt;18.5,"Underweight",IF(S265&lt;25,"Normal",IF(S265&lt;30,"Overweight","Obese"))))</f>
        <v/>
      </c>
      <c r="U265" s="34"/>
      <c r="V265" s="34"/>
      <c r="W265" s="32"/>
      <c r="X265" s="32"/>
      <c r="Y265" s="32"/>
      <c r="Z265" s="32"/>
      <c r="AA265" s="32"/>
      <c r="AB265" s="32"/>
      <c r="AC265" s="32"/>
      <c r="AD265" s="32"/>
      <c r="AE265" s="32"/>
      <c r="AF265" s="32"/>
      <c r="AG265" s="32"/>
      <c r="AH265" s="32"/>
      <c r="AI265" s="32"/>
      <c r="AJ265" s="32"/>
      <c r="AK265" s="32"/>
      <c r="AL265" s="32"/>
      <c r="AM265" s="32"/>
      <c r="AN265" s="32"/>
      <c r="AO265" s="32"/>
      <c r="AP265" s="32"/>
      <c r="AQ265" s="32"/>
      <c r="AR265" s="32"/>
      <c r="AS265" s="32"/>
      <c r="AT265" s="32"/>
      <c r="AU265" s="32"/>
      <c r="AV265" s="32"/>
      <c r="AW265" s="32"/>
      <c r="AX265" s="32"/>
      <c r="AY265" s="32"/>
      <c r="AZ265" s="32"/>
      <c r="BA265" s="32"/>
      <c r="BB265" s="32"/>
      <c r="BC265" s="32"/>
      <c r="BD265" s="32"/>
      <c r="BE265" s="32"/>
      <c r="BF265" s="35" t="str">
        <f aca="false">IF(T265="","",IF(T265="Normal",100,IF(T265="Overweight",65,IF(T265="Obese",50,IF(AND(U265&lt;&gt;"",U265&lt;18.5),30,45)))))</f>
        <v/>
      </c>
      <c r="BG265" s="35" t="str">
        <f aca="false">IF(COUNTBLANK(W265:AC265)&gt;0,"",ROUND(AVERAGE(INDEX('SCORING MASTER'!$D$5:$D$7,MATCH(W265,'SCORING MASTER'!$C$5:$C$7,0)),INDEX('SCORING MASTER'!$D$9:$D$11,MATCH(X265,'SCORING MASTER'!$C$9:$C$11,0)),INDEX('SCORING MASTER'!$D$13:$D$15,MATCH(Y265,'SCORING MASTER'!$C$13:$C$15,0)),INDEX('SCORING MASTER'!$D$17:$D$19,MATCH(Z265,'SCORING MASTER'!$C$17:$C$19,0)),INDEX('SCORING MASTER'!$D$21:$D$23,MATCH(AA265,'SCORING MASTER'!$C$21:$C$23,0)),INDEX('SCORING MASTER'!$D$25:$D$27,MATCH(AB265,'SCORING MASTER'!$C$25:$C$27,0)),INDEX('SCORING MASTER'!$D$29:$D$31,MATCH(AC265,'SCORING MASTER'!$C$29:$C$31,0)))*20,0))</f>
        <v/>
      </c>
      <c r="BH265" s="35" t="str">
        <f aca="false">IF(COUNTBLANK(AD265:AI265)&gt;0,"",ROUND(AVERAGE(INDEX('SCORING MASTER'!$D$33:$D$35,MATCH(AD265,'SCORING MASTER'!$C$33:$C$35,0)),INDEX('SCORING MASTER'!$D$37:$D$39,MATCH(AE265,'SCORING MASTER'!$C$37:$C$39,0)),INDEX('SCORING MASTER'!$D$41:$D$43,MATCH(AF265,'SCORING MASTER'!$C$41:$C$43,0)),INDEX('SCORING MASTER'!$D$45:$D$47,MATCH(AG265,'SCORING MASTER'!$C$45:$C$47,0)),INDEX('SCORING MASTER'!$D$49:$D$52,MATCH(AH265,'SCORING MASTER'!$C$49:$C$52,0)),INDEX('SCORING MASTER'!$D$54:$D$57,MATCH(AI265,'SCORING MASTER'!$C$54:$C$57,0)))*20,0))</f>
        <v/>
      </c>
      <c r="BI265" s="35" t="str">
        <f aca="false">IF(COUNTBLANK(AJ265:AP265)&gt;0,"",ROUND(AVERAGE(INDEX('SCORING MASTER'!$D$59:$D$60,MATCH(AJ265,'SCORING MASTER'!$C$59:$C$60,0)),INDEX('SCORING MASTER'!$D$62:$D$63,MATCH(AK265,'SCORING MASTER'!$C$62:$C$63,0)),INDEX('SCORING MASTER'!$D$65:$D$66,MATCH(AL265,'SCORING MASTER'!$C$65:$C$66,0)),INDEX('SCORING MASTER'!$D$68:$D$69,MATCH(AM265,'SCORING MASTER'!$C$68:$C$69,0)),INDEX('SCORING MASTER'!$D$71:$D$72,MATCH(AN265,'SCORING MASTER'!$C$71:$C$72,0)),INDEX('SCORING MASTER'!$D$74:$D$75,MATCH(AO265,'SCORING MASTER'!$C$74:$C$75,0)),INDEX('SCORING MASTER'!$D$77:$D$78,MATCH(AP265,'SCORING MASTER'!$C$77:$C$78,0)))*20,0))</f>
        <v/>
      </c>
      <c r="BJ265" s="35" t="str">
        <f aca="false">IF(COUNTBLANK(AU265:AZ265)&gt;0,"",ROUND(AVERAGE(INDEX('SCORING MASTER'!$D$95:$D$96,MATCH(AU265,'SCORING MASTER'!$C$95:$C$96,0)),INDEX('SCORING MASTER'!$D$98:$D$99,MATCH(AV265,'SCORING MASTER'!$C$98:$C$99,0)),INDEX('SCORING MASTER'!$D$101:$D$102,MATCH(AW265,'SCORING MASTER'!$C$101:$C$102,0)),INDEX('SCORING MASTER'!$D$104:$D$105,MATCH(AX265,'SCORING MASTER'!$C$104:$C$105,0)),INDEX('SCORING MASTER'!$D$107:$D$108,MATCH(AY265,'SCORING MASTER'!$C$107:$C$108,0)),INDEX('SCORING MASTER'!$D$110:$D$111,MATCH(AZ265,'SCORING MASTER'!$C$110:$C$111,0)))*20,0))</f>
        <v/>
      </c>
      <c r="BK265" s="35" t="str">
        <f aca="false">IF(COUNTBLANK(AQ265:AT265)&gt;0,"",ROUND(AVERAGE(INDEX('SCORING MASTER'!$D$80:$D$82,MATCH(AQ265,'SCORING MASTER'!$C$80:$C$82,0)),INDEX('SCORING MASTER'!$D$84:$D$86,MATCH(AR265,'SCORING MASTER'!$C$84:$C$86,0)),INDEX('SCORING MASTER'!$D$88:$D$90,MATCH(AS265,'SCORING MASTER'!$C$88:$C$90,0)),INDEX('SCORING MASTER'!$D$92:$D$93,MATCH(AT265,'SCORING MASTER'!$C$92:$C$93,0)))*20,0))</f>
        <v/>
      </c>
      <c r="BL265" s="35" t="str">
        <f aca="false">IF(COUNTBLANK(BA265:BE265)&gt;0,"",ROUND(AVERAGE(INDEX('SCORING MASTER'!$D$113:$D$115,MATCH(BA265,'SCORING MASTER'!$C$113:$C$115,0)),INDEX('SCORING MASTER'!$D$117:$D$119,MATCH(BB265,'SCORING MASTER'!$C$117:$C$119,0)),INDEX('SCORING MASTER'!$D$121:$D$123,MATCH(BC265,'SCORING MASTER'!$C$121:$C$123,0)),INDEX('SCORING MASTER'!$D$125:$D$126,MATCH(BD265,'SCORING MASTER'!$C$125:$C$126,0)),INDEX('SCORING MASTER'!$D$128:$D$129,MATCH(BE265,'SCORING MASTER'!$C$128:$C$129,0)))*20,0))</f>
        <v/>
      </c>
      <c r="BM265" s="35" t="str">
        <f aca="false">IF(OR(BF265="",BG265="",BH265="",BI265="",BJ265="",BK265="",BL265=""),"",ROUND(BF265*0.25+BG265*0.2+BH265*0.15+BI265*0.15+BJ265*0.1+BK265*0.1+BL265*0.05,0))</f>
        <v/>
      </c>
      <c r="BN265" s="35" t="str">
        <f aca="false">IF(OR(BF265="",BG265=""),"",ROUND(BF265*0.5+BG265*0.5,0))</f>
        <v/>
      </c>
      <c r="BO265" s="35" t="str">
        <f aca="false">IF(BN265="","",ROUND(MIN(100,MAX(0,(100-BN265)+IF(AL265="Yes",15,0)+IF(AM265="Yes",15,0)+IF(AND(U265&lt;&gt;"",U265&lt;18.5),20,0))),0))</f>
        <v/>
      </c>
      <c r="BP265" s="32" t="str">
        <f aca="false">IF(BM265="","",IF(BM265&gt;=90,"Green - Healthy",IF(BM265&gt;=75,"Light Green - Mild Watch",IF(BM265&gt;=60,"Yellow - Mild Risk",IF(BM265&gt;=40,"Orange - Moderate Risk","Red - High Risk")))))</f>
        <v/>
      </c>
      <c r="BQ265" s="32" t="str">
        <f aca="false">IF(BM265="","",IF(OR(BM265&lt;60,BO265&gt;=60,AJ265="Yes"),"Yes","No"))</f>
        <v/>
      </c>
      <c r="BR265" s="32" t="str">
        <f aca="false">IF(BM265="","",IF(OR(BP265="Orange - Moderate Risk",BP265="Red - High Risk",BQ265="Yes"),"Yes","No"))</f>
        <v/>
      </c>
    </row>
    <row r="266" customFormat="false" ht="15" hidden="false" customHeight="false" outlineLevel="0" collapsed="false">
      <c r="A266" s="28" t="str">
        <f aca="false">IF(I266="","","STU"&amp;TEXT(ROW()-3,"000000"))</f>
        <v/>
      </c>
      <c r="B266" s="28"/>
      <c r="C266" s="28"/>
      <c r="D266" s="28"/>
      <c r="E266" s="28"/>
      <c r="F266" s="28"/>
      <c r="G266" s="28"/>
      <c r="H266" s="28"/>
      <c r="I266" s="28"/>
      <c r="J266" s="30"/>
      <c r="K266" s="28"/>
      <c r="L266" s="28"/>
      <c r="M266" s="28"/>
      <c r="N266" s="28"/>
      <c r="O266" s="28"/>
      <c r="P266" s="28"/>
      <c r="Q266" s="30"/>
      <c r="R266" s="30"/>
      <c r="S266" s="31" t="str">
        <f aca="false">IF(OR(Q266="",R266=""),"",ROUND(R266/((Q266/100)^2),1))</f>
        <v/>
      </c>
      <c r="T266" s="28" t="str">
        <f aca="false">IF(S266="","",IF(S266&lt;18.5,"Underweight",IF(S266&lt;25,"Normal",IF(S266&lt;30,"Overweight","Obese"))))</f>
        <v/>
      </c>
      <c r="U266" s="30"/>
      <c r="V266" s="30"/>
      <c r="W266" s="28"/>
      <c r="X266" s="28"/>
      <c r="Y266" s="28"/>
      <c r="Z266" s="28"/>
      <c r="AA266" s="28"/>
      <c r="AB266" s="28"/>
      <c r="AC266" s="28"/>
      <c r="AD266" s="28"/>
      <c r="AE266" s="28"/>
      <c r="AF266" s="28"/>
      <c r="AG266" s="28"/>
      <c r="AH266" s="28"/>
      <c r="AI266" s="28"/>
      <c r="AJ266" s="28"/>
      <c r="AK266" s="28"/>
      <c r="AL266" s="28"/>
      <c r="AM266" s="28"/>
      <c r="AN266" s="28"/>
      <c r="AO266" s="28"/>
      <c r="AP266" s="28"/>
      <c r="AQ266" s="28"/>
      <c r="AR266" s="28"/>
      <c r="AS266" s="28"/>
      <c r="AT266" s="28"/>
      <c r="AU266" s="28"/>
      <c r="AV266" s="28"/>
      <c r="AW266" s="28"/>
      <c r="AX266" s="28"/>
      <c r="AY266" s="28"/>
      <c r="AZ266" s="28"/>
      <c r="BA266" s="28"/>
      <c r="BB266" s="28"/>
      <c r="BC266" s="28"/>
      <c r="BD266" s="28"/>
      <c r="BE266" s="28"/>
      <c r="BF266" s="31" t="str">
        <f aca="false">IF(T266="","",IF(T266="Normal",100,IF(T266="Overweight",65,IF(T266="Obese",50,IF(AND(U266&lt;&gt;"",U266&lt;18.5),30,45)))))</f>
        <v/>
      </c>
      <c r="BG266" s="31" t="str">
        <f aca="false">IF(COUNTBLANK(W266:AC266)&gt;0,"",ROUND(AVERAGE(INDEX('SCORING MASTER'!$D$5:$D$7,MATCH(W266,'SCORING MASTER'!$C$5:$C$7,0)),INDEX('SCORING MASTER'!$D$9:$D$11,MATCH(X266,'SCORING MASTER'!$C$9:$C$11,0)),INDEX('SCORING MASTER'!$D$13:$D$15,MATCH(Y266,'SCORING MASTER'!$C$13:$C$15,0)),INDEX('SCORING MASTER'!$D$17:$D$19,MATCH(Z266,'SCORING MASTER'!$C$17:$C$19,0)),INDEX('SCORING MASTER'!$D$21:$D$23,MATCH(AA266,'SCORING MASTER'!$C$21:$C$23,0)),INDEX('SCORING MASTER'!$D$25:$D$27,MATCH(AB266,'SCORING MASTER'!$C$25:$C$27,0)),INDEX('SCORING MASTER'!$D$29:$D$31,MATCH(AC266,'SCORING MASTER'!$C$29:$C$31,0)))*20,0))</f>
        <v/>
      </c>
      <c r="BH266" s="31" t="str">
        <f aca="false">IF(COUNTBLANK(AD266:AI266)&gt;0,"",ROUND(AVERAGE(INDEX('SCORING MASTER'!$D$33:$D$35,MATCH(AD266,'SCORING MASTER'!$C$33:$C$35,0)),INDEX('SCORING MASTER'!$D$37:$D$39,MATCH(AE266,'SCORING MASTER'!$C$37:$C$39,0)),INDEX('SCORING MASTER'!$D$41:$D$43,MATCH(AF266,'SCORING MASTER'!$C$41:$C$43,0)),INDEX('SCORING MASTER'!$D$45:$D$47,MATCH(AG266,'SCORING MASTER'!$C$45:$C$47,0)),INDEX('SCORING MASTER'!$D$49:$D$52,MATCH(AH266,'SCORING MASTER'!$C$49:$C$52,0)),INDEX('SCORING MASTER'!$D$54:$D$57,MATCH(AI266,'SCORING MASTER'!$C$54:$C$57,0)))*20,0))</f>
        <v/>
      </c>
      <c r="BI266" s="31" t="str">
        <f aca="false">IF(COUNTBLANK(AJ266:AP266)&gt;0,"",ROUND(AVERAGE(INDEX('SCORING MASTER'!$D$59:$D$60,MATCH(AJ266,'SCORING MASTER'!$C$59:$C$60,0)),INDEX('SCORING MASTER'!$D$62:$D$63,MATCH(AK266,'SCORING MASTER'!$C$62:$C$63,0)),INDEX('SCORING MASTER'!$D$65:$D$66,MATCH(AL266,'SCORING MASTER'!$C$65:$C$66,0)),INDEX('SCORING MASTER'!$D$68:$D$69,MATCH(AM266,'SCORING MASTER'!$C$68:$C$69,0)),INDEX('SCORING MASTER'!$D$71:$D$72,MATCH(AN266,'SCORING MASTER'!$C$71:$C$72,0)),INDEX('SCORING MASTER'!$D$74:$D$75,MATCH(AO266,'SCORING MASTER'!$C$74:$C$75,0)),INDEX('SCORING MASTER'!$D$77:$D$78,MATCH(AP266,'SCORING MASTER'!$C$77:$C$78,0)))*20,0))</f>
        <v/>
      </c>
      <c r="BJ266" s="31" t="str">
        <f aca="false">IF(COUNTBLANK(AU266:AZ266)&gt;0,"",ROUND(AVERAGE(INDEX('SCORING MASTER'!$D$95:$D$96,MATCH(AU266,'SCORING MASTER'!$C$95:$C$96,0)),INDEX('SCORING MASTER'!$D$98:$D$99,MATCH(AV266,'SCORING MASTER'!$C$98:$C$99,0)),INDEX('SCORING MASTER'!$D$101:$D$102,MATCH(AW266,'SCORING MASTER'!$C$101:$C$102,0)),INDEX('SCORING MASTER'!$D$104:$D$105,MATCH(AX266,'SCORING MASTER'!$C$104:$C$105,0)),INDEX('SCORING MASTER'!$D$107:$D$108,MATCH(AY266,'SCORING MASTER'!$C$107:$C$108,0)),INDEX('SCORING MASTER'!$D$110:$D$111,MATCH(AZ266,'SCORING MASTER'!$C$110:$C$111,0)))*20,0))</f>
        <v/>
      </c>
      <c r="BK266" s="31" t="str">
        <f aca="false">IF(COUNTBLANK(AQ266:AT266)&gt;0,"",ROUND(AVERAGE(INDEX('SCORING MASTER'!$D$80:$D$82,MATCH(AQ266,'SCORING MASTER'!$C$80:$C$82,0)),INDEX('SCORING MASTER'!$D$84:$D$86,MATCH(AR266,'SCORING MASTER'!$C$84:$C$86,0)),INDEX('SCORING MASTER'!$D$88:$D$90,MATCH(AS266,'SCORING MASTER'!$C$88:$C$90,0)),INDEX('SCORING MASTER'!$D$92:$D$93,MATCH(AT266,'SCORING MASTER'!$C$92:$C$93,0)))*20,0))</f>
        <v/>
      </c>
      <c r="BL266" s="31" t="str">
        <f aca="false">IF(COUNTBLANK(BA266:BE266)&gt;0,"",ROUND(AVERAGE(INDEX('SCORING MASTER'!$D$113:$D$115,MATCH(BA266,'SCORING MASTER'!$C$113:$C$115,0)),INDEX('SCORING MASTER'!$D$117:$D$119,MATCH(BB266,'SCORING MASTER'!$C$117:$C$119,0)),INDEX('SCORING MASTER'!$D$121:$D$123,MATCH(BC266,'SCORING MASTER'!$C$121:$C$123,0)),INDEX('SCORING MASTER'!$D$125:$D$126,MATCH(BD266,'SCORING MASTER'!$C$125:$C$126,0)),INDEX('SCORING MASTER'!$D$128:$D$129,MATCH(BE266,'SCORING MASTER'!$C$128:$C$129,0)))*20,0))</f>
        <v/>
      </c>
      <c r="BM266" s="31" t="str">
        <f aca="false">IF(OR(BF266="",BG266="",BH266="",BI266="",BJ266="",BK266="",BL266=""),"",ROUND(BF266*0.25+BG266*0.2+BH266*0.15+BI266*0.15+BJ266*0.1+BK266*0.1+BL266*0.05,0))</f>
        <v/>
      </c>
      <c r="BN266" s="31" t="str">
        <f aca="false">IF(OR(BF266="",BG266=""),"",ROUND(BF266*0.5+BG266*0.5,0))</f>
        <v/>
      </c>
      <c r="BO266" s="31" t="str">
        <f aca="false">IF(BN266="","",ROUND(MIN(100,MAX(0,(100-BN266)+IF(AL266="Yes",15,0)+IF(AM266="Yes",15,0)+IF(AND(U266&lt;&gt;"",U266&lt;18.5),20,0))),0))</f>
        <v/>
      </c>
      <c r="BP266" s="28" t="str">
        <f aca="false">IF(BM266="","",IF(BM266&gt;=90,"Green - Healthy",IF(BM266&gt;=75,"Light Green - Mild Watch",IF(BM266&gt;=60,"Yellow - Mild Risk",IF(BM266&gt;=40,"Orange - Moderate Risk","Red - High Risk")))))</f>
        <v/>
      </c>
      <c r="BQ266" s="28" t="str">
        <f aca="false">IF(BM266="","",IF(OR(BM266&lt;60,BO266&gt;=60,AJ266="Yes"),"Yes","No"))</f>
        <v/>
      </c>
      <c r="BR266" s="28" t="str">
        <f aca="false">IF(BM266="","",IF(OR(BP266="Orange - Moderate Risk",BP266="Red - High Risk",BQ266="Yes"),"Yes","No"))</f>
        <v/>
      </c>
    </row>
    <row r="267" customFormat="false" ht="15" hidden="false" customHeight="false" outlineLevel="0" collapsed="false">
      <c r="A267" s="32" t="str">
        <f aca="false">IF(I267="","","STU"&amp;TEXT(ROW()-3,"000000"))</f>
        <v/>
      </c>
      <c r="B267" s="32"/>
      <c r="C267" s="32"/>
      <c r="D267" s="32"/>
      <c r="E267" s="32"/>
      <c r="F267" s="32"/>
      <c r="G267" s="32"/>
      <c r="H267" s="32"/>
      <c r="I267" s="32"/>
      <c r="J267" s="34"/>
      <c r="K267" s="32"/>
      <c r="L267" s="32"/>
      <c r="M267" s="32"/>
      <c r="N267" s="32"/>
      <c r="O267" s="32"/>
      <c r="P267" s="32"/>
      <c r="Q267" s="34"/>
      <c r="R267" s="34"/>
      <c r="S267" s="35" t="str">
        <f aca="false">IF(OR(Q267="",R267=""),"",ROUND(R267/((Q267/100)^2),1))</f>
        <v/>
      </c>
      <c r="T267" s="32" t="str">
        <f aca="false">IF(S267="","",IF(S267&lt;18.5,"Underweight",IF(S267&lt;25,"Normal",IF(S267&lt;30,"Overweight","Obese"))))</f>
        <v/>
      </c>
      <c r="U267" s="34"/>
      <c r="V267" s="34"/>
      <c r="W267" s="32"/>
      <c r="X267" s="32"/>
      <c r="Y267" s="32"/>
      <c r="Z267" s="32"/>
      <c r="AA267" s="32"/>
      <c r="AB267" s="32"/>
      <c r="AC267" s="32"/>
      <c r="AD267" s="32"/>
      <c r="AE267" s="32"/>
      <c r="AF267" s="32"/>
      <c r="AG267" s="32"/>
      <c r="AH267" s="32"/>
      <c r="AI267" s="32"/>
      <c r="AJ267" s="32"/>
      <c r="AK267" s="32"/>
      <c r="AL267" s="32"/>
      <c r="AM267" s="32"/>
      <c r="AN267" s="32"/>
      <c r="AO267" s="32"/>
      <c r="AP267" s="32"/>
      <c r="AQ267" s="32"/>
      <c r="AR267" s="32"/>
      <c r="AS267" s="32"/>
      <c r="AT267" s="32"/>
      <c r="AU267" s="32"/>
      <c r="AV267" s="32"/>
      <c r="AW267" s="32"/>
      <c r="AX267" s="32"/>
      <c r="AY267" s="32"/>
      <c r="AZ267" s="32"/>
      <c r="BA267" s="32"/>
      <c r="BB267" s="32"/>
      <c r="BC267" s="32"/>
      <c r="BD267" s="32"/>
      <c r="BE267" s="32"/>
      <c r="BF267" s="35" t="str">
        <f aca="false">IF(T267="","",IF(T267="Normal",100,IF(T267="Overweight",65,IF(T267="Obese",50,IF(AND(U267&lt;&gt;"",U267&lt;18.5),30,45)))))</f>
        <v/>
      </c>
      <c r="BG267" s="35" t="str">
        <f aca="false">IF(COUNTBLANK(W267:AC267)&gt;0,"",ROUND(AVERAGE(INDEX('SCORING MASTER'!$D$5:$D$7,MATCH(W267,'SCORING MASTER'!$C$5:$C$7,0)),INDEX('SCORING MASTER'!$D$9:$D$11,MATCH(X267,'SCORING MASTER'!$C$9:$C$11,0)),INDEX('SCORING MASTER'!$D$13:$D$15,MATCH(Y267,'SCORING MASTER'!$C$13:$C$15,0)),INDEX('SCORING MASTER'!$D$17:$D$19,MATCH(Z267,'SCORING MASTER'!$C$17:$C$19,0)),INDEX('SCORING MASTER'!$D$21:$D$23,MATCH(AA267,'SCORING MASTER'!$C$21:$C$23,0)),INDEX('SCORING MASTER'!$D$25:$D$27,MATCH(AB267,'SCORING MASTER'!$C$25:$C$27,0)),INDEX('SCORING MASTER'!$D$29:$D$31,MATCH(AC267,'SCORING MASTER'!$C$29:$C$31,0)))*20,0))</f>
        <v/>
      </c>
      <c r="BH267" s="35" t="str">
        <f aca="false">IF(COUNTBLANK(AD267:AI267)&gt;0,"",ROUND(AVERAGE(INDEX('SCORING MASTER'!$D$33:$D$35,MATCH(AD267,'SCORING MASTER'!$C$33:$C$35,0)),INDEX('SCORING MASTER'!$D$37:$D$39,MATCH(AE267,'SCORING MASTER'!$C$37:$C$39,0)),INDEX('SCORING MASTER'!$D$41:$D$43,MATCH(AF267,'SCORING MASTER'!$C$41:$C$43,0)),INDEX('SCORING MASTER'!$D$45:$D$47,MATCH(AG267,'SCORING MASTER'!$C$45:$C$47,0)),INDEX('SCORING MASTER'!$D$49:$D$52,MATCH(AH267,'SCORING MASTER'!$C$49:$C$52,0)),INDEX('SCORING MASTER'!$D$54:$D$57,MATCH(AI267,'SCORING MASTER'!$C$54:$C$57,0)))*20,0))</f>
        <v/>
      </c>
      <c r="BI267" s="35" t="str">
        <f aca="false">IF(COUNTBLANK(AJ267:AP267)&gt;0,"",ROUND(AVERAGE(INDEX('SCORING MASTER'!$D$59:$D$60,MATCH(AJ267,'SCORING MASTER'!$C$59:$C$60,0)),INDEX('SCORING MASTER'!$D$62:$D$63,MATCH(AK267,'SCORING MASTER'!$C$62:$C$63,0)),INDEX('SCORING MASTER'!$D$65:$D$66,MATCH(AL267,'SCORING MASTER'!$C$65:$C$66,0)),INDEX('SCORING MASTER'!$D$68:$D$69,MATCH(AM267,'SCORING MASTER'!$C$68:$C$69,0)),INDEX('SCORING MASTER'!$D$71:$D$72,MATCH(AN267,'SCORING MASTER'!$C$71:$C$72,0)),INDEX('SCORING MASTER'!$D$74:$D$75,MATCH(AO267,'SCORING MASTER'!$C$74:$C$75,0)),INDEX('SCORING MASTER'!$D$77:$D$78,MATCH(AP267,'SCORING MASTER'!$C$77:$C$78,0)))*20,0))</f>
        <v/>
      </c>
      <c r="BJ267" s="35" t="str">
        <f aca="false">IF(COUNTBLANK(AU267:AZ267)&gt;0,"",ROUND(AVERAGE(INDEX('SCORING MASTER'!$D$95:$D$96,MATCH(AU267,'SCORING MASTER'!$C$95:$C$96,0)),INDEX('SCORING MASTER'!$D$98:$D$99,MATCH(AV267,'SCORING MASTER'!$C$98:$C$99,0)),INDEX('SCORING MASTER'!$D$101:$D$102,MATCH(AW267,'SCORING MASTER'!$C$101:$C$102,0)),INDEX('SCORING MASTER'!$D$104:$D$105,MATCH(AX267,'SCORING MASTER'!$C$104:$C$105,0)),INDEX('SCORING MASTER'!$D$107:$D$108,MATCH(AY267,'SCORING MASTER'!$C$107:$C$108,0)),INDEX('SCORING MASTER'!$D$110:$D$111,MATCH(AZ267,'SCORING MASTER'!$C$110:$C$111,0)))*20,0))</f>
        <v/>
      </c>
      <c r="BK267" s="35" t="str">
        <f aca="false">IF(COUNTBLANK(AQ267:AT267)&gt;0,"",ROUND(AVERAGE(INDEX('SCORING MASTER'!$D$80:$D$82,MATCH(AQ267,'SCORING MASTER'!$C$80:$C$82,0)),INDEX('SCORING MASTER'!$D$84:$D$86,MATCH(AR267,'SCORING MASTER'!$C$84:$C$86,0)),INDEX('SCORING MASTER'!$D$88:$D$90,MATCH(AS267,'SCORING MASTER'!$C$88:$C$90,0)),INDEX('SCORING MASTER'!$D$92:$D$93,MATCH(AT267,'SCORING MASTER'!$C$92:$C$93,0)))*20,0))</f>
        <v/>
      </c>
      <c r="BL267" s="35" t="str">
        <f aca="false">IF(COUNTBLANK(BA267:BE267)&gt;0,"",ROUND(AVERAGE(INDEX('SCORING MASTER'!$D$113:$D$115,MATCH(BA267,'SCORING MASTER'!$C$113:$C$115,0)),INDEX('SCORING MASTER'!$D$117:$D$119,MATCH(BB267,'SCORING MASTER'!$C$117:$C$119,0)),INDEX('SCORING MASTER'!$D$121:$D$123,MATCH(BC267,'SCORING MASTER'!$C$121:$C$123,0)),INDEX('SCORING MASTER'!$D$125:$D$126,MATCH(BD267,'SCORING MASTER'!$C$125:$C$126,0)),INDEX('SCORING MASTER'!$D$128:$D$129,MATCH(BE267,'SCORING MASTER'!$C$128:$C$129,0)))*20,0))</f>
        <v/>
      </c>
      <c r="BM267" s="35" t="str">
        <f aca="false">IF(OR(BF267="",BG267="",BH267="",BI267="",BJ267="",BK267="",BL267=""),"",ROUND(BF267*0.25+BG267*0.2+BH267*0.15+BI267*0.15+BJ267*0.1+BK267*0.1+BL267*0.05,0))</f>
        <v/>
      </c>
      <c r="BN267" s="35" t="str">
        <f aca="false">IF(OR(BF267="",BG267=""),"",ROUND(BF267*0.5+BG267*0.5,0))</f>
        <v/>
      </c>
      <c r="BO267" s="35" t="str">
        <f aca="false">IF(BN267="","",ROUND(MIN(100,MAX(0,(100-BN267)+IF(AL267="Yes",15,0)+IF(AM267="Yes",15,0)+IF(AND(U267&lt;&gt;"",U267&lt;18.5),20,0))),0))</f>
        <v/>
      </c>
      <c r="BP267" s="32" t="str">
        <f aca="false">IF(BM267="","",IF(BM267&gt;=90,"Green - Healthy",IF(BM267&gt;=75,"Light Green - Mild Watch",IF(BM267&gt;=60,"Yellow - Mild Risk",IF(BM267&gt;=40,"Orange - Moderate Risk","Red - High Risk")))))</f>
        <v/>
      </c>
      <c r="BQ267" s="32" t="str">
        <f aca="false">IF(BM267="","",IF(OR(BM267&lt;60,BO267&gt;=60,AJ267="Yes"),"Yes","No"))</f>
        <v/>
      </c>
      <c r="BR267" s="32" t="str">
        <f aca="false">IF(BM267="","",IF(OR(BP267="Orange - Moderate Risk",BP267="Red - High Risk",BQ267="Yes"),"Yes","No"))</f>
        <v/>
      </c>
    </row>
    <row r="268" customFormat="false" ht="15" hidden="false" customHeight="false" outlineLevel="0" collapsed="false">
      <c r="A268" s="28" t="str">
        <f aca="false">IF(I268="","","STU"&amp;TEXT(ROW()-3,"000000"))</f>
        <v/>
      </c>
      <c r="B268" s="28"/>
      <c r="C268" s="28"/>
      <c r="D268" s="28"/>
      <c r="E268" s="28"/>
      <c r="F268" s="28"/>
      <c r="G268" s="28"/>
      <c r="H268" s="28"/>
      <c r="I268" s="28"/>
      <c r="J268" s="30"/>
      <c r="K268" s="28"/>
      <c r="L268" s="28"/>
      <c r="M268" s="28"/>
      <c r="N268" s="28"/>
      <c r="O268" s="28"/>
      <c r="P268" s="28"/>
      <c r="Q268" s="30"/>
      <c r="R268" s="30"/>
      <c r="S268" s="31" t="str">
        <f aca="false">IF(OR(Q268="",R268=""),"",ROUND(R268/((Q268/100)^2),1))</f>
        <v/>
      </c>
      <c r="T268" s="28" t="str">
        <f aca="false">IF(S268="","",IF(S268&lt;18.5,"Underweight",IF(S268&lt;25,"Normal",IF(S268&lt;30,"Overweight","Obese"))))</f>
        <v/>
      </c>
      <c r="U268" s="30"/>
      <c r="V268" s="30"/>
      <c r="W268" s="28"/>
      <c r="X268" s="28"/>
      <c r="Y268" s="28"/>
      <c r="Z268" s="28"/>
      <c r="AA268" s="28"/>
      <c r="AB268" s="28"/>
      <c r="AC268" s="28"/>
      <c r="AD268" s="28"/>
      <c r="AE268" s="28"/>
      <c r="AF268" s="28"/>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c r="BD268" s="28"/>
      <c r="BE268" s="28"/>
      <c r="BF268" s="31" t="str">
        <f aca="false">IF(T268="","",IF(T268="Normal",100,IF(T268="Overweight",65,IF(T268="Obese",50,IF(AND(U268&lt;&gt;"",U268&lt;18.5),30,45)))))</f>
        <v/>
      </c>
      <c r="BG268" s="31" t="str">
        <f aca="false">IF(COUNTBLANK(W268:AC268)&gt;0,"",ROUND(AVERAGE(INDEX('SCORING MASTER'!$D$5:$D$7,MATCH(W268,'SCORING MASTER'!$C$5:$C$7,0)),INDEX('SCORING MASTER'!$D$9:$D$11,MATCH(X268,'SCORING MASTER'!$C$9:$C$11,0)),INDEX('SCORING MASTER'!$D$13:$D$15,MATCH(Y268,'SCORING MASTER'!$C$13:$C$15,0)),INDEX('SCORING MASTER'!$D$17:$D$19,MATCH(Z268,'SCORING MASTER'!$C$17:$C$19,0)),INDEX('SCORING MASTER'!$D$21:$D$23,MATCH(AA268,'SCORING MASTER'!$C$21:$C$23,0)),INDEX('SCORING MASTER'!$D$25:$D$27,MATCH(AB268,'SCORING MASTER'!$C$25:$C$27,0)),INDEX('SCORING MASTER'!$D$29:$D$31,MATCH(AC268,'SCORING MASTER'!$C$29:$C$31,0)))*20,0))</f>
        <v/>
      </c>
      <c r="BH268" s="31" t="str">
        <f aca="false">IF(COUNTBLANK(AD268:AI268)&gt;0,"",ROUND(AVERAGE(INDEX('SCORING MASTER'!$D$33:$D$35,MATCH(AD268,'SCORING MASTER'!$C$33:$C$35,0)),INDEX('SCORING MASTER'!$D$37:$D$39,MATCH(AE268,'SCORING MASTER'!$C$37:$C$39,0)),INDEX('SCORING MASTER'!$D$41:$D$43,MATCH(AF268,'SCORING MASTER'!$C$41:$C$43,0)),INDEX('SCORING MASTER'!$D$45:$D$47,MATCH(AG268,'SCORING MASTER'!$C$45:$C$47,0)),INDEX('SCORING MASTER'!$D$49:$D$52,MATCH(AH268,'SCORING MASTER'!$C$49:$C$52,0)),INDEX('SCORING MASTER'!$D$54:$D$57,MATCH(AI268,'SCORING MASTER'!$C$54:$C$57,0)))*20,0))</f>
        <v/>
      </c>
      <c r="BI268" s="31" t="str">
        <f aca="false">IF(COUNTBLANK(AJ268:AP268)&gt;0,"",ROUND(AVERAGE(INDEX('SCORING MASTER'!$D$59:$D$60,MATCH(AJ268,'SCORING MASTER'!$C$59:$C$60,0)),INDEX('SCORING MASTER'!$D$62:$D$63,MATCH(AK268,'SCORING MASTER'!$C$62:$C$63,0)),INDEX('SCORING MASTER'!$D$65:$D$66,MATCH(AL268,'SCORING MASTER'!$C$65:$C$66,0)),INDEX('SCORING MASTER'!$D$68:$D$69,MATCH(AM268,'SCORING MASTER'!$C$68:$C$69,0)),INDEX('SCORING MASTER'!$D$71:$D$72,MATCH(AN268,'SCORING MASTER'!$C$71:$C$72,0)),INDEX('SCORING MASTER'!$D$74:$D$75,MATCH(AO268,'SCORING MASTER'!$C$74:$C$75,0)),INDEX('SCORING MASTER'!$D$77:$D$78,MATCH(AP268,'SCORING MASTER'!$C$77:$C$78,0)))*20,0))</f>
        <v/>
      </c>
      <c r="BJ268" s="31" t="str">
        <f aca="false">IF(COUNTBLANK(AU268:AZ268)&gt;0,"",ROUND(AVERAGE(INDEX('SCORING MASTER'!$D$95:$D$96,MATCH(AU268,'SCORING MASTER'!$C$95:$C$96,0)),INDEX('SCORING MASTER'!$D$98:$D$99,MATCH(AV268,'SCORING MASTER'!$C$98:$C$99,0)),INDEX('SCORING MASTER'!$D$101:$D$102,MATCH(AW268,'SCORING MASTER'!$C$101:$C$102,0)),INDEX('SCORING MASTER'!$D$104:$D$105,MATCH(AX268,'SCORING MASTER'!$C$104:$C$105,0)),INDEX('SCORING MASTER'!$D$107:$D$108,MATCH(AY268,'SCORING MASTER'!$C$107:$C$108,0)),INDEX('SCORING MASTER'!$D$110:$D$111,MATCH(AZ268,'SCORING MASTER'!$C$110:$C$111,0)))*20,0))</f>
        <v/>
      </c>
      <c r="BK268" s="31" t="str">
        <f aca="false">IF(COUNTBLANK(AQ268:AT268)&gt;0,"",ROUND(AVERAGE(INDEX('SCORING MASTER'!$D$80:$D$82,MATCH(AQ268,'SCORING MASTER'!$C$80:$C$82,0)),INDEX('SCORING MASTER'!$D$84:$D$86,MATCH(AR268,'SCORING MASTER'!$C$84:$C$86,0)),INDEX('SCORING MASTER'!$D$88:$D$90,MATCH(AS268,'SCORING MASTER'!$C$88:$C$90,0)),INDEX('SCORING MASTER'!$D$92:$D$93,MATCH(AT268,'SCORING MASTER'!$C$92:$C$93,0)))*20,0))</f>
        <v/>
      </c>
      <c r="BL268" s="31" t="str">
        <f aca="false">IF(COUNTBLANK(BA268:BE268)&gt;0,"",ROUND(AVERAGE(INDEX('SCORING MASTER'!$D$113:$D$115,MATCH(BA268,'SCORING MASTER'!$C$113:$C$115,0)),INDEX('SCORING MASTER'!$D$117:$D$119,MATCH(BB268,'SCORING MASTER'!$C$117:$C$119,0)),INDEX('SCORING MASTER'!$D$121:$D$123,MATCH(BC268,'SCORING MASTER'!$C$121:$C$123,0)),INDEX('SCORING MASTER'!$D$125:$D$126,MATCH(BD268,'SCORING MASTER'!$C$125:$C$126,0)),INDEX('SCORING MASTER'!$D$128:$D$129,MATCH(BE268,'SCORING MASTER'!$C$128:$C$129,0)))*20,0))</f>
        <v/>
      </c>
      <c r="BM268" s="31" t="str">
        <f aca="false">IF(OR(BF268="",BG268="",BH268="",BI268="",BJ268="",BK268="",BL268=""),"",ROUND(BF268*0.25+BG268*0.2+BH268*0.15+BI268*0.15+BJ268*0.1+BK268*0.1+BL268*0.05,0))</f>
        <v/>
      </c>
      <c r="BN268" s="31" t="str">
        <f aca="false">IF(OR(BF268="",BG268=""),"",ROUND(BF268*0.5+BG268*0.5,0))</f>
        <v/>
      </c>
      <c r="BO268" s="31" t="str">
        <f aca="false">IF(BN268="","",ROUND(MIN(100,MAX(0,(100-BN268)+IF(AL268="Yes",15,0)+IF(AM268="Yes",15,0)+IF(AND(U268&lt;&gt;"",U268&lt;18.5),20,0))),0))</f>
        <v/>
      </c>
      <c r="BP268" s="28" t="str">
        <f aca="false">IF(BM268="","",IF(BM268&gt;=90,"Green - Healthy",IF(BM268&gt;=75,"Light Green - Mild Watch",IF(BM268&gt;=60,"Yellow - Mild Risk",IF(BM268&gt;=40,"Orange - Moderate Risk","Red - High Risk")))))</f>
        <v/>
      </c>
      <c r="BQ268" s="28" t="str">
        <f aca="false">IF(BM268="","",IF(OR(BM268&lt;60,BO268&gt;=60,AJ268="Yes"),"Yes","No"))</f>
        <v/>
      </c>
      <c r="BR268" s="28" t="str">
        <f aca="false">IF(BM268="","",IF(OR(BP268="Orange - Moderate Risk",BP268="Red - High Risk",BQ268="Yes"),"Yes","No"))</f>
        <v/>
      </c>
    </row>
    <row r="269" customFormat="false" ht="15" hidden="false" customHeight="false" outlineLevel="0" collapsed="false">
      <c r="A269" s="32" t="str">
        <f aca="false">IF(I269="","","STU"&amp;TEXT(ROW()-3,"000000"))</f>
        <v/>
      </c>
      <c r="B269" s="32"/>
      <c r="C269" s="32"/>
      <c r="D269" s="32"/>
      <c r="E269" s="32"/>
      <c r="F269" s="32"/>
      <c r="G269" s="32"/>
      <c r="H269" s="32"/>
      <c r="I269" s="32"/>
      <c r="J269" s="34"/>
      <c r="K269" s="32"/>
      <c r="L269" s="32"/>
      <c r="M269" s="32"/>
      <c r="N269" s="32"/>
      <c r="O269" s="32"/>
      <c r="P269" s="32"/>
      <c r="Q269" s="34"/>
      <c r="R269" s="34"/>
      <c r="S269" s="35" t="str">
        <f aca="false">IF(OR(Q269="",R269=""),"",ROUND(R269/((Q269/100)^2),1))</f>
        <v/>
      </c>
      <c r="T269" s="32" t="str">
        <f aca="false">IF(S269="","",IF(S269&lt;18.5,"Underweight",IF(S269&lt;25,"Normal",IF(S269&lt;30,"Overweight","Obese"))))</f>
        <v/>
      </c>
      <c r="U269" s="34"/>
      <c r="V269" s="34"/>
      <c r="W269" s="32"/>
      <c r="X269" s="32"/>
      <c r="Y269" s="32"/>
      <c r="Z269" s="32"/>
      <c r="AA269" s="32"/>
      <c r="AB269" s="32"/>
      <c r="AC269" s="32"/>
      <c r="AD269" s="32"/>
      <c r="AE269" s="32"/>
      <c r="AF269" s="32"/>
      <c r="AG269" s="32"/>
      <c r="AH269" s="32"/>
      <c r="AI269" s="32"/>
      <c r="AJ269" s="32"/>
      <c r="AK269" s="32"/>
      <c r="AL269" s="32"/>
      <c r="AM269" s="32"/>
      <c r="AN269" s="32"/>
      <c r="AO269" s="32"/>
      <c r="AP269" s="32"/>
      <c r="AQ269" s="32"/>
      <c r="AR269" s="32"/>
      <c r="AS269" s="32"/>
      <c r="AT269" s="32"/>
      <c r="AU269" s="32"/>
      <c r="AV269" s="32"/>
      <c r="AW269" s="32"/>
      <c r="AX269" s="32"/>
      <c r="AY269" s="32"/>
      <c r="AZ269" s="32"/>
      <c r="BA269" s="32"/>
      <c r="BB269" s="32"/>
      <c r="BC269" s="32"/>
      <c r="BD269" s="32"/>
      <c r="BE269" s="32"/>
      <c r="BF269" s="35" t="str">
        <f aca="false">IF(T269="","",IF(T269="Normal",100,IF(T269="Overweight",65,IF(T269="Obese",50,IF(AND(U269&lt;&gt;"",U269&lt;18.5),30,45)))))</f>
        <v/>
      </c>
      <c r="BG269" s="35" t="str">
        <f aca="false">IF(COUNTBLANK(W269:AC269)&gt;0,"",ROUND(AVERAGE(INDEX('SCORING MASTER'!$D$5:$D$7,MATCH(W269,'SCORING MASTER'!$C$5:$C$7,0)),INDEX('SCORING MASTER'!$D$9:$D$11,MATCH(X269,'SCORING MASTER'!$C$9:$C$11,0)),INDEX('SCORING MASTER'!$D$13:$D$15,MATCH(Y269,'SCORING MASTER'!$C$13:$C$15,0)),INDEX('SCORING MASTER'!$D$17:$D$19,MATCH(Z269,'SCORING MASTER'!$C$17:$C$19,0)),INDEX('SCORING MASTER'!$D$21:$D$23,MATCH(AA269,'SCORING MASTER'!$C$21:$C$23,0)),INDEX('SCORING MASTER'!$D$25:$D$27,MATCH(AB269,'SCORING MASTER'!$C$25:$C$27,0)),INDEX('SCORING MASTER'!$D$29:$D$31,MATCH(AC269,'SCORING MASTER'!$C$29:$C$31,0)))*20,0))</f>
        <v/>
      </c>
      <c r="BH269" s="35" t="str">
        <f aca="false">IF(COUNTBLANK(AD269:AI269)&gt;0,"",ROUND(AVERAGE(INDEX('SCORING MASTER'!$D$33:$D$35,MATCH(AD269,'SCORING MASTER'!$C$33:$C$35,0)),INDEX('SCORING MASTER'!$D$37:$D$39,MATCH(AE269,'SCORING MASTER'!$C$37:$C$39,0)),INDEX('SCORING MASTER'!$D$41:$D$43,MATCH(AF269,'SCORING MASTER'!$C$41:$C$43,0)),INDEX('SCORING MASTER'!$D$45:$D$47,MATCH(AG269,'SCORING MASTER'!$C$45:$C$47,0)),INDEX('SCORING MASTER'!$D$49:$D$52,MATCH(AH269,'SCORING MASTER'!$C$49:$C$52,0)),INDEX('SCORING MASTER'!$D$54:$D$57,MATCH(AI269,'SCORING MASTER'!$C$54:$C$57,0)))*20,0))</f>
        <v/>
      </c>
      <c r="BI269" s="35" t="str">
        <f aca="false">IF(COUNTBLANK(AJ269:AP269)&gt;0,"",ROUND(AVERAGE(INDEX('SCORING MASTER'!$D$59:$D$60,MATCH(AJ269,'SCORING MASTER'!$C$59:$C$60,0)),INDEX('SCORING MASTER'!$D$62:$D$63,MATCH(AK269,'SCORING MASTER'!$C$62:$C$63,0)),INDEX('SCORING MASTER'!$D$65:$D$66,MATCH(AL269,'SCORING MASTER'!$C$65:$C$66,0)),INDEX('SCORING MASTER'!$D$68:$D$69,MATCH(AM269,'SCORING MASTER'!$C$68:$C$69,0)),INDEX('SCORING MASTER'!$D$71:$D$72,MATCH(AN269,'SCORING MASTER'!$C$71:$C$72,0)),INDEX('SCORING MASTER'!$D$74:$D$75,MATCH(AO269,'SCORING MASTER'!$C$74:$C$75,0)),INDEX('SCORING MASTER'!$D$77:$D$78,MATCH(AP269,'SCORING MASTER'!$C$77:$C$78,0)))*20,0))</f>
        <v/>
      </c>
      <c r="BJ269" s="35" t="str">
        <f aca="false">IF(COUNTBLANK(AU269:AZ269)&gt;0,"",ROUND(AVERAGE(INDEX('SCORING MASTER'!$D$95:$D$96,MATCH(AU269,'SCORING MASTER'!$C$95:$C$96,0)),INDEX('SCORING MASTER'!$D$98:$D$99,MATCH(AV269,'SCORING MASTER'!$C$98:$C$99,0)),INDEX('SCORING MASTER'!$D$101:$D$102,MATCH(AW269,'SCORING MASTER'!$C$101:$C$102,0)),INDEX('SCORING MASTER'!$D$104:$D$105,MATCH(AX269,'SCORING MASTER'!$C$104:$C$105,0)),INDEX('SCORING MASTER'!$D$107:$D$108,MATCH(AY269,'SCORING MASTER'!$C$107:$C$108,0)),INDEX('SCORING MASTER'!$D$110:$D$111,MATCH(AZ269,'SCORING MASTER'!$C$110:$C$111,0)))*20,0))</f>
        <v/>
      </c>
      <c r="BK269" s="35" t="str">
        <f aca="false">IF(COUNTBLANK(AQ269:AT269)&gt;0,"",ROUND(AVERAGE(INDEX('SCORING MASTER'!$D$80:$D$82,MATCH(AQ269,'SCORING MASTER'!$C$80:$C$82,0)),INDEX('SCORING MASTER'!$D$84:$D$86,MATCH(AR269,'SCORING MASTER'!$C$84:$C$86,0)),INDEX('SCORING MASTER'!$D$88:$D$90,MATCH(AS269,'SCORING MASTER'!$C$88:$C$90,0)),INDEX('SCORING MASTER'!$D$92:$D$93,MATCH(AT269,'SCORING MASTER'!$C$92:$C$93,0)))*20,0))</f>
        <v/>
      </c>
      <c r="BL269" s="35" t="str">
        <f aca="false">IF(COUNTBLANK(BA269:BE269)&gt;0,"",ROUND(AVERAGE(INDEX('SCORING MASTER'!$D$113:$D$115,MATCH(BA269,'SCORING MASTER'!$C$113:$C$115,0)),INDEX('SCORING MASTER'!$D$117:$D$119,MATCH(BB269,'SCORING MASTER'!$C$117:$C$119,0)),INDEX('SCORING MASTER'!$D$121:$D$123,MATCH(BC269,'SCORING MASTER'!$C$121:$C$123,0)),INDEX('SCORING MASTER'!$D$125:$D$126,MATCH(BD269,'SCORING MASTER'!$C$125:$C$126,0)),INDEX('SCORING MASTER'!$D$128:$D$129,MATCH(BE269,'SCORING MASTER'!$C$128:$C$129,0)))*20,0))</f>
        <v/>
      </c>
      <c r="BM269" s="35" t="str">
        <f aca="false">IF(OR(BF269="",BG269="",BH269="",BI269="",BJ269="",BK269="",BL269=""),"",ROUND(BF269*0.25+BG269*0.2+BH269*0.15+BI269*0.15+BJ269*0.1+BK269*0.1+BL269*0.05,0))</f>
        <v/>
      </c>
      <c r="BN269" s="35" t="str">
        <f aca="false">IF(OR(BF269="",BG269=""),"",ROUND(BF269*0.5+BG269*0.5,0))</f>
        <v/>
      </c>
      <c r="BO269" s="35" t="str">
        <f aca="false">IF(BN269="","",ROUND(MIN(100,MAX(0,(100-BN269)+IF(AL269="Yes",15,0)+IF(AM269="Yes",15,0)+IF(AND(U269&lt;&gt;"",U269&lt;18.5),20,0))),0))</f>
        <v/>
      </c>
      <c r="BP269" s="32" t="str">
        <f aca="false">IF(BM269="","",IF(BM269&gt;=90,"Green - Healthy",IF(BM269&gt;=75,"Light Green - Mild Watch",IF(BM269&gt;=60,"Yellow - Mild Risk",IF(BM269&gt;=40,"Orange - Moderate Risk","Red - High Risk")))))</f>
        <v/>
      </c>
      <c r="BQ269" s="32" t="str">
        <f aca="false">IF(BM269="","",IF(OR(BM269&lt;60,BO269&gt;=60,AJ269="Yes"),"Yes","No"))</f>
        <v/>
      </c>
      <c r="BR269" s="32" t="str">
        <f aca="false">IF(BM269="","",IF(OR(BP269="Orange - Moderate Risk",BP269="Red - High Risk",BQ269="Yes"),"Yes","No"))</f>
        <v/>
      </c>
    </row>
    <row r="270" customFormat="false" ht="15" hidden="false" customHeight="false" outlineLevel="0" collapsed="false">
      <c r="A270" s="28" t="str">
        <f aca="false">IF(I270="","","STU"&amp;TEXT(ROW()-3,"000000"))</f>
        <v/>
      </c>
      <c r="B270" s="28"/>
      <c r="C270" s="28"/>
      <c r="D270" s="28"/>
      <c r="E270" s="28"/>
      <c r="F270" s="28"/>
      <c r="G270" s="28"/>
      <c r="H270" s="28"/>
      <c r="I270" s="28"/>
      <c r="J270" s="30"/>
      <c r="K270" s="28"/>
      <c r="L270" s="28"/>
      <c r="M270" s="28"/>
      <c r="N270" s="28"/>
      <c r="O270" s="28"/>
      <c r="P270" s="28"/>
      <c r="Q270" s="30"/>
      <c r="R270" s="30"/>
      <c r="S270" s="31" t="str">
        <f aca="false">IF(OR(Q270="",R270=""),"",ROUND(R270/((Q270/100)^2),1))</f>
        <v/>
      </c>
      <c r="T270" s="28" t="str">
        <f aca="false">IF(S270="","",IF(S270&lt;18.5,"Underweight",IF(S270&lt;25,"Normal",IF(S270&lt;30,"Overweight","Obese"))))</f>
        <v/>
      </c>
      <c r="U270" s="30"/>
      <c r="V270" s="30"/>
      <c r="W270" s="28"/>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c r="BD270" s="28"/>
      <c r="BE270" s="28"/>
      <c r="BF270" s="31" t="str">
        <f aca="false">IF(T270="","",IF(T270="Normal",100,IF(T270="Overweight",65,IF(T270="Obese",50,IF(AND(U270&lt;&gt;"",U270&lt;18.5),30,45)))))</f>
        <v/>
      </c>
      <c r="BG270" s="31" t="str">
        <f aca="false">IF(COUNTBLANK(W270:AC270)&gt;0,"",ROUND(AVERAGE(INDEX('SCORING MASTER'!$D$5:$D$7,MATCH(W270,'SCORING MASTER'!$C$5:$C$7,0)),INDEX('SCORING MASTER'!$D$9:$D$11,MATCH(X270,'SCORING MASTER'!$C$9:$C$11,0)),INDEX('SCORING MASTER'!$D$13:$D$15,MATCH(Y270,'SCORING MASTER'!$C$13:$C$15,0)),INDEX('SCORING MASTER'!$D$17:$D$19,MATCH(Z270,'SCORING MASTER'!$C$17:$C$19,0)),INDEX('SCORING MASTER'!$D$21:$D$23,MATCH(AA270,'SCORING MASTER'!$C$21:$C$23,0)),INDEX('SCORING MASTER'!$D$25:$D$27,MATCH(AB270,'SCORING MASTER'!$C$25:$C$27,0)),INDEX('SCORING MASTER'!$D$29:$D$31,MATCH(AC270,'SCORING MASTER'!$C$29:$C$31,0)))*20,0))</f>
        <v/>
      </c>
      <c r="BH270" s="31" t="str">
        <f aca="false">IF(COUNTBLANK(AD270:AI270)&gt;0,"",ROUND(AVERAGE(INDEX('SCORING MASTER'!$D$33:$D$35,MATCH(AD270,'SCORING MASTER'!$C$33:$C$35,0)),INDEX('SCORING MASTER'!$D$37:$D$39,MATCH(AE270,'SCORING MASTER'!$C$37:$C$39,0)),INDEX('SCORING MASTER'!$D$41:$D$43,MATCH(AF270,'SCORING MASTER'!$C$41:$C$43,0)),INDEX('SCORING MASTER'!$D$45:$D$47,MATCH(AG270,'SCORING MASTER'!$C$45:$C$47,0)),INDEX('SCORING MASTER'!$D$49:$D$52,MATCH(AH270,'SCORING MASTER'!$C$49:$C$52,0)),INDEX('SCORING MASTER'!$D$54:$D$57,MATCH(AI270,'SCORING MASTER'!$C$54:$C$57,0)))*20,0))</f>
        <v/>
      </c>
      <c r="BI270" s="31" t="str">
        <f aca="false">IF(COUNTBLANK(AJ270:AP270)&gt;0,"",ROUND(AVERAGE(INDEX('SCORING MASTER'!$D$59:$D$60,MATCH(AJ270,'SCORING MASTER'!$C$59:$C$60,0)),INDEX('SCORING MASTER'!$D$62:$D$63,MATCH(AK270,'SCORING MASTER'!$C$62:$C$63,0)),INDEX('SCORING MASTER'!$D$65:$D$66,MATCH(AL270,'SCORING MASTER'!$C$65:$C$66,0)),INDEX('SCORING MASTER'!$D$68:$D$69,MATCH(AM270,'SCORING MASTER'!$C$68:$C$69,0)),INDEX('SCORING MASTER'!$D$71:$D$72,MATCH(AN270,'SCORING MASTER'!$C$71:$C$72,0)),INDEX('SCORING MASTER'!$D$74:$D$75,MATCH(AO270,'SCORING MASTER'!$C$74:$C$75,0)),INDEX('SCORING MASTER'!$D$77:$D$78,MATCH(AP270,'SCORING MASTER'!$C$77:$C$78,0)))*20,0))</f>
        <v/>
      </c>
      <c r="BJ270" s="31" t="str">
        <f aca="false">IF(COUNTBLANK(AU270:AZ270)&gt;0,"",ROUND(AVERAGE(INDEX('SCORING MASTER'!$D$95:$D$96,MATCH(AU270,'SCORING MASTER'!$C$95:$C$96,0)),INDEX('SCORING MASTER'!$D$98:$D$99,MATCH(AV270,'SCORING MASTER'!$C$98:$C$99,0)),INDEX('SCORING MASTER'!$D$101:$D$102,MATCH(AW270,'SCORING MASTER'!$C$101:$C$102,0)),INDEX('SCORING MASTER'!$D$104:$D$105,MATCH(AX270,'SCORING MASTER'!$C$104:$C$105,0)),INDEX('SCORING MASTER'!$D$107:$D$108,MATCH(AY270,'SCORING MASTER'!$C$107:$C$108,0)),INDEX('SCORING MASTER'!$D$110:$D$111,MATCH(AZ270,'SCORING MASTER'!$C$110:$C$111,0)))*20,0))</f>
        <v/>
      </c>
      <c r="BK270" s="31" t="str">
        <f aca="false">IF(COUNTBLANK(AQ270:AT270)&gt;0,"",ROUND(AVERAGE(INDEX('SCORING MASTER'!$D$80:$D$82,MATCH(AQ270,'SCORING MASTER'!$C$80:$C$82,0)),INDEX('SCORING MASTER'!$D$84:$D$86,MATCH(AR270,'SCORING MASTER'!$C$84:$C$86,0)),INDEX('SCORING MASTER'!$D$88:$D$90,MATCH(AS270,'SCORING MASTER'!$C$88:$C$90,0)),INDEX('SCORING MASTER'!$D$92:$D$93,MATCH(AT270,'SCORING MASTER'!$C$92:$C$93,0)))*20,0))</f>
        <v/>
      </c>
      <c r="BL270" s="31" t="str">
        <f aca="false">IF(COUNTBLANK(BA270:BE270)&gt;0,"",ROUND(AVERAGE(INDEX('SCORING MASTER'!$D$113:$D$115,MATCH(BA270,'SCORING MASTER'!$C$113:$C$115,0)),INDEX('SCORING MASTER'!$D$117:$D$119,MATCH(BB270,'SCORING MASTER'!$C$117:$C$119,0)),INDEX('SCORING MASTER'!$D$121:$D$123,MATCH(BC270,'SCORING MASTER'!$C$121:$C$123,0)),INDEX('SCORING MASTER'!$D$125:$D$126,MATCH(BD270,'SCORING MASTER'!$C$125:$C$126,0)),INDEX('SCORING MASTER'!$D$128:$D$129,MATCH(BE270,'SCORING MASTER'!$C$128:$C$129,0)))*20,0))</f>
        <v/>
      </c>
      <c r="BM270" s="31" t="str">
        <f aca="false">IF(OR(BF270="",BG270="",BH270="",BI270="",BJ270="",BK270="",BL270=""),"",ROUND(BF270*0.25+BG270*0.2+BH270*0.15+BI270*0.15+BJ270*0.1+BK270*0.1+BL270*0.05,0))</f>
        <v/>
      </c>
      <c r="BN270" s="31" t="str">
        <f aca="false">IF(OR(BF270="",BG270=""),"",ROUND(BF270*0.5+BG270*0.5,0))</f>
        <v/>
      </c>
      <c r="BO270" s="31" t="str">
        <f aca="false">IF(BN270="","",ROUND(MIN(100,MAX(0,(100-BN270)+IF(AL270="Yes",15,0)+IF(AM270="Yes",15,0)+IF(AND(U270&lt;&gt;"",U270&lt;18.5),20,0))),0))</f>
        <v/>
      </c>
      <c r="BP270" s="28" t="str">
        <f aca="false">IF(BM270="","",IF(BM270&gt;=90,"Green - Healthy",IF(BM270&gt;=75,"Light Green - Mild Watch",IF(BM270&gt;=60,"Yellow - Mild Risk",IF(BM270&gt;=40,"Orange - Moderate Risk","Red - High Risk")))))</f>
        <v/>
      </c>
      <c r="BQ270" s="28" t="str">
        <f aca="false">IF(BM270="","",IF(OR(BM270&lt;60,BO270&gt;=60,AJ270="Yes"),"Yes","No"))</f>
        <v/>
      </c>
      <c r="BR270" s="28" t="str">
        <f aca="false">IF(BM270="","",IF(OR(BP270="Orange - Moderate Risk",BP270="Red - High Risk",BQ270="Yes"),"Yes","No"))</f>
        <v/>
      </c>
    </row>
    <row r="271" customFormat="false" ht="15" hidden="false" customHeight="false" outlineLevel="0" collapsed="false">
      <c r="A271" s="32" t="str">
        <f aca="false">IF(I271="","","STU"&amp;TEXT(ROW()-3,"000000"))</f>
        <v/>
      </c>
      <c r="B271" s="32"/>
      <c r="C271" s="32"/>
      <c r="D271" s="32"/>
      <c r="E271" s="32"/>
      <c r="F271" s="32"/>
      <c r="G271" s="32"/>
      <c r="H271" s="32"/>
      <c r="I271" s="32"/>
      <c r="J271" s="34"/>
      <c r="K271" s="32"/>
      <c r="L271" s="32"/>
      <c r="M271" s="32"/>
      <c r="N271" s="32"/>
      <c r="O271" s="32"/>
      <c r="P271" s="32"/>
      <c r="Q271" s="34"/>
      <c r="R271" s="34"/>
      <c r="S271" s="35" t="str">
        <f aca="false">IF(OR(Q271="",R271=""),"",ROUND(R271/((Q271/100)^2),1))</f>
        <v/>
      </c>
      <c r="T271" s="32" t="str">
        <f aca="false">IF(S271="","",IF(S271&lt;18.5,"Underweight",IF(S271&lt;25,"Normal",IF(S271&lt;30,"Overweight","Obese"))))</f>
        <v/>
      </c>
      <c r="U271" s="34"/>
      <c r="V271" s="34"/>
      <c r="W271" s="32"/>
      <c r="X271" s="32"/>
      <c r="Y271" s="32"/>
      <c r="Z271" s="32"/>
      <c r="AA271" s="32"/>
      <c r="AB271" s="32"/>
      <c r="AC271" s="32"/>
      <c r="AD271" s="32"/>
      <c r="AE271" s="32"/>
      <c r="AF271" s="32"/>
      <c r="AG271" s="32"/>
      <c r="AH271" s="32"/>
      <c r="AI271" s="32"/>
      <c r="AJ271" s="32"/>
      <c r="AK271" s="32"/>
      <c r="AL271" s="32"/>
      <c r="AM271" s="32"/>
      <c r="AN271" s="32"/>
      <c r="AO271" s="32"/>
      <c r="AP271" s="32"/>
      <c r="AQ271" s="32"/>
      <c r="AR271" s="32"/>
      <c r="AS271" s="32"/>
      <c r="AT271" s="32"/>
      <c r="AU271" s="32"/>
      <c r="AV271" s="32"/>
      <c r="AW271" s="32"/>
      <c r="AX271" s="32"/>
      <c r="AY271" s="32"/>
      <c r="AZ271" s="32"/>
      <c r="BA271" s="32"/>
      <c r="BB271" s="32"/>
      <c r="BC271" s="32"/>
      <c r="BD271" s="32"/>
      <c r="BE271" s="32"/>
      <c r="BF271" s="35" t="str">
        <f aca="false">IF(T271="","",IF(T271="Normal",100,IF(T271="Overweight",65,IF(T271="Obese",50,IF(AND(U271&lt;&gt;"",U271&lt;18.5),30,45)))))</f>
        <v/>
      </c>
      <c r="BG271" s="35" t="str">
        <f aca="false">IF(COUNTBLANK(W271:AC271)&gt;0,"",ROUND(AVERAGE(INDEX('SCORING MASTER'!$D$5:$D$7,MATCH(W271,'SCORING MASTER'!$C$5:$C$7,0)),INDEX('SCORING MASTER'!$D$9:$D$11,MATCH(X271,'SCORING MASTER'!$C$9:$C$11,0)),INDEX('SCORING MASTER'!$D$13:$D$15,MATCH(Y271,'SCORING MASTER'!$C$13:$C$15,0)),INDEX('SCORING MASTER'!$D$17:$D$19,MATCH(Z271,'SCORING MASTER'!$C$17:$C$19,0)),INDEX('SCORING MASTER'!$D$21:$D$23,MATCH(AA271,'SCORING MASTER'!$C$21:$C$23,0)),INDEX('SCORING MASTER'!$D$25:$D$27,MATCH(AB271,'SCORING MASTER'!$C$25:$C$27,0)),INDEX('SCORING MASTER'!$D$29:$D$31,MATCH(AC271,'SCORING MASTER'!$C$29:$C$31,0)))*20,0))</f>
        <v/>
      </c>
      <c r="BH271" s="35" t="str">
        <f aca="false">IF(COUNTBLANK(AD271:AI271)&gt;0,"",ROUND(AVERAGE(INDEX('SCORING MASTER'!$D$33:$D$35,MATCH(AD271,'SCORING MASTER'!$C$33:$C$35,0)),INDEX('SCORING MASTER'!$D$37:$D$39,MATCH(AE271,'SCORING MASTER'!$C$37:$C$39,0)),INDEX('SCORING MASTER'!$D$41:$D$43,MATCH(AF271,'SCORING MASTER'!$C$41:$C$43,0)),INDEX('SCORING MASTER'!$D$45:$D$47,MATCH(AG271,'SCORING MASTER'!$C$45:$C$47,0)),INDEX('SCORING MASTER'!$D$49:$D$52,MATCH(AH271,'SCORING MASTER'!$C$49:$C$52,0)),INDEX('SCORING MASTER'!$D$54:$D$57,MATCH(AI271,'SCORING MASTER'!$C$54:$C$57,0)))*20,0))</f>
        <v/>
      </c>
      <c r="BI271" s="35" t="str">
        <f aca="false">IF(COUNTBLANK(AJ271:AP271)&gt;0,"",ROUND(AVERAGE(INDEX('SCORING MASTER'!$D$59:$D$60,MATCH(AJ271,'SCORING MASTER'!$C$59:$C$60,0)),INDEX('SCORING MASTER'!$D$62:$D$63,MATCH(AK271,'SCORING MASTER'!$C$62:$C$63,0)),INDEX('SCORING MASTER'!$D$65:$D$66,MATCH(AL271,'SCORING MASTER'!$C$65:$C$66,0)),INDEX('SCORING MASTER'!$D$68:$D$69,MATCH(AM271,'SCORING MASTER'!$C$68:$C$69,0)),INDEX('SCORING MASTER'!$D$71:$D$72,MATCH(AN271,'SCORING MASTER'!$C$71:$C$72,0)),INDEX('SCORING MASTER'!$D$74:$D$75,MATCH(AO271,'SCORING MASTER'!$C$74:$C$75,0)),INDEX('SCORING MASTER'!$D$77:$D$78,MATCH(AP271,'SCORING MASTER'!$C$77:$C$78,0)))*20,0))</f>
        <v/>
      </c>
      <c r="BJ271" s="35" t="str">
        <f aca="false">IF(COUNTBLANK(AU271:AZ271)&gt;0,"",ROUND(AVERAGE(INDEX('SCORING MASTER'!$D$95:$D$96,MATCH(AU271,'SCORING MASTER'!$C$95:$C$96,0)),INDEX('SCORING MASTER'!$D$98:$D$99,MATCH(AV271,'SCORING MASTER'!$C$98:$C$99,0)),INDEX('SCORING MASTER'!$D$101:$D$102,MATCH(AW271,'SCORING MASTER'!$C$101:$C$102,0)),INDEX('SCORING MASTER'!$D$104:$D$105,MATCH(AX271,'SCORING MASTER'!$C$104:$C$105,0)),INDEX('SCORING MASTER'!$D$107:$D$108,MATCH(AY271,'SCORING MASTER'!$C$107:$C$108,0)),INDEX('SCORING MASTER'!$D$110:$D$111,MATCH(AZ271,'SCORING MASTER'!$C$110:$C$111,0)))*20,0))</f>
        <v/>
      </c>
      <c r="BK271" s="35" t="str">
        <f aca="false">IF(COUNTBLANK(AQ271:AT271)&gt;0,"",ROUND(AVERAGE(INDEX('SCORING MASTER'!$D$80:$D$82,MATCH(AQ271,'SCORING MASTER'!$C$80:$C$82,0)),INDEX('SCORING MASTER'!$D$84:$D$86,MATCH(AR271,'SCORING MASTER'!$C$84:$C$86,0)),INDEX('SCORING MASTER'!$D$88:$D$90,MATCH(AS271,'SCORING MASTER'!$C$88:$C$90,0)),INDEX('SCORING MASTER'!$D$92:$D$93,MATCH(AT271,'SCORING MASTER'!$C$92:$C$93,0)))*20,0))</f>
        <v/>
      </c>
      <c r="BL271" s="35" t="str">
        <f aca="false">IF(COUNTBLANK(BA271:BE271)&gt;0,"",ROUND(AVERAGE(INDEX('SCORING MASTER'!$D$113:$D$115,MATCH(BA271,'SCORING MASTER'!$C$113:$C$115,0)),INDEX('SCORING MASTER'!$D$117:$D$119,MATCH(BB271,'SCORING MASTER'!$C$117:$C$119,0)),INDEX('SCORING MASTER'!$D$121:$D$123,MATCH(BC271,'SCORING MASTER'!$C$121:$C$123,0)),INDEX('SCORING MASTER'!$D$125:$D$126,MATCH(BD271,'SCORING MASTER'!$C$125:$C$126,0)),INDEX('SCORING MASTER'!$D$128:$D$129,MATCH(BE271,'SCORING MASTER'!$C$128:$C$129,0)))*20,0))</f>
        <v/>
      </c>
      <c r="BM271" s="35" t="str">
        <f aca="false">IF(OR(BF271="",BG271="",BH271="",BI271="",BJ271="",BK271="",BL271=""),"",ROUND(BF271*0.25+BG271*0.2+BH271*0.15+BI271*0.15+BJ271*0.1+BK271*0.1+BL271*0.05,0))</f>
        <v/>
      </c>
      <c r="BN271" s="35" t="str">
        <f aca="false">IF(OR(BF271="",BG271=""),"",ROUND(BF271*0.5+BG271*0.5,0))</f>
        <v/>
      </c>
      <c r="BO271" s="35" t="str">
        <f aca="false">IF(BN271="","",ROUND(MIN(100,MAX(0,(100-BN271)+IF(AL271="Yes",15,0)+IF(AM271="Yes",15,0)+IF(AND(U271&lt;&gt;"",U271&lt;18.5),20,0))),0))</f>
        <v/>
      </c>
      <c r="BP271" s="32" t="str">
        <f aca="false">IF(BM271="","",IF(BM271&gt;=90,"Green - Healthy",IF(BM271&gt;=75,"Light Green - Mild Watch",IF(BM271&gt;=60,"Yellow - Mild Risk",IF(BM271&gt;=40,"Orange - Moderate Risk","Red - High Risk")))))</f>
        <v/>
      </c>
      <c r="BQ271" s="32" t="str">
        <f aca="false">IF(BM271="","",IF(OR(BM271&lt;60,BO271&gt;=60,AJ271="Yes"),"Yes","No"))</f>
        <v/>
      </c>
      <c r="BR271" s="32" t="str">
        <f aca="false">IF(BM271="","",IF(OR(BP271="Orange - Moderate Risk",BP271="Red - High Risk",BQ271="Yes"),"Yes","No"))</f>
        <v/>
      </c>
    </row>
    <row r="272" customFormat="false" ht="15" hidden="false" customHeight="false" outlineLevel="0" collapsed="false">
      <c r="A272" s="28" t="str">
        <f aca="false">IF(I272="","","STU"&amp;TEXT(ROW()-3,"000000"))</f>
        <v/>
      </c>
      <c r="B272" s="28"/>
      <c r="C272" s="28"/>
      <c r="D272" s="28"/>
      <c r="E272" s="28"/>
      <c r="F272" s="28"/>
      <c r="G272" s="28"/>
      <c r="H272" s="28"/>
      <c r="I272" s="28"/>
      <c r="J272" s="30"/>
      <c r="K272" s="28"/>
      <c r="L272" s="28"/>
      <c r="M272" s="28"/>
      <c r="N272" s="28"/>
      <c r="O272" s="28"/>
      <c r="P272" s="28"/>
      <c r="Q272" s="30"/>
      <c r="R272" s="30"/>
      <c r="S272" s="31" t="str">
        <f aca="false">IF(OR(Q272="",R272=""),"",ROUND(R272/((Q272/100)^2),1))</f>
        <v/>
      </c>
      <c r="T272" s="28" t="str">
        <f aca="false">IF(S272="","",IF(S272&lt;18.5,"Underweight",IF(S272&lt;25,"Normal",IF(S272&lt;30,"Overweight","Obese"))))</f>
        <v/>
      </c>
      <c r="U272" s="30"/>
      <c r="V272" s="30"/>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V272" s="28"/>
      <c r="AW272" s="28"/>
      <c r="AX272" s="28"/>
      <c r="AY272" s="28"/>
      <c r="AZ272" s="28"/>
      <c r="BA272" s="28"/>
      <c r="BB272" s="28"/>
      <c r="BC272" s="28"/>
      <c r="BD272" s="28"/>
      <c r="BE272" s="28"/>
      <c r="BF272" s="31" t="str">
        <f aca="false">IF(T272="","",IF(T272="Normal",100,IF(T272="Overweight",65,IF(T272="Obese",50,IF(AND(U272&lt;&gt;"",U272&lt;18.5),30,45)))))</f>
        <v/>
      </c>
      <c r="BG272" s="31" t="str">
        <f aca="false">IF(COUNTBLANK(W272:AC272)&gt;0,"",ROUND(AVERAGE(INDEX('SCORING MASTER'!$D$5:$D$7,MATCH(W272,'SCORING MASTER'!$C$5:$C$7,0)),INDEX('SCORING MASTER'!$D$9:$D$11,MATCH(X272,'SCORING MASTER'!$C$9:$C$11,0)),INDEX('SCORING MASTER'!$D$13:$D$15,MATCH(Y272,'SCORING MASTER'!$C$13:$C$15,0)),INDEX('SCORING MASTER'!$D$17:$D$19,MATCH(Z272,'SCORING MASTER'!$C$17:$C$19,0)),INDEX('SCORING MASTER'!$D$21:$D$23,MATCH(AA272,'SCORING MASTER'!$C$21:$C$23,0)),INDEX('SCORING MASTER'!$D$25:$D$27,MATCH(AB272,'SCORING MASTER'!$C$25:$C$27,0)),INDEX('SCORING MASTER'!$D$29:$D$31,MATCH(AC272,'SCORING MASTER'!$C$29:$C$31,0)))*20,0))</f>
        <v/>
      </c>
      <c r="BH272" s="31" t="str">
        <f aca="false">IF(COUNTBLANK(AD272:AI272)&gt;0,"",ROUND(AVERAGE(INDEX('SCORING MASTER'!$D$33:$D$35,MATCH(AD272,'SCORING MASTER'!$C$33:$C$35,0)),INDEX('SCORING MASTER'!$D$37:$D$39,MATCH(AE272,'SCORING MASTER'!$C$37:$C$39,0)),INDEX('SCORING MASTER'!$D$41:$D$43,MATCH(AF272,'SCORING MASTER'!$C$41:$C$43,0)),INDEX('SCORING MASTER'!$D$45:$D$47,MATCH(AG272,'SCORING MASTER'!$C$45:$C$47,0)),INDEX('SCORING MASTER'!$D$49:$D$52,MATCH(AH272,'SCORING MASTER'!$C$49:$C$52,0)),INDEX('SCORING MASTER'!$D$54:$D$57,MATCH(AI272,'SCORING MASTER'!$C$54:$C$57,0)))*20,0))</f>
        <v/>
      </c>
      <c r="BI272" s="31" t="str">
        <f aca="false">IF(COUNTBLANK(AJ272:AP272)&gt;0,"",ROUND(AVERAGE(INDEX('SCORING MASTER'!$D$59:$D$60,MATCH(AJ272,'SCORING MASTER'!$C$59:$C$60,0)),INDEX('SCORING MASTER'!$D$62:$D$63,MATCH(AK272,'SCORING MASTER'!$C$62:$C$63,0)),INDEX('SCORING MASTER'!$D$65:$D$66,MATCH(AL272,'SCORING MASTER'!$C$65:$C$66,0)),INDEX('SCORING MASTER'!$D$68:$D$69,MATCH(AM272,'SCORING MASTER'!$C$68:$C$69,0)),INDEX('SCORING MASTER'!$D$71:$D$72,MATCH(AN272,'SCORING MASTER'!$C$71:$C$72,0)),INDEX('SCORING MASTER'!$D$74:$D$75,MATCH(AO272,'SCORING MASTER'!$C$74:$C$75,0)),INDEX('SCORING MASTER'!$D$77:$D$78,MATCH(AP272,'SCORING MASTER'!$C$77:$C$78,0)))*20,0))</f>
        <v/>
      </c>
      <c r="BJ272" s="31" t="str">
        <f aca="false">IF(COUNTBLANK(AU272:AZ272)&gt;0,"",ROUND(AVERAGE(INDEX('SCORING MASTER'!$D$95:$D$96,MATCH(AU272,'SCORING MASTER'!$C$95:$C$96,0)),INDEX('SCORING MASTER'!$D$98:$D$99,MATCH(AV272,'SCORING MASTER'!$C$98:$C$99,0)),INDEX('SCORING MASTER'!$D$101:$D$102,MATCH(AW272,'SCORING MASTER'!$C$101:$C$102,0)),INDEX('SCORING MASTER'!$D$104:$D$105,MATCH(AX272,'SCORING MASTER'!$C$104:$C$105,0)),INDEX('SCORING MASTER'!$D$107:$D$108,MATCH(AY272,'SCORING MASTER'!$C$107:$C$108,0)),INDEX('SCORING MASTER'!$D$110:$D$111,MATCH(AZ272,'SCORING MASTER'!$C$110:$C$111,0)))*20,0))</f>
        <v/>
      </c>
      <c r="BK272" s="31" t="str">
        <f aca="false">IF(COUNTBLANK(AQ272:AT272)&gt;0,"",ROUND(AVERAGE(INDEX('SCORING MASTER'!$D$80:$D$82,MATCH(AQ272,'SCORING MASTER'!$C$80:$C$82,0)),INDEX('SCORING MASTER'!$D$84:$D$86,MATCH(AR272,'SCORING MASTER'!$C$84:$C$86,0)),INDEX('SCORING MASTER'!$D$88:$D$90,MATCH(AS272,'SCORING MASTER'!$C$88:$C$90,0)),INDEX('SCORING MASTER'!$D$92:$D$93,MATCH(AT272,'SCORING MASTER'!$C$92:$C$93,0)))*20,0))</f>
        <v/>
      </c>
      <c r="BL272" s="31" t="str">
        <f aca="false">IF(COUNTBLANK(BA272:BE272)&gt;0,"",ROUND(AVERAGE(INDEX('SCORING MASTER'!$D$113:$D$115,MATCH(BA272,'SCORING MASTER'!$C$113:$C$115,0)),INDEX('SCORING MASTER'!$D$117:$D$119,MATCH(BB272,'SCORING MASTER'!$C$117:$C$119,0)),INDEX('SCORING MASTER'!$D$121:$D$123,MATCH(BC272,'SCORING MASTER'!$C$121:$C$123,0)),INDEX('SCORING MASTER'!$D$125:$D$126,MATCH(BD272,'SCORING MASTER'!$C$125:$C$126,0)),INDEX('SCORING MASTER'!$D$128:$D$129,MATCH(BE272,'SCORING MASTER'!$C$128:$C$129,0)))*20,0))</f>
        <v/>
      </c>
      <c r="BM272" s="31" t="str">
        <f aca="false">IF(OR(BF272="",BG272="",BH272="",BI272="",BJ272="",BK272="",BL272=""),"",ROUND(BF272*0.25+BG272*0.2+BH272*0.15+BI272*0.15+BJ272*0.1+BK272*0.1+BL272*0.05,0))</f>
        <v/>
      </c>
      <c r="BN272" s="31" t="str">
        <f aca="false">IF(OR(BF272="",BG272=""),"",ROUND(BF272*0.5+BG272*0.5,0))</f>
        <v/>
      </c>
      <c r="BO272" s="31" t="str">
        <f aca="false">IF(BN272="","",ROUND(MIN(100,MAX(0,(100-BN272)+IF(AL272="Yes",15,0)+IF(AM272="Yes",15,0)+IF(AND(U272&lt;&gt;"",U272&lt;18.5),20,0))),0))</f>
        <v/>
      </c>
      <c r="BP272" s="28" t="str">
        <f aca="false">IF(BM272="","",IF(BM272&gt;=90,"Green - Healthy",IF(BM272&gt;=75,"Light Green - Mild Watch",IF(BM272&gt;=60,"Yellow - Mild Risk",IF(BM272&gt;=40,"Orange - Moderate Risk","Red - High Risk")))))</f>
        <v/>
      </c>
      <c r="BQ272" s="28" t="str">
        <f aca="false">IF(BM272="","",IF(OR(BM272&lt;60,BO272&gt;=60,AJ272="Yes"),"Yes","No"))</f>
        <v/>
      </c>
      <c r="BR272" s="28" t="str">
        <f aca="false">IF(BM272="","",IF(OR(BP272="Orange - Moderate Risk",BP272="Red - High Risk",BQ272="Yes"),"Yes","No"))</f>
        <v/>
      </c>
    </row>
    <row r="273" customFormat="false" ht="15" hidden="false" customHeight="false" outlineLevel="0" collapsed="false">
      <c r="A273" s="32" t="str">
        <f aca="false">IF(I273="","","STU"&amp;TEXT(ROW()-3,"000000"))</f>
        <v/>
      </c>
      <c r="B273" s="32"/>
      <c r="C273" s="32"/>
      <c r="D273" s="32"/>
      <c r="E273" s="32"/>
      <c r="F273" s="32"/>
      <c r="G273" s="32"/>
      <c r="H273" s="32"/>
      <c r="I273" s="32"/>
      <c r="J273" s="34"/>
      <c r="K273" s="32"/>
      <c r="L273" s="32"/>
      <c r="M273" s="32"/>
      <c r="N273" s="32"/>
      <c r="O273" s="32"/>
      <c r="P273" s="32"/>
      <c r="Q273" s="34"/>
      <c r="R273" s="34"/>
      <c r="S273" s="35" t="str">
        <f aca="false">IF(OR(Q273="",R273=""),"",ROUND(R273/((Q273/100)^2),1))</f>
        <v/>
      </c>
      <c r="T273" s="32" t="str">
        <f aca="false">IF(S273="","",IF(S273&lt;18.5,"Underweight",IF(S273&lt;25,"Normal",IF(S273&lt;30,"Overweight","Obese"))))</f>
        <v/>
      </c>
      <c r="U273" s="34"/>
      <c r="V273" s="34"/>
      <c r="W273" s="32"/>
      <c r="X273" s="32"/>
      <c r="Y273" s="32"/>
      <c r="Z273" s="32"/>
      <c r="AA273" s="32"/>
      <c r="AB273" s="32"/>
      <c r="AC273" s="32"/>
      <c r="AD273" s="32"/>
      <c r="AE273" s="32"/>
      <c r="AF273" s="32"/>
      <c r="AG273" s="32"/>
      <c r="AH273" s="32"/>
      <c r="AI273" s="32"/>
      <c r="AJ273" s="32"/>
      <c r="AK273" s="32"/>
      <c r="AL273" s="32"/>
      <c r="AM273" s="32"/>
      <c r="AN273" s="32"/>
      <c r="AO273" s="32"/>
      <c r="AP273" s="32"/>
      <c r="AQ273" s="32"/>
      <c r="AR273" s="32"/>
      <c r="AS273" s="32"/>
      <c r="AT273" s="32"/>
      <c r="AU273" s="32"/>
      <c r="AV273" s="32"/>
      <c r="AW273" s="32"/>
      <c r="AX273" s="32"/>
      <c r="AY273" s="32"/>
      <c r="AZ273" s="32"/>
      <c r="BA273" s="32"/>
      <c r="BB273" s="32"/>
      <c r="BC273" s="32"/>
      <c r="BD273" s="32"/>
      <c r="BE273" s="32"/>
      <c r="BF273" s="35" t="str">
        <f aca="false">IF(T273="","",IF(T273="Normal",100,IF(T273="Overweight",65,IF(T273="Obese",50,IF(AND(U273&lt;&gt;"",U273&lt;18.5),30,45)))))</f>
        <v/>
      </c>
      <c r="BG273" s="35" t="str">
        <f aca="false">IF(COUNTBLANK(W273:AC273)&gt;0,"",ROUND(AVERAGE(INDEX('SCORING MASTER'!$D$5:$D$7,MATCH(W273,'SCORING MASTER'!$C$5:$C$7,0)),INDEX('SCORING MASTER'!$D$9:$D$11,MATCH(X273,'SCORING MASTER'!$C$9:$C$11,0)),INDEX('SCORING MASTER'!$D$13:$D$15,MATCH(Y273,'SCORING MASTER'!$C$13:$C$15,0)),INDEX('SCORING MASTER'!$D$17:$D$19,MATCH(Z273,'SCORING MASTER'!$C$17:$C$19,0)),INDEX('SCORING MASTER'!$D$21:$D$23,MATCH(AA273,'SCORING MASTER'!$C$21:$C$23,0)),INDEX('SCORING MASTER'!$D$25:$D$27,MATCH(AB273,'SCORING MASTER'!$C$25:$C$27,0)),INDEX('SCORING MASTER'!$D$29:$D$31,MATCH(AC273,'SCORING MASTER'!$C$29:$C$31,0)))*20,0))</f>
        <v/>
      </c>
      <c r="BH273" s="35" t="str">
        <f aca="false">IF(COUNTBLANK(AD273:AI273)&gt;0,"",ROUND(AVERAGE(INDEX('SCORING MASTER'!$D$33:$D$35,MATCH(AD273,'SCORING MASTER'!$C$33:$C$35,0)),INDEX('SCORING MASTER'!$D$37:$D$39,MATCH(AE273,'SCORING MASTER'!$C$37:$C$39,0)),INDEX('SCORING MASTER'!$D$41:$D$43,MATCH(AF273,'SCORING MASTER'!$C$41:$C$43,0)),INDEX('SCORING MASTER'!$D$45:$D$47,MATCH(AG273,'SCORING MASTER'!$C$45:$C$47,0)),INDEX('SCORING MASTER'!$D$49:$D$52,MATCH(AH273,'SCORING MASTER'!$C$49:$C$52,0)),INDEX('SCORING MASTER'!$D$54:$D$57,MATCH(AI273,'SCORING MASTER'!$C$54:$C$57,0)))*20,0))</f>
        <v/>
      </c>
      <c r="BI273" s="35" t="str">
        <f aca="false">IF(COUNTBLANK(AJ273:AP273)&gt;0,"",ROUND(AVERAGE(INDEX('SCORING MASTER'!$D$59:$D$60,MATCH(AJ273,'SCORING MASTER'!$C$59:$C$60,0)),INDEX('SCORING MASTER'!$D$62:$D$63,MATCH(AK273,'SCORING MASTER'!$C$62:$C$63,0)),INDEX('SCORING MASTER'!$D$65:$D$66,MATCH(AL273,'SCORING MASTER'!$C$65:$C$66,0)),INDEX('SCORING MASTER'!$D$68:$D$69,MATCH(AM273,'SCORING MASTER'!$C$68:$C$69,0)),INDEX('SCORING MASTER'!$D$71:$D$72,MATCH(AN273,'SCORING MASTER'!$C$71:$C$72,0)),INDEX('SCORING MASTER'!$D$74:$D$75,MATCH(AO273,'SCORING MASTER'!$C$74:$C$75,0)),INDEX('SCORING MASTER'!$D$77:$D$78,MATCH(AP273,'SCORING MASTER'!$C$77:$C$78,0)))*20,0))</f>
        <v/>
      </c>
      <c r="BJ273" s="35" t="str">
        <f aca="false">IF(COUNTBLANK(AU273:AZ273)&gt;0,"",ROUND(AVERAGE(INDEX('SCORING MASTER'!$D$95:$D$96,MATCH(AU273,'SCORING MASTER'!$C$95:$C$96,0)),INDEX('SCORING MASTER'!$D$98:$D$99,MATCH(AV273,'SCORING MASTER'!$C$98:$C$99,0)),INDEX('SCORING MASTER'!$D$101:$D$102,MATCH(AW273,'SCORING MASTER'!$C$101:$C$102,0)),INDEX('SCORING MASTER'!$D$104:$D$105,MATCH(AX273,'SCORING MASTER'!$C$104:$C$105,0)),INDEX('SCORING MASTER'!$D$107:$D$108,MATCH(AY273,'SCORING MASTER'!$C$107:$C$108,0)),INDEX('SCORING MASTER'!$D$110:$D$111,MATCH(AZ273,'SCORING MASTER'!$C$110:$C$111,0)))*20,0))</f>
        <v/>
      </c>
      <c r="BK273" s="35" t="str">
        <f aca="false">IF(COUNTBLANK(AQ273:AT273)&gt;0,"",ROUND(AVERAGE(INDEX('SCORING MASTER'!$D$80:$D$82,MATCH(AQ273,'SCORING MASTER'!$C$80:$C$82,0)),INDEX('SCORING MASTER'!$D$84:$D$86,MATCH(AR273,'SCORING MASTER'!$C$84:$C$86,0)),INDEX('SCORING MASTER'!$D$88:$D$90,MATCH(AS273,'SCORING MASTER'!$C$88:$C$90,0)),INDEX('SCORING MASTER'!$D$92:$D$93,MATCH(AT273,'SCORING MASTER'!$C$92:$C$93,0)))*20,0))</f>
        <v/>
      </c>
      <c r="BL273" s="35" t="str">
        <f aca="false">IF(COUNTBLANK(BA273:BE273)&gt;0,"",ROUND(AVERAGE(INDEX('SCORING MASTER'!$D$113:$D$115,MATCH(BA273,'SCORING MASTER'!$C$113:$C$115,0)),INDEX('SCORING MASTER'!$D$117:$D$119,MATCH(BB273,'SCORING MASTER'!$C$117:$C$119,0)),INDEX('SCORING MASTER'!$D$121:$D$123,MATCH(BC273,'SCORING MASTER'!$C$121:$C$123,0)),INDEX('SCORING MASTER'!$D$125:$D$126,MATCH(BD273,'SCORING MASTER'!$C$125:$C$126,0)),INDEX('SCORING MASTER'!$D$128:$D$129,MATCH(BE273,'SCORING MASTER'!$C$128:$C$129,0)))*20,0))</f>
        <v/>
      </c>
      <c r="BM273" s="35" t="str">
        <f aca="false">IF(OR(BF273="",BG273="",BH273="",BI273="",BJ273="",BK273="",BL273=""),"",ROUND(BF273*0.25+BG273*0.2+BH273*0.15+BI273*0.15+BJ273*0.1+BK273*0.1+BL273*0.05,0))</f>
        <v/>
      </c>
      <c r="BN273" s="35" t="str">
        <f aca="false">IF(OR(BF273="",BG273=""),"",ROUND(BF273*0.5+BG273*0.5,0))</f>
        <v/>
      </c>
      <c r="BO273" s="35" t="str">
        <f aca="false">IF(BN273="","",ROUND(MIN(100,MAX(0,(100-BN273)+IF(AL273="Yes",15,0)+IF(AM273="Yes",15,0)+IF(AND(U273&lt;&gt;"",U273&lt;18.5),20,0))),0))</f>
        <v/>
      </c>
      <c r="BP273" s="32" t="str">
        <f aca="false">IF(BM273="","",IF(BM273&gt;=90,"Green - Healthy",IF(BM273&gt;=75,"Light Green - Mild Watch",IF(BM273&gt;=60,"Yellow - Mild Risk",IF(BM273&gt;=40,"Orange - Moderate Risk","Red - High Risk")))))</f>
        <v/>
      </c>
      <c r="BQ273" s="32" t="str">
        <f aca="false">IF(BM273="","",IF(OR(BM273&lt;60,BO273&gt;=60,AJ273="Yes"),"Yes","No"))</f>
        <v/>
      </c>
      <c r="BR273" s="32" t="str">
        <f aca="false">IF(BM273="","",IF(OR(BP273="Orange - Moderate Risk",BP273="Red - High Risk",BQ273="Yes"),"Yes","No"))</f>
        <v/>
      </c>
    </row>
    <row r="274" customFormat="false" ht="15" hidden="false" customHeight="false" outlineLevel="0" collapsed="false">
      <c r="A274" s="28" t="str">
        <f aca="false">IF(I274="","","STU"&amp;TEXT(ROW()-3,"000000"))</f>
        <v/>
      </c>
      <c r="B274" s="28"/>
      <c r="C274" s="28"/>
      <c r="D274" s="28"/>
      <c r="E274" s="28"/>
      <c r="F274" s="28"/>
      <c r="G274" s="28"/>
      <c r="H274" s="28"/>
      <c r="I274" s="28"/>
      <c r="J274" s="30"/>
      <c r="K274" s="28"/>
      <c r="L274" s="28"/>
      <c r="M274" s="28"/>
      <c r="N274" s="28"/>
      <c r="O274" s="28"/>
      <c r="P274" s="28"/>
      <c r="Q274" s="30"/>
      <c r="R274" s="30"/>
      <c r="S274" s="31" t="str">
        <f aca="false">IF(OR(Q274="",R274=""),"",ROUND(R274/((Q274/100)^2),1))</f>
        <v/>
      </c>
      <c r="T274" s="28" t="str">
        <f aca="false">IF(S274="","",IF(S274&lt;18.5,"Underweight",IF(S274&lt;25,"Normal",IF(S274&lt;30,"Overweight","Obese"))))</f>
        <v/>
      </c>
      <c r="U274" s="30"/>
      <c r="V274" s="30"/>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28"/>
      <c r="BA274" s="28"/>
      <c r="BB274" s="28"/>
      <c r="BC274" s="28"/>
      <c r="BD274" s="28"/>
      <c r="BE274" s="28"/>
      <c r="BF274" s="31" t="str">
        <f aca="false">IF(T274="","",IF(T274="Normal",100,IF(T274="Overweight",65,IF(T274="Obese",50,IF(AND(U274&lt;&gt;"",U274&lt;18.5),30,45)))))</f>
        <v/>
      </c>
      <c r="BG274" s="31" t="str">
        <f aca="false">IF(COUNTBLANK(W274:AC274)&gt;0,"",ROUND(AVERAGE(INDEX('SCORING MASTER'!$D$5:$D$7,MATCH(W274,'SCORING MASTER'!$C$5:$C$7,0)),INDEX('SCORING MASTER'!$D$9:$D$11,MATCH(X274,'SCORING MASTER'!$C$9:$C$11,0)),INDEX('SCORING MASTER'!$D$13:$D$15,MATCH(Y274,'SCORING MASTER'!$C$13:$C$15,0)),INDEX('SCORING MASTER'!$D$17:$D$19,MATCH(Z274,'SCORING MASTER'!$C$17:$C$19,0)),INDEX('SCORING MASTER'!$D$21:$D$23,MATCH(AA274,'SCORING MASTER'!$C$21:$C$23,0)),INDEX('SCORING MASTER'!$D$25:$D$27,MATCH(AB274,'SCORING MASTER'!$C$25:$C$27,0)),INDEX('SCORING MASTER'!$D$29:$D$31,MATCH(AC274,'SCORING MASTER'!$C$29:$C$31,0)))*20,0))</f>
        <v/>
      </c>
      <c r="BH274" s="31" t="str">
        <f aca="false">IF(COUNTBLANK(AD274:AI274)&gt;0,"",ROUND(AVERAGE(INDEX('SCORING MASTER'!$D$33:$D$35,MATCH(AD274,'SCORING MASTER'!$C$33:$C$35,0)),INDEX('SCORING MASTER'!$D$37:$D$39,MATCH(AE274,'SCORING MASTER'!$C$37:$C$39,0)),INDEX('SCORING MASTER'!$D$41:$D$43,MATCH(AF274,'SCORING MASTER'!$C$41:$C$43,0)),INDEX('SCORING MASTER'!$D$45:$D$47,MATCH(AG274,'SCORING MASTER'!$C$45:$C$47,0)),INDEX('SCORING MASTER'!$D$49:$D$52,MATCH(AH274,'SCORING MASTER'!$C$49:$C$52,0)),INDEX('SCORING MASTER'!$D$54:$D$57,MATCH(AI274,'SCORING MASTER'!$C$54:$C$57,0)))*20,0))</f>
        <v/>
      </c>
      <c r="BI274" s="31" t="str">
        <f aca="false">IF(COUNTBLANK(AJ274:AP274)&gt;0,"",ROUND(AVERAGE(INDEX('SCORING MASTER'!$D$59:$D$60,MATCH(AJ274,'SCORING MASTER'!$C$59:$C$60,0)),INDEX('SCORING MASTER'!$D$62:$D$63,MATCH(AK274,'SCORING MASTER'!$C$62:$C$63,0)),INDEX('SCORING MASTER'!$D$65:$D$66,MATCH(AL274,'SCORING MASTER'!$C$65:$C$66,0)),INDEX('SCORING MASTER'!$D$68:$D$69,MATCH(AM274,'SCORING MASTER'!$C$68:$C$69,0)),INDEX('SCORING MASTER'!$D$71:$D$72,MATCH(AN274,'SCORING MASTER'!$C$71:$C$72,0)),INDEX('SCORING MASTER'!$D$74:$D$75,MATCH(AO274,'SCORING MASTER'!$C$74:$C$75,0)),INDEX('SCORING MASTER'!$D$77:$D$78,MATCH(AP274,'SCORING MASTER'!$C$77:$C$78,0)))*20,0))</f>
        <v/>
      </c>
      <c r="BJ274" s="31" t="str">
        <f aca="false">IF(COUNTBLANK(AU274:AZ274)&gt;0,"",ROUND(AVERAGE(INDEX('SCORING MASTER'!$D$95:$D$96,MATCH(AU274,'SCORING MASTER'!$C$95:$C$96,0)),INDEX('SCORING MASTER'!$D$98:$D$99,MATCH(AV274,'SCORING MASTER'!$C$98:$C$99,0)),INDEX('SCORING MASTER'!$D$101:$D$102,MATCH(AW274,'SCORING MASTER'!$C$101:$C$102,0)),INDEX('SCORING MASTER'!$D$104:$D$105,MATCH(AX274,'SCORING MASTER'!$C$104:$C$105,0)),INDEX('SCORING MASTER'!$D$107:$D$108,MATCH(AY274,'SCORING MASTER'!$C$107:$C$108,0)),INDEX('SCORING MASTER'!$D$110:$D$111,MATCH(AZ274,'SCORING MASTER'!$C$110:$C$111,0)))*20,0))</f>
        <v/>
      </c>
      <c r="BK274" s="31" t="str">
        <f aca="false">IF(COUNTBLANK(AQ274:AT274)&gt;0,"",ROUND(AVERAGE(INDEX('SCORING MASTER'!$D$80:$D$82,MATCH(AQ274,'SCORING MASTER'!$C$80:$C$82,0)),INDEX('SCORING MASTER'!$D$84:$D$86,MATCH(AR274,'SCORING MASTER'!$C$84:$C$86,0)),INDEX('SCORING MASTER'!$D$88:$D$90,MATCH(AS274,'SCORING MASTER'!$C$88:$C$90,0)),INDEX('SCORING MASTER'!$D$92:$D$93,MATCH(AT274,'SCORING MASTER'!$C$92:$C$93,0)))*20,0))</f>
        <v/>
      </c>
      <c r="BL274" s="31" t="str">
        <f aca="false">IF(COUNTBLANK(BA274:BE274)&gt;0,"",ROUND(AVERAGE(INDEX('SCORING MASTER'!$D$113:$D$115,MATCH(BA274,'SCORING MASTER'!$C$113:$C$115,0)),INDEX('SCORING MASTER'!$D$117:$D$119,MATCH(BB274,'SCORING MASTER'!$C$117:$C$119,0)),INDEX('SCORING MASTER'!$D$121:$D$123,MATCH(BC274,'SCORING MASTER'!$C$121:$C$123,0)),INDEX('SCORING MASTER'!$D$125:$D$126,MATCH(BD274,'SCORING MASTER'!$C$125:$C$126,0)),INDEX('SCORING MASTER'!$D$128:$D$129,MATCH(BE274,'SCORING MASTER'!$C$128:$C$129,0)))*20,0))</f>
        <v/>
      </c>
      <c r="BM274" s="31" t="str">
        <f aca="false">IF(OR(BF274="",BG274="",BH274="",BI274="",BJ274="",BK274="",BL274=""),"",ROUND(BF274*0.25+BG274*0.2+BH274*0.15+BI274*0.15+BJ274*0.1+BK274*0.1+BL274*0.05,0))</f>
        <v/>
      </c>
      <c r="BN274" s="31" t="str">
        <f aca="false">IF(OR(BF274="",BG274=""),"",ROUND(BF274*0.5+BG274*0.5,0))</f>
        <v/>
      </c>
      <c r="BO274" s="31" t="str">
        <f aca="false">IF(BN274="","",ROUND(MIN(100,MAX(0,(100-BN274)+IF(AL274="Yes",15,0)+IF(AM274="Yes",15,0)+IF(AND(U274&lt;&gt;"",U274&lt;18.5),20,0))),0))</f>
        <v/>
      </c>
      <c r="BP274" s="28" t="str">
        <f aca="false">IF(BM274="","",IF(BM274&gt;=90,"Green - Healthy",IF(BM274&gt;=75,"Light Green - Mild Watch",IF(BM274&gt;=60,"Yellow - Mild Risk",IF(BM274&gt;=40,"Orange - Moderate Risk","Red - High Risk")))))</f>
        <v/>
      </c>
      <c r="BQ274" s="28" t="str">
        <f aca="false">IF(BM274="","",IF(OR(BM274&lt;60,BO274&gt;=60,AJ274="Yes"),"Yes","No"))</f>
        <v/>
      </c>
      <c r="BR274" s="28" t="str">
        <f aca="false">IF(BM274="","",IF(OR(BP274="Orange - Moderate Risk",BP274="Red - High Risk",BQ274="Yes"),"Yes","No"))</f>
        <v/>
      </c>
    </row>
    <row r="275" customFormat="false" ht="15" hidden="false" customHeight="false" outlineLevel="0" collapsed="false">
      <c r="A275" s="32" t="str">
        <f aca="false">IF(I275="","","STU"&amp;TEXT(ROW()-3,"000000"))</f>
        <v/>
      </c>
      <c r="B275" s="32"/>
      <c r="C275" s="32"/>
      <c r="D275" s="32"/>
      <c r="E275" s="32"/>
      <c r="F275" s="32"/>
      <c r="G275" s="32"/>
      <c r="H275" s="32"/>
      <c r="I275" s="32"/>
      <c r="J275" s="34"/>
      <c r="K275" s="32"/>
      <c r="L275" s="32"/>
      <c r="M275" s="32"/>
      <c r="N275" s="32"/>
      <c r="O275" s="32"/>
      <c r="P275" s="32"/>
      <c r="Q275" s="34"/>
      <c r="R275" s="34"/>
      <c r="S275" s="35" t="str">
        <f aca="false">IF(OR(Q275="",R275=""),"",ROUND(R275/((Q275/100)^2),1))</f>
        <v/>
      </c>
      <c r="T275" s="32" t="str">
        <f aca="false">IF(S275="","",IF(S275&lt;18.5,"Underweight",IF(S275&lt;25,"Normal",IF(S275&lt;30,"Overweight","Obese"))))</f>
        <v/>
      </c>
      <c r="U275" s="34"/>
      <c r="V275" s="34"/>
      <c r="W275" s="32"/>
      <c r="X275" s="32"/>
      <c r="Y275" s="32"/>
      <c r="Z275" s="32"/>
      <c r="AA275" s="32"/>
      <c r="AB275" s="32"/>
      <c r="AC275" s="32"/>
      <c r="AD275" s="32"/>
      <c r="AE275" s="32"/>
      <c r="AF275" s="32"/>
      <c r="AG275" s="32"/>
      <c r="AH275" s="32"/>
      <c r="AI275" s="32"/>
      <c r="AJ275" s="32"/>
      <c r="AK275" s="32"/>
      <c r="AL275" s="32"/>
      <c r="AM275" s="32"/>
      <c r="AN275" s="32"/>
      <c r="AO275" s="32"/>
      <c r="AP275" s="32"/>
      <c r="AQ275" s="32"/>
      <c r="AR275" s="32"/>
      <c r="AS275" s="32"/>
      <c r="AT275" s="32"/>
      <c r="AU275" s="32"/>
      <c r="AV275" s="32"/>
      <c r="AW275" s="32"/>
      <c r="AX275" s="32"/>
      <c r="AY275" s="32"/>
      <c r="AZ275" s="32"/>
      <c r="BA275" s="32"/>
      <c r="BB275" s="32"/>
      <c r="BC275" s="32"/>
      <c r="BD275" s="32"/>
      <c r="BE275" s="32"/>
      <c r="BF275" s="35" t="str">
        <f aca="false">IF(T275="","",IF(T275="Normal",100,IF(T275="Overweight",65,IF(T275="Obese",50,IF(AND(U275&lt;&gt;"",U275&lt;18.5),30,45)))))</f>
        <v/>
      </c>
      <c r="BG275" s="35" t="str">
        <f aca="false">IF(COUNTBLANK(W275:AC275)&gt;0,"",ROUND(AVERAGE(INDEX('SCORING MASTER'!$D$5:$D$7,MATCH(W275,'SCORING MASTER'!$C$5:$C$7,0)),INDEX('SCORING MASTER'!$D$9:$D$11,MATCH(X275,'SCORING MASTER'!$C$9:$C$11,0)),INDEX('SCORING MASTER'!$D$13:$D$15,MATCH(Y275,'SCORING MASTER'!$C$13:$C$15,0)),INDEX('SCORING MASTER'!$D$17:$D$19,MATCH(Z275,'SCORING MASTER'!$C$17:$C$19,0)),INDEX('SCORING MASTER'!$D$21:$D$23,MATCH(AA275,'SCORING MASTER'!$C$21:$C$23,0)),INDEX('SCORING MASTER'!$D$25:$D$27,MATCH(AB275,'SCORING MASTER'!$C$25:$C$27,0)),INDEX('SCORING MASTER'!$D$29:$D$31,MATCH(AC275,'SCORING MASTER'!$C$29:$C$31,0)))*20,0))</f>
        <v/>
      </c>
      <c r="BH275" s="35" t="str">
        <f aca="false">IF(COUNTBLANK(AD275:AI275)&gt;0,"",ROUND(AVERAGE(INDEX('SCORING MASTER'!$D$33:$D$35,MATCH(AD275,'SCORING MASTER'!$C$33:$C$35,0)),INDEX('SCORING MASTER'!$D$37:$D$39,MATCH(AE275,'SCORING MASTER'!$C$37:$C$39,0)),INDEX('SCORING MASTER'!$D$41:$D$43,MATCH(AF275,'SCORING MASTER'!$C$41:$C$43,0)),INDEX('SCORING MASTER'!$D$45:$D$47,MATCH(AG275,'SCORING MASTER'!$C$45:$C$47,0)),INDEX('SCORING MASTER'!$D$49:$D$52,MATCH(AH275,'SCORING MASTER'!$C$49:$C$52,0)),INDEX('SCORING MASTER'!$D$54:$D$57,MATCH(AI275,'SCORING MASTER'!$C$54:$C$57,0)))*20,0))</f>
        <v/>
      </c>
      <c r="BI275" s="35" t="str">
        <f aca="false">IF(COUNTBLANK(AJ275:AP275)&gt;0,"",ROUND(AVERAGE(INDEX('SCORING MASTER'!$D$59:$D$60,MATCH(AJ275,'SCORING MASTER'!$C$59:$C$60,0)),INDEX('SCORING MASTER'!$D$62:$D$63,MATCH(AK275,'SCORING MASTER'!$C$62:$C$63,0)),INDEX('SCORING MASTER'!$D$65:$D$66,MATCH(AL275,'SCORING MASTER'!$C$65:$C$66,0)),INDEX('SCORING MASTER'!$D$68:$D$69,MATCH(AM275,'SCORING MASTER'!$C$68:$C$69,0)),INDEX('SCORING MASTER'!$D$71:$D$72,MATCH(AN275,'SCORING MASTER'!$C$71:$C$72,0)),INDEX('SCORING MASTER'!$D$74:$D$75,MATCH(AO275,'SCORING MASTER'!$C$74:$C$75,0)),INDEX('SCORING MASTER'!$D$77:$D$78,MATCH(AP275,'SCORING MASTER'!$C$77:$C$78,0)))*20,0))</f>
        <v/>
      </c>
      <c r="BJ275" s="35" t="str">
        <f aca="false">IF(COUNTBLANK(AU275:AZ275)&gt;0,"",ROUND(AVERAGE(INDEX('SCORING MASTER'!$D$95:$D$96,MATCH(AU275,'SCORING MASTER'!$C$95:$C$96,0)),INDEX('SCORING MASTER'!$D$98:$D$99,MATCH(AV275,'SCORING MASTER'!$C$98:$C$99,0)),INDEX('SCORING MASTER'!$D$101:$D$102,MATCH(AW275,'SCORING MASTER'!$C$101:$C$102,0)),INDEX('SCORING MASTER'!$D$104:$D$105,MATCH(AX275,'SCORING MASTER'!$C$104:$C$105,0)),INDEX('SCORING MASTER'!$D$107:$D$108,MATCH(AY275,'SCORING MASTER'!$C$107:$C$108,0)),INDEX('SCORING MASTER'!$D$110:$D$111,MATCH(AZ275,'SCORING MASTER'!$C$110:$C$111,0)))*20,0))</f>
        <v/>
      </c>
      <c r="BK275" s="35" t="str">
        <f aca="false">IF(COUNTBLANK(AQ275:AT275)&gt;0,"",ROUND(AVERAGE(INDEX('SCORING MASTER'!$D$80:$D$82,MATCH(AQ275,'SCORING MASTER'!$C$80:$C$82,0)),INDEX('SCORING MASTER'!$D$84:$D$86,MATCH(AR275,'SCORING MASTER'!$C$84:$C$86,0)),INDEX('SCORING MASTER'!$D$88:$D$90,MATCH(AS275,'SCORING MASTER'!$C$88:$C$90,0)),INDEX('SCORING MASTER'!$D$92:$D$93,MATCH(AT275,'SCORING MASTER'!$C$92:$C$93,0)))*20,0))</f>
        <v/>
      </c>
      <c r="BL275" s="35" t="str">
        <f aca="false">IF(COUNTBLANK(BA275:BE275)&gt;0,"",ROUND(AVERAGE(INDEX('SCORING MASTER'!$D$113:$D$115,MATCH(BA275,'SCORING MASTER'!$C$113:$C$115,0)),INDEX('SCORING MASTER'!$D$117:$D$119,MATCH(BB275,'SCORING MASTER'!$C$117:$C$119,0)),INDEX('SCORING MASTER'!$D$121:$D$123,MATCH(BC275,'SCORING MASTER'!$C$121:$C$123,0)),INDEX('SCORING MASTER'!$D$125:$D$126,MATCH(BD275,'SCORING MASTER'!$C$125:$C$126,0)),INDEX('SCORING MASTER'!$D$128:$D$129,MATCH(BE275,'SCORING MASTER'!$C$128:$C$129,0)))*20,0))</f>
        <v/>
      </c>
      <c r="BM275" s="35" t="str">
        <f aca="false">IF(OR(BF275="",BG275="",BH275="",BI275="",BJ275="",BK275="",BL275=""),"",ROUND(BF275*0.25+BG275*0.2+BH275*0.15+BI275*0.15+BJ275*0.1+BK275*0.1+BL275*0.05,0))</f>
        <v/>
      </c>
      <c r="BN275" s="35" t="str">
        <f aca="false">IF(OR(BF275="",BG275=""),"",ROUND(BF275*0.5+BG275*0.5,0))</f>
        <v/>
      </c>
      <c r="BO275" s="35" t="str">
        <f aca="false">IF(BN275="","",ROUND(MIN(100,MAX(0,(100-BN275)+IF(AL275="Yes",15,0)+IF(AM275="Yes",15,0)+IF(AND(U275&lt;&gt;"",U275&lt;18.5),20,0))),0))</f>
        <v/>
      </c>
      <c r="BP275" s="32" t="str">
        <f aca="false">IF(BM275="","",IF(BM275&gt;=90,"Green - Healthy",IF(BM275&gt;=75,"Light Green - Mild Watch",IF(BM275&gt;=60,"Yellow - Mild Risk",IF(BM275&gt;=40,"Orange - Moderate Risk","Red - High Risk")))))</f>
        <v/>
      </c>
      <c r="BQ275" s="32" t="str">
        <f aca="false">IF(BM275="","",IF(OR(BM275&lt;60,BO275&gt;=60,AJ275="Yes"),"Yes","No"))</f>
        <v/>
      </c>
      <c r="BR275" s="32" t="str">
        <f aca="false">IF(BM275="","",IF(OR(BP275="Orange - Moderate Risk",BP275="Red - High Risk",BQ275="Yes"),"Yes","No"))</f>
        <v/>
      </c>
    </row>
    <row r="276" customFormat="false" ht="15" hidden="false" customHeight="false" outlineLevel="0" collapsed="false">
      <c r="A276" s="28" t="str">
        <f aca="false">IF(I276="","","STU"&amp;TEXT(ROW()-3,"000000"))</f>
        <v/>
      </c>
      <c r="B276" s="28"/>
      <c r="C276" s="28"/>
      <c r="D276" s="28"/>
      <c r="E276" s="28"/>
      <c r="F276" s="28"/>
      <c r="G276" s="28"/>
      <c r="H276" s="28"/>
      <c r="I276" s="28"/>
      <c r="J276" s="30"/>
      <c r="K276" s="28"/>
      <c r="L276" s="28"/>
      <c r="M276" s="28"/>
      <c r="N276" s="28"/>
      <c r="O276" s="28"/>
      <c r="P276" s="28"/>
      <c r="Q276" s="30"/>
      <c r="R276" s="30"/>
      <c r="S276" s="31" t="str">
        <f aca="false">IF(OR(Q276="",R276=""),"",ROUND(R276/((Q276/100)^2),1))</f>
        <v/>
      </c>
      <c r="T276" s="28" t="str">
        <f aca="false">IF(S276="","",IF(S276&lt;18.5,"Underweight",IF(S276&lt;25,"Normal",IF(S276&lt;30,"Overweight","Obese"))))</f>
        <v/>
      </c>
      <c r="U276" s="30"/>
      <c r="V276" s="30"/>
      <c r="W276" s="28"/>
      <c r="X276" s="28"/>
      <c r="Y276" s="28"/>
      <c r="Z276" s="28"/>
      <c r="AA276" s="28"/>
      <c r="AB276" s="28"/>
      <c r="AC276" s="28"/>
      <c r="AD276" s="28"/>
      <c r="AE276" s="28"/>
      <c r="AF276" s="28"/>
      <c r="AG276" s="28"/>
      <c r="AH276" s="28"/>
      <c r="AI276" s="28"/>
      <c r="AJ276" s="28"/>
      <c r="AK276" s="28"/>
      <c r="AL276" s="28"/>
      <c r="AM276" s="28"/>
      <c r="AN276" s="28"/>
      <c r="AO276" s="28"/>
      <c r="AP276" s="28"/>
      <c r="AQ276" s="28"/>
      <c r="AR276" s="28"/>
      <c r="AS276" s="28"/>
      <c r="AT276" s="28"/>
      <c r="AU276" s="28"/>
      <c r="AV276" s="28"/>
      <c r="AW276" s="28"/>
      <c r="AX276" s="28"/>
      <c r="AY276" s="28"/>
      <c r="AZ276" s="28"/>
      <c r="BA276" s="28"/>
      <c r="BB276" s="28"/>
      <c r="BC276" s="28"/>
      <c r="BD276" s="28"/>
      <c r="BE276" s="28"/>
      <c r="BF276" s="31" t="str">
        <f aca="false">IF(T276="","",IF(T276="Normal",100,IF(T276="Overweight",65,IF(T276="Obese",50,IF(AND(U276&lt;&gt;"",U276&lt;18.5),30,45)))))</f>
        <v/>
      </c>
      <c r="BG276" s="31" t="str">
        <f aca="false">IF(COUNTBLANK(W276:AC276)&gt;0,"",ROUND(AVERAGE(INDEX('SCORING MASTER'!$D$5:$D$7,MATCH(W276,'SCORING MASTER'!$C$5:$C$7,0)),INDEX('SCORING MASTER'!$D$9:$D$11,MATCH(X276,'SCORING MASTER'!$C$9:$C$11,0)),INDEX('SCORING MASTER'!$D$13:$D$15,MATCH(Y276,'SCORING MASTER'!$C$13:$C$15,0)),INDEX('SCORING MASTER'!$D$17:$D$19,MATCH(Z276,'SCORING MASTER'!$C$17:$C$19,0)),INDEX('SCORING MASTER'!$D$21:$D$23,MATCH(AA276,'SCORING MASTER'!$C$21:$C$23,0)),INDEX('SCORING MASTER'!$D$25:$D$27,MATCH(AB276,'SCORING MASTER'!$C$25:$C$27,0)),INDEX('SCORING MASTER'!$D$29:$D$31,MATCH(AC276,'SCORING MASTER'!$C$29:$C$31,0)))*20,0))</f>
        <v/>
      </c>
      <c r="BH276" s="31" t="str">
        <f aca="false">IF(COUNTBLANK(AD276:AI276)&gt;0,"",ROUND(AVERAGE(INDEX('SCORING MASTER'!$D$33:$D$35,MATCH(AD276,'SCORING MASTER'!$C$33:$C$35,0)),INDEX('SCORING MASTER'!$D$37:$D$39,MATCH(AE276,'SCORING MASTER'!$C$37:$C$39,0)),INDEX('SCORING MASTER'!$D$41:$D$43,MATCH(AF276,'SCORING MASTER'!$C$41:$C$43,0)),INDEX('SCORING MASTER'!$D$45:$D$47,MATCH(AG276,'SCORING MASTER'!$C$45:$C$47,0)),INDEX('SCORING MASTER'!$D$49:$D$52,MATCH(AH276,'SCORING MASTER'!$C$49:$C$52,0)),INDEX('SCORING MASTER'!$D$54:$D$57,MATCH(AI276,'SCORING MASTER'!$C$54:$C$57,0)))*20,0))</f>
        <v/>
      </c>
      <c r="BI276" s="31" t="str">
        <f aca="false">IF(COUNTBLANK(AJ276:AP276)&gt;0,"",ROUND(AVERAGE(INDEX('SCORING MASTER'!$D$59:$D$60,MATCH(AJ276,'SCORING MASTER'!$C$59:$C$60,0)),INDEX('SCORING MASTER'!$D$62:$D$63,MATCH(AK276,'SCORING MASTER'!$C$62:$C$63,0)),INDEX('SCORING MASTER'!$D$65:$D$66,MATCH(AL276,'SCORING MASTER'!$C$65:$C$66,0)),INDEX('SCORING MASTER'!$D$68:$D$69,MATCH(AM276,'SCORING MASTER'!$C$68:$C$69,0)),INDEX('SCORING MASTER'!$D$71:$D$72,MATCH(AN276,'SCORING MASTER'!$C$71:$C$72,0)),INDEX('SCORING MASTER'!$D$74:$D$75,MATCH(AO276,'SCORING MASTER'!$C$74:$C$75,0)),INDEX('SCORING MASTER'!$D$77:$D$78,MATCH(AP276,'SCORING MASTER'!$C$77:$C$78,0)))*20,0))</f>
        <v/>
      </c>
      <c r="BJ276" s="31" t="str">
        <f aca="false">IF(COUNTBLANK(AU276:AZ276)&gt;0,"",ROUND(AVERAGE(INDEX('SCORING MASTER'!$D$95:$D$96,MATCH(AU276,'SCORING MASTER'!$C$95:$C$96,0)),INDEX('SCORING MASTER'!$D$98:$D$99,MATCH(AV276,'SCORING MASTER'!$C$98:$C$99,0)),INDEX('SCORING MASTER'!$D$101:$D$102,MATCH(AW276,'SCORING MASTER'!$C$101:$C$102,0)),INDEX('SCORING MASTER'!$D$104:$D$105,MATCH(AX276,'SCORING MASTER'!$C$104:$C$105,0)),INDEX('SCORING MASTER'!$D$107:$D$108,MATCH(AY276,'SCORING MASTER'!$C$107:$C$108,0)),INDEX('SCORING MASTER'!$D$110:$D$111,MATCH(AZ276,'SCORING MASTER'!$C$110:$C$111,0)))*20,0))</f>
        <v/>
      </c>
      <c r="BK276" s="31" t="str">
        <f aca="false">IF(COUNTBLANK(AQ276:AT276)&gt;0,"",ROUND(AVERAGE(INDEX('SCORING MASTER'!$D$80:$D$82,MATCH(AQ276,'SCORING MASTER'!$C$80:$C$82,0)),INDEX('SCORING MASTER'!$D$84:$D$86,MATCH(AR276,'SCORING MASTER'!$C$84:$C$86,0)),INDEX('SCORING MASTER'!$D$88:$D$90,MATCH(AS276,'SCORING MASTER'!$C$88:$C$90,0)),INDEX('SCORING MASTER'!$D$92:$D$93,MATCH(AT276,'SCORING MASTER'!$C$92:$C$93,0)))*20,0))</f>
        <v/>
      </c>
      <c r="BL276" s="31" t="str">
        <f aca="false">IF(COUNTBLANK(BA276:BE276)&gt;0,"",ROUND(AVERAGE(INDEX('SCORING MASTER'!$D$113:$D$115,MATCH(BA276,'SCORING MASTER'!$C$113:$C$115,0)),INDEX('SCORING MASTER'!$D$117:$D$119,MATCH(BB276,'SCORING MASTER'!$C$117:$C$119,0)),INDEX('SCORING MASTER'!$D$121:$D$123,MATCH(BC276,'SCORING MASTER'!$C$121:$C$123,0)),INDEX('SCORING MASTER'!$D$125:$D$126,MATCH(BD276,'SCORING MASTER'!$C$125:$C$126,0)),INDEX('SCORING MASTER'!$D$128:$D$129,MATCH(BE276,'SCORING MASTER'!$C$128:$C$129,0)))*20,0))</f>
        <v/>
      </c>
      <c r="BM276" s="31" t="str">
        <f aca="false">IF(OR(BF276="",BG276="",BH276="",BI276="",BJ276="",BK276="",BL276=""),"",ROUND(BF276*0.25+BG276*0.2+BH276*0.15+BI276*0.15+BJ276*0.1+BK276*0.1+BL276*0.05,0))</f>
        <v/>
      </c>
      <c r="BN276" s="31" t="str">
        <f aca="false">IF(OR(BF276="",BG276=""),"",ROUND(BF276*0.5+BG276*0.5,0))</f>
        <v/>
      </c>
      <c r="BO276" s="31" t="str">
        <f aca="false">IF(BN276="","",ROUND(MIN(100,MAX(0,(100-BN276)+IF(AL276="Yes",15,0)+IF(AM276="Yes",15,0)+IF(AND(U276&lt;&gt;"",U276&lt;18.5),20,0))),0))</f>
        <v/>
      </c>
      <c r="BP276" s="28" t="str">
        <f aca="false">IF(BM276="","",IF(BM276&gt;=90,"Green - Healthy",IF(BM276&gt;=75,"Light Green - Mild Watch",IF(BM276&gt;=60,"Yellow - Mild Risk",IF(BM276&gt;=40,"Orange - Moderate Risk","Red - High Risk")))))</f>
        <v/>
      </c>
      <c r="BQ276" s="28" t="str">
        <f aca="false">IF(BM276="","",IF(OR(BM276&lt;60,BO276&gt;=60,AJ276="Yes"),"Yes","No"))</f>
        <v/>
      </c>
      <c r="BR276" s="28" t="str">
        <f aca="false">IF(BM276="","",IF(OR(BP276="Orange - Moderate Risk",BP276="Red - High Risk",BQ276="Yes"),"Yes","No"))</f>
        <v/>
      </c>
    </row>
    <row r="277" customFormat="false" ht="15" hidden="false" customHeight="false" outlineLevel="0" collapsed="false">
      <c r="A277" s="32" t="str">
        <f aca="false">IF(I277="","","STU"&amp;TEXT(ROW()-3,"000000"))</f>
        <v/>
      </c>
      <c r="B277" s="32"/>
      <c r="C277" s="32"/>
      <c r="D277" s="32"/>
      <c r="E277" s="32"/>
      <c r="F277" s="32"/>
      <c r="G277" s="32"/>
      <c r="H277" s="32"/>
      <c r="I277" s="32"/>
      <c r="J277" s="34"/>
      <c r="K277" s="32"/>
      <c r="L277" s="32"/>
      <c r="M277" s="32"/>
      <c r="N277" s="32"/>
      <c r="O277" s="32"/>
      <c r="P277" s="32"/>
      <c r="Q277" s="34"/>
      <c r="R277" s="34"/>
      <c r="S277" s="35" t="str">
        <f aca="false">IF(OR(Q277="",R277=""),"",ROUND(R277/((Q277/100)^2),1))</f>
        <v/>
      </c>
      <c r="T277" s="32" t="str">
        <f aca="false">IF(S277="","",IF(S277&lt;18.5,"Underweight",IF(S277&lt;25,"Normal",IF(S277&lt;30,"Overweight","Obese"))))</f>
        <v/>
      </c>
      <c r="U277" s="34"/>
      <c r="V277" s="34"/>
      <c r="W277" s="32"/>
      <c r="X277" s="32"/>
      <c r="Y277" s="32"/>
      <c r="Z277" s="32"/>
      <c r="AA277" s="32"/>
      <c r="AB277" s="32"/>
      <c r="AC277" s="32"/>
      <c r="AD277" s="32"/>
      <c r="AE277" s="32"/>
      <c r="AF277" s="32"/>
      <c r="AG277" s="32"/>
      <c r="AH277" s="32"/>
      <c r="AI277" s="32"/>
      <c r="AJ277" s="32"/>
      <c r="AK277" s="32"/>
      <c r="AL277" s="32"/>
      <c r="AM277" s="32"/>
      <c r="AN277" s="32"/>
      <c r="AO277" s="32"/>
      <c r="AP277" s="32"/>
      <c r="AQ277" s="32"/>
      <c r="AR277" s="32"/>
      <c r="AS277" s="32"/>
      <c r="AT277" s="32"/>
      <c r="AU277" s="32"/>
      <c r="AV277" s="32"/>
      <c r="AW277" s="32"/>
      <c r="AX277" s="32"/>
      <c r="AY277" s="32"/>
      <c r="AZ277" s="32"/>
      <c r="BA277" s="32"/>
      <c r="BB277" s="32"/>
      <c r="BC277" s="32"/>
      <c r="BD277" s="32"/>
      <c r="BE277" s="32"/>
      <c r="BF277" s="35" t="str">
        <f aca="false">IF(T277="","",IF(T277="Normal",100,IF(T277="Overweight",65,IF(T277="Obese",50,IF(AND(U277&lt;&gt;"",U277&lt;18.5),30,45)))))</f>
        <v/>
      </c>
      <c r="BG277" s="35" t="str">
        <f aca="false">IF(COUNTBLANK(W277:AC277)&gt;0,"",ROUND(AVERAGE(INDEX('SCORING MASTER'!$D$5:$D$7,MATCH(W277,'SCORING MASTER'!$C$5:$C$7,0)),INDEX('SCORING MASTER'!$D$9:$D$11,MATCH(X277,'SCORING MASTER'!$C$9:$C$11,0)),INDEX('SCORING MASTER'!$D$13:$D$15,MATCH(Y277,'SCORING MASTER'!$C$13:$C$15,0)),INDEX('SCORING MASTER'!$D$17:$D$19,MATCH(Z277,'SCORING MASTER'!$C$17:$C$19,0)),INDEX('SCORING MASTER'!$D$21:$D$23,MATCH(AA277,'SCORING MASTER'!$C$21:$C$23,0)),INDEX('SCORING MASTER'!$D$25:$D$27,MATCH(AB277,'SCORING MASTER'!$C$25:$C$27,0)),INDEX('SCORING MASTER'!$D$29:$D$31,MATCH(AC277,'SCORING MASTER'!$C$29:$C$31,0)))*20,0))</f>
        <v/>
      </c>
      <c r="BH277" s="35" t="str">
        <f aca="false">IF(COUNTBLANK(AD277:AI277)&gt;0,"",ROUND(AVERAGE(INDEX('SCORING MASTER'!$D$33:$D$35,MATCH(AD277,'SCORING MASTER'!$C$33:$C$35,0)),INDEX('SCORING MASTER'!$D$37:$D$39,MATCH(AE277,'SCORING MASTER'!$C$37:$C$39,0)),INDEX('SCORING MASTER'!$D$41:$D$43,MATCH(AF277,'SCORING MASTER'!$C$41:$C$43,0)),INDEX('SCORING MASTER'!$D$45:$D$47,MATCH(AG277,'SCORING MASTER'!$C$45:$C$47,0)),INDEX('SCORING MASTER'!$D$49:$D$52,MATCH(AH277,'SCORING MASTER'!$C$49:$C$52,0)),INDEX('SCORING MASTER'!$D$54:$D$57,MATCH(AI277,'SCORING MASTER'!$C$54:$C$57,0)))*20,0))</f>
        <v/>
      </c>
      <c r="BI277" s="35" t="str">
        <f aca="false">IF(COUNTBLANK(AJ277:AP277)&gt;0,"",ROUND(AVERAGE(INDEX('SCORING MASTER'!$D$59:$D$60,MATCH(AJ277,'SCORING MASTER'!$C$59:$C$60,0)),INDEX('SCORING MASTER'!$D$62:$D$63,MATCH(AK277,'SCORING MASTER'!$C$62:$C$63,0)),INDEX('SCORING MASTER'!$D$65:$D$66,MATCH(AL277,'SCORING MASTER'!$C$65:$C$66,0)),INDEX('SCORING MASTER'!$D$68:$D$69,MATCH(AM277,'SCORING MASTER'!$C$68:$C$69,0)),INDEX('SCORING MASTER'!$D$71:$D$72,MATCH(AN277,'SCORING MASTER'!$C$71:$C$72,0)),INDEX('SCORING MASTER'!$D$74:$D$75,MATCH(AO277,'SCORING MASTER'!$C$74:$C$75,0)),INDEX('SCORING MASTER'!$D$77:$D$78,MATCH(AP277,'SCORING MASTER'!$C$77:$C$78,0)))*20,0))</f>
        <v/>
      </c>
      <c r="BJ277" s="35" t="str">
        <f aca="false">IF(COUNTBLANK(AU277:AZ277)&gt;0,"",ROUND(AVERAGE(INDEX('SCORING MASTER'!$D$95:$D$96,MATCH(AU277,'SCORING MASTER'!$C$95:$C$96,0)),INDEX('SCORING MASTER'!$D$98:$D$99,MATCH(AV277,'SCORING MASTER'!$C$98:$C$99,0)),INDEX('SCORING MASTER'!$D$101:$D$102,MATCH(AW277,'SCORING MASTER'!$C$101:$C$102,0)),INDEX('SCORING MASTER'!$D$104:$D$105,MATCH(AX277,'SCORING MASTER'!$C$104:$C$105,0)),INDEX('SCORING MASTER'!$D$107:$D$108,MATCH(AY277,'SCORING MASTER'!$C$107:$C$108,0)),INDEX('SCORING MASTER'!$D$110:$D$111,MATCH(AZ277,'SCORING MASTER'!$C$110:$C$111,0)))*20,0))</f>
        <v/>
      </c>
      <c r="BK277" s="35" t="str">
        <f aca="false">IF(COUNTBLANK(AQ277:AT277)&gt;0,"",ROUND(AVERAGE(INDEX('SCORING MASTER'!$D$80:$D$82,MATCH(AQ277,'SCORING MASTER'!$C$80:$C$82,0)),INDEX('SCORING MASTER'!$D$84:$D$86,MATCH(AR277,'SCORING MASTER'!$C$84:$C$86,0)),INDEX('SCORING MASTER'!$D$88:$D$90,MATCH(AS277,'SCORING MASTER'!$C$88:$C$90,0)),INDEX('SCORING MASTER'!$D$92:$D$93,MATCH(AT277,'SCORING MASTER'!$C$92:$C$93,0)))*20,0))</f>
        <v/>
      </c>
      <c r="BL277" s="35" t="str">
        <f aca="false">IF(COUNTBLANK(BA277:BE277)&gt;0,"",ROUND(AVERAGE(INDEX('SCORING MASTER'!$D$113:$D$115,MATCH(BA277,'SCORING MASTER'!$C$113:$C$115,0)),INDEX('SCORING MASTER'!$D$117:$D$119,MATCH(BB277,'SCORING MASTER'!$C$117:$C$119,0)),INDEX('SCORING MASTER'!$D$121:$D$123,MATCH(BC277,'SCORING MASTER'!$C$121:$C$123,0)),INDEX('SCORING MASTER'!$D$125:$D$126,MATCH(BD277,'SCORING MASTER'!$C$125:$C$126,0)),INDEX('SCORING MASTER'!$D$128:$D$129,MATCH(BE277,'SCORING MASTER'!$C$128:$C$129,0)))*20,0))</f>
        <v/>
      </c>
      <c r="BM277" s="35" t="str">
        <f aca="false">IF(OR(BF277="",BG277="",BH277="",BI277="",BJ277="",BK277="",BL277=""),"",ROUND(BF277*0.25+BG277*0.2+BH277*0.15+BI277*0.15+BJ277*0.1+BK277*0.1+BL277*0.05,0))</f>
        <v/>
      </c>
      <c r="BN277" s="35" t="str">
        <f aca="false">IF(OR(BF277="",BG277=""),"",ROUND(BF277*0.5+BG277*0.5,0))</f>
        <v/>
      </c>
      <c r="BO277" s="35" t="str">
        <f aca="false">IF(BN277="","",ROUND(MIN(100,MAX(0,(100-BN277)+IF(AL277="Yes",15,0)+IF(AM277="Yes",15,0)+IF(AND(U277&lt;&gt;"",U277&lt;18.5),20,0))),0))</f>
        <v/>
      </c>
      <c r="BP277" s="32" t="str">
        <f aca="false">IF(BM277="","",IF(BM277&gt;=90,"Green - Healthy",IF(BM277&gt;=75,"Light Green - Mild Watch",IF(BM277&gt;=60,"Yellow - Mild Risk",IF(BM277&gt;=40,"Orange - Moderate Risk","Red - High Risk")))))</f>
        <v/>
      </c>
      <c r="BQ277" s="32" t="str">
        <f aca="false">IF(BM277="","",IF(OR(BM277&lt;60,BO277&gt;=60,AJ277="Yes"),"Yes","No"))</f>
        <v/>
      </c>
      <c r="BR277" s="32" t="str">
        <f aca="false">IF(BM277="","",IF(OR(BP277="Orange - Moderate Risk",BP277="Red - High Risk",BQ277="Yes"),"Yes","No"))</f>
        <v/>
      </c>
    </row>
    <row r="278" customFormat="false" ht="15" hidden="false" customHeight="false" outlineLevel="0" collapsed="false">
      <c r="A278" s="28" t="str">
        <f aca="false">IF(I278="","","STU"&amp;TEXT(ROW()-3,"000000"))</f>
        <v/>
      </c>
      <c r="B278" s="28"/>
      <c r="C278" s="28"/>
      <c r="D278" s="28"/>
      <c r="E278" s="28"/>
      <c r="F278" s="28"/>
      <c r="G278" s="28"/>
      <c r="H278" s="28"/>
      <c r="I278" s="28"/>
      <c r="J278" s="30"/>
      <c r="K278" s="28"/>
      <c r="L278" s="28"/>
      <c r="M278" s="28"/>
      <c r="N278" s="28"/>
      <c r="O278" s="28"/>
      <c r="P278" s="28"/>
      <c r="Q278" s="30"/>
      <c r="R278" s="30"/>
      <c r="S278" s="31" t="str">
        <f aca="false">IF(OR(Q278="",R278=""),"",ROUND(R278/((Q278/100)^2),1))</f>
        <v/>
      </c>
      <c r="T278" s="28" t="str">
        <f aca="false">IF(S278="","",IF(S278&lt;18.5,"Underweight",IF(S278&lt;25,"Normal",IF(S278&lt;30,"Overweight","Obese"))))</f>
        <v/>
      </c>
      <c r="U278" s="30"/>
      <c r="V278" s="30"/>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c r="BE278" s="28"/>
      <c r="BF278" s="31" t="str">
        <f aca="false">IF(T278="","",IF(T278="Normal",100,IF(T278="Overweight",65,IF(T278="Obese",50,IF(AND(U278&lt;&gt;"",U278&lt;18.5),30,45)))))</f>
        <v/>
      </c>
      <c r="BG278" s="31" t="str">
        <f aca="false">IF(COUNTBLANK(W278:AC278)&gt;0,"",ROUND(AVERAGE(INDEX('SCORING MASTER'!$D$5:$D$7,MATCH(W278,'SCORING MASTER'!$C$5:$C$7,0)),INDEX('SCORING MASTER'!$D$9:$D$11,MATCH(X278,'SCORING MASTER'!$C$9:$C$11,0)),INDEX('SCORING MASTER'!$D$13:$D$15,MATCH(Y278,'SCORING MASTER'!$C$13:$C$15,0)),INDEX('SCORING MASTER'!$D$17:$D$19,MATCH(Z278,'SCORING MASTER'!$C$17:$C$19,0)),INDEX('SCORING MASTER'!$D$21:$D$23,MATCH(AA278,'SCORING MASTER'!$C$21:$C$23,0)),INDEX('SCORING MASTER'!$D$25:$D$27,MATCH(AB278,'SCORING MASTER'!$C$25:$C$27,0)),INDEX('SCORING MASTER'!$D$29:$D$31,MATCH(AC278,'SCORING MASTER'!$C$29:$C$31,0)))*20,0))</f>
        <v/>
      </c>
      <c r="BH278" s="31" t="str">
        <f aca="false">IF(COUNTBLANK(AD278:AI278)&gt;0,"",ROUND(AVERAGE(INDEX('SCORING MASTER'!$D$33:$D$35,MATCH(AD278,'SCORING MASTER'!$C$33:$C$35,0)),INDEX('SCORING MASTER'!$D$37:$D$39,MATCH(AE278,'SCORING MASTER'!$C$37:$C$39,0)),INDEX('SCORING MASTER'!$D$41:$D$43,MATCH(AF278,'SCORING MASTER'!$C$41:$C$43,0)),INDEX('SCORING MASTER'!$D$45:$D$47,MATCH(AG278,'SCORING MASTER'!$C$45:$C$47,0)),INDEX('SCORING MASTER'!$D$49:$D$52,MATCH(AH278,'SCORING MASTER'!$C$49:$C$52,0)),INDEX('SCORING MASTER'!$D$54:$D$57,MATCH(AI278,'SCORING MASTER'!$C$54:$C$57,0)))*20,0))</f>
        <v/>
      </c>
      <c r="BI278" s="31" t="str">
        <f aca="false">IF(COUNTBLANK(AJ278:AP278)&gt;0,"",ROUND(AVERAGE(INDEX('SCORING MASTER'!$D$59:$D$60,MATCH(AJ278,'SCORING MASTER'!$C$59:$C$60,0)),INDEX('SCORING MASTER'!$D$62:$D$63,MATCH(AK278,'SCORING MASTER'!$C$62:$C$63,0)),INDEX('SCORING MASTER'!$D$65:$D$66,MATCH(AL278,'SCORING MASTER'!$C$65:$C$66,0)),INDEX('SCORING MASTER'!$D$68:$D$69,MATCH(AM278,'SCORING MASTER'!$C$68:$C$69,0)),INDEX('SCORING MASTER'!$D$71:$D$72,MATCH(AN278,'SCORING MASTER'!$C$71:$C$72,0)),INDEX('SCORING MASTER'!$D$74:$D$75,MATCH(AO278,'SCORING MASTER'!$C$74:$C$75,0)),INDEX('SCORING MASTER'!$D$77:$D$78,MATCH(AP278,'SCORING MASTER'!$C$77:$C$78,0)))*20,0))</f>
        <v/>
      </c>
      <c r="BJ278" s="31" t="str">
        <f aca="false">IF(COUNTBLANK(AU278:AZ278)&gt;0,"",ROUND(AVERAGE(INDEX('SCORING MASTER'!$D$95:$D$96,MATCH(AU278,'SCORING MASTER'!$C$95:$C$96,0)),INDEX('SCORING MASTER'!$D$98:$D$99,MATCH(AV278,'SCORING MASTER'!$C$98:$C$99,0)),INDEX('SCORING MASTER'!$D$101:$D$102,MATCH(AW278,'SCORING MASTER'!$C$101:$C$102,0)),INDEX('SCORING MASTER'!$D$104:$D$105,MATCH(AX278,'SCORING MASTER'!$C$104:$C$105,0)),INDEX('SCORING MASTER'!$D$107:$D$108,MATCH(AY278,'SCORING MASTER'!$C$107:$C$108,0)),INDEX('SCORING MASTER'!$D$110:$D$111,MATCH(AZ278,'SCORING MASTER'!$C$110:$C$111,0)))*20,0))</f>
        <v/>
      </c>
      <c r="BK278" s="31" t="str">
        <f aca="false">IF(COUNTBLANK(AQ278:AT278)&gt;0,"",ROUND(AVERAGE(INDEX('SCORING MASTER'!$D$80:$D$82,MATCH(AQ278,'SCORING MASTER'!$C$80:$C$82,0)),INDEX('SCORING MASTER'!$D$84:$D$86,MATCH(AR278,'SCORING MASTER'!$C$84:$C$86,0)),INDEX('SCORING MASTER'!$D$88:$D$90,MATCH(AS278,'SCORING MASTER'!$C$88:$C$90,0)),INDEX('SCORING MASTER'!$D$92:$D$93,MATCH(AT278,'SCORING MASTER'!$C$92:$C$93,0)))*20,0))</f>
        <v/>
      </c>
      <c r="BL278" s="31" t="str">
        <f aca="false">IF(COUNTBLANK(BA278:BE278)&gt;0,"",ROUND(AVERAGE(INDEX('SCORING MASTER'!$D$113:$D$115,MATCH(BA278,'SCORING MASTER'!$C$113:$C$115,0)),INDEX('SCORING MASTER'!$D$117:$D$119,MATCH(BB278,'SCORING MASTER'!$C$117:$C$119,0)),INDEX('SCORING MASTER'!$D$121:$D$123,MATCH(BC278,'SCORING MASTER'!$C$121:$C$123,0)),INDEX('SCORING MASTER'!$D$125:$D$126,MATCH(BD278,'SCORING MASTER'!$C$125:$C$126,0)),INDEX('SCORING MASTER'!$D$128:$D$129,MATCH(BE278,'SCORING MASTER'!$C$128:$C$129,0)))*20,0))</f>
        <v/>
      </c>
      <c r="BM278" s="31" t="str">
        <f aca="false">IF(OR(BF278="",BG278="",BH278="",BI278="",BJ278="",BK278="",BL278=""),"",ROUND(BF278*0.25+BG278*0.2+BH278*0.15+BI278*0.15+BJ278*0.1+BK278*0.1+BL278*0.05,0))</f>
        <v/>
      </c>
      <c r="BN278" s="31" t="str">
        <f aca="false">IF(OR(BF278="",BG278=""),"",ROUND(BF278*0.5+BG278*0.5,0))</f>
        <v/>
      </c>
      <c r="BO278" s="31" t="str">
        <f aca="false">IF(BN278="","",ROUND(MIN(100,MAX(0,(100-BN278)+IF(AL278="Yes",15,0)+IF(AM278="Yes",15,0)+IF(AND(U278&lt;&gt;"",U278&lt;18.5),20,0))),0))</f>
        <v/>
      </c>
      <c r="BP278" s="28" t="str">
        <f aca="false">IF(BM278="","",IF(BM278&gt;=90,"Green - Healthy",IF(BM278&gt;=75,"Light Green - Mild Watch",IF(BM278&gt;=60,"Yellow - Mild Risk",IF(BM278&gt;=40,"Orange - Moderate Risk","Red - High Risk")))))</f>
        <v/>
      </c>
      <c r="BQ278" s="28" t="str">
        <f aca="false">IF(BM278="","",IF(OR(BM278&lt;60,BO278&gt;=60,AJ278="Yes"),"Yes","No"))</f>
        <v/>
      </c>
      <c r="BR278" s="28" t="str">
        <f aca="false">IF(BM278="","",IF(OR(BP278="Orange - Moderate Risk",BP278="Red - High Risk",BQ278="Yes"),"Yes","No"))</f>
        <v/>
      </c>
    </row>
    <row r="279" customFormat="false" ht="15" hidden="false" customHeight="false" outlineLevel="0" collapsed="false">
      <c r="A279" s="32" t="str">
        <f aca="false">IF(I279="","","STU"&amp;TEXT(ROW()-3,"000000"))</f>
        <v/>
      </c>
      <c r="B279" s="32"/>
      <c r="C279" s="32"/>
      <c r="D279" s="32"/>
      <c r="E279" s="32"/>
      <c r="F279" s="32"/>
      <c r="G279" s="32"/>
      <c r="H279" s="32"/>
      <c r="I279" s="32"/>
      <c r="J279" s="34"/>
      <c r="K279" s="32"/>
      <c r="L279" s="32"/>
      <c r="M279" s="32"/>
      <c r="N279" s="32"/>
      <c r="O279" s="32"/>
      <c r="P279" s="32"/>
      <c r="Q279" s="34"/>
      <c r="R279" s="34"/>
      <c r="S279" s="35" t="str">
        <f aca="false">IF(OR(Q279="",R279=""),"",ROUND(R279/((Q279/100)^2),1))</f>
        <v/>
      </c>
      <c r="T279" s="32" t="str">
        <f aca="false">IF(S279="","",IF(S279&lt;18.5,"Underweight",IF(S279&lt;25,"Normal",IF(S279&lt;30,"Overweight","Obese"))))</f>
        <v/>
      </c>
      <c r="U279" s="34"/>
      <c r="V279" s="34"/>
      <c r="W279" s="32"/>
      <c r="X279" s="32"/>
      <c r="Y279" s="32"/>
      <c r="Z279" s="32"/>
      <c r="AA279" s="32"/>
      <c r="AB279" s="32"/>
      <c r="AC279" s="32"/>
      <c r="AD279" s="32"/>
      <c r="AE279" s="32"/>
      <c r="AF279" s="32"/>
      <c r="AG279" s="32"/>
      <c r="AH279" s="32"/>
      <c r="AI279" s="32"/>
      <c r="AJ279" s="32"/>
      <c r="AK279" s="32"/>
      <c r="AL279" s="32"/>
      <c r="AM279" s="32"/>
      <c r="AN279" s="32"/>
      <c r="AO279" s="32"/>
      <c r="AP279" s="32"/>
      <c r="AQ279" s="32"/>
      <c r="AR279" s="32"/>
      <c r="AS279" s="32"/>
      <c r="AT279" s="32"/>
      <c r="AU279" s="32"/>
      <c r="AV279" s="32"/>
      <c r="AW279" s="32"/>
      <c r="AX279" s="32"/>
      <c r="AY279" s="32"/>
      <c r="AZ279" s="32"/>
      <c r="BA279" s="32"/>
      <c r="BB279" s="32"/>
      <c r="BC279" s="32"/>
      <c r="BD279" s="32"/>
      <c r="BE279" s="32"/>
      <c r="BF279" s="35" t="str">
        <f aca="false">IF(T279="","",IF(T279="Normal",100,IF(T279="Overweight",65,IF(T279="Obese",50,IF(AND(U279&lt;&gt;"",U279&lt;18.5),30,45)))))</f>
        <v/>
      </c>
      <c r="BG279" s="35" t="str">
        <f aca="false">IF(COUNTBLANK(W279:AC279)&gt;0,"",ROUND(AVERAGE(INDEX('SCORING MASTER'!$D$5:$D$7,MATCH(W279,'SCORING MASTER'!$C$5:$C$7,0)),INDEX('SCORING MASTER'!$D$9:$D$11,MATCH(X279,'SCORING MASTER'!$C$9:$C$11,0)),INDEX('SCORING MASTER'!$D$13:$D$15,MATCH(Y279,'SCORING MASTER'!$C$13:$C$15,0)),INDEX('SCORING MASTER'!$D$17:$D$19,MATCH(Z279,'SCORING MASTER'!$C$17:$C$19,0)),INDEX('SCORING MASTER'!$D$21:$D$23,MATCH(AA279,'SCORING MASTER'!$C$21:$C$23,0)),INDEX('SCORING MASTER'!$D$25:$D$27,MATCH(AB279,'SCORING MASTER'!$C$25:$C$27,0)),INDEX('SCORING MASTER'!$D$29:$D$31,MATCH(AC279,'SCORING MASTER'!$C$29:$C$31,0)))*20,0))</f>
        <v/>
      </c>
      <c r="BH279" s="35" t="str">
        <f aca="false">IF(COUNTBLANK(AD279:AI279)&gt;0,"",ROUND(AVERAGE(INDEX('SCORING MASTER'!$D$33:$D$35,MATCH(AD279,'SCORING MASTER'!$C$33:$C$35,0)),INDEX('SCORING MASTER'!$D$37:$D$39,MATCH(AE279,'SCORING MASTER'!$C$37:$C$39,0)),INDEX('SCORING MASTER'!$D$41:$D$43,MATCH(AF279,'SCORING MASTER'!$C$41:$C$43,0)),INDEX('SCORING MASTER'!$D$45:$D$47,MATCH(AG279,'SCORING MASTER'!$C$45:$C$47,0)),INDEX('SCORING MASTER'!$D$49:$D$52,MATCH(AH279,'SCORING MASTER'!$C$49:$C$52,0)),INDEX('SCORING MASTER'!$D$54:$D$57,MATCH(AI279,'SCORING MASTER'!$C$54:$C$57,0)))*20,0))</f>
        <v/>
      </c>
      <c r="BI279" s="35" t="str">
        <f aca="false">IF(COUNTBLANK(AJ279:AP279)&gt;0,"",ROUND(AVERAGE(INDEX('SCORING MASTER'!$D$59:$D$60,MATCH(AJ279,'SCORING MASTER'!$C$59:$C$60,0)),INDEX('SCORING MASTER'!$D$62:$D$63,MATCH(AK279,'SCORING MASTER'!$C$62:$C$63,0)),INDEX('SCORING MASTER'!$D$65:$D$66,MATCH(AL279,'SCORING MASTER'!$C$65:$C$66,0)),INDEX('SCORING MASTER'!$D$68:$D$69,MATCH(AM279,'SCORING MASTER'!$C$68:$C$69,0)),INDEX('SCORING MASTER'!$D$71:$D$72,MATCH(AN279,'SCORING MASTER'!$C$71:$C$72,0)),INDEX('SCORING MASTER'!$D$74:$D$75,MATCH(AO279,'SCORING MASTER'!$C$74:$C$75,0)),INDEX('SCORING MASTER'!$D$77:$D$78,MATCH(AP279,'SCORING MASTER'!$C$77:$C$78,0)))*20,0))</f>
        <v/>
      </c>
      <c r="BJ279" s="35" t="str">
        <f aca="false">IF(COUNTBLANK(AU279:AZ279)&gt;0,"",ROUND(AVERAGE(INDEX('SCORING MASTER'!$D$95:$D$96,MATCH(AU279,'SCORING MASTER'!$C$95:$C$96,0)),INDEX('SCORING MASTER'!$D$98:$D$99,MATCH(AV279,'SCORING MASTER'!$C$98:$C$99,0)),INDEX('SCORING MASTER'!$D$101:$D$102,MATCH(AW279,'SCORING MASTER'!$C$101:$C$102,0)),INDEX('SCORING MASTER'!$D$104:$D$105,MATCH(AX279,'SCORING MASTER'!$C$104:$C$105,0)),INDEX('SCORING MASTER'!$D$107:$D$108,MATCH(AY279,'SCORING MASTER'!$C$107:$C$108,0)),INDEX('SCORING MASTER'!$D$110:$D$111,MATCH(AZ279,'SCORING MASTER'!$C$110:$C$111,0)))*20,0))</f>
        <v/>
      </c>
      <c r="BK279" s="35" t="str">
        <f aca="false">IF(COUNTBLANK(AQ279:AT279)&gt;0,"",ROUND(AVERAGE(INDEX('SCORING MASTER'!$D$80:$D$82,MATCH(AQ279,'SCORING MASTER'!$C$80:$C$82,0)),INDEX('SCORING MASTER'!$D$84:$D$86,MATCH(AR279,'SCORING MASTER'!$C$84:$C$86,0)),INDEX('SCORING MASTER'!$D$88:$D$90,MATCH(AS279,'SCORING MASTER'!$C$88:$C$90,0)),INDEX('SCORING MASTER'!$D$92:$D$93,MATCH(AT279,'SCORING MASTER'!$C$92:$C$93,0)))*20,0))</f>
        <v/>
      </c>
      <c r="BL279" s="35" t="str">
        <f aca="false">IF(COUNTBLANK(BA279:BE279)&gt;0,"",ROUND(AVERAGE(INDEX('SCORING MASTER'!$D$113:$D$115,MATCH(BA279,'SCORING MASTER'!$C$113:$C$115,0)),INDEX('SCORING MASTER'!$D$117:$D$119,MATCH(BB279,'SCORING MASTER'!$C$117:$C$119,0)),INDEX('SCORING MASTER'!$D$121:$D$123,MATCH(BC279,'SCORING MASTER'!$C$121:$C$123,0)),INDEX('SCORING MASTER'!$D$125:$D$126,MATCH(BD279,'SCORING MASTER'!$C$125:$C$126,0)),INDEX('SCORING MASTER'!$D$128:$D$129,MATCH(BE279,'SCORING MASTER'!$C$128:$C$129,0)))*20,0))</f>
        <v/>
      </c>
      <c r="BM279" s="35" t="str">
        <f aca="false">IF(OR(BF279="",BG279="",BH279="",BI279="",BJ279="",BK279="",BL279=""),"",ROUND(BF279*0.25+BG279*0.2+BH279*0.15+BI279*0.15+BJ279*0.1+BK279*0.1+BL279*0.05,0))</f>
        <v/>
      </c>
      <c r="BN279" s="35" t="str">
        <f aca="false">IF(OR(BF279="",BG279=""),"",ROUND(BF279*0.5+BG279*0.5,0))</f>
        <v/>
      </c>
      <c r="BO279" s="35" t="str">
        <f aca="false">IF(BN279="","",ROUND(MIN(100,MAX(0,(100-BN279)+IF(AL279="Yes",15,0)+IF(AM279="Yes",15,0)+IF(AND(U279&lt;&gt;"",U279&lt;18.5),20,0))),0))</f>
        <v/>
      </c>
      <c r="BP279" s="32" t="str">
        <f aca="false">IF(BM279="","",IF(BM279&gt;=90,"Green - Healthy",IF(BM279&gt;=75,"Light Green - Mild Watch",IF(BM279&gt;=60,"Yellow - Mild Risk",IF(BM279&gt;=40,"Orange - Moderate Risk","Red - High Risk")))))</f>
        <v/>
      </c>
      <c r="BQ279" s="32" t="str">
        <f aca="false">IF(BM279="","",IF(OR(BM279&lt;60,BO279&gt;=60,AJ279="Yes"),"Yes","No"))</f>
        <v/>
      </c>
      <c r="BR279" s="32" t="str">
        <f aca="false">IF(BM279="","",IF(OR(BP279="Orange - Moderate Risk",BP279="Red - High Risk",BQ279="Yes"),"Yes","No"))</f>
        <v/>
      </c>
    </row>
    <row r="280" customFormat="false" ht="15" hidden="false" customHeight="false" outlineLevel="0" collapsed="false">
      <c r="A280" s="28" t="str">
        <f aca="false">IF(I280="","","STU"&amp;TEXT(ROW()-3,"000000"))</f>
        <v/>
      </c>
      <c r="B280" s="28"/>
      <c r="C280" s="28"/>
      <c r="D280" s="28"/>
      <c r="E280" s="28"/>
      <c r="F280" s="28"/>
      <c r="G280" s="28"/>
      <c r="H280" s="28"/>
      <c r="I280" s="28"/>
      <c r="J280" s="30"/>
      <c r="K280" s="28"/>
      <c r="L280" s="28"/>
      <c r="M280" s="28"/>
      <c r="N280" s="28"/>
      <c r="O280" s="28"/>
      <c r="P280" s="28"/>
      <c r="Q280" s="30"/>
      <c r="R280" s="30"/>
      <c r="S280" s="31" t="str">
        <f aca="false">IF(OR(Q280="",R280=""),"",ROUND(R280/((Q280/100)^2),1))</f>
        <v/>
      </c>
      <c r="T280" s="28" t="str">
        <f aca="false">IF(S280="","",IF(S280&lt;18.5,"Underweight",IF(S280&lt;25,"Normal",IF(S280&lt;30,"Overweight","Obese"))))</f>
        <v/>
      </c>
      <c r="U280" s="30"/>
      <c r="V280" s="30"/>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c r="BD280" s="28"/>
      <c r="BE280" s="28"/>
      <c r="BF280" s="31" t="str">
        <f aca="false">IF(T280="","",IF(T280="Normal",100,IF(T280="Overweight",65,IF(T280="Obese",50,IF(AND(U280&lt;&gt;"",U280&lt;18.5),30,45)))))</f>
        <v/>
      </c>
      <c r="BG280" s="31" t="str">
        <f aca="false">IF(COUNTBLANK(W280:AC280)&gt;0,"",ROUND(AVERAGE(INDEX('SCORING MASTER'!$D$5:$D$7,MATCH(W280,'SCORING MASTER'!$C$5:$C$7,0)),INDEX('SCORING MASTER'!$D$9:$D$11,MATCH(X280,'SCORING MASTER'!$C$9:$C$11,0)),INDEX('SCORING MASTER'!$D$13:$D$15,MATCH(Y280,'SCORING MASTER'!$C$13:$C$15,0)),INDEX('SCORING MASTER'!$D$17:$D$19,MATCH(Z280,'SCORING MASTER'!$C$17:$C$19,0)),INDEX('SCORING MASTER'!$D$21:$D$23,MATCH(AA280,'SCORING MASTER'!$C$21:$C$23,0)),INDEX('SCORING MASTER'!$D$25:$D$27,MATCH(AB280,'SCORING MASTER'!$C$25:$C$27,0)),INDEX('SCORING MASTER'!$D$29:$D$31,MATCH(AC280,'SCORING MASTER'!$C$29:$C$31,0)))*20,0))</f>
        <v/>
      </c>
      <c r="BH280" s="31" t="str">
        <f aca="false">IF(COUNTBLANK(AD280:AI280)&gt;0,"",ROUND(AVERAGE(INDEX('SCORING MASTER'!$D$33:$D$35,MATCH(AD280,'SCORING MASTER'!$C$33:$C$35,0)),INDEX('SCORING MASTER'!$D$37:$D$39,MATCH(AE280,'SCORING MASTER'!$C$37:$C$39,0)),INDEX('SCORING MASTER'!$D$41:$D$43,MATCH(AF280,'SCORING MASTER'!$C$41:$C$43,0)),INDEX('SCORING MASTER'!$D$45:$D$47,MATCH(AG280,'SCORING MASTER'!$C$45:$C$47,0)),INDEX('SCORING MASTER'!$D$49:$D$52,MATCH(AH280,'SCORING MASTER'!$C$49:$C$52,0)),INDEX('SCORING MASTER'!$D$54:$D$57,MATCH(AI280,'SCORING MASTER'!$C$54:$C$57,0)))*20,0))</f>
        <v/>
      </c>
      <c r="BI280" s="31" t="str">
        <f aca="false">IF(COUNTBLANK(AJ280:AP280)&gt;0,"",ROUND(AVERAGE(INDEX('SCORING MASTER'!$D$59:$D$60,MATCH(AJ280,'SCORING MASTER'!$C$59:$C$60,0)),INDEX('SCORING MASTER'!$D$62:$D$63,MATCH(AK280,'SCORING MASTER'!$C$62:$C$63,0)),INDEX('SCORING MASTER'!$D$65:$D$66,MATCH(AL280,'SCORING MASTER'!$C$65:$C$66,0)),INDEX('SCORING MASTER'!$D$68:$D$69,MATCH(AM280,'SCORING MASTER'!$C$68:$C$69,0)),INDEX('SCORING MASTER'!$D$71:$D$72,MATCH(AN280,'SCORING MASTER'!$C$71:$C$72,0)),INDEX('SCORING MASTER'!$D$74:$D$75,MATCH(AO280,'SCORING MASTER'!$C$74:$C$75,0)),INDEX('SCORING MASTER'!$D$77:$D$78,MATCH(AP280,'SCORING MASTER'!$C$77:$C$78,0)))*20,0))</f>
        <v/>
      </c>
      <c r="BJ280" s="31" t="str">
        <f aca="false">IF(COUNTBLANK(AU280:AZ280)&gt;0,"",ROUND(AVERAGE(INDEX('SCORING MASTER'!$D$95:$D$96,MATCH(AU280,'SCORING MASTER'!$C$95:$C$96,0)),INDEX('SCORING MASTER'!$D$98:$D$99,MATCH(AV280,'SCORING MASTER'!$C$98:$C$99,0)),INDEX('SCORING MASTER'!$D$101:$D$102,MATCH(AW280,'SCORING MASTER'!$C$101:$C$102,0)),INDEX('SCORING MASTER'!$D$104:$D$105,MATCH(AX280,'SCORING MASTER'!$C$104:$C$105,0)),INDEX('SCORING MASTER'!$D$107:$D$108,MATCH(AY280,'SCORING MASTER'!$C$107:$C$108,0)),INDEX('SCORING MASTER'!$D$110:$D$111,MATCH(AZ280,'SCORING MASTER'!$C$110:$C$111,0)))*20,0))</f>
        <v/>
      </c>
      <c r="BK280" s="31" t="str">
        <f aca="false">IF(COUNTBLANK(AQ280:AT280)&gt;0,"",ROUND(AVERAGE(INDEX('SCORING MASTER'!$D$80:$D$82,MATCH(AQ280,'SCORING MASTER'!$C$80:$C$82,0)),INDEX('SCORING MASTER'!$D$84:$D$86,MATCH(AR280,'SCORING MASTER'!$C$84:$C$86,0)),INDEX('SCORING MASTER'!$D$88:$D$90,MATCH(AS280,'SCORING MASTER'!$C$88:$C$90,0)),INDEX('SCORING MASTER'!$D$92:$D$93,MATCH(AT280,'SCORING MASTER'!$C$92:$C$93,0)))*20,0))</f>
        <v/>
      </c>
      <c r="BL280" s="31" t="str">
        <f aca="false">IF(COUNTBLANK(BA280:BE280)&gt;0,"",ROUND(AVERAGE(INDEX('SCORING MASTER'!$D$113:$D$115,MATCH(BA280,'SCORING MASTER'!$C$113:$C$115,0)),INDEX('SCORING MASTER'!$D$117:$D$119,MATCH(BB280,'SCORING MASTER'!$C$117:$C$119,0)),INDEX('SCORING MASTER'!$D$121:$D$123,MATCH(BC280,'SCORING MASTER'!$C$121:$C$123,0)),INDEX('SCORING MASTER'!$D$125:$D$126,MATCH(BD280,'SCORING MASTER'!$C$125:$C$126,0)),INDEX('SCORING MASTER'!$D$128:$D$129,MATCH(BE280,'SCORING MASTER'!$C$128:$C$129,0)))*20,0))</f>
        <v/>
      </c>
      <c r="BM280" s="31" t="str">
        <f aca="false">IF(OR(BF280="",BG280="",BH280="",BI280="",BJ280="",BK280="",BL280=""),"",ROUND(BF280*0.25+BG280*0.2+BH280*0.15+BI280*0.15+BJ280*0.1+BK280*0.1+BL280*0.05,0))</f>
        <v/>
      </c>
      <c r="BN280" s="31" t="str">
        <f aca="false">IF(OR(BF280="",BG280=""),"",ROUND(BF280*0.5+BG280*0.5,0))</f>
        <v/>
      </c>
      <c r="BO280" s="31" t="str">
        <f aca="false">IF(BN280="","",ROUND(MIN(100,MAX(0,(100-BN280)+IF(AL280="Yes",15,0)+IF(AM280="Yes",15,0)+IF(AND(U280&lt;&gt;"",U280&lt;18.5),20,0))),0))</f>
        <v/>
      </c>
      <c r="BP280" s="28" t="str">
        <f aca="false">IF(BM280="","",IF(BM280&gt;=90,"Green - Healthy",IF(BM280&gt;=75,"Light Green - Mild Watch",IF(BM280&gt;=60,"Yellow - Mild Risk",IF(BM280&gt;=40,"Orange - Moderate Risk","Red - High Risk")))))</f>
        <v/>
      </c>
      <c r="BQ280" s="28" t="str">
        <f aca="false">IF(BM280="","",IF(OR(BM280&lt;60,BO280&gt;=60,AJ280="Yes"),"Yes","No"))</f>
        <v/>
      </c>
      <c r="BR280" s="28" t="str">
        <f aca="false">IF(BM280="","",IF(OR(BP280="Orange - Moderate Risk",BP280="Red - High Risk",BQ280="Yes"),"Yes","No"))</f>
        <v/>
      </c>
    </row>
    <row r="281" customFormat="false" ht="15" hidden="false" customHeight="false" outlineLevel="0" collapsed="false">
      <c r="A281" s="32" t="str">
        <f aca="false">IF(I281="","","STU"&amp;TEXT(ROW()-3,"000000"))</f>
        <v/>
      </c>
      <c r="B281" s="32"/>
      <c r="C281" s="32"/>
      <c r="D281" s="32"/>
      <c r="E281" s="32"/>
      <c r="F281" s="32"/>
      <c r="G281" s="32"/>
      <c r="H281" s="32"/>
      <c r="I281" s="32"/>
      <c r="J281" s="34"/>
      <c r="K281" s="32"/>
      <c r="L281" s="32"/>
      <c r="M281" s="32"/>
      <c r="N281" s="32"/>
      <c r="O281" s="32"/>
      <c r="P281" s="32"/>
      <c r="Q281" s="34"/>
      <c r="R281" s="34"/>
      <c r="S281" s="35" t="str">
        <f aca="false">IF(OR(Q281="",R281=""),"",ROUND(R281/((Q281/100)^2),1))</f>
        <v/>
      </c>
      <c r="T281" s="32" t="str">
        <f aca="false">IF(S281="","",IF(S281&lt;18.5,"Underweight",IF(S281&lt;25,"Normal",IF(S281&lt;30,"Overweight","Obese"))))</f>
        <v/>
      </c>
      <c r="U281" s="34"/>
      <c r="V281" s="34"/>
      <c r="W281" s="32"/>
      <c r="X281" s="32"/>
      <c r="Y281" s="32"/>
      <c r="Z281" s="32"/>
      <c r="AA281" s="32"/>
      <c r="AB281" s="32"/>
      <c r="AC281" s="32"/>
      <c r="AD281" s="32"/>
      <c r="AE281" s="32"/>
      <c r="AF281" s="32"/>
      <c r="AG281" s="32"/>
      <c r="AH281" s="32"/>
      <c r="AI281" s="32"/>
      <c r="AJ281" s="32"/>
      <c r="AK281" s="32"/>
      <c r="AL281" s="32"/>
      <c r="AM281" s="32"/>
      <c r="AN281" s="32"/>
      <c r="AO281" s="32"/>
      <c r="AP281" s="32"/>
      <c r="AQ281" s="32"/>
      <c r="AR281" s="32"/>
      <c r="AS281" s="32"/>
      <c r="AT281" s="32"/>
      <c r="AU281" s="32"/>
      <c r="AV281" s="32"/>
      <c r="AW281" s="32"/>
      <c r="AX281" s="32"/>
      <c r="AY281" s="32"/>
      <c r="AZ281" s="32"/>
      <c r="BA281" s="32"/>
      <c r="BB281" s="32"/>
      <c r="BC281" s="32"/>
      <c r="BD281" s="32"/>
      <c r="BE281" s="32"/>
      <c r="BF281" s="35" t="str">
        <f aca="false">IF(T281="","",IF(T281="Normal",100,IF(T281="Overweight",65,IF(T281="Obese",50,IF(AND(U281&lt;&gt;"",U281&lt;18.5),30,45)))))</f>
        <v/>
      </c>
      <c r="BG281" s="35" t="str">
        <f aca="false">IF(COUNTBLANK(W281:AC281)&gt;0,"",ROUND(AVERAGE(INDEX('SCORING MASTER'!$D$5:$D$7,MATCH(W281,'SCORING MASTER'!$C$5:$C$7,0)),INDEX('SCORING MASTER'!$D$9:$D$11,MATCH(X281,'SCORING MASTER'!$C$9:$C$11,0)),INDEX('SCORING MASTER'!$D$13:$D$15,MATCH(Y281,'SCORING MASTER'!$C$13:$C$15,0)),INDEX('SCORING MASTER'!$D$17:$D$19,MATCH(Z281,'SCORING MASTER'!$C$17:$C$19,0)),INDEX('SCORING MASTER'!$D$21:$D$23,MATCH(AA281,'SCORING MASTER'!$C$21:$C$23,0)),INDEX('SCORING MASTER'!$D$25:$D$27,MATCH(AB281,'SCORING MASTER'!$C$25:$C$27,0)),INDEX('SCORING MASTER'!$D$29:$D$31,MATCH(AC281,'SCORING MASTER'!$C$29:$C$31,0)))*20,0))</f>
        <v/>
      </c>
      <c r="BH281" s="35" t="str">
        <f aca="false">IF(COUNTBLANK(AD281:AI281)&gt;0,"",ROUND(AVERAGE(INDEX('SCORING MASTER'!$D$33:$D$35,MATCH(AD281,'SCORING MASTER'!$C$33:$C$35,0)),INDEX('SCORING MASTER'!$D$37:$D$39,MATCH(AE281,'SCORING MASTER'!$C$37:$C$39,0)),INDEX('SCORING MASTER'!$D$41:$D$43,MATCH(AF281,'SCORING MASTER'!$C$41:$C$43,0)),INDEX('SCORING MASTER'!$D$45:$D$47,MATCH(AG281,'SCORING MASTER'!$C$45:$C$47,0)),INDEX('SCORING MASTER'!$D$49:$D$52,MATCH(AH281,'SCORING MASTER'!$C$49:$C$52,0)),INDEX('SCORING MASTER'!$D$54:$D$57,MATCH(AI281,'SCORING MASTER'!$C$54:$C$57,0)))*20,0))</f>
        <v/>
      </c>
      <c r="BI281" s="35" t="str">
        <f aca="false">IF(COUNTBLANK(AJ281:AP281)&gt;0,"",ROUND(AVERAGE(INDEX('SCORING MASTER'!$D$59:$D$60,MATCH(AJ281,'SCORING MASTER'!$C$59:$C$60,0)),INDEX('SCORING MASTER'!$D$62:$D$63,MATCH(AK281,'SCORING MASTER'!$C$62:$C$63,0)),INDEX('SCORING MASTER'!$D$65:$D$66,MATCH(AL281,'SCORING MASTER'!$C$65:$C$66,0)),INDEX('SCORING MASTER'!$D$68:$D$69,MATCH(AM281,'SCORING MASTER'!$C$68:$C$69,0)),INDEX('SCORING MASTER'!$D$71:$D$72,MATCH(AN281,'SCORING MASTER'!$C$71:$C$72,0)),INDEX('SCORING MASTER'!$D$74:$D$75,MATCH(AO281,'SCORING MASTER'!$C$74:$C$75,0)),INDEX('SCORING MASTER'!$D$77:$D$78,MATCH(AP281,'SCORING MASTER'!$C$77:$C$78,0)))*20,0))</f>
        <v/>
      </c>
      <c r="BJ281" s="35" t="str">
        <f aca="false">IF(COUNTBLANK(AU281:AZ281)&gt;0,"",ROUND(AVERAGE(INDEX('SCORING MASTER'!$D$95:$D$96,MATCH(AU281,'SCORING MASTER'!$C$95:$C$96,0)),INDEX('SCORING MASTER'!$D$98:$D$99,MATCH(AV281,'SCORING MASTER'!$C$98:$C$99,0)),INDEX('SCORING MASTER'!$D$101:$D$102,MATCH(AW281,'SCORING MASTER'!$C$101:$C$102,0)),INDEX('SCORING MASTER'!$D$104:$D$105,MATCH(AX281,'SCORING MASTER'!$C$104:$C$105,0)),INDEX('SCORING MASTER'!$D$107:$D$108,MATCH(AY281,'SCORING MASTER'!$C$107:$C$108,0)),INDEX('SCORING MASTER'!$D$110:$D$111,MATCH(AZ281,'SCORING MASTER'!$C$110:$C$111,0)))*20,0))</f>
        <v/>
      </c>
      <c r="BK281" s="35" t="str">
        <f aca="false">IF(COUNTBLANK(AQ281:AT281)&gt;0,"",ROUND(AVERAGE(INDEX('SCORING MASTER'!$D$80:$D$82,MATCH(AQ281,'SCORING MASTER'!$C$80:$C$82,0)),INDEX('SCORING MASTER'!$D$84:$D$86,MATCH(AR281,'SCORING MASTER'!$C$84:$C$86,0)),INDEX('SCORING MASTER'!$D$88:$D$90,MATCH(AS281,'SCORING MASTER'!$C$88:$C$90,0)),INDEX('SCORING MASTER'!$D$92:$D$93,MATCH(AT281,'SCORING MASTER'!$C$92:$C$93,0)))*20,0))</f>
        <v/>
      </c>
      <c r="BL281" s="35" t="str">
        <f aca="false">IF(COUNTBLANK(BA281:BE281)&gt;0,"",ROUND(AVERAGE(INDEX('SCORING MASTER'!$D$113:$D$115,MATCH(BA281,'SCORING MASTER'!$C$113:$C$115,0)),INDEX('SCORING MASTER'!$D$117:$D$119,MATCH(BB281,'SCORING MASTER'!$C$117:$C$119,0)),INDEX('SCORING MASTER'!$D$121:$D$123,MATCH(BC281,'SCORING MASTER'!$C$121:$C$123,0)),INDEX('SCORING MASTER'!$D$125:$D$126,MATCH(BD281,'SCORING MASTER'!$C$125:$C$126,0)),INDEX('SCORING MASTER'!$D$128:$D$129,MATCH(BE281,'SCORING MASTER'!$C$128:$C$129,0)))*20,0))</f>
        <v/>
      </c>
      <c r="BM281" s="35" t="str">
        <f aca="false">IF(OR(BF281="",BG281="",BH281="",BI281="",BJ281="",BK281="",BL281=""),"",ROUND(BF281*0.25+BG281*0.2+BH281*0.15+BI281*0.15+BJ281*0.1+BK281*0.1+BL281*0.05,0))</f>
        <v/>
      </c>
      <c r="BN281" s="35" t="str">
        <f aca="false">IF(OR(BF281="",BG281=""),"",ROUND(BF281*0.5+BG281*0.5,0))</f>
        <v/>
      </c>
      <c r="BO281" s="35" t="str">
        <f aca="false">IF(BN281="","",ROUND(MIN(100,MAX(0,(100-BN281)+IF(AL281="Yes",15,0)+IF(AM281="Yes",15,0)+IF(AND(U281&lt;&gt;"",U281&lt;18.5),20,0))),0))</f>
        <v/>
      </c>
      <c r="BP281" s="32" t="str">
        <f aca="false">IF(BM281="","",IF(BM281&gt;=90,"Green - Healthy",IF(BM281&gt;=75,"Light Green - Mild Watch",IF(BM281&gt;=60,"Yellow - Mild Risk",IF(BM281&gt;=40,"Orange - Moderate Risk","Red - High Risk")))))</f>
        <v/>
      </c>
      <c r="BQ281" s="32" t="str">
        <f aca="false">IF(BM281="","",IF(OR(BM281&lt;60,BO281&gt;=60,AJ281="Yes"),"Yes","No"))</f>
        <v/>
      </c>
      <c r="BR281" s="32" t="str">
        <f aca="false">IF(BM281="","",IF(OR(BP281="Orange - Moderate Risk",BP281="Red - High Risk",BQ281="Yes"),"Yes","No"))</f>
        <v/>
      </c>
    </row>
    <row r="282" customFormat="false" ht="15" hidden="false" customHeight="false" outlineLevel="0" collapsed="false">
      <c r="A282" s="28" t="str">
        <f aca="false">IF(I282="","","STU"&amp;TEXT(ROW()-3,"000000"))</f>
        <v/>
      </c>
      <c r="B282" s="28"/>
      <c r="C282" s="28"/>
      <c r="D282" s="28"/>
      <c r="E282" s="28"/>
      <c r="F282" s="28"/>
      <c r="G282" s="28"/>
      <c r="H282" s="28"/>
      <c r="I282" s="28"/>
      <c r="J282" s="30"/>
      <c r="K282" s="28"/>
      <c r="L282" s="28"/>
      <c r="M282" s="28"/>
      <c r="N282" s="28"/>
      <c r="O282" s="28"/>
      <c r="P282" s="28"/>
      <c r="Q282" s="30"/>
      <c r="R282" s="30"/>
      <c r="S282" s="31" t="str">
        <f aca="false">IF(OR(Q282="",R282=""),"",ROUND(R282/((Q282/100)^2),1))</f>
        <v/>
      </c>
      <c r="T282" s="28" t="str">
        <f aca="false">IF(S282="","",IF(S282&lt;18.5,"Underweight",IF(S282&lt;25,"Normal",IF(S282&lt;30,"Overweight","Obese"))))</f>
        <v/>
      </c>
      <c r="U282" s="30"/>
      <c r="V282" s="30"/>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V282" s="28"/>
      <c r="AW282" s="28"/>
      <c r="AX282" s="28"/>
      <c r="AY282" s="28"/>
      <c r="AZ282" s="28"/>
      <c r="BA282" s="28"/>
      <c r="BB282" s="28"/>
      <c r="BC282" s="28"/>
      <c r="BD282" s="28"/>
      <c r="BE282" s="28"/>
      <c r="BF282" s="31" t="str">
        <f aca="false">IF(T282="","",IF(T282="Normal",100,IF(T282="Overweight",65,IF(T282="Obese",50,IF(AND(U282&lt;&gt;"",U282&lt;18.5),30,45)))))</f>
        <v/>
      </c>
      <c r="BG282" s="31" t="str">
        <f aca="false">IF(COUNTBLANK(W282:AC282)&gt;0,"",ROUND(AVERAGE(INDEX('SCORING MASTER'!$D$5:$D$7,MATCH(W282,'SCORING MASTER'!$C$5:$C$7,0)),INDEX('SCORING MASTER'!$D$9:$D$11,MATCH(X282,'SCORING MASTER'!$C$9:$C$11,0)),INDEX('SCORING MASTER'!$D$13:$D$15,MATCH(Y282,'SCORING MASTER'!$C$13:$C$15,0)),INDEX('SCORING MASTER'!$D$17:$D$19,MATCH(Z282,'SCORING MASTER'!$C$17:$C$19,0)),INDEX('SCORING MASTER'!$D$21:$D$23,MATCH(AA282,'SCORING MASTER'!$C$21:$C$23,0)),INDEX('SCORING MASTER'!$D$25:$D$27,MATCH(AB282,'SCORING MASTER'!$C$25:$C$27,0)),INDEX('SCORING MASTER'!$D$29:$D$31,MATCH(AC282,'SCORING MASTER'!$C$29:$C$31,0)))*20,0))</f>
        <v/>
      </c>
      <c r="BH282" s="31" t="str">
        <f aca="false">IF(COUNTBLANK(AD282:AI282)&gt;0,"",ROUND(AVERAGE(INDEX('SCORING MASTER'!$D$33:$D$35,MATCH(AD282,'SCORING MASTER'!$C$33:$C$35,0)),INDEX('SCORING MASTER'!$D$37:$D$39,MATCH(AE282,'SCORING MASTER'!$C$37:$C$39,0)),INDEX('SCORING MASTER'!$D$41:$D$43,MATCH(AF282,'SCORING MASTER'!$C$41:$C$43,0)),INDEX('SCORING MASTER'!$D$45:$D$47,MATCH(AG282,'SCORING MASTER'!$C$45:$C$47,0)),INDEX('SCORING MASTER'!$D$49:$D$52,MATCH(AH282,'SCORING MASTER'!$C$49:$C$52,0)),INDEX('SCORING MASTER'!$D$54:$D$57,MATCH(AI282,'SCORING MASTER'!$C$54:$C$57,0)))*20,0))</f>
        <v/>
      </c>
      <c r="BI282" s="31" t="str">
        <f aca="false">IF(COUNTBLANK(AJ282:AP282)&gt;0,"",ROUND(AVERAGE(INDEX('SCORING MASTER'!$D$59:$D$60,MATCH(AJ282,'SCORING MASTER'!$C$59:$C$60,0)),INDEX('SCORING MASTER'!$D$62:$D$63,MATCH(AK282,'SCORING MASTER'!$C$62:$C$63,0)),INDEX('SCORING MASTER'!$D$65:$D$66,MATCH(AL282,'SCORING MASTER'!$C$65:$C$66,0)),INDEX('SCORING MASTER'!$D$68:$D$69,MATCH(AM282,'SCORING MASTER'!$C$68:$C$69,0)),INDEX('SCORING MASTER'!$D$71:$D$72,MATCH(AN282,'SCORING MASTER'!$C$71:$C$72,0)),INDEX('SCORING MASTER'!$D$74:$D$75,MATCH(AO282,'SCORING MASTER'!$C$74:$C$75,0)),INDEX('SCORING MASTER'!$D$77:$D$78,MATCH(AP282,'SCORING MASTER'!$C$77:$C$78,0)))*20,0))</f>
        <v/>
      </c>
      <c r="BJ282" s="31" t="str">
        <f aca="false">IF(COUNTBLANK(AU282:AZ282)&gt;0,"",ROUND(AVERAGE(INDEX('SCORING MASTER'!$D$95:$D$96,MATCH(AU282,'SCORING MASTER'!$C$95:$C$96,0)),INDEX('SCORING MASTER'!$D$98:$D$99,MATCH(AV282,'SCORING MASTER'!$C$98:$C$99,0)),INDEX('SCORING MASTER'!$D$101:$D$102,MATCH(AW282,'SCORING MASTER'!$C$101:$C$102,0)),INDEX('SCORING MASTER'!$D$104:$D$105,MATCH(AX282,'SCORING MASTER'!$C$104:$C$105,0)),INDEX('SCORING MASTER'!$D$107:$D$108,MATCH(AY282,'SCORING MASTER'!$C$107:$C$108,0)),INDEX('SCORING MASTER'!$D$110:$D$111,MATCH(AZ282,'SCORING MASTER'!$C$110:$C$111,0)))*20,0))</f>
        <v/>
      </c>
      <c r="BK282" s="31" t="str">
        <f aca="false">IF(COUNTBLANK(AQ282:AT282)&gt;0,"",ROUND(AVERAGE(INDEX('SCORING MASTER'!$D$80:$D$82,MATCH(AQ282,'SCORING MASTER'!$C$80:$C$82,0)),INDEX('SCORING MASTER'!$D$84:$D$86,MATCH(AR282,'SCORING MASTER'!$C$84:$C$86,0)),INDEX('SCORING MASTER'!$D$88:$D$90,MATCH(AS282,'SCORING MASTER'!$C$88:$C$90,0)),INDEX('SCORING MASTER'!$D$92:$D$93,MATCH(AT282,'SCORING MASTER'!$C$92:$C$93,0)))*20,0))</f>
        <v/>
      </c>
      <c r="BL282" s="31" t="str">
        <f aca="false">IF(COUNTBLANK(BA282:BE282)&gt;0,"",ROUND(AVERAGE(INDEX('SCORING MASTER'!$D$113:$D$115,MATCH(BA282,'SCORING MASTER'!$C$113:$C$115,0)),INDEX('SCORING MASTER'!$D$117:$D$119,MATCH(BB282,'SCORING MASTER'!$C$117:$C$119,0)),INDEX('SCORING MASTER'!$D$121:$D$123,MATCH(BC282,'SCORING MASTER'!$C$121:$C$123,0)),INDEX('SCORING MASTER'!$D$125:$D$126,MATCH(BD282,'SCORING MASTER'!$C$125:$C$126,0)),INDEX('SCORING MASTER'!$D$128:$D$129,MATCH(BE282,'SCORING MASTER'!$C$128:$C$129,0)))*20,0))</f>
        <v/>
      </c>
      <c r="BM282" s="31" t="str">
        <f aca="false">IF(OR(BF282="",BG282="",BH282="",BI282="",BJ282="",BK282="",BL282=""),"",ROUND(BF282*0.25+BG282*0.2+BH282*0.15+BI282*0.15+BJ282*0.1+BK282*0.1+BL282*0.05,0))</f>
        <v/>
      </c>
      <c r="BN282" s="31" t="str">
        <f aca="false">IF(OR(BF282="",BG282=""),"",ROUND(BF282*0.5+BG282*0.5,0))</f>
        <v/>
      </c>
      <c r="BO282" s="31" t="str">
        <f aca="false">IF(BN282="","",ROUND(MIN(100,MAX(0,(100-BN282)+IF(AL282="Yes",15,0)+IF(AM282="Yes",15,0)+IF(AND(U282&lt;&gt;"",U282&lt;18.5),20,0))),0))</f>
        <v/>
      </c>
      <c r="BP282" s="28" t="str">
        <f aca="false">IF(BM282="","",IF(BM282&gt;=90,"Green - Healthy",IF(BM282&gt;=75,"Light Green - Mild Watch",IF(BM282&gt;=60,"Yellow - Mild Risk",IF(BM282&gt;=40,"Orange - Moderate Risk","Red - High Risk")))))</f>
        <v/>
      </c>
      <c r="BQ282" s="28" t="str">
        <f aca="false">IF(BM282="","",IF(OR(BM282&lt;60,BO282&gt;=60,AJ282="Yes"),"Yes","No"))</f>
        <v/>
      </c>
      <c r="BR282" s="28" t="str">
        <f aca="false">IF(BM282="","",IF(OR(BP282="Orange - Moderate Risk",BP282="Red - High Risk",BQ282="Yes"),"Yes","No"))</f>
        <v/>
      </c>
    </row>
    <row r="283" customFormat="false" ht="15" hidden="false" customHeight="false" outlineLevel="0" collapsed="false">
      <c r="A283" s="32" t="str">
        <f aca="false">IF(I283="","","STU"&amp;TEXT(ROW()-3,"000000"))</f>
        <v/>
      </c>
      <c r="B283" s="32"/>
      <c r="C283" s="32"/>
      <c r="D283" s="32"/>
      <c r="E283" s="32"/>
      <c r="F283" s="32"/>
      <c r="G283" s="32"/>
      <c r="H283" s="32"/>
      <c r="I283" s="32"/>
      <c r="J283" s="34"/>
      <c r="K283" s="32"/>
      <c r="L283" s="32"/>
      <c r="M283" s="32"/>
      <c r="N283" s="32"/>
      <c r="O283" s="32"/>
      <c r="P283" s="32"/>
      <c r="Q283" s="34"/>
      <c r="R283" s="34"/>
      <c r="S283" s="35" t="str">
        <f aca="false">IF(OR(Q283="",R283=""),"",ROUND(R283/((Q283/100)^2),1))</f>
        <v/>
      </c>
      <c r="T283" s="32" t="str">
        <f aca="false">IF(S283="","",IF(S283&lt;18.5,"Underweight",IF(S283&lt;25,"Normal",IF(S283&lt;30,"Overweight","Obese"))))</f>
        <v/>
      </c>
      <c r="U283" s="34"/>
      <c r="V283" s="34"/>
      <c r="W283" s="32"/>
      <c r="X283" s="32"/>
      <c r="Y283" s="32"/>
      <c r="Z283" s="32"/>
      <c r="AA283" s="32"/>
      <c r="AB283" s="32"/>
      <c r="AC283" s="32"/>
      <c r="AD283" s="32"/>
      <c r="AE283" s="32"/>
      <c r="AF283" s="32"/>
      <c r="AG283" s="32"/>
      <c r="AH283" s="32"/>
      <c r="AI283" s="32"/>
      <c r="AJ283" s="32"/>
      <c r="AK283" s="32"/>
      <c r="AL283" s="32"/>
      <c r="AM283" s="32"/>
      <c r="AN283" s="32"/>
      <c r="AO283" s="32"/>
      <c r="AP283" s="32"/>
      <c r="AQ283" s="32"/>
      <c r="AR283" s="32"/>
      <c r="AS283" s="32"/>
      <c r="AT283" s="32"/>
      <c r="AU283" s="32"/>
      <c r="AV283" s="32"/>
      <c r="AW283" s="32"/>
      <c r="AX283" s="32"/>
      <c r="AY283" s="32"/>
      <c r="AZ283" s="32"/>
      <c r="BA283" s="32"/>
      <c r="BB283" s="32"/>
      <c r="BC283" s="32"/>
      <c r="BD283" s="32"/>
      <c r="BE283" s="32"/>
      <c r="BF283" s="35" t="str">
        <f aca="false">IF(T283="","",IF(T283="Normal",100,IF(T283="Overweight",65,IF(T283="Obese",50,IF(AND(U283&lt;&gt;"",U283&lt;18.5),30,45)))))</f>
        <v/>
      </c>
      <c r="BG283" s="35" t="str">
        <f aca="false">IF(COUNTBLANK(W283:AC283)&gt;0,"",ROUND(AVERAGE(INDEX('SCORING MASTER'!$D$5:$D$7,MATCH(W283,'SCORING MASTER'!$C$5:$C$7,0)),INDEX('SCORING MASTER'!$D$9:$D$11,MATCH(X283,'SCORING MASTER'!$C$9:$C$11,0)),INDEX('SCORING MASTER'!$D$13:$D$15,MATCH(Y283,'SCORING MASTER'!$C$13:$C$15,0)),INDEX('SCORING MASTER'!$D$17:$D$19,MATCH(Z283,'SCORING MASTER'!$C$17:$C$19,0)),INDEX('SCORING MASTER'!$D$21:$D$23,MATCH(AA283,'SCORING MASTER'!$C$21:$C$23,0)),INDEX('SCORING MASTER'!$D$25:$D$27,MATCH(AB283,'SCORING MASTER'!$C$25:$C$27,0)),INDEX('SCORING MASTER'!$D$29:$D$31,MATCH(AC283,'SCORING MASTER'!$C$29:$C$31,0)))*20,0))</f>
        <v/>
      </c>
      <c r="BH283" s="35" t="str">
        <f aca="false">IF(COUNTBLANK(AD283:AI283)&gt;0,"",ROUND(AVERAGE(INDEX('SCORING MASTER'!$D$33:$D$35,MATCH(AD283,'SCORING MASTER'!$C$33:$C$35,0)),INDEX('SCORING MASTER'!$D$37:$D$39,MATCH(AE283,'SCORING MASTER'!$C$37:$C$39,0)),INDEX('SCORING MASTER'!$D$41:$D$43,MATCH(AF283,'SCORING MASTER'!$C$41:$C$43,0)),INDEX('SCORING MASTER'!$D$45:$D$47,MATCH(AG283,'SCORING MASTER'!$C$45:$C$47,0)),INDEX('SCORING MASTER'!$D$49:$D$52,MATCH(AH283,'SCORING MASTER'!$C$49:$C$52,0)),INDEX('SCORING MASTER'!$D$54:$D$57,MATCH(AI283,'SCORING MASTER'!$C$54:$C$57,0)))*20,0))</f>
        <v/>
      </c>
      <c r="BI283" s="35" t="str">
        <f aca="false">IF(COUNTBLANK(AJ283:AP283)&gt;0,"",ROUND(AVERAGE(INDEX('SCORING MASTER'!$D$59:$D$60,MATCH(AJ283,'SCORING MASTER'!$C$59:$C$60,0)),INDEX('SCORING MASTER'!$D$62:$D$63,MATCH(AK283,'SCORING MASTER'!$C$62:$C$63,0)),INDEX('SCORING MASTER'!$D$65:$D$66,MATCH(AL283,'SCORING MASTER'!$C$65:$C$66,0)),INDEX('SCORING MASTER'!$D$68:$D$69,MATCH(AM283,'SCORING MASTER'!$C$68:$C$69,0)),INDEX('SCORING MASTER'!$D$71:$D$72,MATCH(AN283,'SCORING MASTER'!$C$71:$C$72,0)),INDEX('SCORING MASTER'!$D$74:$D$75,MATCH(AO283,'SCORING MASTER'!$C$74:$C$75,0)),INDEX('SCORING MASTER'!$D$77:$D$78,MATCH(AP283,'SCORING MASTER'!$C$77:$C$78,0)))*20,0))</f>
        <v/>
      </c>
      <c r="BJ283" s="35" t="str">
        <f aca="false">IF(COUNTBLANK(AU283:AZ283)&gt;0,"",ROUND(AVERAGE(INDEX('SCORING MASTER'!$D$95:$D$96,MATCH(AU283,'SCORING MASTER'!$C$95:$C$96,0)),INDEX('SCORING MASTER'!$D$98:$D$99,MATCH(AV283,'SCORING MASTER'!$C$98:$C$99,0)),INDEX('SCORING MASTER'!$D$101:$D$102,MATCH(AW283,'SCORING MASTER'!$C$101:$C$102,0)),INDEX('SCORING MASTER'!$D$104:$D$105,MATCH(AX283,'SCORING MASTER'!$C$104:$C$105,0)),INDEX('SCORING MASTER'!$D$107:$D$108,MATCH(AY283,'SCORING MASTER'!$C$107:$C$108,0)),INDEX('SCORING MASTER'!$D$110:$D$111,MATCH(AZ283,'SCORING MASTER'!$C$110:$C$111,0)))*20,0))</f>
        <v/>
      </c>
      <c r="BK283" s="35" t="str">
        <f aca="false">IF(COUNTBLANK(AQ283:AT283)&gt;0,"",ROUND(AVERAGE(INDEX('SCORING MASTER'!$D$80:$D$82,MATCH(AQ283,'SCORING MASTER'!$C$80:$C$82,0)),INDEX('SCORING MASTER'!$D$84:$D$86,MATCH(AR283,'SCORING MASTER'!$C$84:$C$86,0)),INDEX('SCORING MASTER'!$D$88:$D$90,MATCH(AS283,'SCORING MASTER'!$C$88:$C$90,0)),INDEX('SCORING MASTER'!$D$92:$D$93,MATCH(AT283,'SCORING MASTER'!$C$92:$C$93,0)))*20,0))</f>
        <v/>
      </c>
      <c r="BL283" s="35" t="str">
        <f aca="false">IF(COUNTBLANK(BA283:BE283)&gt;0,"",ROUND(AVERAGE(INDEX('SCORING MASTER'!$D$113:$D$115,MATCH(BA283,'SCORING MASTER'!$C$113:$C$115,0)),INDEX('SCORING MASTER'!$D$117:$D$119,MATCH(BB283,'SCORING MASTER'!$C$117:$C$119,0)),INDEX('SCORING MASTER'!$D$121:$D$123,MATCH(BC283,'SCORING MASTER'!$C$121:$C$123,0)),INDEX('SCORING MASTER'!$D$125:$D$126,MATCH(BD283,'SCORING MASTER'!$C$125:$C$126,0)),INDEX('SCORING MASTER'!$D$128:$D$129,MATCH(BE283,'SCORING MASTER'!$C$128:$C$129,0)))*20,0))</f>
        <v/>
      </c>
      <c r="BM283" s="35" t="str">
        <f aca="false">IF(OR(BF283="",BG283="",BH283="",BI283="",BJ283="",BK283="",BL283=""),"",ROUND(BF283*0.25+BG283*0.2+BH283*0.15+BI283*0.15+BJ283*0.1+BK283*0.1+BL283*0.05,0))</f>
        <v/>
      </c>
      <c r="BN283" s="35" t="str">
        <f aca="false">IF(OR(BF283="",BG283=""),"",ROUND(BF283*0.5+BG283*0.5,0))</f>
        <v/>
      </c>
      <c r="BO283" s="35" t="str">
        <f aca="false">IF(BN283="","",ROUND(MIN(100,MAX(0,(100-BN283)+IF(AL283="Yes",15,0)+IF(AM283="Yes",15,0)+IF(AND(U283&lt;&gt;"",U283&lt;18.5),20,0))),0))</f>
        <v/>
      </c>
      <c r="BP283" s="32" t="str">
        <f aca="false">IF(BM283="","",IF(BM283&gt;=90,"Green - Healthy",IF(BM283&gt;=75,"Light Green - Mild Watch",IF(BM283&gt;=60,"Yellow - Mild Risk",IF(BM283&gt;=40,"Orange - Moderate Risk","Red - High Risk")))))</f>
        <v/>
      </c>
      <c r="BQ283" s="32" t="str">
        <f aca="false">IF(BM283="","",IF(OR(BM283&lt;60,BO283&gt;=60,AJ283="Yes"),"Yes","No"))</f>
        <v/>
      </c>
      <c r="BR283" s="32" t="str">
        <f aca="false">IF(BM283="","",IF(OR(BP283="Orange - Moderate Risk",BP283="Red - High Risk",BQ283="Yes"),"Yes","No"))</f>
        <v/>
      </c>
    </row>
    <row r="284" customFormat="false" ht="15" hidden="false" customHeight="false" outlineLevel="0" collapsed="false">
      <c r="A284" s="28" t="str">
        <f aca="false">IF(I284="","","STU"&amp;TEXT(ROW()-3,"000000"))</f>
        <v/>
      </c>
      <c r="B284" s="28"/>
      <c r="C284" s="28"/>
      <c r="D284" s="28"/>
      <c r="E284" s="28"/>
      <c r="F284" s="28"/>
      <c r="G284" s="28"/>
      <c r="H284" s="28"/>
      <c r="I284" s="28"/>
      <c r="J284" s="30"/>
      <c r="K284" s="28"/>
      <c r="L284" s="28"/>
      <c r="M284" s="28"/>
      <c r="N284" s="28"/>
      <c r="O284" s="28"/>
      <c r="P284" s="28"/>
      <c r="Q284" s="30"/>
      <c r="R284" s="30"/>
      <c r="S284" s="31" t="str">
        <f aca="false">IF(OR(Q284="",R284=""),"",ROUND(R284/((Q284/100)^2),1))</f>
        <v/>
      </c>
      <c r="T284" s="28" t="str">
        <f aca="false">IF(S284="","",IF(S284&lt;18.5,"Underweight",IF(S284&lt;25,"Normal",IF(S284&lt;30,"Overweight","Obese"))))</f>
        <v/>
      </c>
      <c r="U284" s="30"/>
      <c r="V284" s="30"/>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c r="AT284" s="28"/>
      <c r="AU284" s="28"/>
      <c r="AV284" s="28"/>
      <c r="AW284" s="28"/>
      <c r="AX284" s="28"/>
      <c r="AY284" s="28"/>
      <c r="AZ284" s="28"/>
      <c r="BA284" s="28"/>
      <c r="BB284" s="28"/>
      <c r="BC284" s="28"/>
      <c r="BD284" s="28"/>
      <c r="BE284" s="28"/>
      <c r="BF284" s="31" t="str">
        <f aca="false">IF(T284="","",IF(T284="Normal",100,IF(T284="Overweight",65,IF(T284="Obese",50,IF(AND(U284&lt;&gt;"",U284&lt;18.5),30,45)))))</f>
        <v/>
      </c>
      <c r="BG284" s="31" t="str">
        <f aca="false">IF(COUNTBLANK(W284:AC284)&gt;0,"",ROUND(AVERAGE(INDEX('SCORING MASTER'!$D$5:$D$7,MATCH(W284,'SCORING MASTER'!$C$5:$C$7,0)),INDEX('SCORING MASTER'!$D$9:$D$11,MATCH(X284,'SCORING MASTER'!$C$9:$C$11,0)),INDEX('SCORING MASTER'!$D$13:$D$15,MATCH(Y284,'SCORING MASTER'!$C$13:$C$15,0)),INDEX('SCORING MASTER'!$D$17:$D$19,MATCH(Z284,'SCORING MASTER'!$C$17:$C$19,0)),INDEX('SCORING MASTER'!$D$21:$D$23,MATCH(AA284,'SCORING MASTER'!$C$21:$C$23,0)),INDEX('SCORING MASTER'!$D$25:$D$27,MATCH(AB284,'SCORING MASTER'!$C$25:$C$27,0)),INDEX('SCORING MASTER'!$D$29:$D$31,MATCH(AC284,'SCORING MASTER'!$C$29:$C$31,0)))*20,0))</f>
        <v/>
      </c>
      <c r="BH284" s="31" t="str">
        <f aca="false">IF(COUNTBLANK(AD284:AI284)&gt;0,"",ROUND(AVERAGE(INDEX('SCORING MASTER'!$D$33:$D$35,MATCH(AD284,'SCORING MASTER'!$C$33:$C$35,0)),INDEX('SCORING MASTER'!$D$37:$D$39,MATCH(AE284,'SCORING MASTER'!$C$37:$C$39,0)),INDEX('SCORING MASTER'!$D$41:$D$43,MATCH(AF284,'SCORING MASTER'!$C$41:$C$43,0)),INDEX('SCORING MASTER'!$D$45:$D$47,MATCH(AG284,'SCORING MASTER'!$C$45:$C$47,0)),INDEX('SCORING MASTER'!$D$49:$D$52,MATCH(AH284,'SCORING MASTER'!$C$49:$C$52,0)),INDEX('SCORING MASTER'!$D$54:$D$57,MATCH(AI284,'SCORING MASTER'!$C$54:$C$57,0)))*20,0))</f>
        <v/>
      </c>
      <c r="BI284" s="31" t="str">
        <f aca="false">IF(COUNTBLANK(AJ284:AP284)&gt;0,"",ROUND(AVERAGE(INDEX('SCORING MASTER'!$D$59:$D$60,MATCH(AJ284,'SCORING MASTER'!$C$59:$C$60,0)),INDEX('SCORING MASTER'!$D$62:$D$63,MATCH(AK284,'SCORING MASTER'!$C$62:$C$63,0)),INDEX('SCORING MASTER'!$D$65:$D$66,MATCH(AL284,'SCORING MASTER'!$C$65:$C$66,0)),INDEX('SCORING MASTER'!$D$68:$D$69,MATCH(AM284,'SCORING MASTER'!$C$68:$C$69,0)),INDEX('SCORING MASTER'!$D$71:$D$72,MATCH(AN284,'SCORING MASTER'!$C$71:$C$72,0)),INDEX('SCORING MASTER'!$D$74:$D$75,MATCH(AO284,'SCORING MASTER'!$C$74:$C$75,0)),INDEX('SCORING MASTER'!$D$77:$D$78,MATCH(AP284,'SCORING MASTER'!$C$77:$C$78,0)))*20,0))</f>
        <v/>
      </c>
      <c r="BJ284" s="31" t="str">
        <f aca="false">IF(COUNTBLANK(AU284:AZ284)&gt;0,"",ROUND(AVERAGE(INDEX('SCORING MASTER'!$D$95:$D$96,MATCH(AU284,'SCORING MASTER'!$C$95:$C$96,0)),INDEX('SCORING MASTER'!$D$98:$D$99,MATCH(AV284,'SCORING MASTER'!$C$98:$C$99,0)),INDEX('SCORING MASTER'!$D$101:$D$102,MATCH(AW284,'SCORING MASTER'!$C$101:$C$102,0)),INDEX('SCORING MASTER'!$D$104:$D$105,MATCH(AX284,'SCORING MASTER'!$C$104:$C$105,0)),INDEX('SCORING MASTER'!$D$107:$D$108,MATCH(AY284,'SCORING MASTER'!$C$107:$C$108,0)),INDEX('SCORING MASTER'!$D$110:$D$111,MATCH(AZ284,'SCORING MASTER'!$C$110:$C$111,0)))*20,0))</f>
        <v/>
      </c>
      <c r="BK284" s="31" t="str">
        <f aca="false">IF(COUNTBLANK(AQ284:AT284)&gt;0,"",ROUND(AVERAGE(INDEX('SCORING MASTER'!$D$80:$D$82,MATCH(AQ284,'SCORING MASTER'!$C$80:$C$82,0)),INDEX('SCORING MASTER'!$D$84:$D$86,MATCH(AR284,'SCORING MASTER'!$C$84:$C$86,0)),INDEX('SCORING MASTER'!$D$88:$D$90,MATCH(AS284,'SCORING MASTER'!$C$88:$C$90,0)),INDEX('SCORING MASTER'!$D$92:$D$93,MATCH(AT284,'SCORING MASTER'!$C$92:$C$93,0)))*20,0))</f>
        <v/>
      </c>
      <c r="BL284" s="31" t="str">
        <f aca="false">IF(COUNTBLANK(BA284:BE284)&gt;0,"",ROUND(AVERAGE(INDEX('SCORING MASTER'!$D$113:$D$115,MATCH(BA284,'SCORING MASTER'!$C$113:$C$115,0)),INDEX('SCORING MASTER'!$D$117:$D$119,MATCH(BB284,'SCORING MASTER'!$C$117:$C$119,0)),INDEX('SCORING MASTER'!$D$121:$D$123,MATCH(BC284,'SCORING MASTER'!$C$121:$C$123,0)),INDEX('SCORING MASTER'!$D$125:$D$126,MATCH(BD284,'SCORING MASTER'!$C$125:$C$126,0)),INDEX('SCORING MASTER'!$D$128:$D$129,MATCH(BE284,'SCORING MASTER'!$C$128:$C$129,0)))*20,0))</f>
        <v/>
      </c>
      <c r="BM284" s="31" t="str">
        <f aca="false">IF(OR(BF284="",BG284="",BH284="",BI284="",BJ284="",BK284="",BL284=""),"",ROUND(BF284*0.25+BG284*0.2+BH284*0.15+BI284*0.15+BJ284*0.1+BK284*0.1+BL284*0.05,0))</f>
        <v/>
      </c>
      <c r="BN284" s="31" t="str">
        <f aca="false">IF(OR(BF284="",BG284=""),"",ROUND(BF284*0.5+BG284*0.5,0))</f>
        <v/>
      </c>
      <c r="BO284" s="31" t="str">
        <f aca="false">IF(BN284="","",ROUND(MIN(100,MAX(0,(100-BN284)+IF(AL284="Yes",15,0)+IF(AM284="Yes",15,0)+IF(AND(U284&lt;&gt;"",U284&lt;18.5),20,0))),0))</f>
        <v/>
      </c>
      <c r="BP284" s="28" t="str">
        <f aca="false">IF(BM284="","",IF(BM284&gt;=90,"Green - Healthy",IF(BM284&gt;=75,"Light Green - Mild Watch",IF(BM284&gt;=60,"Yellow - Mild Risk",IF(BM284&gt;=40,"Orange - Moderate Risk","Red - High Risk")))))</f>
        <v/>
      </c>
      <c r="BQ284" s="28" t="str">
        <f aca="false">IF(BM284="","",IF(OR(BM284&lt;60,BO284&gt;=60,AJ284="Yes"),"Yes","No"))</f>
        <v/>
      </c>
      <c r="BR284" s="28" t="str">
        <f aca="false">IF(BM284="","",IF(OR(BP284="Orange - Moderate Risk",BP284="Red - High Risk",BQ284="Yes"),"Yes","No"))</f>
        <v/>
      </c>
    </row>
    <row r="285" customFormat="false" ht="15" hidden="false" customHeight="false" outlineLevel="0" collapsed="false">
      <c r="A285" s="32" t="str">
        <f aca="false">IF(I285="","","STU"&amp;TEXT(ROW()-3,"000000"))</f>
        <v/>
      </c>
      <c r="B285" s="32"/>
      <c r="C285" s="32"/>
      <c r="D285" s="32"/>
      <c r="E285" s="32"/>
      <c r="F285" s="32"/>
      <c r="G285" s="32"/>
      <c r="H285" s="32"/>
      <c r="I285" s="32"/>
      <c r="J285" s="34"/>
      <c r="K285" s="32"/>
      <c r="L285" s="32"/>
      <c r="M285" s="32"/>
      <c r="N285" s="32"/>
      <c r="O285" s="32"/>
      <c r="P285" s="32"/>
      <c r="Q285" s="34"/>
      <c r="R285" s="34"/>
      <c r="S285" s="35" t="str">
        <f aca="false">IF(OR(Q285="",R285=""),"",ROUND(R285/((Q285/100)^2),1))</f>
        <v/>
      </c>
      <c r="T285" s="32" t="str">
        <f aca="false">IF(S285="","",IF(S285&lt;18.5,"Underweight",IF(S285&lt;25,"Normal",IF(S285&lt;30,"Overweight","Obese"))))</f>
        <v/>
      </c>
      <c r="U285" s="34"/>
      <c r="V285" s="34"/>
      <c r="W285" s="32"/>
      <c r="X285" s="32"/>
      <c r="Y285" s="32"/>
      <c r="Z285" s="32"/>
      <c r="AA285" s="32"/>
      <c r="AB285" s="32"/>
      <c r="AC285" s="32"/>
      <c r="AD285" s="32"/>
      <c r="AE285" s="32"/>
      <c r="AF285" s="32"/>
      <c r="AG285" s="32"/>
      <c r="AH285" s="32"/>
      <c r="AI285" s="32"/>
      <c r="AJ285" s="32"/>
      <c r="AK285" s="32"/>
      <c r="AL285" s="32"/>
      <c r="AM285" s="32"/>
      <c r="AN285" s="32"/>
      <c r="AO285" s="32"/>
      <c r="AP285" s="32"/>
      <c r="AQ285" s="32"/>
      <c r="AR285" s="32"/>
      <c r="AS285" s="32"/>
      <c r="AT285" s="32"/>
      <c r="AU285" s="32"/>
      <c r="AV285" s="32"/>
      <c r="AW285" s="32"/>
      <c r="AX285" s="32"/>
      <c r="AY285" s="32"/>
      <c r="AZ285" s="32"/>
      <c r="BA285" s="32"/>
      <c r="BB285" s="32"/>
      <c r="BC285" s="32"/>
      <c r="BD285" s="32"/>
      <c r="BE285" s="32"/>
      <c r="BF285" s="35" t="str">
        <f aca="false">IF(T285="","",IF(T285="Normal",100,IF(T285="Overweight",65,IF(T285="Obese",50,IF(AND(U285&lt;&gt;"",U285&lt;18.5),30,45)))))</f>
        <v/>
      </c>
      <c r="BG285" s="35" t="str">
        <f aca="false">IF(COUNTBLANK(W285:AC285)&gt;0,"",ROUND(AVERAGE(INDEX('SCORING MASTER'!$D$5:$D$7,MATCH(W285,'SCORING MASTER'!$C$5:$C$7,0)),INDEX('SCORING MASTER'!$D$9:$D$11,MATCH(X285,'SCORING MASTER'!$C$9:$C$11,0)),INDEX('SCORING MASTER'!$D$13:$D$15,MATCH(Y285,'SCORING MASTER'!$C$13:$C$15,0)),INDEX('SCORING MASTER'!$D$17:$D$19,MATCH(Z285,'SCORING MASTER'!$C$17:$C$19,0)),INDEX('SCORING MASTER'!$D$21:$D$23,MATCH(AA285,'SCORING MASTER'!$C$21:$C$23,0)),INDEX('SCORING MASTER'!$D$25:$D$27,MATCH(AB285,'SCORING MASTER'!$C$25:$C$27,0)),INDEX('SCORING MASTER'!$D$29:$D$31,MATCH(AC285,'SCORING MASTER'!$C$29:$C$31,0)))*20,0))</f>
        <v/>
      </c>
      <c r="BH285" s="35" t="str">
        <f aca="false">IF(COUNTBLANK(AD285:AI285)&gt;0,"",ROUND(AVERAGE(INDEX('SCORING MASTER'!$D$33:$D$35,MATCH(AD285,'SCORING MASTER'!$C$33:$C$35,0)),INDEX('SCORING MASTER'!$D$37:$D$39,MATCH(AE285,'SCORING MASTER'!$C$37:$C$39,0)),INDEX('SCORING MASTER'!$D$41:$D$43,MATCH(AF285,'SCORING MASTER'!$C$41:$C$43,0)),INDEX('SCORING MASTER'!$D$45:$D$47,MATCH(AG285,'SCORING MASTER'!$C$45:$C$47,0)),INDEX('SCORING MASTER'!$D$49:$D$52,MATCH(AH285,'SCORING MASTER'!$C$49:$C$52,0)),INDEX('SCORING MASTER'!$D$54:$D$57,MATCH(AI285,'SCORING MASTER'!$C$54:$C$57,0)))*20,0))</f>
        <v/>
      </c>
      <c r="BI285" s="35" t="str">
        <f aca="false">IF(COUNTBLANK(AJ285:AP285)&gt;0,"",ROUND(AVERAGE(INDEX('SCORING MASTER'!$D$59:$D$60,MATCH(AJ285,'SCORING MASTER'!$C$59:$C$60,0)),INDEX('SCORING MASTER'!$D$62:$D$63,MATCH(AK285,'SCORING MASTER'!$C$62:$C$63,0)),INDEX('SCORING MASTER'!$D$65:$D$66,MATCH(AL285,'SCORING MASTER'!$C$65:$C$66,0)),INDEX('SCORING MASTER'!$D$68:$D$69,MATCH(AM285,'SCORING MASTER'!$C$68:$C$69,0)),INDEX('SCORING MASTER'!$D$71:$D$72,MATCH(AN285,'SCORING MASTER'!$C$71:$C$72,0)),INDEX('SCORING MASTER'!$D$74:$D$75,MATCH(AO285,'SCORING MASTER'!$C$74:$C$75,0)),INDEX('SCORING MASTER'!$D$77:$D$78,MATCH(AP285,'SCORING MASTER'!$C$77:$C$78,0)))*20,0))</f>
        <v/>
      </c>
      <c r="BJ285" s="35" t="str">
        <f aca="false">IF(COUNTBLANK(AU285:AZ285)&gt;0,"",ROUND(AVERAGE(INDEX('SCORING MASTER'!$D$95:$D$96,MATCH(AU285,'SCORING MASTER'!$C$95:$C$96,0)),INDEX('SCORING MASTER'!$D$98:$D$99,MATCH(AV285,'SCORING MASTER'!$C$98:$C$99,0)),INDEX('SCORING MASTER'!$D$101:$D$102,MATCH(AW285,'SCORING MASTER'!$C$101:$C$102,0)),INDEX('SCORING MASTER'!$D$104:$D$105,MATCH(AX285,'SCORING MASTER'!$C$104:$C$105,0)),INDEX('SCORING MASTER'!$D$107:$D$108,MATCH(AY285,'SCORING MASTER'!$C$107:$C$108,0)),INDEX('SCORING MASTER'!$D$110:$D$111,MATCH(AZ285,'SCORING MASTER'!$C$110:$C$111,0)))*20,0))</f>
        <v/>
      </c>
      <c r="BK285" s="35" t="str">
        <f aca="false">IF(COUNTBLANK(AQ285:AT285)&gt;0,"",ROUND(AVERAGE(INDEX('SCORING MASTER'!$D$80:$D$82,MATCH(AQ285,'SCORING MASTER'!$C$80:$C$82,0)),INDEX('SCORING MASTER'!$D$84:$D$86,MATCH(AR285,'SCORING MASTER'!$C$84:$C$86,0)),INDEX('SCORING MASTER'!$D$88:$D$90,MATCH(AS285,'SCORING MASTER'!$C$88:$C$90,0)),INDEX('SCORING MASTER'!$D$92:$D$93,MATCH(AT285,'SCORING MASTER'!$C$92:$C$93,0)))*20,0))</f>
        <v/>
      </c>
      <c r="BL285" s="35" t="str">
        <f aca="false">IF(COUNTBLANK(BA285:BE285)&gt;0,"",ROUND(AVERAGE(INDEX('SCORING MASTER'!$D$113:$D$115,MATCH(BA285,'SCORING MASTER'!$C$113:$C$115,0)),INDEX('SCORING MASTER'!$D$117:$D$119,MATCH(BB285,'SCORING MASTER'!$C$117:$C$119,0)),INDEX('SCORING MASTER'!$D$121:$D$123,MATCH(BC285,'SCORING MASTER'!$C$121:$C$123,0)),INDEX('SCORING MASTER'!$D$125:$D$126,MATCH(BD285,'SCORING MASTER'!$C$125:$C$126,0)),INDEX('SCORING MASTER'!$D$128:$D$129,MATCH(BE285,'SCORING MASTER'!$C$128:$C$129,0)))*20,0))</f>
        <v/>
      </c>
      <c r="BM285" s="35" t="str">
        <f aca="false">IF(OR(BF285="",BG285="",BH285="",BI285="",BJ285="",BK285="",BL285=""),"",ROUND(BF285*0.25+BG285*0.2+BH285*0.15+BI285*0.15+BJ285*0.1+BK285*0.1+BL285*0.05,0))</f>
        <v/>
      </c>
      <c r="BN285" s="35" t="str">
        <f aca="false">IF(OR(BF285="",BG285=""),"",ROUND(BF285*0.5+BG285*0.5,0))</f>
        <v/>
      </c>
      <c r="BO285" s="35" t="str">
        <f aca="false">IF(BN285="","",ROUND(MIN(100,MAX(0,(100-BN285)+IF(AL285="Yes",15,0)+IF(AM285="Yes",15,0)+IF(AND(U285&lt;&gt;"",U285&lt;18.5),20,0))),0))</f>
        <v/>
      </c>
      <c r="BP285" s="32" t="str">
        <f aca="false">IF(BM285="","",IF(BM285&gt;=90,"Green - Healthy",IF(BM285&gt;=75,"Light Green - Mild Watch",IF(BM285&gt;=60,"Yellow - Mild Risk",IF(BM285&gt;=40,"Orange - Moderate Risk","Red - High Risk")))))</f>
        <v/>
      </c>
      <c r="BQ285" s="32" t="str">
        <f aca="false">IF(BM285="","",IF(OR(BM285&lt;60,BO285&gt;=60,AJ285="Yes"),"Yes","No"))</f>
        <v/>
      </c>
      <c r="BR285" s="32" t="str">
        <f aca="false">IF(BM285="","",IF(OR(BP285="Orange - Moderate Risk",BP285="Red - High Risk",BQ285="Yes"),"Yes","No"))</f>
        <v/>
      </c>
    </row>
    <row r="286" customFormat="false" ht="15" hidden="false" customHeight="false" outlineLevel="0" collapsed="false">
      <c r="A286" s="28" t="str">
        <f aca="false">IF(I286="","","STU"&amp;TEXT(ROW()-3,"000000"))</f>
        <v/>
      </c>
      <c r="B286" s="28"/>
      <c r="C286" s="28"/>
      <c r="D286" s="28"/>
      <c r="E286" s="28"/>
      <c r="F286" s="28"/>
      <c r="G286" s="28"/>
      <c r="H286" s="28"/>
      <c r="I286" s="28"/>
      <c r="J286" s="30"/>
      <c r="K286" s="28"/>
      <c r="L286" s="28"/>
      <c r="M286" s="28"/>
      <c r="N286" s="28"/>
      <c r="O286" s="28"/>
      <c r="P286" s="28"/>
      <c r="Q286" s="30"/>
      <c r="R286" s="30"/>
      <c r="S286" s="31" t="str">
        <f aca="false">IF(OR(Q286="",R286=""),"",ROUND(R286/((Q286/100)^2),1))</f>
        <v/>
      </c>
      <c r="T286" s="28" t="str">
        <f aca="false">IF(S286="","",IF(S286&lt;18.5,"Underweight",IF(S286&lt;25,"Normal",IF(S286&lt;30,"Overweight","Obese"))))</f>
        <v/>
      </c>
      <c r="U286" s="30"/>
      <c r="V286" s="30"/>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8"/>
      <c r="AZ286" s="28"/>
      <c r="BA286" s="28"/>
      <c r="BB286" s="28"/>
      <c r="BC286" s="28"/>
      <c r="BD286" s="28"/>
      <c r="BE286" s="28"/>
      <c r="BF286" s="31" t="str">
        <f aca="false">IF(T286="","",IF(T286="Normal",100,IF(T286="Overweight",65,IF(T286="Obese",50,IF(AND(U286&lt;&gt;"",U286&lt;18.5),30,45)))))</f>
        <v/>
      </c>
      <c r="BG286" s="31" t="str">
        <f aca="false">IF(COUNTBLANK(W286:AC286)&gt;0,"",ROUND(AVERAGE(INDEX('SCORING MASTER'!$D$5:$D$7,MATCH(W286,'SCORING MASTER'!$C$5:$C$7,0)),INDEX('SCORING MASTER'!$D$9:$D$11,MATCH(X286,'SCORING MASTER'!$C$9:$C$11,0)),INDEX('SCORING MASTER'!$D$13:$D$15,MATCH(Y286,'SCORING MASTER'!$C$13:$C$15,0)),INDEX('SCORING MASTER'!$D$17:$D$19,MATCH(Z286,'SCORING MASTER'!$C$17:$C$19,0)),INDEX('SCORING MASTER'!$D$21:$D$23,MATCH(AA286,'SCORING MASTER'!$C$21:$C$23,0)),INDEX('SCORING MASTER'!$D$25:$D$27,MATCH(AB286,'SCORING MASTER'!$C$25:$C$27,0)),INDEX('SCORING MASTER'!$D$29:$D$31,MATCH(AC286,'SCORING MASTER'!$C$29:$C$31,0)))*20,0))</f>
        <v/>
      </c>
      <c r="BH286" s="31" t="str">
        <f aca="false">IF(COUNTBLANK(AD286:AI286)&gt;0,"",ROUND(AVERAGE(INDEX('SCORING MASTER'!$D$33:$D$35,MATCH(AD286,'SCORING MASTER'!$C$33:$C$35,0)),INDEX('SCORING MASTER'!$D$37:$D$39,MATCH(AE286,'SCORING MASTER'!$C$37:$C$39,0)),INDEX('SCORING MASTER'!$D$41:$D$43,MATCH(AF286,'SCORING MASTER'!$C$41:$C$43,0)),INDEX('SCORING MASTER'!$D$45:$D$47,MATCH(AG286,'SCORING MASTER'!$C$45:$C$47,0)),INDEX('SCORING MASTER'!$D$49:$D$52,MATCH(AH286,'SCORING MASTER'!$C$49:$C$52,0)),INDEX('SCORING MASTER'!$D$54:$D$57,MATCH(AI286,'SCORING MASTER'!$C$54:$C$57,0)))*20,0))</f>
        <v/>
      </c>
      <c r="BI286" s="31" t="str">
        <f aca="false">IF(COUNTBLANK(AJ286:AP286)&gt;0,"",ROUND(AVERAGE(INDEX('SCORING MASTER'!$D$59:$D$60,MATCH(AJ286,'SCORING MASTER'!$C$59:$C$60,0)),INDEX('SCORING MASTER'!$D$62:$D$63,MATCH(AK286,'SCORING MASTER'!$C$62:$C$63,0)),INDEX('SCORING MASTER'!$D$65:$D$66,MATCH(AL286,'SCORING MASTER'!$C$65:$C$66,0)),INDEX('SCORING MASTER'!$D$68:$D$69,MATCH(AM286,'SCORING MASTER'!$C$68:$C$69,0)),INDEX('SCORING MASTER'!$D$71:$D$72,MATCH(AN286,'SCORING MASTER'!$C$71:$C$72,0)),INDEX('SCORING MASTER'!$D$74:$D$75,MATCH(AO286,'SCORING MASTER'!$C$74:$C$75,0)),INDEX('SCORING MASTER'!$D$77:$D$78,MATCH(AP286,'SCORING MASTER'!$C$77:$C$78,0)))*20,0))</f>
        <v/>
      </c>
      <c r="BJ286" s="31" t="str">
        <f aca="false">IF(COUNTBLANK(AU286:AZ286)&gt;0,"",ROUND(AVERAGE(INDEX('SCORING MASTER'!$D$95:$D$96,MATCH(AU286,'SCORING MASTER'!$C$95:$C$96,0)),INDEX('SCORING MASTER'!$D$98:$D$99,MATCH(AV286,'SCORING MASTER'!$C$98:$C$99,0)),INDEX('SCORING MASTER'!$D$101:$D$102,MATCH(AW286,'SCORING MASTER'!$C$101:$C$102,0)),INDEX('SCORING MASTER'!$D$104:$D$105,MATCH(AX286,'SCORING MASTER'!$C$104:$C$105,0)),INDEX('SCORING MASTER'!$D$107:$D$108,MATCH(AY286,'SCORING MASTER'!$C$107:$C$108,0)),INDEX('SCORING MASTER'!$D$110:$D$111,MATCH(AZ286,'SCORING MASTER'!$C$110:$C$111,0)))*20,0))</f>
        <v/>
      </c>
      <c r="BK286" s="31" t="str">
        <f aca="false">IF(COUNTBLANK(AQ286:AT286)&gt;0,"",ROUND(AVERAGE(INDEX('SCORING MASTER'!$D$80:$D$82,MATCH(AQ286,'SCORING MASTER'!$C$80:$C$82,0)),INDEX('SCORING MASTER'!$D$84:$D$86,MATCH(AR286,'SCORING MASTER'!$C$84:$C$86,0)),INDEX('SCORING MASTER'!$D$88:$D$90,MATCH(AS286,'SCORING MASTER'!$C$88:$C$90,0)),INDEX('SCORING MASTER'!$D$92:$D$93,MATCH(AT286,'SCORING MASTER'!$C$92:$C$93,0)))*20,0))</f>
        <v/>
      </c>
      <c r="BL286" s="31" t="str">
        <f aca="false">IF(COUNTBLANK(BA286:BE286)&gt;0,"",ROUND(AVERAGE(INDEX('SCORING MASTER'!$D$113:$D$115,MATCH(BA286,'SCORING MASTER'!$C$113:$C$115,0)),INDEX('SCORING MASTER'!$D$117:$D$119,MATCH(BB286,'SCORING MASTER'!$C$117:$C$119,0)),INDEX('SCORING MASTER'!$D$121:$D$123,MATCH(BC286,'SCORING MASTER'!$C$121:$C$123,0)),INDEX('SCORING MASTER'!$D$125:$D$126,MATCH(BD286,'SCORING MASTER'!$C$125:$C$126,0)),INDEX('SCORING MASTER'!$D$128:$D$129,MATCH(BE286,'SCORING MASTER'!$C$128:$C$129,0)))*20,0))</f>
        <v/>
      </c>
      <c r="BM286" s="31" t="str">
        <f aca="false">IF(OR(BF286="",BG286="",BH286="",BI286="",BJ286="",BK286="",BL286=""),"",ROUND(BF286*0.25+BG286*0.2+BH286*0.15+BI286*0.15+BJ286*0.1+BK286*0.1+BL286*0.05,0))</f>
        <v/>
      </c>
      <c r="BN286" s="31" t="str">
        <f aca="false">IF(OR(BF286="",BG286=""),"",ROUND(BF286*0.5+BG286*0.5,0))</f>
        <v/>
      </c>
      <c r="BO286" s="31" t="str">
        <f aca="false">IF(BN286="","",ROUND(MIN(100,MAX(0,(100-BN286)+IF(AL286="Yes",15,0)+IF(AM286="Yes",15,0)+IF(AND(U286&lt;&gt;"",U286&lt;18.5),20,0))),0))</f>
        <v/>
      </c>
      <c r="BP286" s="28" t="str">
        <f aca="false">IF(BM286="","",IF(BM286&gt;=90,"Green - Healthy",IF(BM286&gt;=75,"Light Green - Mild Watch",IF(BM286&gt;=60,"Yellow - Mild Risk",IF(BM286&gt;=40,"Orange - Moderate Risk","Red - High Risk")))))</f>
        <v/>
      </c>
      <c r="BQ286" s="28" t="str">
        <f aca="false">IF(BM286="","",IF(OR(BM286&lt;60,BO286&gt;=60,AJ286="Yes"),"Yes","No"))</f>
        <v/>
      </c>
      <c r="BR286" s="28" t="str">
        <f aca="false">IF(BM286="","",IF(OR(BP286="Orange - Moderate Risk",BP286="Red - High Risk",BQ286="Yes"),"Yes","No"))</f>
        <v/>
      </c>
    </row>
    <row r="287" customFormat="false" ht="15" hidden="false" customHeight="false" outlineLevel="0" collapsed="false">
      <c r="A287" s="32" t="str">
        <f aca="false">IF(I287="","","STU"&amp;TEXT(ROW()-3,"000000"))</f>
        <v/>
      </c>
      <c r="B287" s="32"/>
      <c r="C287" s="32"/>
      <c r="D287" s="32"/>
      <c r="E287" s="32"/>
      <c r="F287" s="32"/>
      <c r="G287" s="32"/>
      <c r="H287" s="32"/>
      <c r="I287" s="32"/>
      <c r="J287" s="34"/>
      <c r="K287" s="32"/>
      <c r="L287" s="32"/>
      <c r="M287" s="32"/>
      <c r="N287" s="32"/>
      <c r="O287" s="32"/>
      <c r="P287" s="32"/>
      <c r="Q287" s="34"/>
      <c r="R287" s="34"/>
      <c r="S287" s="35" t="str">
        <f aca="false">IF(OR(Q287="",R287=""),"",ROUND(R287/((Q287/100)^2),1))</f>
        <v/>
      </c>
      <c r="T287" s="32" t="str">
        <f aca="false">IF(S287="","",IF(S287&lt;18.5,"Underweight",IF(S287&lt;25,"Normal",IF(S287&lt;30,"Overweight","Obese"))))</f>
        <v/>
      </c>
      <c r="U287" s="34"/>
      <c r="V287" s="34"/>
      <c r="W287" s="32"/>
      <c r="X287" s="32"/>
      <c r="Y287" s="32"/>
      <c r="Z287" s="32"/>
      <c r="AA287" s="32"/>
      <c r="AB287" s="32"/>
      <c r="AC287" s="32"/>
      <c r="AD287" s="32"/>
      <c r="AE287" s="32"/>
      <c r="AF287" s="32"/>
      <c r="AG287" s="32"/>
      <c r="AH287" s="32"/>
      <c r="AI287" s="32"/>
      <c r="AJ287" s="32"/>
      <c r="AK287" s="32"/>
      <c r="AL287" s="32"/>
      <c r="AM287" s="32"/>
      <c r="AN287" s="32"/>
      <c r="AO287" s="32"/>
      <c r="AP287" s="32"/>
      <c r="AQ287" s="32"/>
      <c r="AR287" s="32"/>
      <c r="AS287" s="32"/>
      <c r="AT287" s="32"/>
      <c r="AU287" s="32"/>
      <c r="AV287" s="32"/>
      <c r="AW287" s="32"/>
      <c r="AX287" s="32"/>
      <c r="AY287" s="32"/>
      <c r="AZ287" s="32"/>
      <c r="BA287" s="32"/>
      <c r="BB287" s="32"/>
      <c r="BC287" s="32"/>
      <c r="BD287" s="32"/>
      <c r="BE287" s="32"/>
      <c r="BF287" s="35" t="str">
        <f aca="false">IF(T287="","",IF(T287="Normal",100,IF(T287="Overweight",65,IF(T287="Obese",50,IF(AND(U287&lt;&gt;"",U287&lt;18.5),30,45)))))</f>
        <v/>
      </c>
      <c r="BG287" s="35" t="str">
        <f aca="false">IF(COUNTBLANK(W287:AC287)&gt;0,"",ROUND(AVERAGE(INDEX('SCORING MASTER'!$D$5:$D$7,MATCH(W287,'SCORING MASTER'!$C$5:$C$7,0)),INDEX('SCORING MASTER'!$D$9:$D$11,MATCH(X287,'SCORING MASTER'!$C$9:$C$11,0)),INDEX('SCORING MASTER'!$D$13:$D$15,MATCH(Y287,'SCORING MASTER'!$C$13:$C$15,0)),INDEX('SCORING MASTER'!$D$17:$D$19,MATCH(Z287,'SCORING MASTER'!$C$17:$C$19,0)),INDEX('SCORING MASTER'!$D$21:$D$23,MATCH(AA287,'SCORING MASTER'!$C$21:$C$23,0)),INDEX('SCORING MASTER'!$D$25:$D$27,MATCH(AB287,'SCORING MASTER'!$C$25:$C$27,0)),INDEX('SCORING MASTER'!$D$29:$D$31,MATCH(AC287,'SCORING MASTER'!$C$29:$C$31,0)))*20,0))</f>
        <v/>
      </c>
      <c r="BH287" s="35" t="str">
        <f aca="false">IF(COUNTBLANK(AD287:AI287)&gt;0,"",ROUND(AVERAGE(INDEX('SCORING MASTER'!$D$33:$D$35,MATCH(AD287,'SCORING MASTER'!$C$33:$C$35,0)),INDEX('SCORING MASTER'!$D$37:$D$39,MATCH(AE287,'SCORING MASTER'!$C$37:$C$39,0)),INDEX('SCORING MASTER'!$D$41:$D$43,MATCH(AF287,'SCORING MASTER'!$C$41:$C$43,0)),INDEX('SCORING MASTER'!$D$45:$D$47,MATCH(AG287,'SCORING MASTER'!$C$45:$C$47,0)),INDEX('SCORING MASTER'!$D$49:$D$52,MATCH(AH287,'SCORING MASTER'!$C$49:$C$52,0)),INDEX('SCORING MASTER'!$D$54:$D$57,MATCH(AI287,'SCORING MASTER'!$C$54:$C$57,0)))*20,0))</f>
        <v/>
      </c>
      <c r="BI287" s="35" t="str">
        <f aca="false">IF(COUNTBLANK(AJ287:AP287)&gt;0,"",ROUND(AVERAGE(INDEX('SCORING MASTER'!$D$59:$D$60,MATCH(AJ287,'SCORING MASTER'!$C$59:$C$60,0)),INDEX('SCORING MASTER'!$D$62:$D$63,MATCH(AK287,'SCORING MASTER'!$C$62:$C$63,0)),INDEX('SCORING MASTER'!$D$65:$D$66,MATCH(AL287,'SCORING MASTER'!$C$65:$C$66,0)),INDEX('SCORING MASTER'!$D$68:$D$69,MATCH(AM287,'SCORING MASTER'!$C$68:$C$69,0)),INDEX('SCORING MASTER'!$D$71:$D$72,MATCH(AN287,'SCORING MASTER'!$C$71:$C$72,0)),INDEX('SCORING MASTER'!$D$74:$D$75,MATCH(AO287,'SCORING MASTER'!$C$74:$C$75,0)),INDEX('SCORING MASTER'!$D$77:$D$78,MATCH(AP287,'SCORING MASTER'!$C$77:$C$78,0)))*20,0))</f>
        <v/>
      </c>
      <c r="BJ287" s="35" t="str">
        <f aca="false">IF(COUNTBLANK(AU287:AZ287)&gt;0,"",ROUND(AVERAGE(INDEX('SCORING MASTER'!$D$95:$D$96,MATCH(AU287,'SCORING MASTER'!$C$95:$C$96,0)),INDEX('SCORING MASTER'!$D$98:$D$99,MATCH(AV287,'SCORING MASTER'!$C$98:$C$99,0)),INDEX('SCORING MASTER'!$D$101:$D$102,MATCH(AW287,'SCORING MASTER'!$C$101:$C$102,0)),INDEX('SCORING MASTER'!$D$104:$D$105,MATCH(AX287,'SCORING MASTER'!$C$104:$C$105,0)),INDEX('SCORING MASTER'!$D$107:$D$108,MATCH(AY287,'SCORING MASTER'!$C$107:$C$108,0)),INDEX('SCORING MASTER'!$D$110:$D$111,MATCH(AZ287,'SCORING MASTER'!$C$110:$C$111,0)))*20,0))</f>
        <v/>
      </c>
      <c r="BK287" s="35" t="str">
        <f aca="false">IF(COUNTBLANK(AQ287:AT287)&gt;0,"",ROUND(AVERAGE(INDEX('SCORING MASTER'!$D$80:$D$82,MATCH(AQ287,'SCORING MASTER'!$C$80:$C$82,0)),INDEX('SCORING MASTER'!$D$84:$D$86,MATCH(AR287,'SCORING MASTER'!$C$84:$C$86,0)),INDEX('SCORING MASTER'!$D$88:$D$90,MATCH(AS287,'SCORING MASTER'!$C$88:$C$90,0)),INDEX('SCORING MASTER'!$D$92:$D$93,MATCH(AT287,'SCORING MASTER'!$C$92:$C$93,0)))*20,0))</f>
        <v/>
      </c>
      <c r="BL287" s="35" t="str">
        <f aca="false">IF(COUNTBLANK(BA287:BE287)&gt;0,"",ROUND(AVERAGE(INDEX('SCORING MASTER'!$D$113:$D$115,MATCH(BA287,'SCORING MASTER'!$C$113:$C$115,0)),INDEX('SCORING MASTER'!$D$117:$D$119,MATCH(BB287,'SCORING MASTER'!$C$117:$C$119,0)),INDEX('SCORING MASTER'!$D$121:$D$123,MATCH(BC287,'SCORING MASTER'!$C$121:$C$123,0)),INDEX('SCORING MASTER'!$D$125:$D$126,MATCH(BD287,'SCORING MASTER'!$C$125:$C$126,0)),INDEX('SCORING MASTER'!$D$128:$D$129,MATCH(BE287,'SCORING MASTER'!$C$128:$C$129,0)))*20,0))</f>
        <v/>
      </c>
      <c r="BM287" s="35" t="str">
        <f aca="false">IF(OR(BF287="",BG287="",BH287="",BI287="",BJ287="",BK287="",BL287=""),"",ROUND(BF287*0.25+BG287*0.2+BH287*0.15+BI287*0.15+BJ287*0.1+BK287*0.1+BL287*0.05,0))</f>
        <v/>
      </c>
      <c r="BN287" s="35" t="str">
        <f aca="false">IF(OR(BF287="",BG287=""),"",ROUND(BF287*0.5+BG287*0.5,0))</f>
        <v/>
      </c>
      <c r="BO287" s="35" t="str">
        <f aca="false">IF(BN287="","",ROUND(MIN(100,MAX(0,(100-BN287)+IF(AL287="Yes",15,0)+IF(AM287="Yes",15,0)+IF(AND(U287&lt;&gt;"",U287&lt;18.5),20,0))),0))</f>
        <v/>
      </c>
      <c r="BP287" s="32" t="str">
        <f aca="false">IF(BM287="","",IF(BM287&gt;=90,"Green - Healthy",IF(BM287&gt;=75,"Light Green - Mild Watch",IF(BM287&gt;=60,"Yellow - Mild Risk",IF(BM287&gt;=40,"Orange - Moderate Risk","Red - High Risk")))))</f>
        <v/>
      </c>
      <c r="BQ287" s="32" t="str">
        <f aca="false">IF(BM287="","",IF(OR(BM287&lt;60,BO287&gt;=60,AJ287="Yes"),"Yes","No"))</f>
        <v/>
      </c>
      <c r="BR287" s="32" t="str">
        <f aca="false">IF(BM287="","",IF(OR(BP287="Orange - Moderate Risk",BP287="Red - High Risk",BQ287="Yes"),"Yes","No"))</f>
        <v/>
      </c>
    </row>
    <row r="288" customFormat="false" ht="15" hidden="false" customHeight="false" outlineLevel="0" collapsed="false">
      <c r="A288" s="28" t="str">
        <f aca="false">IF(I288="","","STU"&amp;TEXT(ROW()-3,"000000"))</f>
        <v/>
      </c>
      <c r="B288" s="28"/>
      <c r="C288" s="28"/>
      <c r="D288" s="28"/>
      <c r="E288" s="28"/>
      <c r="F288" s="28"/>
      <c r="G288" s="28"/>
      <c r="H288" s="28"/>
      <c r="I288" s="28"/>
      <c r="J288" s="30"/>
      <c r="K288" s="28"/>
      <c r="L288" s="28"/>
      <c r="M288" s="28"/>
      <c r="N288" s="28"/>
      <c r="O288" s="28"/>
      <c r="P288" s="28"/>
      <c r="Q288" s="30"/>
      <c r="R288" s="30"/>
      <c r="S288" s="31" t="str">
        <f aca="false">IF(OR(Q288="",R288=""),"",ROUND(R288/((Q288/100)^2),1))</f>
        <v/>
      </c>
      <c r="T288" s="28" t="str">
        <f aca="false">IF(S288="","",IF(S288&lt;18.5,"Underweight",IF(S288&lt;25,"Normal",IF(S288&lt;30,"Overweight","Obese"))))</f>
        <v/>
      </c>
      <c r="U288" s="30"/>
      <c r="V288" s="30"/>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c r="BE288" s="28"/>
      <c r="BF288" s="31" t="str">
        <f aca="false">IF(T288="","",IF(T288="Normal",100,IF(T288="Overweight",65,IF(T288="Obese",50,IF(AND(U288&lt;&gt;"",U288&lt;18.5),30,45)))))</f>
        <v/>
      </c>
      <c r="BG288" s="31" t="str">
        <f aca="false">IF(COUNTBLANK(W288:AC288)&gt;0,"",ROUND(AVERAGE(INDEX('SCORING MASTER'!$D$5:$D$7,MATCH(W288,'SCORING MASTER'!$C$5:$C$7,0)),INDEX('SCORING MASTER'!$D$9:$D$11,MATCH(X288,'SCORING MASTER'!$C$9:$C$11,0)),INDEX('SCORING MASTER'!$D$13:$D$15,MATCH(Y288,'SCORING MASTER'!$C$13:$C$15,0)),INDEX('SCORING MASTER'!$D$17:$D$19,MATCH(Z288,'SCORING MASTER'!$C$17:$C$19,0)),INDEX('SCORING MASTER'!$D$21:$D$23,MATCH(AA288,'SCORING MASTER'!$C$21:$C$23,0)),INDEX('SCORING MASTER'!$D$25:$D$27,MATCH(AB288,'SCORING MASTER'!$C$25:$C$27,0)),INDEX('SCORING MASTER'!$D$29:$D$31,MATCH(AC288,'SCORING MASTER'!$C$29:$C$31,0)))*20,0))</f>
        <v/>
      </c>
      <c r="BH288" s="31" t="str">
        <f aca="false">IF(COUNTBLANK(AD288:AI288)&gt;0,"",ROUND(AVERAGE(INDEX('SCORING MASTER'!$D$33:$D$35,MATCH(AD288,'SCORING MASTER'!$C$33:$C$35,0)),INDEX('SCORING MASTER'!$D$37:$D$39,MATCH(AE288,'SCORING MASTER'!$C$37:$C$39,0)),INDEX('SCORING MASTER'!$D$41:$D$43,MATCH(AF288,'SCORING MASTER'!$C$41:$C$43,0)),INDEX('SCORING MASTER'!$D$45:$D$47,MATCH(AG288,'SCORING MASTER'!$C$45:$C$47,0)),INDEX('SCORING MASTER'!$D$49:$D$52,MATCH(AH288,'SCORING MASTER'!$C$49:$C$52,0)),INDEX('SCORING MASTER'!$D$54:$D$57,MATCH(AI288,'SCORING MASTER'!$C$54:$C$57,0)))*20,0))</f>
        <v/>
      </c>
      <c r="BI288" s="31" t="str">
        <f aca="false">IF(COUNTBLANK(AJ288:AP288)&gt;0,"",ROUND(AVERAGE(INDEX('SCORING MASTER'!$D$59:$D$60,MATCH(AJ288,'SCORING MASTER'!$C$59:$C$60,0)),INDEX('SCORING MASTER'!$D$62:$D$63,MATCH(AK288,'SCORING MASTER'!$C$62:$C$63,0)),INDEX('SCORING MASTER'!$D$65:$D$66,MATCH(AL288,'SCORING MASTER'!$C$65:$C$66,0)),INDEX('SCORING MASTER'!$D$68:$D$69,MATCH(AM288,'SCORING MASTER'!$C$68:$C$69,0)),INDEX('SCORING MASTER'!$D$71:$D$72,MATCH(AN288,'SCORING MASTER'!$C$71:$C$72,0)),INDEX('SCORING MASTER'!$D$74:$D$75,MATCH(AO288,'SCORING MASTER'!$C$74:$C$75,0)),INDEX('SCORING MASTER'!$D$77:$D$78,MATCH(AP288,'SCORING MASTER'!$C$77:$C$78,0)))*20,0))</f>
        <v/>
      </c>
      <c r="BJ288" s="31" t="str">
        <f aca="false">IF(COUNTBLANK(AU288:AZ288)&gt;0,"",ROUND(AVERAGE(INDEX('SCORING MASTER'!$D$95:$D$96,MATCH(AU288,'SCORING MASTER'!$C$95:$C$96,0)),INDEX('SCORING MASTER'!$D$98:$D$99,MATCH(AV288,'SCORING MASTER'!$C$98:$C$99,0)),INDEX('SCORING MASTER'!$D$101:$D$102,MATCH(AW288,'SCORING MASTER'!$C$101:$C$102,0)),INDEX('SCORING MASTER'!$D$104:$D$105,MATCH(AX288,'SCORING MASTER'!$C$104:$C$105,0)),INDEX('SCORING MASTER'!$D$107:$D$108,MATCH(AY288,'SCORING MASTER'!$C$107:$C$108,0)),INDEX('SCORING MASTER'!$D$110:$D$111,MATCH(AZ288,'SCORING MASTER'!$C$110:$C$111,0)))*20,0))</f>
        <v/>
      </c>
      <c r="BK288" s="31" t="str">
        <f aca="false">IF(COUNTBLANK(AQ288:AT288)&gt;0,"",ROUND(AVERAGE(INDEX('SCORING MASTER'!$D$80:$D$82,MATCH(AQ288,'SCORING MASTER'!$C$80:$C$82,0)),INDEX('SCORING MASTER'!$D$84:$D$86,MATCH(AR288,'SCORING MASTER'!$C$84:$C$86,0)),INDEX('SCORING MASTER'!$D$88:$D$90,MATCH(AS288,'SCORING MASTER'!$C$88:$C$90,0)),INDEX('SCORING MASTER'!$D$92:$D$93,MATCH(AT288,'SCORING MASTER'!$C$92:$C$93,0)))*20,0))</f>
        <v/>
      </c>
      <c r="BL288" s="31" t="str">
        <f aca="false">IF(COUNTBLANK(BA288:BE288)&gt;0,"",ROUND(AVERAGE(INDEX('SCORING MASTER'!$D$113:$D$115,MATCH(BA288,'SCORING MASTER'!$C$113:$C$115,0)),INDEX('SCORING MASTER'!$D$117:$D$119,MATCH(BB288,'SCORING MASTER'!$C$117:$C$119,0)),INDEX('SCORING MASTER'!$D$121:$D$123,MATCH(BC288,'SCORING MASTER'!$C$121:$C$123,0)),INDEX('SCORING MASTER'!$D$125:$D$126,MATCH(BD288,'SCORING MASTER'!$C$125:$C$126,0)),INDEX('SCORING MASTER'!$D$128:$D$129,MATCH(BE288,'SCORING MASTER'!$C$128:$C$129,0)))*20,0))</f>
        <v/>
      </c>
      <c r="BM288" s="31" t="str">
        <f aca="false">IF(OR(BF288="",BG288="",BH288="",BI288="",BJ288="",BK288="",BL288=""),"",ROUND(BF288*0.25+BG288*0.2+BH288*0.15+BI288*0.15+BJ288*0.1+BK288*0.1+BL288*0.05,0))</f>
        <v/>
      </c>
      <c r="BN288" s="31" t="str">
        <f aca="false">IF(OR(BF288="",BG288=""),"",ROUND(BF288*0.5+BG288*0.5,0))</f>
        <v/>
      </c>
      <c r="BO288" s="31" t="str">
        <f aca="false">IF(BN288="","",ROUND(MIN(100,MAX(0,(100-BN288)+IF(AL288="Yes",15,0)+IF(AM288="Yes",15,0)+IF(AND(U288&lt;&gt;"",U288&lt;18.5),20,0))),0))</f>
        <v/>
      </c>
      <c r="BP288" s="28" t="str">
        <f aca="false">IF(BM288="","",IF(BM288&gt;=90,"Green - Healthy",IF(BM288&gt;=75,"Light Green - Mild Watch",IF(BM288&gt;=60,"Yellow - Mild Risk",IF(BM288&gt;=40,"Orange - Moderate Risk","Red - High Risk")))))</f>
        <v/>
      </c>
      <c r="BQ288" s="28" t="str">
        <f aca="false">IF(BM288="","",IF(OR(BM288&lt;60,BO288&gt;=60,AJ288="Yes"),"Yes","No"))</f>
        <v/>
      </c>
      <c r="BR288" s="28" t="str">
        <f aca="false">IF(BM288="","",IF(OR(BP288="Orange - Moderate Risk",BP288="Red - High Risk",BQ288="Yes"),"Yes","No"))</f>
        <v/>
      </c>
    </row>
    <row r="289" customFormat="false" ht="15" hidden="false" customHeight="false" outlineLevel="0" collapsed="false">
      <c r="A289" s="32" t="str">
        <f aca="false">IF(I289="","","STU"&amp;TEXT(ROW()-3,"000000"))</f>
        <v/>
      </c>
      <c r="B289" s="32"/>
      <c r="C289" s="32"/>
      <c r="D289" s="32"/>
      <c r="E289" s="32"/>
      <c r="F289" s="32"/>
      <c r="G289" s="32"/>
      <c r="H289" s="32"/>
      <c r="I289" s="32"/>
      <c r="J289" s="34"/>
      <c r="K289" s="32"/>
      <c r="L289" s="32"/>
      <c r="M289" s="32"/>
      <c r="N289" s="32"/>
      <c r="O289" s="32"/>
      <c r="P289" s="32"/>
      <c r="Q289" s="34"/>
      <c r="R289" s="34"/>
      <c r="S289" s="35" t="str">
        <f aca="false">IF(OR(Q289="",R289=""),"",ROUND(R289/((Q289/100)^2),1))</f>
        <v/>
      </c>
      <c r="T289" s="32" t="str">
        <f aca="false">IF(S289="","",IF(S289&lt;18.5,"Underweight",IF(S289&lt;25,"Normal",IF(S289&lt;30,"Overweight","Obese"))))</f>
        <v/>
      </c>
      <c r="U289" s="34"/>
      <c r="V289" s="34"/>
      <c r="W289" s="32"/>
      <c r="X289" s="32"/>
      <c r="Y289" s="32"/>
      <c r="Z289" s="32"/>
      <c r="AA289" s="32"/>
      <c r="AB289" s="32"/>
      <c r="AC289" s="32"/>
      <c r="AD289" s="32"/>
      <c r="AE289" s="32"/>
      <c r="AF289" s="32"/>
      <c r="AG289" s="32"/>
      <c r="AH289" s="32"/>
      <c r="AI289" s="32"/>
      <c r="AJ289" s="32"/>
      <c r="AK289" s="32"/>
      <c r="AL289" s="32"/>
      <c r="AM289" s="32"/>
      <c r="AN289" s="32"/>
      <c r="AO289" s="32"/>
      <c r="AP289" s="32"/>
      <c r="AQ289" s="32"/>
      <c r="AR289" s="32"/>
      <c r="AS289" s="32"/>
      <c r="AT289" s="32"/>
      <c r="AU289" s="32"/>
      <c r="AV289" s="32"/>
      <c r="AW289" s="32"/>
      <c r="AX289" s="32"/>
      <c r="AY289" s="32"/>
      <c r="AZ289" s="32"/>
      <c r="BA289" s="32"/>
      <c r="BB289" s="32"/>
      <c r="BC289" s="32"/>
      <c r="BD289" s="32"/>
      <c r="BE289" s="32"/>
      <c r="BF289" s="35" t="str">
        <f aca="false">IF(T289="","",IF(T289="Normal",100,IF(T289="Overweight",65,IF(T289="Obese",50,IF(AND(U289&lt;&gt;"",U289&lt;18.5),30,45)))))</f>
        <v/>
      </c>
      <c r="BG289" s="35" t="str">
        <f aca="false">IF(COUNTBLANK(W289:AC289)&gt;0,"",ROUND(AVERAGE(INDEX('SCORING MASTER'!$D$5:$D$7,MATCH(W289,'SCORING MASTER'!$C$5:$C$7,0)),INDEX('SCORING MASTER'!$D$9:$D$11,MATCH(X289,'SCORING MASTER'!$C$9:$C$11,0)),INDEX('SCORING MASTER'!$D$13:$D$15,MATCH(Y289,'SCORING MASTER'!$C$13:$C$15,0)),INDEX('SCORING MASTER'!$D$17:$D$19,MATCH(Z289,'SCORING MASTER'!$C$17:$C$19,0)),INDEX('SCORING MASTER'!$D$21:$D$23,MATCH(AA289,'SCORING MASTER'!$C$21:$C$23,0)),INDEX('SCORING MASTER'!$D$25:$D$27,MATCH(AB289,'SCORING MASTER'!$C$25:$C$27,0)),INDEX('SCORING MASTER'!$D$29:$D$31,MATCH(AC289,'SCORING MASTER'!$C$29:$C$31,0)))*20,0))</f>
        <v/>
      </c>
      <c r="BH289" s="35" t="str">
        <f aca="false">IF(COUNTBLANK(AD289:AI289)&gt;0,"",ROUND(AVERAGE(INDEX('SCORING MASTER'!$D$33:$D$35,MATCH(AD289,'SCORING MASTER'!$C$33:$C$35,0)),INDEX('SCORING MASTER'!$D$37:$D$39,MATCH(AE289,'SCORING MASTER'!$C$37:$C$39,0)),INDEX('SCORING MASTER'!$D$41:$D$43,MATCH(AF289,'SCORING MASTER'!$C$41:$C$43,0)),INDEX('SCORING MASTER'!$D$45:$D$47,MATCH(AG289,'SCORING MASTER'!$C$45:$C$47,0)),INDEX('SCORING MASTER'!$D$49:$D$52,MATCH(AH289,'SCORING MASTER'!$C$49:$C$52,0)),INDEX('SCORING MASTER'!$D$54:$D$57,MATCH(AI289,'SCORING MASTER'!$C$54:$C$57,0)))*20,0))</f>
        <v/>
      </c>
      <c r="BI289" s="35" t="str">
        <f aca="false">IF(COUNTBLANK(AJ289:AP289)&gt;0,"",ROUND(AVERAGE(INDEX('SCORING MASTER'!$D$59:$D$60,MATCH(AJ289,'SCORING MASTER'!$C$59:$C$60,0)),INDEX('SCORING MASTER'!$D$62:$D$63,MATCH(AK289,'SCORING MASTER'!$C$62:$C$63,0)),INDEX('SCORING MASTER'!$D$65:$D$66,MATCH(AL289,'SCORING MASTER'!$C$65:$C$66,0)),INDEX('SCORING MASTER'!$D$68:$D$69,MATCH(AM289,'SCORING MASTER'!$C$68:$C$69,0)),INDEX('SCORING MASTER'!$D$71:$D$72,MATCH(AN289,'SCORING MASTER'!$C$71:$C$72,0)),INDEX('SCORING MASTER'!$D$74:$D$75,MATCH(AO289,'SCORING MASTER'!$C$74:$C$75,0)),INDEX('SCORING MASTER'!$D$77:$D$78,MATCH(AP289,'SCORING MASTER'!$C$77:$C$78,0)))*20,0))</f>
        <v/>
      </c>
      <c r="BJ289" s="35" t="str">
        <f aca="false">IF(COUNTBLANK(AU289:AZ289)&gt;0,"",ROUND(AVERAGE(INDEX('SCORING MASTER'!$D$95:$D$96,MATCH(AU289,'SCORING MASTER'!$C$95:$C$96,0)),INDEX('SCORING MASTER'!$D$98:$D$99,MATCH(AV289,'SCORING MASTER'!$C$98:$C$99,0)),INDEX('SCORING MASTER'!$D$101:$D$102,MATCH(AW289,'SCORING MASTER'!$C$101:$C$102,0)),INDEX('SCORING MASTER'!$D$104:$D$105,MATCH(AX289,'SCORING MASTER'!$C$104:$C$105,0)),INDEX('SCORING MASTER'!$D$107:$D$108,MATCH(AY289,'SCORING MASTER'!$C$107:$C$108,0)),INDEX('SCORING MASTER'!$D$110:$D$111,MATCH(AZ289,'SCORING MASTER'!$C$110:$C$111,0)))*20,0))</f>
        <v/>
      </c>
      <c r="BK289" s="35" t="str">
        <f aca="false">IF(COUNTBLANK(AQ289:AT289)&gt;0,"",ROUND(AVERAGE(INDEX('SCORING MASTER'!$D$80:$D$82,MATCH(AQ289,'SCORING MASTER'!$C$80:$C$82,0)),INDEX('SCORING MASTER'!$D$84:$D$86,MATCH(AR289,'SCORING MASTER'!$C$84:$C$86,0)),INDEX('SCORING MASTER'!$D$88:$D$90,MATCH(AS289,'SCORING MASTER'!$C$88:$C$90,0)),INDEX('SCORING MASTER'!$D$92:$D$93,MATCH(AT289,'SCORING MASTER'!$C$92:$C$93,0)))*20,0))</f>
        <v/>
      </c>
      <c r="BL289" s="35" t="str">
        <f aca="false">IF(COUNTBLANK(BA289:BE289)&gt;0,"",ROUND(AVERAGE(INDEX('SCORING MASTER'!$D$113:$D$115,MATCH(BA289,'SCORING MASTER'!$C$113:$C$115,0)),INDEX('SCORING MASTER'!$D$117:$D$119,MATCH(BB289,'SCORING MASTER'!$C$117:$C$119,0)),INDEX('SCORING MASTER'!$D$121:$D$123,MATCH(BC289,'SCORING MASTER'!$C$121:$C$123,0)),INDEX('SCORING MASTER'!$D$125:$D$126,MATCH(BD289,'SCORING MASTER'!$C$125:$C$126,0)),INDEX('SCORING MASTER'!$D$128:$D$129,MATCH(BE289,'SCORING MASTER'!$C$128:$C$129,0)))*20,0))</f>
        <v/>
      </c>
      <c r="BM289" s="35" t="str">
        <f aca="false">IF(OR(BF289="",BG289="",BH289="",BI289="",BJ289="",BK289="",BL289=""),"",ROUND(BF289*0.25+BG289*0.2+BH289*0.15+BI289*0.15+BJ289*0.1+BK289*0.1+BL289*0.05,0))</f>
        <v/>
      </c>
      <c r="BN289" s="35" t="str">
        <f aca="false">IF(OR(BF289="",BG289=""),"",ROUND(BF289*0.5+BG289*0.5,0))</f>
        <v/>
      </c>
      <c r="BO289" s="35" t="str">
        <f aca="false">IF(BN289="","",ROUND(MIN(100,MAX(0,(100-BN289)+IF(AL289="Yes",15,0)+IF(AM289="Yes",15,0)+IF(AND(U289&lt;&gt;"",U289&lt;18.5),20,0))),0))</f>
        <v/>
      </c>
      <c r="BP289" s="32" t="str">
        <f aca="false">IF(BM289="","",IF(BM289&gt;=90,"Green - Healthy",IF(BM289&gt;=75,"Light Green - Mild Watch",IF(BM289&gt;=60,"Yellow - Mild Risk",IF(BM289&gt;=40,"Orange - Moderate Risk","Red - High Risk")))))</f>
        <v/>
      </c>
      <c r="BQ289" s="32" t="str">
        <f aca="false">IF(BM289="","",IF(OR(BM289&lt;60,BO289&gt;=60,AJ289="Yes"),"Yes","No"))</f>
        <v/>
      </c>
      <c r="BR289" s="32" t="str">
        <f aca="false">IF(BM289="","",IF(OR(BP289="Orange - Moderate Risk",BP289="Red - High Risk",BQ289="Yes"),"Yes","No"))</f>
        <v/>
      </c>
    </row>
    <row r="290" customFormat="false" ht="15" hidden="false" customHeight="false" outlineLevel="0" collapsed="false">
      <c r="A290" s="28" t="str">
        <f aca="false">IF(I290="","","STU"&amp;TEXT(ROW()-3,"000000"))</f>
        <v/>
      </c>
      <c r="B290" s="28"/>
      <c r="C290" s="28"/>
      <c r="D290" s="28"/>
      <c r="E290" s="28"/>
      <c r="F290" s="28"/>
      <c r="G290" s="28"/>
      <c r="H290" s="28"/>
      <c r="I290" s="28"/>
      <c r="J290" s="30"/>
      <c r="K290" s="28"/>
      <c r="L290" s="28"/>
      <c r="M290" s="28"/>
      <c r="N290" s="28"/>
      <c r="O290" s="28"/>
      <c r="P290" s="28"/>
      <c r="Q290" s="30"/>
      <c r="R290" s="30"/>
      <c r="S290" s="31" t="str">
        <f aca="false">IF(OR(Q290="",R290=""),"",ROUND(R290/((Q290/100)^2),1))</f>
        <v/>
      </c>
      <c r="T290" s="28" t="str">
        <f aca="false">IF(S290="","",IF(S290&lt;18.5,"Underweight",IF(S290&lt;25,"Normal",IF(S290&lt;30,"Overweight","Obese"))))</f>
        <v/>
      </c>
      <c r="U290" s="30"/>
      <c r="V290" s="30"/>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c r="BD290" s="28"/>
      <c r="BE290" s="28"/>
      <c r="BF290" s="31" t="str">
        <f aca="false">IF(T290="","",IF(T290="Normal",100,IF(T290="Overweight",65,IF(T290="Obese",50,IF(AND(U290&lt;&gt;"",U290&lt;18.5),30,45)))))</f>
        <v/>
      </c>
      <c r="BG290" s="31" t="str">
        <f aca="false">IF(COUNTBLANK(W290:AC290)&gt;0,"",ROUND(AVERAGE(INDEX('SCORING MASTER'!$D$5:$D$7,MATCH(W290,'SCORING MASTER'!$C$5:$C$7,0)),INDEX('SCORING MASTER'!$D$9:$D$11,MATCH(X290,'SCORING MASTER'!$C$9:$C$11,0)),INDEX('SCORING MASTER'!$D$13:$D$15,MATCH(Y290,'SCORING MASTER'!$C$13:$C$15,0)),INDEX('SCORING MASTER'!$D$17:$D$19,MATCH(Z290,'SCORING MASTER'!$C$17:$C$19,0)),INDEX('SCORING MASTER'!$D$21:$D$23,MATCH(AA290,'SCORING MASTER'!$C$21:$C$23,0)),INDEX('SCORING MASTER'!$D$25:$D$27,MATCH(AB290,'SCORING MASTER'!$C$25:$C$27,0)),INDEX('SCORING MASTER'!$D$29:$D$31,MATCH(AC290,'SCORING MASTER'!$C$29:$C$31,0)))*20,0))</f>
        <v/>
      </c>
      <c r="BH290" s="31" t="str">
        <f aca="false">IF(COUNTBLANK(AD290:AI290)&gt;0,"",ROUND(AVERAGE(INDEX('SCORING MASTER'!$D$33:$D$35,MATCH(AD290,'SCORING MASTER'!$C$33:$C$35,0)),INDEX('SCORING MASTER'!$D$37:$D$39,MATCH(AE290,'SCORING MASTER'!$C$37:$C$39,0)),INDEX('SCORING MASTER'!$D$41:$D$43,MATCH(AF290,'SCORING MASTER'!$C$41:$C$43,0)),INDEX('SCORING MASTER'!$D$45:$D$47,MATCH(AG290,'SCORING MASTER'!$C$45:$C$47,0)),INDEX('SCORING MASTER'!$D$49:$D$52,MATCH(AH290,'SCORING MASTER'!$C$49:$C$52,0)),INDEX('SCORING MASTER'!$D$54:$D$57,MATCH(AI290,'SCORING MASTER'!$C$54:$C$57,0)))*20,0))</f>
        <v/>
      </c>
      <c r="BI290" s="31" t="str">
        <f aca="false">IF(COUNTBLANK(AJ290:AP290)&gt;0,"",ROUND(AVERAGE(INDEX('SCORING MASTER'!$D$59:$D$60,MATCH(AJ290,'SCORING MASTER'!$C$59:$C$60,0)),INDEX('SCORING MASTER'!$D$62:$D$63,MATCH(AK290,'SCORING MASTER'!$C$62:$C$63,0)),INDEX('SCORING MASTER'!$D$65:$D$66,MATCH(AL290,'SCORING MASTER'!$C$65:$C$66,0)),INDEX('SCORING MASTER'!$D$68:$D$69,MATCH(AM290,'SCORING MASTER'!$C$68:$C$69,0)),INDEX('SCORING MASTER'!$D$71:$D$72,MATCH(AN290,'SCORING MASTER'!$C$71:$C$72,0)),INDEX('SCORING MASTER'!$D$74:$D$75,MATCH(AO290,'SCORING MASTER'!$C$74:$C$75,0)),INDEX('SCORING MASTER'!$D$77:$D$78,MATCH(AP290,'SCORING MASTER'!$C$77:$C$78,0)))*20,0))</f>
        <v/>
      </c>
      <c r="BJ290" s="31" t="str">
        <f aca="false">IF(COUNTBLANK(AU290:AZ290)&gt;0,"",ROUND(AVERAGE(INDEX('SCORING MASTER'!$D$95:$D$96,MATCH(AU290,'SCORING MASTER'!$C$95:$C$96,0)),INDEX('SCORING MASTER'!$D$98:$D$99,MATCH(AV290,'SCORING MASTER'!$C$98:$C$99,0)),INDEX('SCORING MASTER'!$D$101:$D$102,MATCH(AW290,'SCORING MASTER'!$C$101:$C$102,0)),INDEX('SCORING MASTER'!$D$104:$D$105,MATCH(AX290,'SCORING MASTER'!$C$104:$C$105,0)),INDEX('SCORING MASTER'!$D$107:$D$108,MATCH(AY290,'SCORING MASTER'!$C$107:$C$108,0)),INDEX('SCORING MASTER'!$D$110:$D$111,MATCH(AZ290,'SCORING MASTER'!$C$110:$C$111,0)))*20,0))</f>
        <v/>
      </c>
      <c r="BK290" s="31" t="str">
        <f aca="false">IF(COUNTBLANK(AQ290:AT290)&gt;0,"",ROUND(AVERAGE(INDEX('SCORING MASTER'!$D$80:$D$82,MATCH(AQ290,'SCORING MASTER'!$C$80:$C$82,0)),INDEX('SCORING MASTER'!$D$84:$D$86,MATCH(AR290,'SCORING MASTER'!$C$84:$C$86,0)),INDEX('SCORING MASTER'!$D$88:$D$90,MATCH(AS290,'SCORING MASTER'!$C$88:$C$90,0)),INDEX('SCORING MASTER'!$D$92:$D$93,MATCH(AT290,'SCORING MASTER'!$C$92:$C$93,0)))*20,0))</f>
        <v/>
      </c>
      <c r="BL290" s="31" t="str">
        <f aca="false">IF(COUNTBLANK(BA290:BE290)&gt;0,"",ROUND(AVERAGE(INDEX('SCORING MASTER'!$D$113:$D$115,MATCH(BA290,'SCORING MASTER'!$C$113:$C$115,0)),INDEX('SCORING MASTER'!$D$117:$D$119,MATCH(BB290,'SCORING MASTER'!$C$117:$C$119,0)),INDEX('SCORING MASTER'!$D$121:$D$123,MATCH(BC290,'SCORING MASTER'!$C$121:$C$123,0)),INDEX('SCORING MASTER'!$D$125:$D$126,MATCH(BD290,'SCORING MASTER'!$C$125:$C$126,0)),INDEX('SCORING MASTER'!$D$128:$D$129,MATCH(BE290,'SCORING MASTER'!$C$128:$C$129,0)))*20,0))</f>
        <v/>
      </c>
      <c r="BM290" s="31" t="str">
        <f aca="false">IF(OR(BF290="",BG290="",BH290="",BI290="",BJ290="",BK290="",BL290=""),"",ROUND(BF290*0.25+BG290*0.2+BH290*0.15+BI290*0.15+BJ290*0.1+BK290*0.1+BL290*0.05,0))</f>
        <v/>
      </c>
      <c r="BN290" s="31" t="str">
        <f aca="false">IF(OR(BF290="",BG290=""),"",ROUND(BF290*0.5+BG290*0.5,0))</f>
        <v/>
      </c>
      <c r="BO290" s="31" t="str">
        <f aca="false">IF(BN290="","",ROUND(MIN(100,MAX(0,(100-BN290)+IF(AL290="Yes",15,0)+IF(AM290="Yes",15,0)+IF(AND(U290&lt;&gt;"",U290&lt;18.5),20,0))),0))</f>
        <v/>
      </c>
      <c r="BP290" s="28" t="str">
        <f aca="false">IF(BM290="","",IF(BM290&gt;=90,"Green - Healthy",IF(BM290&gt;=75,"Light Green - Mild Watch",IF(BM290&gt;=60,"Yellow - Mild Risk",IF(BM290&gt;=40,"Orange - Moderate Risk","Red - High Risk")))))</f>
        <v/>
      </c>
      <c r="BQ290" s="28" t="str">
        <f aca="false">IF(BM290="","",IF(OR(BM290&lt;60,BO290&gt;=60,AJ290="Yes"),"Yes","No"))</f>
        <v/>
      </c>
      <c r="BR290" s="28" t="str">
        <f aca="false">IF(BM290="","",IF(OR(BP290="Orange - Moderate Risk",BP290="Red - High Risk",BQ290="Yes"),"Yes","No"))</f>
        <v/>
      </c>
    </row>
    <row r="291" customFormat="false" ht="15" hidden="false" customHeight="false" outlineLevel="0" collapsed="false">
      <c r="A291" s="32" t="str">
        <f aca="false">IF(I291="","","STU"&amp;TEXT(ROW()-3,"000000"))</f>
        <v/>
      </c>
      <c r="B291" s="32"/>
      <c r="C291" s="32"/>
      <c r="D291" s="32"/>
      <c r="E291" s="32"/>
      <c r="F291" s="32"/>
      <c r="G291" s="32"/>
      <c r="H291" s="32"/>
      <c r="I291" s="32"/>
      <c r="J291" s="34"/>
      <c r="K291" s="32"/>
      <c r="L291" s="32"/>
      <c r="M291" s="32"/>
      <c r="N291" s="32"/>
      <c r="O291" s="32"/>
      <c r="P291" s="32"/>
      <c r="Q291" s="34"/>
      <c r="R291" s="34"/>
      <c r="S291" s="35" t="str">
        <f aca="false">IF(OR(Q291="",R291=""),"",ROUND(R291/((Q291/100)^2),1))</f>
        <v/>
      </c>
      <c r="T291" s="32" t="str">
        <f aca="false">IF(S291="","",IF(S291&lt;18.5,"Underweight",IF(S291&lt;25,"Normal",IF(S291&lt;30,"Overweight","Obese"))))</f>
        <v/>
      </c>
      <c r="U291" s="34"/>
      <c r="V291" s="34"/>
      <c r="W291" s="32"/>
      <c r="X291" s="32"/>
      <c r="Y291" s="32"/>
      <c r="Z291" s="32"/>
      <c r="AA291" s="32"/>
      <c r="AB291" s="32"/>
      <c r="AC291" s="32"/>
      <c r="AD291" s="32"/>
      <c r="AE291" s="32"/>
      <c r="AF291" s="32"/>
      <c r="AG291" s="32"/>
      <c r="AH291" s="32"/>
      <c r="AI291" s="32"/>
      <c r="AJ291" s="32"/>
      <c r="AK291" s="32"/>
      <c r="AL291" s="32"/>
      <c r="AM291" s="32"/>
      <c r="AN291" s="32"/>
      <c r="AO291" s="32"/>
      <c r="AP291" s="32"/>
      <c r="AQ291" s="32"/>
      <c r="AR291" s="32"/>
      <c r="AS291" s="32"/>
      <c r="AT291" s="32"/>
      <c r="AU291" s="32"/>
      <c r="AV291" s="32"/>
      <c r="AW291" s="32"/>
      <c r="AX291" s="32"/>
      <c r="AY291" s="32"/>
      <c r="AZ291" s="32"/>
      <c r="BA291" s="32"/>
      <c r="BB291" s="32"/>
      <c r="BC291" s="32"/>
      <c r="BD291" s="32"/>
      <c r="BE291" s="32"/>
      <c r="BF291" s="35" t="str">
        <f aca="false">IF(T291="","",IF(T291="Normal",100,IF(T291="Overweight",65,IF(T291="Obese",50,IF(AND(U291&lt;&gt;"",U291&lt;18.5),30,45)))))</f>
        <v/>
      </c>
      <c r="BG291" s="35" t="str">
        <f aca="false">IF(COUNTBLANK(W291:AC291)&gt;0,"",ROUND(AVERAGE(INDEX('SCORING MASTER'!$D$5:$D$7,MATCH(W291,'SCORING MASTER'!$C$5:$C$7,0)),INDEX('SCORING MASTER'!$D$9:$D$11,MATCH(X291,'SCORING MASTER'!$C$9:$C$11,0)),INDEX('SCORING MASTER'!$D$13:$D$15,MATCH(Y291,'SCORING MASTER'!$C$13:$C$15,0)),INDEX('SCORING MASTER'!$D$17:$D$19,MATCH(Z291,'SCORING MASTER'!$C$17:$C$19,0)),INDEX('SCORING MASTER'!$D$21:$D$23,MATCH(AA291,'SCORING MASTER'!$C$21:$C$23,0)),INDEX('SCORING MASTER'!$D$25:$D$27,MATCH(AB291,'SCORING MASTER'!$C$25:$C$27,0)),INDEX('SCORING MASTER'!$D$29:$D$31,MATCH(AC291,'SCORING MASTER'!$C$29:$C$31,0)))*20,0))</f>
        <v/>
      </c>
      <c r="BH291" s="35" t="str">
        <f aca="false">IF(COUNTBLANK(AD291:AI291)&gt;0,"",ROUND(AVERAGE(INDEX('SCORING MASTER'!$D$33:$D$35,MATCH(AD291,'SCORING MASTER'!$C$33:$C$35,0)),INDEX('SCORING MASTER'!$D$37:$D$39,MATCH(AE291,'SCORING MASTER'!$C$37:$C$39,0)),INDEX('SCORING MASTER'!$D$41:$D$43,MATCH(AF291,'SCORING MASTER'!$C$41:$C$43,0)),INDEX('SCORING MASTER'!$D$45:$D$47,MATCH(AG291,'SCORING MASTER'!$C$45:$C$47,0)),INDEX('SCORING MASTER'!$D$49:$D$52,MATCH(AH291,'SCORING MASTER'!$C$49:$C$52,0)),INDEX('SCORING MASTER'!$D$54:$D$57,MATCH(AI291,'SCORING MASTER'!$C$54:$C$57,0)))*20,0))</f>
        <v/>
      </c>
      <c r="BI291" s="35" t="str">
        <f aca="false">IF(COUNTBLANK(AJ291:AP291)&gt;0,"",ROUND(AVERAGE(INDEX('SCORING MASTER'!$D$59:$D$60,MATCH(AJ291,'SCORING MASTER'!$C$59:$C$60,0)),INDEX('SCORING MASTER'!$D$62:$D$63,MATCH(AK291,'SCORING MASTER'!$C$62:$C$63,0)),INDEX('SCORING MASTER'!$D$65:$D$66,MATCH(AL291,'SCORING MASTER'!$C$65:$C$66,0)),INDEX('SCORING MASTER'!$D$68:$D$69,MATCH(AM291,'SCORING MASTER'!$C$68:$C$69,0)),INDEX('SCORING MASTER'!$D$71:$D$72,MATCH(AN291,'SCORING MASTER'!$C$71:$C$72,0)),INDEX('SCORING MASTER'!$D$74:$D$75,MATCH(AO291,'SCORING MASTER'!$C$74:$C$75,0)),INDEX('SCORING MASTER'!$D$77:$D$78,MATCH(AP291,'SCORING MASTER'!$C$77:$C$78,0)))*20,0))</f>
        <v/>
      </c>
      <c r="BJ291" s="35" t="str">
        <f aca="false">IF(COUNTBLANK(AU291:AZ291)&gt;0,"",ROUND(AVERAGE(INDEX('SCORING MASTER'!$D$95:$D$96,MATCH(AU291,'SCORING MASTER'!$C$95:$C$96,0)),INDEX('SCORING MASTER'!$D$98:$D$99,MATCH(AV291,'SCORING MASTER'!$C$98:$C$99,0)),INDEX('SCORING MASTER'!$D$101:$D$102,MATCH(AW291,'SCORING MASTER'!$C$101:$C$102,0)),INDEX('SCORING MASTER'!$D$104:$D$105,MATCH(AX291,'SCORING MASTER'!$C$104:$C$105,0)),INDEX('SCORING MASTER'!$D$107:$D$108,MATCH(AY291,'SCORING MASTER'!$C$107:$C$108,0)),INDEX('SCORING MASTER'!$D$110:$D$111,MATCH(AZ291,'SCORING MASTER'!$C$110:$C$111,0)))*20,0))</f>
        <v/>
      </c>
      <c r="BK291" s="35" t="str">
        <f aca="false">IF(COUNTBLANK(AQ291:AT291)&gt;0,"",ROUND(AVERAGE(INDEX('SCORING MASTER'!$D$80:$D$82,MATCH(AQ291,'SCORING MASTER'!$C$80:$C$82,0)),INDEX('SCORING MASTER'!$D$84:$D$86,MATCH(AR291,'SCORING MASTER'!$C$84:$C$86,0)),INDEX('SCORING MASTER'!$D$88:$D$90,MATCH(AS291,'SCORING MASTER'!$C$88:$C$90,0)),INDEX('SCORING MASTER'!$D$92:$D$93,MATCH(AT291,'SCORING MASTER'!$C$92:$C$93,0)))*20,0))</f>
        <v/>
      </c>
      <c r="BL291" s="35" t="str">
        <f aca="false">IF(COUNTBLANK(BA291:BE291)&gt;0,"",ROUND(AVERAGE(INDEX('SCORING MASTER'!$D$113:$D$115,MATCH(BA291,'SCORING MASTER'!$C$113:$C$115,0)),INDEX('SCORING MASTER'!$D$117:$D$119,MATCH(BB291,'SCORING MASTER'!$C$117:$C$119,0)),INDEX('SCORING MASTER'!$D$121:$D$123,MATCH(BC291,'SCORING MASTER'!$C$121:$C$123,0)),INDEX('SCORING MASTER'!$D$125:$D$126,MATCH(BD291,'SCORING MASTER'!$C$125:$C$126,0)),INDEX('SCORING MASTER'!$D$128:$D$129,MATCH(BE291,'SCORING MASTER'!$C$128:$C$129,0)))*20,0))</f>
        <v/>
      </c>
      <c r="BM291" s="35" t="str">
        <f aca="false">IF(OR(BF291="",BG291="",BH291="",BI291="",BJ291="",BK291="",BL291=""),"",ROUND(BF291*0.25+BG291*0.2+BH291*0.15+BI291*0.15+BJ291*0.1+BK291*0.1+BL291*0.05,0))</f>
        <v/>
      </c>
      <c r="BN291" s="35" t="str">
        <f aca="false">IF(OR(BF291="",BG291=""),"",ROUND(BF291*0.5+BG291*0.5,0))</f>
        <v/>
      </c>
      <c r="BO291" s="35" t="str">
        <f aca="false">IF(BN291="","",ROUND(MIN(100,MAX(0,(100-BN291)+IF(AL291="Yes",15,0)+IF(AM291="Yes",15,0)+IF(AND(U291&lt;&gt;"",U291&lt;18.5),20,0))),0))</f>
        <v/>
      </c>
      <c r="BP291" s="32" t="str">
        <f aca="false">IF(BM291="","",IF(BM291&gt;=90,"Green - Healthy",IF(BM291&gt;=75,"Light Green - Mild Watch",IF(BM291&gt;=60,"Yellow - Mild Risk",IF(BM291&gt;=40,"Orange - Moderate Risk","Red - High Risk")))))</f>
        <v/>
      </c>
      <c r="BQ291" s="32" t="str">
        <f aca="false">IF(BM291="","",IF(OR(BM291&lt;60,BO291&gt;=60,AJ291="Yes"),"Yes","No"))</f>
        <v/>
      </c>
      <c r="BR291" s="32" t="str">
        <f aca="false">IF(BM291="","",IF(OR(BP291="Orange - Moderate Risk",BP291="Red - High Risk",BQ291="Yes"),"Yes","No"))</f>
        <v/>
      </c>
    </row>
    <row r="292" customFormat="false" ht="15" hidden="false" customHeight="false" outlineLevel="0" collapsed="false">
      <c r="A292" s="28" t="str">
        <f aca="false">IF(I292="","","STU"&amp;TEXT(ROW()-3,"000000"))</f>
        <v/>
      </c>
      <c r="B292" s="28"/>
      <c r="C292" s="28"/>
      <c r="D292" s="28"/>
      <c r="E292" s="28"/>
      <c r="F292" s="28"/>
      <c r="G292" s="28"/>
      <c r="H292" s="28"/>
      <c r="I292" s="28"/>
      <c r="J292" s="30"/>
      <c r="K292" s="28"/>
      <c r="L292" s="28"/>
      <c r="M292" s="28"/>
      <c r="N292" s="28"/>
      <c r="O292" s="28"/>
      <c r="P292" s="28"/>
      <c r="Q292" s="30"/>
      <c r="R292" s="30"/>
      <c r="S292" s="31" t="str">
        <f aca="false">IF(OR(Q292="",R292=""),"",ROUND(R292/((Q292/100)^2),1))</f>
        <v/>
      </c>
      <c r="T292" s="28" t="str">
        <f aca="false">IF(S292="","",IF(S292&lt;18.5,"Underweight",IF(S292&lt;25,"Normal",IF(S292&lt;30,"Overweight","Obese"))))</f>
        <v/>
      </c>
      <c r="U292" s="30"/>
      <c r="V292" s="30"/>
      <c r="W292" s="28"/>
      <c r="X292" s="28"/>
      <c r="Y292" s="28"/>
      <c r="Z292" s="28"/>
      <c r="AA292" s="28"/>
      <c r="AB292" s="28"/>
      <c r="AC292" s="28"/>
      <c r="AD292" s="28"/>
      <c r="AE292" s="28"/>
      <c r="AF292" s="28"/>
      <c r="AG292" s="28"/>
      <c r="AH292" s="28"/>
      <c r="AI292" s="28"/>
      <c r="AJ292" s="28"/>
      <c r="AK292" s="28"/>
      <c r="AL292" s="28"/>
      <c r="AM292" s="28"/>
      <c r="AN292" s="28"/>
      <c r="AO292" s="28"/>
      <c r="AP292" s="28"/>
      <c r="AQ292" s="28"/>
      <c r="AR292" s="28"/>
      <c r="AS292" s="28"/>
      <c r="AT292" s="28"/>
      <c r="AU292" s="28"/>
      <c r="AV292" s="28"/>
      <c r="AW292" s="28"/>
      <c r="AX292" s="28"/>
      <c r="AY292" s="28"/>
      <c r="AZ292" s="28"/>
      <c r="BA292" s="28"/>
      <c r="BB292" s="28"/>
      <c r="BC292" s="28"/>
      <c r="BD292" s="28"/>
      <c r="BE292" s="28"/>
      <c r="BF292" s="31" t="str">
        <f aca="false">IF(T292="","",IF(T292="Normal",100,IF(T292="Overweight",65,IF(T292="Obese",50,IF(AND(U292&lt;&gt;"",U292&lt;18.5),30,45)))))</f>
        <v/>
      </c>
      <c r="BG292" s="31" t="str">
        <f aca="false">IF(COUNTBLANK(W292:AC292)&gt;0,"",ROUND(AVERAGE(INDEX('SCORING MASTER'!$D$5:$D$7,MATCH(W292,'SCORING MASTER'!$C$5:$C$7,0)),INDEX('SCORING MASTER'!$D$9:$D$11,MATCH(X292,'SCORING MASTER'!$C$9:$C$11,0)),INDEX('SCORING MASTER'!$D$13:$D$15,MATCH(Y292,'SCORING MASTER'!$C$13:$C$15,0)),INDEX('SCORING MASTER'!$D$17:$D$19,MATCH(Z292,'SCORING MASTER'!$C$17:$C$19,0)),INDEX('SCORING MASTER'!$D$21:$D$23,MATCH(AA292,'SCORING MASTER'!$C$21:$C$23,0)),INDEX('SCORING MASTER'!$D$25:$D$27,MATCH(AB292,'SCORING MASTER'!$C$25:$C$27,0)),INDEX('SCORING MASTER'!$D$29:$D$31,MATCH(AC292,'SCORING MASTER'!$C$29:$C$31,0)))*20,0))</f>
        <v/>
      </c>
      <c r="BH292" s="31" t="str">
        <f aca="false">IF(COUNTBLANK(AD292:AI292)&gt;0,"",ROUND(AVERAGE(INDEX('SCORING MASTER'!$D$33:$D$35,MATCH(AD292,'SCORING MASTER'!$C$33:$C$35,0)),INDEX('SCORING MASTER'!$D$37:$D$39,MATCH(AE292,'SCORING MASTER'!$C$37:$C$39,0)),INDEX('SCORING MASTER'!$D$41:$D$43,MATCH(AF292,'SCORING MASTER'!$C$41:$C$43,0)),INDEX('SCORING MASTER'!$D$45:$D$47,MATCH(AG292,'SCORING MASTER'!$C$45:$C$47,0)),INDEX('SCORING MASTER'!$D$49:$D$52,MATCH(AH292,'SCORING MASTER'!$C$49:$C$52,0)),INDEX('SCORING MASTER'!$D$54:$D$57,MATCH(AI292,'SCORING MASTER'!$C$54:$C$57,0)))*20,0))</f>
        <v/>
      </c>
      <c r="BI292" s="31" t="str">
        <f aca="false">IF(COUNTBLANK(AJ292:AP292)&gt;0,"",ROUND(AVERAGE(INDEX('SCORING MASTER'!$D$59:$D$60,MATCH(AJ292,'SCORING MASTER'!$C$59:$C$60,0)),INDEX('SCORING MASTER'!$D$62:$D$63,MATCH(AK292,'SCORING MASTER'!$C$62:$C$63,0)),INDEX('SCORING MASTER'!$D$65:$D$66,MATCH(AL292,'SCORING MASTER'!$C$65:$C$66,0)),INDEX('SCORING MASTER'!$D$68:$D$69,MATCH(AM292,'SCORING MASTER'!$C$68:$C$69,0)),INDEX('SCORING MASTER'!$D$71:$D$72,MATCH(AN292,'SCORING MASTER'!$C$71:$C$72,0)),INDEX('SCORING MASTER'!$D$74:$D$75,MATCH(AO292,'SCORING MASTER'!$C$74:$C$75,0)),INDEX('SCORING MASTER'!$D$77:$D$78,MATCH(AP292,'SCORING MASTER'!$C$77:$C$78,0)))*20,0))</f>
        <v/>
      </c>
      <c r="BJ292" s="31" t="str">
        <f aca="false">IF(COUNTBLANK(AU292:AZ292)&gt;0,"",ROUND(AVERAGE(INDEX('SCORING MASTER'!$D$95:$D$96,MATCH(AU292,'SCORING MASTER'!$C$95:$C$96,0)),INDEX('SCORING MASTER'!$D$98:$D$99,MATCH(AV292,'SCORING MASTER'!$C$98:$C$99,0)),INDEX('SCORING MASTER'!$D$101:$D$102,MATCH(AW292,'SCORING MASTER'!$C$101:$C$102,0)),INDEX('SCORING MASTER'!$D$104:$D$105,MATCH(AX292,'SCORING MASTER'!$C$104:$C$105,0)),INDEX('SCORING MASTER'!$D$107:$D$108,MATCH(AY292,'SCORING MASTER'!$C$107:$C$108,0)),INDEX('SCORING MASTER'!$D$110:$D$111,MATCH(AZ292,'SCORING MASTER'!$C$110:$C$111,0)))*20,0))</f>
        <v/>
      </c>
      <c r="BK292" s="31" t="str">
        <f aca="false">IF(COUNTBLANK(AQ292:AT292)&gt;0,"",ROUND(AVERAGE(INDEX('SCORING MASTER'!$D$80:$D$82,MATCH(AQ292,'SCORING MASTER'!$C$80:$C$82,0)),INDEX('SCORING MASTER'!$D$84:$D$86,MATCH(AR292,'SCORING MASTER'!$C$84:$C$86,0)),INDEX('SCORING MASTER'!$D$88:$D$90,MATCH(AS292,'SCORING MASTER'!$C$88:$C$90,0)),INDEX('SCORING MASTER'!$D$92:$D$93,MATCH(AT292,'SCORING MASTER'!$C$92:$C$93,0)))*20,0))</f>
        <v/>
      </c>
      <c r="BL292" s="31" t="str">
        <f aca="false">IF(COUNTBLANK(BA292:BE292)&gt;0,"",ROUND(AVERAGE(INDEX('SCORING MASTER'!$D$113:$D$115,MATCH(BA292,'SCORING MASTER'!$C$113:$C$115,0)),INDEX('SCORING MASTER'!$D$117:$D$119,MATCH(BB292,'SCORING MASTER'!$C$117:$C$119,0)),INDEX('SCORING MASTER'!$D$121:$D$123,MATCH(BC292,'SCORING MASTER'!$C$121:$C$123,0)),INDEX('SCORING MASTER'!$D$125:$D$126,MATCH(BD292,'SCORING MASTER'!$C$125:$C$126,0)),INDEX('SCORING MASTER'!$D$128:$D$129,MATCH(BE292,'SCORING MASTER'!$C$128:$C$129,0)))*20,0))</f>
        <v/>
      </c>
      <c r="BM292" s="31" t="str">
        <f aca="false">IF(OR(BF292="",BG292="",BH292="",BI292="",BJ292="",BK292="",BL292=""),"",ROUND(BF292*0.25+BG292*0.2+BH292*0.15+BI292*0.15+BJ292*0.1+BK292*0.1+BL292*0.05,0))</f>
        <v/>
      </c>
      <c r="BN292" s="31" t="str">
        <f aca="false">IF(OR(BF292="",BG292=""),"",ROUND(BF292*0.5+BG292*0.5,0))</f>
        <v/>
      </c>
      <c r="BO292" s="31" t="str">
        <f aca="false">IF(BN292="","",ROUND(MIN(100,MAX(0,(100-BN292)+IF(AL292="Yes",15,0)+IF(AM292="Yes",15,0)+IF(AND(U292&lt;&gt;"",U292&lt;18.5),20,0))),0))</f>
        <v/>
      </c>
      <c r="BP292" s="28" t="str">
        <f aca="false">IF(BM292="","",IF(BM292&gt;=90,"Green - Healthy",IF(BM292&gt;=75,"Light Green - Mild Watch",IF(BM292&gt;=60,"Yellow - Mild Risk",IF(BM292&gt;=40,"Orange - Moderate Risk","Red - High Risk")))))</f>
        <v/>
      </c>
      <c r="BQ292" s="28" t="str">
        <f aca="false">IF(BM292="","",IF(OR(BM292&lt;60,BO292&gt;=60,AJ292="Yes"),"Yes","No"))</f>
        <v/>
      </c>
      <c r="BR292" s="28" t="str">
        <f aca="false">IF(BM292="","",IF(OR(BP292="Orange - Moderate Risk",BP292="Red - High Risk",BQ292="Yes"),"Yes","No"))</f>
        <v/>
      </c>
    </row>
    <row r="293" customFormat="false" ht="15" hidden="false" customHeight="false" outlineLevel="0" collapsed="false">
      <c r="A293" s="32" t="str">
        <f aca="false">IF(I293="","","STU"&amp;TEXT(ROW()-3,"000000"))</f>
        <v/>
      </c>
      <c r="B293" s="32"/>
      <c r="C293" s="32"/>
      <c r="D293" s="32"/>
      <c r="E293" s="32"/>
      <c r="F293" s="32"/>
      <c r="G293" s="32"/>
      <c r="H293" s="32"/>
      <c r="I293" s="32"/>
      <c r="J293" s="34"/>
      <c r="K293" s="32"/>
      <c r="L293" s="32"/>
      <c r="M293" s="32"/>
      <c r="N293" s="32"/>
      <c r="O293" s="32"/>
      <c r="P293" s="32"/>
      <c r="Q293" s="34"/>
      <c r="R293" s="34"/>
      <c r="S293" s="35" t="str">
        <f aca="false">IF(OR(Q293="",R293=""),"",ROUND(R293/((Q293/100)^2),1))</f>
        <v/>
      </c>
      <c r="T293" s="32" t="str">
        <f aca="false">IF(S293="","",IF(S293&lt;18.5,"Underweight",IF(S293&lt;25,"Normal",IF(S293&lt;30,"Overweight","Obese"))))</f>
        <v/>
      </c>
      <c r="U293" s="34"/>
      <c r="V293" s="34"/>
      <c r="W293" s="32"/>
      <c r="X293" s="32"/>
      <c r="Y293" s="32"/>
      <c r="Z293" s="32"/>
      <c r="AA293" s="32"/>
      <c r="AB293" s="32"/>
      <c r="AC293" s="32"/>
      <c r="AD293" s="32"/>
      <c r="AE293" s="32"/>
      <c r="AF293" s="32"/>
      <c r="AG293" s="32"/>
      <c r="AH293" s="32"/>
      <c r="AI293" s="32"/>
      <c r="AJ293" s="32"/>
      <c r="AK293" s="32"/>
      <c r="AL293" s="32"/>
      <c r="AM293" s="32"/>
      <c r="AN293" s="32"/>
      <c r="AO293" s="32"/>
      <c r="AP293" s="32"/>
      <c r="AQ293" s="32"/>
      <c r="AR293" s="32"/>
      <c r="AS293" s="32"/>
      <c r="AT293" s="32"/>
      <c r="AU293" s="32"/>
      <c r="AV293" s="32"/>
      <c r="AW293" s="32"/>
      <c r="AX293" s="32"/>
      <c r="AY293" s="32"/>
      <c r="AZ293" s="32"/>
      <c r="BA293" s="32"/>
      <c r="BB293" s="32"/>
      <c r="BC293" s="32"/>
      <c r="BD293" s="32"/>
      <c r="BE293" s="32"/>
      <c r="BF293" s="35" t="str">
        <f aca="false">IF(T293="","",IF(T293="Normal",100,IF(T293="Overweight",65,IF(T293="Obese",50,IF(AND(U293&lt;&gt;"",U293&lt;18.5),30,45)))))</f>
        <v/>
      </c>
      <c r="BG293" s="35" t="str">
        <f aca="false">IF(COUNTBLANK(W293:AC293)&gt;0,"",ROUND(AVERAGE(INDEX('SCORING MASTER'!$D$5:$D$7,MATCH(W293,'SCORING MASTER'!$C$5:$C$7,0)),INDEX('SCORING MASTER'!$D$9:$D$11,MATCH(X293,'SCORING MASTER'!$C$9:$C$11,0)),INDEX('SCORING MASTER'!$D$13:$D$15,MATCH(Y293,'SCORING MASTER'!$C$13:$C$15,0)),INDEX('SCORING MASTER'!$D$17:$D$19,MATCH(Z293,'SCORING MASTER'!$C$17:$C$19,0)),INDEX('SCORING MASTER'!$D$21:$D$23,MATCH(AA293,'SCORING MASTER'!$C$21:$C$23,0)),INDEX('SCORING MASTER'!$D$25:$D$27,MATCH(AB293,'SCORING MASTER'!$C$25:$C$27,0)),INDEX('SCORING MASTER'!$D$29:$D$31,MATCH(AC293,'SCORING MASTER'!$C$29:$C$31,0)))*20,0))</f>
        <v/>
      </c>
      <c r="BH293" s="35" t="str">
        <f aca="false">IF(COUNTBLANK(AD293:AI293)&gt;0,"",ROUND(AVERAGE(INDEX('SCORING MASTER'!$D$33:$D$35,MATCH(AD293,'SCORING MASTER'!$C$33:$C$35,0)),INDEX('SCORING MASTER'!$D$37:$D$39,MATCH(AE293,'SCORING MASTER'!$C$37:$C$39,0)),INDEX('SCORING MASTER'!$D$41:$D$43,MATCH(AF293,'SCORING MASTER'!$C$41:$C$43,0)),INDEX('SCORING MASTER'!$D$45:$D$47,MATCH(AG293,'SCORING MASTER'!$C$45:$C$47,0)),INDEX('SCORING MASTER'!$D$49:$D$52,MATCH(AH293,'SCORING MASTER'!$C$49:$C$52,0)),INDEX('SCORING MASTER'!$D$54:$D$57,MATCH(AI293,'SCORING MASTER'!$C$54:$C$57,0)))*20,0))</f>
        <v/>
      </c>
      <c r="BI293" s="35" t="str">
        <f aca="false">IF(COUNTBLANK(AJ293:AP293)&gt;0,"",ROUND(AVERAGE(INDEX('SCORING MASTER'!$D$59:$D$60,MATCH(AJ293,'SCORING MASTER'!$C$59:$C$60,0)),INDEX('SCORING MASTER'!$D$62:$D$63,MATCH(AK293,'SCORING MASTER'!$C$62:$C$63,0)),INDEX('SCORING MASTER'!$D$65:$D$66,MATCH(AL293,'SCORING MASTER'!$C$65:$C$66,0)),INDEX('SCORING MASTER'!$D$68:$D$69,MATCH(AM293,'SCORING MASTER'!$C$68:$C$69,0)),INDEX('SCORING MASTER'!$D$71:$D$72,MATCH(AN293,'SCORING MASTER'!$C$71:$C$72,0)),INDEX('SCORING MASTER'!$D$74:$D$75,MATCH(AO293,'SCORING MASTER'!$C$74:$C$75,0)),INDEX('SCORING MASTER'!$D$77:$D$78,MATCH(AP293,'SCORING MASTER'!$C$77:$C$78,0)))*20,0))</f>
        <v/>
      </c>
      <c r="BJ293" s="35" t="str">
        <f aca="false">IF(COUNTBLANK(AU293:AZ293)&gt;0,"",ROUND(AVERAGE(INDEX('SCORING MASTER'!$D$95:$D$96,MATCH(AU293,'SCORING MASTER'!$C$95:$C$96,0)),INDEX('SCORING MASTER'!$D$98:$D$99,MATCH(AV293,'SCORING MASTER'!$C$98:$C$99,0)),INDEX('SCORING MASTER'!$D$101:$D$102,MATCH(AW293,'SCORING MASTER'!$C$101:$C$102,0)),INDEX('SCORING MASTER'!$D$104:$D$105,MATCH(AX293,'SCORING MASTER'!$C$104:$C$105,0)),INDEX('SCORING MASTER'!$D$107:$D$108,MATCH(AY293,'SCORING MASTER'!$C$107:$C$108,0)),INDEX('SCORING MASTER'!$D$110:$D$111,MATCH(AZ293,'SCORING MASTER'!$C$110:$C$111,0)))*20,0))</f>
        <v/>
      </c>
      <c r="BK293" s="35" t="str">
        <f aca="false">IF(COUNTBLANK(AQ293:AT293)&gt;0,"",ROUND(AVERAGE(INDEX('SCORING MASTER'!$D$80:$D$82,MATCH(AQ293,'SCORING MASTER'!$C$80:$C$82,0)),INDEX('SCORING MASTER'!$D$84:$D$86,MATCH(AR293,'SCORING MASTER'!$C$84:$C$86,0)),INDEX('SCORING MASTER'!$D$88:$D$90,MATCH(AS293,'SCORING MASTER'!$C$88:$C$90,0)),INDEX('SCORING MASTER'!$D$92:$D$93,MATCH(AT293,'SCORING MASTER'!$C$92:$C$93,0)))*20,0))</f>
        <v/>
      </c>
      <c r="BL293" s="35" t="str">
        <f aca="false">IF(COUNTBLANK(BA293:BE293)&gt;0,"",ROUND(AVERAGE(INDEX('SCORING MASTER'!$D$113:$D$115,MATCH(BA293,'SCORING MASTER'!$C$113:$C$115,0)),INDEX('SCORING MASTER'!$D$117:$D$119,MATCH(BB293,'SCORING MASTER'!$C$117:$C$119,0)),INDEX('SCORING MASTER'!$D$121:$D$123,MATCH(BC293,'SCORING MASTER'!$C$121:$C$123,0)),INDEX('SCORING MASTER'!$D$125:$D$126,MATCH(BD293,'SCORING MASTER'!$C$125:$C$126,0)),INDEX('SCORING MASTER'!$D$128:$D$129,MATCH(BE293,'SCORING MASTER'!$C$128:$C$129,0)))*20,0))</f>
        <v/>
      </c>
      <c r="BM293" s="35" t="str">
        <f aca="false">IF(OR(BF293="",BG293="",BH293="",BI293="",BJ293="",BK293="",BL293=""),"",ROUND(BF293*0.25+BG293*0.2+BH293*0.15+BI293*0.15+BJ293*0.1+BK293*0.1+BL293*0.05,0))</f>
        <v/>
      </c>
      <c r="BN293" s="35" t="str">
        <f aca="false">IF(OR(BF293="",BG293=""),"",ROUND(BF293*0.5+BG293*0.5,0))</f>
        <v/>
      </c>
      <c r="BO293" s="35" t="str">
        <f aca="false">IF(BN293="","",ROUND(MIN(100,MAX(0,(100-BN293)+IF(AL293="Yes",15,0)+IF(AM293="Yes",15,0)+IF(AND(U293&lt;&gt;"",U293&lt;18.5),20,0))),0))</f>
        <v/>
      </c>
      <c r="BP293" s="32" t="str">
        <f aca="false">IF(BM293="","",IF(BM293&gt;=90,"Green - Healthy",IF(BM293&gt;=75,"Light Green - Mild Watch",IF(BM293&gt;=60,"Yellow - Mild Risk",IF(BM293&gt;=40,"Orange - Moderate Risk","Red - High Risk")))))</f>
        <v/>
      </c>
      <c r="BQ293" s="32" t="str">
        <f aca="false">IF(BM293="","",IF(OR(BM293&lt;60,BO293&gt;=60,AJ293="Yes"),"Yes","No"))</f>
        <v/>
      </c>
      <c r="BR293" s="32" t="str">
        <f aca="false">IF(BM293="","",IF(OR(BP293="Orange - Moderate Risk",BP293="Red - High Risk",BQ293="Yes"),"Yes","No"))</f>
        <v/>
      </c>
    </row>
    <row r="294" customFormat="false" ht="15" hidden="false" customHeight="false" outlineLevel="0" collapsed="false">
      <c r="A294" s="28" t="str">
        <f aca="false">IF(I294="","","STU"&amp;TEXT(ROW()-3,"000000"))</f>
        <v/>
      </c>
      <c r="B294" s="28"/>
      <c r="C294" s="28"/>
      <c r="D294" s="28"/>
      <c r="E294" s="28"/>
      <c r="F294" s="28"/>
      <c r="G294" s="28"/>
      <c r="H294" s="28"/>
      <c r="I294" s="28"/>
      <c r="J294" s="30"/>
      <c r="K294" s="28"/>
      <c r="L294" s="28"/>
      <c r="M294" s="28"/>
      <c r="N294" s="28"/>
      <c r="O294" s="28"/>
      <c r="P294" s="28"/>
      <c r="Q294" s="30"/>
      <c r="R294" s="30"/>
      <c r="S294" s="31" t="str">
        <f aca="false">IF(OR(Q294="",R294=""),"",ROUND(R294/((Q294/100)^2),1))</f>
        <v/>
      </c>
      <c r="T294" s="28" t="str">
        <f aca="false">IF(S294="","",IF(S294&lt;18.5,"Underweight",IF(S294&lt;25,"Normal",IF(S294&lt;30,"Overweight","Obese"))))</f>
        <v/>
      </c>
      <c r="U294" s="30"/>
      <c r="V294" s="30"/>
      <c r="W294" s="28"/>
      <c r="X294" s="28"/>
      <c r="Y294" s="28"/>
      <c r="Z294" s="28"/>
      <c r="AA294" s="28"/>
      <c r="AB294" s="28"/>
      <c r="AC294" s="28"/>
      <c r="AD294" s="28"/>
      <c r="AE294" s="28"/>
      <c r="AF294" s="28"/>
      <c r="AG294" s="28"/>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c r="BD294" s="28"/>
      <c r="BE294" s="28"/>
      <c r="BF294" s="31" t="str">
        <f aca="false">IF(T294="","",IF(T294="Normal",100,IF(T294="Overweight",65,IF(T294="Obese",50,IF(AND(U294&lt;&gt;"",U294&lt;18.5),30,45)))))</f>
        <v/>
      </c>
      <c r="BG294" s="31" t="str">
        <f aca="false">IF(COUNTBLANK(W294:AC294)&gt;0,"",ROUND(AVERAGE(INDEX('SCORING MASTER'!$D$5:$D$7,MATCH(W294,'SCORING MASTER'!$C$5:$C$7,0)),INDEX('SCORING MASTER'!$D$9:$D$11,MATCH(X294,'SCORING MASTER'!$C$9:$C$11,0)),INDEX('SCORING MASTER'!$D$13:$D$15,MATCH(Y294,'SCORING MASTER'!$C$13:$C$15,0)),INDEX('SCORING MASTER'!$D$17:$D$19,MATCH(Z294,'SCORING MASTER'!$C$17:$C$19,0)),INDEX('SCORING MASTER'!$D$21:$D$23,MATCH(AA294,'SCORING MASTER'!$C$21:$C$23,0)),INDEX('SCORING MASTER'!$D$25:$D$27,MATCH(AB294,'SCORING MASTER'!$C$25:$C$27,0)),INDEX('SCORING MASTER'!$D$29:$D$31,MATCH(AC294,'SCORING MASTER'!$C$29:$C$31,0)))*20,0))</f>
        <v/>
      </c>
      <c r="BH294" s="31" t="str">
        <f aca="false">IF(COUNTBLANK(AD294:AI294)&gt;0,"",ROUND(AVERAGE(INDEX('SCORING MASTER'!$D$33:$D$35,MATCH(AD294,'SCORING MASTER'!$C$33:$C$35,0)),INDEX('SCORING MASTER'!$D$37:$D$39,MATCH(AE294,'SCORING MASTER'!$C$37:$C$39,0)),INDEX('SCORING MASTER'!$D$41:$D$43,MATCH(AF294,'SCORING MASTER'!$C$41:$C$43,0)),INDEX('SCORING MASTER'!$D$45:$D$47,MATCH(AG294,'SCORING MASTER'!$C$45:$C$47,0)),INDEX('SCORING MASTER'!$D$49:$D$52,MATCH(AH294,'SCORING MASTER'!$C$49:$C$52,0)),INDEX('SCORING MASTER'!$D$54:$D$57,MATCH(AI294,'SCORING MASTER'!$C$54:$C$57,0)))*20,0))</f>
        <v/>
      </c>
      <c r="BI294" s="31" t="str">
        <f aca="false">IF(COUNTBLANK(AJ294:AP294)&gt;0,"",ROUND(AVERAGE(INDEX('SCORING MASTER'!$D$59:$D$60,MATCH(AJ294,'SCORING MASTER'!$C$59:$C$60,0)),INDEX('SCORING MASTER'!$D$62:$D$63,MATCH(AK294,'SCORING MASTER'!$C$62:$C$63,0)),INDEX('SCORING MASTER'!$D$65:$D$66,MATCH(AL294,'SCORING MASTER'!$C$65:$C$66,0)),INDEX('SCORING MASTER'!$D$68:$D$69,MATCH(AM294,'SCORING MASTER'!$C$68:$C$69,0)),INDEX('SCORING MASTER'!$D$71:$D$72,MATCH(AN294,'SCORING MASTER'!$C$71:$C$72,0)),INDEX('SCORING MASTER'!$D$74:$D$75,MATCH(AO294,'SCORING MASTER'!$C$74:$C$75,0)),INDEX('SCORING MASTER'!$D$77:$D$78,MATCH(AP294,'SCORING MASTER'!$C$77:$C$78,0)))*20,0))</f>
        <v/>
      </c>
      <c r="BJ294" s="31" t="str">
        <f aca="false">IF(COUNTBLANK(AU294:AZ294)&gt;0,"",ROUND(AVERAGE(INDEX('SCORING MASTER'!$D$95:$D$96,MATCH(AU294,'SCORING MASTER'!$C$95:$C$96,0)),INDEX('SCORING MASTER'!$D$98:$D$99,MATCH(AV294,'SCORING MASTER'!$C$98:$C$99,0)),INDEX('SCORING MASTER'!$D$101:$D$102,MATCH(AW294,'SCORING MASTER'!$C$101:$C$102,0)),INDEX('SCORING MASTER'!$D$104:$D$105,MATCH(AX294,'SCORING MASTER'!$C$104:$C$105,0)),INDEX('SCORING MASTER'!$D$107:$D$108,MATCH(AY294,'SCORING MASTER'!$C$107:$C$108,0)),INDEX('SCORING MASTER'!$D$110:$D$111,MATCH(AZ294,'SCORING MASTER'!$C$110:$C$111,0)))*20,0))</f>
        <v/>
      </c>
      <c r="BK294" s="31" t="str">
        <f aca="false">IF(COUNTBLANK(AQ294:AT294)&gt;0,"",ROUND(AVERAGE(INDEX('SCORING MASTER'!$D$80:$D$82,MATCH(AQ294,'SCORING MASTER'!$C$80:$C$82,0)),INDEX('SCORING MASTER'!$D$84:$D$86,MATCH(AR294,'SCORING MASTER'!$C$84:$C$86,0)),INDEX('SCORING MASTER'!$D$88:$D$90,MATCH(AS294,'SCORING MASTER'!$C$88:$C$90,0)),INDEX('SCORING MASTER'!$D$92:$D$93,MATCH(AT294,'SCORING MASTER'!$C$92:$C$93,0)))*20,0))</f>
        <v/>
      </c>
      <c r="BL294" s="31" t="str">
        <f aca="false">IF(COUNTBLANK(BA294:BE294)&gt;0,"",ROUND(AVERAGE(INDEX('SCORING MASTER'!$D$113:$D$115,MATCH(BA294,'SCORING MASTER'!$C$113:$C$115,0)),INDEX('SCORING MASTER'!$D$117:$D$119,MATCH(BB294,'SCORING MASTER'!$C$117:$C$119,0)),INDEX('SCORING MASTER'!$D$121:$D$123,MATCH(BC294,'SCORING MASTER'!$C$121:$C$123,0)),INDEX('SCORING MASTER'!$D$125:$D$126,MATCH(BD294,'SCORING MASTER'!$C$125:$C$126,0)),INDEX('SCORING MASTER'!$D$128:$D$129,MATCH(BE294,'SCORING MASTER'!$C$128:$C$129,0)))*20,0))</f>
        <v/>
      </c>
      <c r="BM294" s="31" t="str">
        <f aca="false">IF(OR(BF294="",BG294="",BH294="",BI294="",BJ294="",BK294="",BL294=""),"",ROUND(BF294*0.25+BG294*0.2+BH294*0.15+BI294*0.15+BJ294*0.1+BK294*0.1+BL294*0.05,0))</f>
        <v/>
      </c>
      <c r="BN294" s="31" t="str">
        <f aca="false">IF(OR(BF294="",BG294=""),"",ROUND(BF294*0.5+BG294*0.5,0))</f>
        <v/>
      </c>
      <c r="BO294" s="31" t="str">
        <f aca="false">IF(BN294="","",ROUND(MIN(100,MAX(0,(100-BN294)+IF(AL294="Yes",15,0)+IF(AM294="Yes",15,0)+IF(AND(U294&lt;&gt;"",U294&lt;18.5),20,0))),0))</f>
        <v/>
      </c>
      <c r="BP294" s="28" t="str">
        <f aca="false">IF(BM294="","",IF(BM294&gt;=90,"Green - Healthy",IF(BM294&gt;=75,"Light Green - Mild Watch",IF(BM294&gt;=60,"Yellow - Mild Risk",IF(BM294&gt;=40,"Orange - Moderate Risk","Red - High Risk")))))</f>
        <v/>
      </c>
      <c r="BQ294" s="28" t="str">
        <f aca="false">IF(BM294="","",IF(OR(BM294&lt;60,BO294&gt;=60,AJ294="Yes"),"Yes","No"))</f>
        <v/>
      </c>
      <c r="BR294" s="28" t="str">
        <f aca="false">IF(BM294="","",IF(OR(BP294="Orange - Moderate Risk",BP294="Red - High Risk",BQ294="Yes"),"Yes","No"))</f>
        <v/>
      </c>
    </row>
    <row r="295" customFormat="false" ht="15" hidden="false" customHeight="false" outlineLevel="0" collapsed="false">
      <c r="A295" s="32" t="str">
        <f aca="false">IF(I295="","","STU"&amp;TEXT(ROW()-3,"000000"))</f>
        <v/>
      </c>
      <c r="B295" s="32"/>
      <c r="C295" s="32"/>
      <c r="D295" s="32"/>
      <c r="E295" s="32"/>
      <c r="F295" s="32"/>
      <c r="G295" s="32"/>
      <c r="H295" s="32"/>
      <c r="I295" s="32"/>
      <c r="J295" s="34"/>
      <c r="K295" s="32"/>
      <c r="L295" s="32"/>
      <c r="M295" s="32"/>
      <c r="N295" s="32"/>
      <c r="O295" s="32"/>
      <c r="P295" s="32"/>
      <c r="Q295" s="34"/>
      <c r="R295" s="34"/>
      <c r="S295" s="35" t="str">
        <f aca="false">IF(OR(Q295="",R295=""),"",ROUND(R295/((Q295/100)^2),1))</f>
        <v/>
      </c>
      <c r="T295" s="32" t="str">
        <f aca="false">IF(S295="","",IF(S295&lt;18.5,"Underweight",IF(S295&lt;25,"Normal",IF(S295&lt;30,"Overweight","Obese"))))</f>
        <v/>
      </c>
      <c r="U295" s="34"/>
      <c r="V295" s="34"/>
      <c r="W295" s="32"/>
      <c r="X295" s="32"/>
      <c r="Y295" s="32"/>
      <c r="Z295" s="32"/>
      <c r="AA295" s="32"/>
      <c r="AB295" s="32"/>
      <c r="AC295" s="32"/>
      <c r="AD295" s="32"/>
      <c r="AE295" s="32"/>
      <c r="AF295" s="32"/>
      <c r="AG295" s="32"/>
      <c r="AH295" s="32"/>
      <c r="AI295" s="32"/>
      <c r="AJ295" s="32"/>
      <c r="AK295" s="32"/>
      <c r="AL295" s="32"/>
      <c r="AM295" s="32"/>
      <c r="AN295" s="32"/>
      <c r="AO295" s="32"/>
      <c r="AP295" s="32"/>
      <c r="AQ295" s="32"/>
      <c r="AR295" s="32"/>
      <c r="AS295" s="32"/>
      <c r="AT295" s="32"/>
      <c r="AU295" s="32"/>
      <c r="AV295" s="32"/>
      <c r="AW295" s="32"/>
      <c r="AX295" s="32"/>
      <c r="AY295" s="32"/>
      <c r="AZ295" s="32"/>
      <c r="BA295" s="32"/>
      <c r="BB295" s="32"/>
      <c r="BC295" s="32"/>
      <c r="BD295" s="32"/>
      <c r="BE295" s="32"/>
      <c r="BF295" s="35" t="str">
        <f aca="false">IF(T295="","",IF(T295="Normal",100,IF(T295="Overweight",65,IF(T295="Obese",50,IF(AND(U295&lt;&gt;"",U295&lt;18.5),30,45)))))</f>
        <v/>
      </c>
      <c r="BG295" s="35" t="str">
        <f aca="false">IF(COUNTBLANK(W295:AC295)&gt;0,"",ROUND(AVERAGE(INDEX('SCORING MASTER'!$D$5:$D$7,MATCH(W295,'SCORING MASTER'!$C$5:$C$7,0)),INDEX('SCORING MASTER'!$D$9:$D$11,MATCH(X295,'SCORING MASTER'!$C$9:$C$11,0)),INDEX('SCORING MASTER'!$D$13:$D$15,MATCH(Y295,'SCORING MASTER'!$C$13:$C$15,0)),INDEX('SCORING MASTER'!$D$17:$D$19,MATCH(Z295,'SCORING MASTER'!$C$17:$C$19,0)),INDEX('SCORING MASTER'!$D$21:$D$23,MATCH(AA295,'SCORING MASTER'!$C$21:$C$23,0)),INDEX('SCORING MASTER'!$D$25:$D$27,MATCH(AB295,'SCORING MASTER'!$C$25:$C$27,0)),INDEX('SCORING MASTER'!$D$29:$D$31,MATCH(AC295,'SCORING MASTER'!$C$29:$C$31,0)))*20,0))</f>
        <v/>
      </c>
      <c r="BH295" s="35" t="str">
        <f aca="false">IF(COUNTBLANK(AD295:AI295)&gt;0,"",ROUND(AVERAGE(INDEX('SCORING MASTER'!$D$33:$D$35,MATCH(AD295,'SCORING MASTER'!$C$33:$C$35,0)),INDEX('SCORING MASTER'!$D$37:$D$39,MATCH(AE295,'SCORING MASTER'!$C$37:$C$39,0)),INDEX('SCORING MASTER'!$D$41:$D$43,MATCH(AF295,'SCORING MASTER'!$C$41:$C$43,0)),INDEX('SCORING MASTER'!$D$45:$D$47,MATCH(AG295,'SCORING MASTER'!$C$45:$C$47,0)),INDEX('SCORING MASTER'!$D$49:$D$52,MATCH(AH295,'SCORING MASTER'!$C$49:$C$52,0)),INDEX('SCORING MASTER'!$D$54:$D$57,MATCH(AI295,'SCORING MASTER'!$C$54:$C$57,0)))*20,0))</f>
        <v/>
      </c>
      <c r="BI295" s="35" t="str">
        <f aca="false">IF(COUNTBLANK(AJ295:AP295)&gt;0,"",ROUND(AVERAGE(INDEX('SCORING MASTER'!$D$59:$D$60,MATCH(AJ295,'SCORING MASTER'!$C$59:$C$60,0)),INDEX('SCORING MASTER'!$D$62:$D$63,MATCH(AK295,'SCORING MASTER'!$C$62:$C$63,0)),INDEX('SCORING MASTER'!$D$65:$D$66,MATCH(AL295,'SCORING MASTER'!$C$65:$C$66,0)),INDEX('SCORING MASTER'!$D$68:$D$69,MATCH(AM295,'SCORING MASTER'!$C$68:$C$69,0)),INDEX('SCORING MASTER'!$D$71:$D$72,MATCH(AN295,'SCORING MASTER'!$C$71:$C$72,0)),INDEX('SCORING MASTER'!$D$74:$D$75,MATCH(AO295,'SCORING MASTER'!$C$74:$C$75,0)),INDEX('SCORING MASTER'!$D$77:$D$78,MATCH(AP295,'SCORING MASTER'!$C$77:$C$78,0)))*20,0))</f>
        <v/>
      </c>
      <c r="BJ295" s="35" t="str">
        <f aca="false">IF(COUNTBLANK(AU295:AZ295)&gt;0,"",ROUND(AVERAGE(INDEX('SCORING MASTER'!$D$95:$D$96,MATCH(AU295,'SCORING MASTER'!$C$95:$C$96,0)),INDEX('SCORING MASTER'!$D$98:$D$99,MATCH(AV295,'SCORING MASTER'!$C$98:$C$99,0)),INDEX('SCORING MASTER'!$D$101:$D$102,MATCH(AW295,'SCORING MASTER'!$C$101:$C$102,0)),INDEX('SCORING MASTER'!$D$104:$D$105,MATCH(AX295,'SCORING MASTER'!$C$104:$C$105,0)),INDEX('SCORING MASTER'!$D$107:$D$108,MATCH(AY295,'SCORING MASTER'!$C$107:$C$108,0)),INDEX('SCORING MASTER'!$D$110:$D$111,MATCH(AZ295,'SCORING MASTER'!$C$110:$C$111,0)))*20,0))</f>
        <v/>
      </c>
      <c r="BK295" s="35" t="str">
        <f aca="false">IF(COUNTBLANK(AQ295:AT295)&gt;0,"",ROUND(AVERAGE(INDEX('SCORING MASTER'!$D$80:$D$82,MATCH(AQ295,'SCORING MASTER'!$C$80:$C$82,0)),INDEX('SCORING MASTER'!$D$84:$D$86,MATCH(AR295,'SCORING MASTER'!$C$84:$C$86,0)),INDEX('SCORING MASTER'!$D$88:$D$90,MATCH(AS295,'SCORING MASTER'!$C$88:$C$90,0)),INDEX('SCORING MASTER'!$D$92:$D$93,MATCH(AT295,'SCORING MASTER'!$C$92:$C$93,0)))*20,0))</f>
        <v/>
      </c>
      <c r="BL295" s="35" t="str">
        <f aca="false">IF(COUNTBLANK(BA295:BE295)&gt;0,"",ROUND(AVERAGE(INDEX('SCORING MASTER'!$D$113:$D$115,MATCH(BA295,'SCORING MASTER'!$C$113:$C$115,0)),INDEX('SCORING MASTER'!$D$117:$D$119,MATCH(BB295,'SCORING MASTER'!$C$117:$C$119,0)),INDEX('SCORING MASTER'!$D$121:$D$123,MATCH(BC295,'SCORING MASTER'!$C$121:$C$123,0)),INDEX('SCORING MASTER'!$D$125:$D$126,MATCH(BD295,'SCORING MASTER'!$C$125:$C$126,0)),INDEX('SCORING MASTER'!$D$128:$D$129,MATCH(BE295,'SCORING MASTER'!$C$128:$C$129,0)))*20,0))</f>
        <v/>
      </c>
      <c r="BM295" s="35" t="str">
        <f aca="false">IF(OR(BF295="",BG295="",BH295="",BI295="",BJ295="",BK295="",BL295=""),"",ROUND(BF295*0.25+BG295*0.2+BH295*0.15+BI295*0.15+BJ295*0.1+BK295*0.1+BL295*0.05,0))</f>
        <v/>
      </c>
      <c r="BN295" s="35" t="str">
        <f aca="false">IF(OR(BF295="",BG295=""),"",ROUND(BF295*0.5+BG295*0.5,0))</f>
        <v/>
      </c>
      <c r="BO295" s="35" t="str">
        <f aca="false">IF(BN295="","",ROUND(MIN(100,MAX(0,(100-BN295)+IF(AL295="Yes",15,0)+IF(AM295="Yes",15,0)+IF(AND(U295&lt;&gt;"",U295&lt;18.5),20,0))),0))</f>
        <v/>
      </c>
      <c r="BP295" s="32" t="str">
        <f aca="false">IF(BM295="","",IF(BM295&gt;=90,"Green - Healthy",IF(BM295&gt;=75,"Light Green - Mild Watch",IF(BM295&gt;=60,"Yellow - Mild Risk",IF(BM295&gt;=40,"Orange - Moderate Risk","Red - High Risk")))))</f>
        <v/>
      </c>
      <c r="BQ295" s="32" t="str">
        <f aca="false">IF(BM295="","",IF(OR(BM295&lt;60,BO295&gt;=60,AJ295="Yes"),"Yes","No"))</f>
        <v/>
      </c>
      <c r="BR295" s="32" t="str">
        <f aca="false">IF(BM295="","",IF(OR(BP295="Orange - Moderate Risk",BP295="Red - High Risk",BQ295="Yes"),"Yes","No"))</f>
        <v/>
      </c>
    </row>
    <row r="296" customFormat="false" ht="15" hidden="false" customHeight="false" outlineLevel="0" collapsed="false">
      <c r="A296" s="28" t="str">
        <f aca="false">IF(I296="","","STU"&amp;TEXT(ROW()-3,"000000"))</f>
        <v/>
      </c>
      <c r="B296" s="28"/>
      <c r="C296" s="28"/>
      <c r="D296" s="28"/>
      <c r="E296" s="28"/>
      <c r="F296" s="28"/>
      <c r="G296" s="28"/>
      <c r="H296" s="28"/>
      <c r="I296" s="28"/>
      <c r="J296" s="30"/>
      <c r="K296" s="28"/>
      <c r="L296" s="28"/>
      <c r="M296" s="28"/>
      <c r="N296" s="28"/>
      <c r="O296" s="28"/>
      <c r="P296" s="28"/>
      <c r="Q296" s="30"/>
      <c r="R296" s="30"/>
      <c r="S296" s="31" t="str">
        <f aca="false">IF(OR(Q296="",R296=""),"",ROUND(R296/((Q296/100)^2),1))</f>
        <v/>
      </c>
      <c r="T296" s="28" t="str">
        <f aca="false">IF(S296="","",IF(S296&lt;18.5,"Underweight",IF(S296&lt;25,"Normal",IF(S296&lt;30,"Overweight","Obese"))))</f>
        <v/>
      </c>
      <c r="U296" s="30"/>
      <c r="V296" s="30"/>
      <c r="W296" s="28"/>
      <c r="X296" s="28"/>
      <c r="Y296" s="28"/>
      <c r="Z296" s="28"/>
      <c r="AA296" s="28"/>
      <c r="AB296" s="28"/>
      <c r="AC296" s="28"/>
      <c r="AD296" s="28"/>
      <c r="AE296" s="28"/>
      <c r="AF296" s="28"/>
      <c r="AG296" s="28"/>
      <c r="AH296" s="28"/>
      <c r="AI296" s="28"/>
      <c r="AJ296" s="28"/>
      <c r="AK296" s="28"/>
      <c r="AL296" s="28"/>
      <c r="AM296" s="28"/>
      <c r="AN296" s="28"/>
      <c r="AO296" s="28"/>
      <c r="AP296" s="28"/>
      <c r="AQ296" s="28"/>
      <c r="AR296" s="28"/>
      <c r="AS296" s="28"/>
      <c r="AT296" s="28"/>
      <c r="AU296" s="28"/>
      <c r="AV296" s="28"/>
      <c r="AW296" s="28"/>
      <c r="AX296" s="28"/>
      <c r="AY296" s="28"/>
      <c r="AZ296" s="28"/>
      <c r="BA296" s="28"/>
      <c r="BB296" s="28"/>
      <c r="BC296" s="28"/>
      <c r="BD296" s="28"/>
      <c r="BE296" s="28"/>
      <c r="BF296" s="31" t="str">
        <f aca="false">IF(T296="","",IF(T296="Normal",100,IF(T296="Overweight",65,IF(T296="Obese",50,IF(AND(U296&lt;&gt;"",U296&lt;18.5),30,45)))))</f>
        <v/>
      </c>
      <c r="BG296" s="31" t="str">
        <f aca="false">IF(COUNTBLANK(W296:AC296)&gt;0,"",ROUND(AVERAGE(INDEX('SCORING MASTER'!$D$5:$D$7,MATCH(W296,'SCORING MASTER'!$C$5:$C$7,0)),INDEX('SCORING MASTER'!$D$9:$D$11,MATCH(X296,'SCORING MASTER'!$C$9:$C$11,0)),INDEX('SCORING MASTER'!$D$13:$D$15,MATCH(Y296,'SCORING MASTER'!$C$13:$C$15,0)),INDEX('SCORING MASTER'!$D$17:$D$19,MATCH(Z296,'SCORING MASTER'!$C$17:$C$19,0)),INDEX('SCORING MASTER'!$D$21:$D$23,MATCH(AA296,'SCORING MASTER'!$C$21:$C$23,0)),INDEX('SCORING MASTER'!$D$25:$D$27,MATCH(AB296,'SCORING MASTER'!$C$25:$C$27,0)),INDEX('SCORING MASTER'!$D$29:$D$31,MATCH(AC296,'SCORING MASTER'!$C$29:$C$31,0)))*20,0))</f>
        <v/>
      </c>
      <c r="BH296" s="31" t="str">
        <f aca="false">IF(COUNTBLANK(AD296:AI296)&gt;0,"",ROUND(AVERAGE(INDEX('SCORING MASTER'!$D$33:$D$35,MATCH(AD296,'SCORING MASTER'!$C$33:$C$35,0)),INDEX('SCORING MASTER'!$D$37:$D$39,MATCH(AE296,'SCORING MASTER'!$C$37:$C$39,0)),INDEX('SCORING MASTER'!$D$41:$D$43,MATCH(AF296,'SCORING MASTER'!$C$41:$C$43,0)),INDEX('SCORING MASTER'!$D$45:$D$47,MATCH(AG296,'SCORING MASTER'!$C$45:$C$47,0)),INDEX('SCORING MASTER'!$D$49:$D$52,MATCH(AH296,'SCORING MASTER'!$C$49:$C$52,0)),INDEX('SCORING MASTER'!$D$54:$D$57,MATCH(AI296,'SCORING MASTER'!$C$54:$C$57,0)))*20,0))</f>
        <v/>
      </c>
      <c r="BI296" s="31" t="str">
        <f aca="false">IF(COUNTBLANK(AJ296:AP296)&gt;0,"",ROUND(AVERAGE(INDEX('SCORING MASTER'!$D$59:$D$60,MATCH(AJ296,'SCORING MASTER'!$C$59:$C$60,0)),INDEX('SCORING MASTER'!$D$62:$D$63,MATCH(AK296,'SCORING MASTER'!$C$62:$C$63,0)),INDEX('SCORING MASTER'!$D$65:$D$66,MATCH(AL296,'SCORING MASTER'!$C$65:$C$66,0)),INDEX('SCORING MASTER'!$D$68:$D$69,MATCH(AM296,'SCORING MASTER'!$C$68:$C$69,0)),INDEX('SCORING MASTER'!$D$71:$D$72,MATCH(AN296,'SCORING MASTER'!$C$71:$C$72,0)),INDEX('SCORING MASTER'!$D$74:$D$75,MATCH(AO296,'SCORING MASTER'!$C$74:$C$75,0)),INDEX('SCORING MASTER'!$D$77:$D$78,MATCH(AP296,'SCORING MASTER'!$C$77:$C$78,0)))*20,0))</f>
        <v/>
      </c>
      <c r="BJ296" s="31" t="str">
        <f aca="false">IF(COUNTBLANK(AU296:AZ296)&gt;0,"",ROUND(AVERAGE(INDEX('SCORING MASTER'!$D$95:$D$96,MATCH(AU296,'SCORING MASTER'!$C$95:$C$96,0)),INDEX('SCORING MASTER'!$D$98:$D$99,MATCH(AV296,'SCORING MASTER'!$C$98:$C$99,0)),INDEX('SCORING MASTER'!$D$101:$D$102,MATCH(AW296,'SCORING MASTER'!$C$101:$C$102,0)),INDEX('SCORING MASTER'!$D$104:$D$105,MATCH(AX296,'SCORING MASTER'!$C$104:$C$105,0)),INDEX('SCORING MASTER'!$D$107:$D$108,MATCH(AY296,'SCORING MASTER'!$C$107:$C$108,0)),INDEX('SCORING MASTER'!$D$110:$D$111,MATCH(AZ296,'SCORING MASTER'!$C$110:$C$111,0)))*20,0))</f>
        <v/>
      </c>
      <c r="BK296" s="31" t="str">
        <f aca="false">IF(COUNTBLANK(AQ296:AT296)&gt;0,"",ROUND(AVERAGE(INDEX('SCORING MASTER'!$D$80:$D$82,MATCH(AQ296,'SCORING MASTER'!$C$80:$C$82,0)),INDEX('SCORING MASTER'!$D$84:$D$86,MATCH(AR296,'SCORING MASTER'!$C$84:$C$86,0)),INDEX('SCORING MASTER'!$D$88:$D$90,MATCH(AS296,'SCORING MASTER'!$C$88:$C$90,0)),INDEX('SCORING MASTER'!$D$92:$D$93,MATCH(AT296,'SCORING MASTER'!$C$92:$C$93,0)))*20,0))</f>
        <v/>
      </c>
      <c r="BL296" s="31" t="str">
        <f aca="false">IF(COUNTBLANK(BA296:BE296)&gt;0,"",ROUND(AVERAGE(INDEX('SCORING MASTER'!$D$113:$D$115,MATCH(BA296,'SCORING MASTER'!$C$113:$C$115,0)),INDEX('SCORING MASTER'!$D$117:$D$119,MATCH(BB296,'SCORING MASTER'!$C$117:$C$119,0)),INDEX('SCORING MASTER'!$D$121:$D$123,MATCH(BC296,'SCORING MASTER'!$C$121:$C$123,0)),INDEX('SCORING MASTER'!$D$125:$D$126,MATCH(BD296,'SCORING MASTER'!$C$125:$C$126,0)),INDEX('SCORING MASTER'!$D$128:$D$129,MATCH(BE296,'SCORING MASTER'!$C$128:$C$129,0)))*20,0))</f>
        <v/>
      </c>
      <c r="BM296" s="31" t="str">
        <f aca="false">IF(OR(BF296="",BG296="",BH296="",BI296="",BJ296="",BK296="",BL296=""),"",ROUND(BF296*0.25+BG296*0.2+BH296*0.15+BI296*0.15+BJ296*0.1+BK296*0.1+BL296*0.05,0))</f>
        <v/>
      </c>
      <c r="BN296" s="31" t="str">
        <f aca="false">IF(OR(BF296="",BG296=""),"",ROUND(BF296*0.5+BG296*0.5,0))</f>
        <v/>
      </c>
      <c r="BO296" s="31" t="str">
        <f aca="false">IF(BN296="","",ROUND(MIN(100,MAX(0,(100-BN296)+IF(AL296="Yes",15,0)+IF(AM296="Yes",15,0)+IF(AND(U296&lt;&gt;"",U296&lt;18.5),20,0))),0))</f>
        <v/>
      </c>
      <c r="BP296" s="28" t="str">
        <f aca="false">IF(BM296="","",IF(BM296&gt;=90,"Green - Healthy",IF(BM296&gt;=75,"Light Green - Mild Watch",IF(BM296&gt;=60,"Yellow - Mild Risk",IF(BM296&gt;=40,"Orange - Moderate Risk","Red - High Risk")))))</f>
        <v/>
      </c>
      <c r="BQ296" s="28" t="str">
        <f aca="false">IF(BM296="","",IF(OR(BM296&lt;60,BO296&gt;=60,AJ296="Yes"),"Yes","No"))</f>
        <v/>
      </c>
      <c r="BR296" s="28" t="str">
        <f aca="false">IF(BM296="","",IF(OR(BP296="Orange - Moderate Risk",BP296="Red - High Risk",BQ296="Yes"),"Yes","No"))</f>
        <v/>
      </c>
    </row>
    <row r="297" customFormat="false" ht="15" hidden="false" customHeight="false" outlineLevel="0" collapsed="false">
      <c r="A297" s="32" t="str">
        <f aca="false">IF(I297="","","STU"&amp;TEXT(ROW()-3,"000000"))</f>
        <v/>
      </c>
      <c r="B297" s="32"/>
      <c r="C297" s="32"/>
      <c r="D297" s="32"/>
      <c r="E297" s="32"/>
      <c r="F297" s="32"/>
      <c r="G297" s="32"/>
      <c r="H297" s="32"/>
      <c r="I297" s="32"/>
      <c r="J297" s="34"/>
      <c r="K297" s="32"/>
      <c r="L297" s="32"/>
      <c r="M297" s="32"/>
      <c r="N297" s="32"/>
      <c r="O297" s="32"/>
      <c r="P297" s="32"/>
      <c r="Q297" s="34"/>
      <c r="R297" s="34"/>
      <c r="S297" s="35" t="str">
        <f aca="false">IF(OR(Q297="",R297=""),"",ROUND(R297/((Q297/100)^2),1))</f>
        <v/>
      </c>
      <c r="T297" s="32" t="str">
        <f aca="false">IF(S297="","",IF(S297&lt;18.5,"Underweight",IF(S297&lt;25,"Normal",IF(S297&lt;30,"Overweight","Obese"))))</f>
        <v/>
      </c>
      <c r="U297" s="34"/>
      <c r="V297" s="34"/>
      <c r="W297" s="32"/>
      <c r="X297" s="32"/>
      <c r="Y297" s="32"/>
      <c r="Z297" s="32"/>
      <c r="AA297" s="32"/>
      <c r="AB297" s="32"/>
      <c r="AC297" s="32"/>
      <c r="AD297" s="32"/>
      <c r="AE297" s="32"/>
      <c r="AF297" s="32"/>
      <c r="AG297" s="32"/>
      <c r="AH297" s="32"/>
      <c r="AI297" s="32"/>
      <c r="AJ297" s="32"/>
      <c r="AK297" s="32"/>
      <c r="AL297" s="32"/>
      <c r="AM297" s="32"/>
      <c r="AN297" s="32"/>
      <c r="AO297" s="32"/>
      <c r="AP297" s="32"/>
      <c r="AQ297" s="32"/>
      <c r="AR297" s="32"/>
      <c r="AS297" s="32"/>
      <c r="AT297" s="32"/>
      <c r="AU297" s="32"/>
      <c r="AV297" s="32"/>
      <c r="AW297" s="32"/>
      <c r="AX297" s="32"/>
      <c r="AY297" s="32"/>
      <c r="AZ297" s="32"/>
      <c r="BA297" s="32"/>
      <c r="BB297" s="32"/>
      <c r="BC297" s="32"/>
      <c r="BD297" s="32"/>
      <c r="BE297" s="32"/>
      <c r="BF297" s="35" t="str">
        <f aca="false">IF(T297="","",IF(T297="Normal",100,IF(T297="Overweight",65,IF(T297="Obese",50,IF(AND(U297&lt;&gt;"",U297&lt;18.5),30,45)))))</f>
        <v/>
      </c>
      <c r="BG297" s="35" t="str">
        <f aca="false">IF(COUNTBLANK(W297:AC297)&gt;0,"",ROUND(AVERAGE(INDEX('SCORING MASTER'!$D$5:$D$7,MATCH(W297,'SCORING MASTER'!$C$5:$C$7,0)),INDEX('SCORING MASTER'!$D$9:$D$11,MATCH(X297,'SCORING MASTER'!$C$9:$C$11,0)),INDEX('SCORING MASTER'!$D$13:$D$15,MATCH(Y297,'SCORING MASTER'!$C$13:$C$15,0)),INDEX('SCORING MASTER'!$D$17:$D$19,MATCH(Z297,'SCORING MASTER'!$C$17:$C$19,0)),INDEX('SCORING MASTER'!$D$21:$D$23,MATCH(AA297,'SCORING MASTER'!$C$21:$C$23,0)),INDEX('SCORING MASTER'!$D$25:$D$27,MATCH(AB297,'SCORING MASTER'!$C$25:$C$27,0)),INDEX('SCORING MASTER'!$D$29:$D$31,MATCH(AC297,'SCORING MASTER'!$C$29:$C$31,0)))*20,0))</f>
        <v/>
      </c>
      <c r="BH297" s="35" t="str">
        <f aca="false">IF(COUNTBLANK(AD297:AI297)&gt;0,"",ROUND(AVERAGE(INDEX('SCORING MASTER'!$D$33:$D$35,MATCH(AD297,'SCORING MASTER'!$C$33:$C$35,0)),INDEX('SCORING MASTER'!$D$37:$D$39,MATCH(AE297,'SCORING MASTER'!$C$37:$C$39,0)),INDEX('SCORING MASTER'!$D$41:$D$43,MATCH(AF297,'SCORING MASTER'!$C$41:$C$43,0)),INDEX('SCORING MASTER'!$D$45:$D$47,MATCH(AG297,'SCORING MASTER'!$C$45:$C$47,0)),INDEX('SCORING MASTER'!$D$49:$D$52,MATCH(AH297,'SCORING MASTER'!$C$49:$C$52,0)),INDEX('SCORING MASTER'!$D$54:$D$57,MATCH(AI297,'SCORING MASTER'!$C$54:$C$57,0)))*20,0))</f>
        <v/>
      </c>
      <c r="BI297" s="35" t="str">
        <f aca="false">IF(COUNTBLANK(AJ297:AP297)&gt;0,"",ROUND(AVERAGE(INDEX('SCORING MASTER'!$D$59:$D$60,MATCH(AJ297,'SCORING MASTER'!$C$59:$C$60,0)),INDEX('SCORING MASTER'!$D$62:$D$63,MATCH(AK297,'SCORING MASTER'!$C$62:$C$63,0)),INDEX('SCORING MASTER'!$D$65:$D$66,MATCH(AL297,'SCORING MASTER'!$C$65:$C$66,0)),INDEX('SCORING MASTER'!$D$68:$D$69,MATCH(AM297,'SCORING MASTER'!$C$68:$C$69,0)),INDEX('SCORING MASTER'!$D$71:$D$72,MATCH(AN297,'SCORING MASTER'!$C$71:$C$72,0)),INDEX('SCORING MASTER'!$D$74:$D$75,MATCH(AO297,'SCORING MASTER'!$C$74:$C$75,0)),INDEX('SCORING MASTER'!$D$77:$D$78,MATCH(AP297,'SCORING MASTER'!$C$77:$C$78,0)))*20,0))</f>
        <v/>
      </c>
      <c r="BJ297" s="35" t="str">
        <f aca="false">IF(COUNTBLANK(AU297:AZ297)&gt;0,"",ROUND(AVERAGE(INDEX('SCORING MASTER'!$D$95:$D$96,MATCH(AU297,'SCORING MASTER'!$C$95:$C$96,0)),INDEX('SCORING MASTER'!$D$98:$D$99,MATCH(AV297,'SCORING MASTER'!$C$98:$C$99,0)),INDEX('SCORING MASTER'!$D$101:$D$102,MATCH(AW297,'SCORING MASTER'!$C$101:$C$102,0)),INDEX('SCORING MASTER'!$D$104:$D$105,MATCH(AX297,'SCORING MASTER'!$C$104:$C$105,0)),INDEX('SCORING MASTER'!$D$107:$D$108,MATCH(AY297,'SCORING MASTER'!$C$107:$C$108,0)),INDEX('SCORING MASTER'!$D$110:$D$111,MATCH(AZ297,'SCORING MASTER'!$C$110:$C$111,0)))*20,0))</f>
        <v/>
      </c>
      <c r="BK297" s="35" t="str">
        <f aca="false">IF(COUNTBLANK(AQ297:AT297)&gt;0,"",ROUND(AVERAGE(INDEX('SCORING MASTER'!$D$80:$D$82,MATCH(AQ297,'SCORING MASTER'!$C$80:$C$82,0)),INDEX('SCORING MASTER'!$D$84:$D$86,MATCH(AR297,'SCORING MASTER'!$C$84:$C$86,0)),INDEX('SCORING MASTER'!$D$88:$D$90,MATCH(AS297,'SCORING MASTER'!$C$88:$C$90,0)),INDEX('SCORING MASTER'!$D$92:$D$93,MATCH(AT297,'SCORING MASTER'!$C$92:$C$93,0)))*20,0))</f>
        <v/>
      </c>
      <c r="BL297" s="35" t="str">
        <f aca="false">IF(COUNTBLANK(BA297:BE297)&gt;0,"",ROUND(AVERAGE(INDEX('SCORING MASTER'!$D$113:$D$115,MATCH(BA297,'SCORING MASTER'!$C$113:$C$115,0)),INDEX('SCORING MASTER'!$D$117:$D$119,MATCH(BB297,'SCORING MASTER'!$C$117:$C$119,0)),INDEX('SCORING MASTER'!$D$121:$D$123,MATCH(BC297,'SCORING MASTER'!$C$121:$C$123,0)),INDEX('SCORING MASTER'!$D$125:$D$126,MATCH(BD297,'SCORING MASTER'!$C$125:$C$126,0)),INDEX('SCORING MASTER'!$D$128:$D$129,MATCH(BE297,'SCORING MASTER'!$C$128:$C$129,0)))*20,0))</f>
        <v/>
      </c>
      <c r="BM297" s="35" t="str">
        <f aca="false">IF(OR(BF297="",BG297="",BH297="",BI297="",BJ297="",BK297="",BL297=""),"",ROUND(BF297*0.25+BG297*0.2+BH297*0.15+BI297*0.15+BJ297*0.1+BK297*0.1+BL297*0.05,0))</f>
        <v/>
      </c>
      <c r="BN297" s="35" t="str">
        <f aca="false">IF(OR(BF297="",BG297=""),"",ROUND(BF297*0.5+BG297*0.5,0))</f>
        <v/>
      </c>
      <c r="BO297" s="35" t="str">
        <f aca="false">IF(BN297="","",ROUND(MIN(100,MAX(0,(100-BN297)+IF(AL297="Yes",15,0)+IF(AM297="Yes",15,0)+IF(AND(U297&lt;&gt;"",U297&lt;18.5),20,0))),0))</f>
        <v/>
      </c>
      <c r="BP297" s="32" t="str">
        <f aca="false">IF(BM297="","",IF(BM297&gt;=90,"Green - Healthy",IF(BM297&gt;=75,"Light Green - Mild Watch",IF(BM297&gt;=60,"Yellow - Mild Risk",IF(BM297&gt;=40,"Orange - Moderate Risk","Red - High Risk")))))</f>
        <v/>
      </c>
      <c r="BQ297" s="32" t="str">
        <f aca="false">IF(BM297="","",IF(OR(BM297&lt;60,BO297&gt;=60,AJ297="Yes"),"Yes","No"))</f>
        <v/>
      </c>
      <c r="BR297" s="32" t="str">
        <f aca="false">IF(BM297="","",IF(OR(BP297="Orange - Moderate Risk",BP297="Red - High Risk",BQ297="Yes"),"Yes","No"))</f>
        <v/>
      </c>
    </row>
    <row r="298" customFormat="false" ht="15" hidden="false" customHeight="false" outlineLevel="0" collapsed="false">
      <c r="A298" s="28" t="str">
        <f aca="false">IF(I298="","","STU"&amp;TEXT(ROW()-3,"000000"))</f>
        <v/>
      </c>
      <c r="B298" s="28"/>
      <c r="C298" s="28"/>
      <c r="D298" s="28"/>
      <c r="E298" s="28"/>
      <c r="F298" s="28"/>
      <c r="G298" s="28"/>
      <c r="H298" s="28"/>
      <c r="I298" s="28"/>
      <c r="J298" s="30"/>
      <c r="K298" s="28"/>
      <c r="L298" s="28"/>
      <c r="M298" s="28"/>
      <c r="N298" s="28"/>
      <c r="O298" s="28"/>
      <c r="P298" s="28"/>
      <c r="Q298" s="30"/>
      <c r="R298" s="30"/>
      <c r="S298" s="31" t="str">
        <f aca="false">IF(OR(Q298="",R298=""),"",ROUND(R298/((Q298/100)^2),1))</f>
        <v/>
      </c>
      <c r="T298" s="28" t="str">
        <f aca="false">IF(S298="","",IF(S298&lt;18.5,"Underweight",IF(S298&lt;25,"Normal",IF(S298&lt;30,"Overweight","Obese"))))</f>
        <v/>
      </c>
      <c r="U298" s="30"/>
      <c r="V298" s="30"/>
      <c r="W298" s="28"/>
      <c r="X298" s="28"/>
      <c r="Y298" s="28"/>
      <c r="Z298" s="28"/>
      <c r="AA298" s="28"/>
      <c r="AB298" s="28"/>
      <c r="AC298" s="28"/>
      <c r="AD298" s="28"/>
      <c r="AE298" s="28"/>
      <c r="AF298" s="28"/>
      <c r="AG298" s="28"/>
      <c r="AH298" s="28"/>
      <c r="AI298" s="28"/>
      <c r="AJ298" s="28"/>
      <c r="AK298" s="28"/>
      <c r="AL298" s="28"/>
      <c r="AM298" s="28"/>
      <c r="AN298" s="28"/>
      <c r="AO298" s="28"/>
      <c r="AP298" s="28"/>
      <c r="AQ298" s="28"/>
      <c r="AR298" s="28"/>
      <c r="AS298" s="28"/>
      <c r="AT298" s="28"/>
      <c r="AU298" s="28"/>
      <c r="AV298" s="28"/>
      <c r="AW298" s="28"/>
      <c r="AX298" s="28"/>
      <c r="AY298" s="28"/>
      <c r="AZ298" s="28"/>
      <c r="BA298" s="28"/>
      <c r="BB298" s="28"/>
      <c r="BC298" s="28"/>
      <c r="BD298" s="28"/>
      <c r="BE298" s="28"/>
      <c r="BF298" s="31" t="str">
        <f aca="false">IF(T298="","",IF(T298="Normal",100,IF(T298="Overweight",65,IF(T298="Obese",50,IF(AND(U298&lt;&gt;"",U298&lt;18.5),30,45)))))</f>
        <v/>
      </c>
      <c r="BG298" s="31" t="str">
        <f aca="false">IF(COUNTBLANK(W298:AC298)&gt;0,"",ROUND(AVERAGE(INDEX('SCORING MASTER'!$D$5:$D$7,MATCH(W298,'SCORING MASTER'!$C$5:$C$7,0)),INDEX('SCORING MASTER'!$D$9:$D$11,MATCH(X298,'SCORING MASTER'!$C$9:$C$11,0)),INDEX('SCORING MASTER'!$D$13:$D$15,MATCH(Y298,'SCORING MASTER'!$C$13:$C$15,0)),INDEX('SCORING MASTER'!$D$17:$D$19,MATCH(Z298,'SCORING MASTER'!$C$17:$C$19,0)),INDEX('SCORING MASTER'!$D$21:$D$23,MATCH(AA298,'SCORING MASTER'!$C$21:$C$23,0)),INDEX('SCORING MASTER'!$D$25:$D$27,MATCH(AB298,'SCORING MASTER'!$C$25:$C$27,0)),INDEX('SCORING MASTER'!$D$29:$D$31,MATCH(AC298,'SCORING MASTER'!$C$29:$C$31,0)))*20,0))</f>
        <v/>
      </c>
      <c r="BH298" s="31" t="str">
        <f aca="false">IF(COUNTBLANK(AD298:AI298)&gt;0,"",ROUND(AVERAGE(INDEX('SCORING MASTER'!$D$33:$D$35,MATCH(AD298,'SCORING MASTER'!$C$33:$C$35,0)),INDEX('SCORING MASTER'!$D$37:$D$39,MATCH(AE298,'SCORING MASTER'!$C$37:$C$39,0)),INDEX('SCORING MASTER'!$D$41:$D$43,MATCH(AF298,'SCORING MASTER'!$C$41:$C$43,0)),INDEX('SCORING MASTER'!$D$45:$D$47,MATCH(AG298,'SCORING MASTER'!$C$45:$C$47,0)),INDEX('SCORING MASTER'!$D$49:$D$52,MATCH(AH298,'SCORING MASTER'!$C$49:$C$52,0)),INDEX('SCORING MASTER'!$D$54:$D$57,MATCH(AI298,'SCORING MASTER'!$C$54:$C$57,0)))*20,0))</f>
        <v/>
      </c>
      <c r="BI298" s="31" t="str">
        <f aca="false">IF(COUNTBLANK(AJ298:AP298)&gt;0,"",ROUND(AVERAGE(INDEX('SCORING MASTER'!$D$59:$D$60,MATCH(AJ298,'SCORING MASTER'!$C$59:$C$60,0)),INDEX('SCORING MASTER'!$D$62:$D$63,MATCH(AK298,'SCORING MASTER'!$C$62:$C$63,0)),INDEX('SCORING MASTER'!$D$65:$D$66,MATCH(AL298,'SCORING MASTER'!$C$65:$C$66,0)),INDEX('SCORING MASTER'!$D$68:$D$69,MATCH(AM298,'SCORING MASTER'!$C$68:$C$69,0)),INDEX('SCORING MASTER'!$D$71:$D$72,MATCH(AN298,'SCORING MASTER'!$C$71:$C$72,0)),INDEX('SCORING MASTER'!$D$74:$D$75,MATCH(AO298,'SCORING MASTER'!$C$74:$C$75,0)),INDEX('SCORING MASTER'!$D$77:$D$78,MATCH(AP298,'SCORING MASTER'!$C$77:$C$78,0)))*20,0))</f>
        <v/>
      </c>
      <c r="BJ298" s="31" t="str">
        <f aca="false">IF(COUNTBLANK(AU298:AZ298)&gt;0,"",ROUND(AVERAGE(INDEX('SCORING MASTER'!$D$95:$D$96,MATCH(AU298,'SCORING MASTER'!$C$95:$C$96,0)),INDEX('SCORING MASTER'!$D$98:$D$99,MATCH(AV298,'SCORING MASTER'!$C$98:$C$99,0)),INDEX('SCORING MASTER'!$D$101:$D$102,MATCH(AW298,'SCORING MASTER'!$C$101:$C$102,0)),INDEX('SCORING MASTER'!$D$104:$D$105,MATCH(AX298,'SCORING MASTER'!$C$104:$C$105,0)),INDEX('SCORING MASTER'!$D$107:$D$108,MATCH(AY298,'SCORING MASTER'!$C$107:$C$108,0)),INDEX('SCORING MASTER'!$D$110:$D$111,MATCH(AZ298,'SCORING MASTER'!$C$110:$C$111,0)))*20,0))</f>
        <v/>
      </c>
      <c r="BK298" s="31" t="str">
        <f aca="false">IF(COUNTBLANK(AQ298:AT298)&gt;0,"",ROUND(AVERAGE(INDEX('SCORING MASTER'!$D$80:$D$82,MATCH(AQ298,'SCORING MASTER'!$C$80:$C$82,0)),INDEX('SCORING MASTER'!$D$84:$D$86,MATCH(AR298,'SCORING MASTER'!$C$84:$C$86,0)),INDEX('SCORING MASTER'!$D$88:$D$90,MATCH(AS298,'SCORING MASTER'!$C$88:$C$90,0)),INDEX('SCORING MASTER'!$D$92:$D$93,MATCH(AT298,'SCORING MASTER'!$C$92:$C$93,0)))*20,0))</f>
        <v/>
      </c>
      <c r="BL298" s="31" t="str">
        <f aca="false">IF(COUNTBLANK(BA298:BE298)&gt;0,"",ROUND(AVERAGE(INDEX('SCORING MASTER'!$D$113:$D$115,MATCH(BA298,'SCORING MASTER'!$C$113:$C$115,0)),INDEX('SCORING MASTER'!$D$117:$D$119,MATCH(BB298,'SCORING MASTER'!$C$117:$C$119,0)),INDEX('SCORING MASTER'!$D$121:$D$123,MATCH(BC298,'SCORING MASTER'!$C$121:$C$123,0)),INDEX('SCORING MASTER'!$D$125:$D$126,MATCH(BD298,'SCORING MASTER'!$C$125:$C$126,0)),INDEX('SCORING MASTER'!$D$128:$D$129,MATCH(BE298,'SCORING MASTER'!$C$128:$C$129,0)))*20,0))</f>
        <v/>
      </c>
      <c r="BM298" s="31" t="str">
        <f aca="false">IF(OR(BF298="",BG298="",BH298="",BI298="",BJ298="",BK298="",BL298=""),"",ROUND(BF298*0.25+BG298*0.2+BH298*0.15+BI298*0.15+BJ298*0.1+BK298*0.1+BL298*0.05,0))</f>
        <v/>
      </c>
      <c r="BN298" s="31" t="str">
        <f aca="false">IF(OR(BF298="",BG298=""),"",ROUND(BF298*0.5+BG298*0.5,0))</f>
        <v/>
      </c>
      <c r="BO298" s="31" t="str">
        <f aca="false">IF(BN298="","",ROUND(MIN(100,MAX(0,(100-BN298)+IF(AL298="Yes",15,0)+IF(AM298="Yes",15,0)+IF(AND(U298&lt;&gt;"",U298&lt;18.5),20,0))),0))</f>
        <v/>
      </c>
      <c r="BP298" s="28" t="str">
        <f aca="false">IF(BM298="","",IF(BM298&gt;=90,"Green - Healthy",IF(BM298&gt;=75,"Light Green - Mild Watch",IF(BM298&gt;=60,"Yellow - Mild Risk",IF(BM298&gt;=40,"Orange - Moderate Risk","Red - High Risk")))))</f>
        <v/>
      </c>
      <c r="BQ298" s="28" t="str">
        <f aca="false">IF(BM298="","",IF(OR(BM298&lt;60,BO298&gt;=60,AJ298="Yes"),"Yes","No"))</f>
        <v/>
      </c>
      <c r="BR298" s="28" t="str">
        <f aca="false">IF(BM298="","",IF(OR(BP298="Orange - Moderate Risk",BP298="Red - High Risk",BQ298="Yes"),"Yes","No"))</f>
        <v/>
      </c>
    </row>
    <row r="299" customFormat="false" ht="15" hidden="false" customHeight="false" outlineLevel="0" collapsed="false">
      <c r="A299" s="32" t="str">
        <f aca="false">IF(I299="","","STU"&amp;TEXT(ROW()-3,"000000"))</f>
        <v/>
      </c>
      <c r="B299" s="32"/>
      <c r="C299" s="32"/>
      <c r="D299" s="32"/>
      <c r="E299" s="32"/>
      <c r="F299" s="32"/>
      <c r="G299" s="32"/>
      <c r="H299" s="32"/>
      <c r="I299" s="32"/>
      <c r="J299" s="34"/>
      <c r="K299" s="32"/>
      <c r="L299" s="32"/>
      <c r="M299" s="32"/>
      <c r="N299" s="32"/>
      <c r="O299" s="32"/>
      <c r="P299" s="32"/>
      <c r="Q299" s="34"/>
      <c r="R299" s="34"/>
      <c r="S299" s="35" t="str">
        <f aca="false">IF(OR(Q299="",R299=""),"",ROUND(R299/((Q299/100)^2),1))</f>
        <v/>
      </c>
      <c r="T299" s="32" t="str">
        <f aca="false">IF(S299="","",IF(S299&lt;18.5,"Underweight",IF(S299&lt;25,"Normal",IF(S299&lt;30,"Overweight","Obese"))))</f>
        <v/>
      </c>
      <c r="U299" s="34"/>
      <c r="V299" s="34"/>
      <c r="W299" s="32"/>
      <c r="X299" s="32"/>
      <c r="Y299" s="32"/>
      <c r="Z299" s="32"/>
      <c r="AA299" s="32"/>
      <c r="AB299" s="32"/>
      <c r="AC299" s="32"/>
      <c r="AD299" s="32"/>
      <c r="AE299" s="32"/>
      <c r="AF299" s="32"/>
      <c r="AG299" s="32"/>
      <c r="AH299" s="32"/>
      <c r="AI299" s="32"/>
      <c r="AJ299" s="32"/>
      <c r="AK299" s="32"/>
      <c r="AL299" s="32"/>
      <c r="AM299" s="32"/>
      <c r="AN299" s="32"/>
      <c r="AO299" s="32"/>
      <c r="AP299" s="32"/>
      <c r="AQ299" s="32"/>
      <c r="AR299" s="32"/>
      <c r="AS299" s="32"/>
      <c r="AT299" s="32"/>
      <c r="AU299" s="32"/>
      <c r="AV299" s="32"/>
      <c r="AW299" s="32"/>
      <c r="AX299" s="32"/>
      <c r="AY299" s="32"/>
      <c r="AZ299" s="32"/>
      <c r="BA299" s="32"/>
      <c r="BB299" s="32"/>
      <c r="BC299" s="32"/>
      <c r="BD299" s="32"/>
      <c r="BE299" s="32"/>
      <c r="BF299" s="35" t="str">
        <f aca="false">IF(T299="","",IF(T299="Normal",100,IF(T299="Overweight",65,IF(T299="Obese",50,IF(AND(U299&lt;&gt;"",U299&lt;18.5),30,45)))))</f>
        <v/>
      </c>
      <c r="BG299" s="35" t="str">
        <f aca="false">IF(COUNTBLANK(W299:AC299)&gt;0,"",ROUND(AVERAGE(INDEX('SCORING MASTER'!$D$5:$D$7,MATCH(W299,'SCORING MASTER'!$C$5:$C$7,0)),INDEX('SCORING MASTER'!$D$9:$D$11,MATCH(X299,'SCORING MASTER'!$C$9:$C$11,0)),INDEX('SCORING MASTER'!$D$13:$D$15,MATCH(Y299,'SCORING MASTER'!$C$13:$C$15,0)),INDEX('SCORING MASTER'!$D$17:$D$19,MATCH(Z299,'SCORING MASTER'!$C$17:$C$19,0)),INDEX('SCORING MASTER'!$D$21:$D$23,MATCH(AA299,'SCORING MASTER'!$C$21:$C$23,0)),INDEX('SCORING MASTER'!$D$25:$D$27,MATCH(AB299,'SCORING MASTER'!$C$25:$C$27,0)),INDEX('SCORING MASTER'!$D$29:$D$31,MATCH(AC299,'SCORING MASTER'!$C$29:$C$31,0)))*20,0))</f>
        <v/>
      </c>
      <c r="BH299" s="35" t="str">
        <f aca="false">IF(COUNTBLANK(AD299:AI299)&gt;0,"",ROUND(AVERAGE(INDEX('SCORING MASTER'!$D$33:$D$35,MATCH(AD299,'SCORING MASTER'!$C$33:$C$35,0)),INDEX('SCORING MASTER'!$D$37:$D$39,MATCH(AE299,'SCORING MASTER'!$C$37:$C$39,0)),INDEX('SCORING MASTER'!$D$41:$D$43,MATCH(AF299,'SCORING MASTER'!$C$41:$C$43,0)),INDEX('SCORING MASTER'!$D$45:$D$47,MATCH(AG299,'SCORING MASTER'!$C$45:$C$47,0)),INDEX('SCORING MASTER'!$D$49:$D$52,MATCH(AH299,'SCORING MASTER'!$C$49:$C$52,0)),INDEX('SCORING MASTER'!$D$54:$D$57,MATCH(AI299,'SCORING MASTER'!$C$54:$C$57,0)))*20,0))</f>
        <v/>
      </c>
      <c r="BI299" s="35" t="str">
        <f aca="false">IF(COUNTBLANK(AJ299:AP299)&gt;0,"",ROUND(AVERAGE(INDEX('SCORING MASTER'!$D$59:$D$60,MATCH(AJ299,'SCORING MASTER'!$C$59:$C$60,0)),INDEX('SCORING MASTER'!$D$62:$D$63,MATCH(AK299,'SCORING MASTER'!$C$62:$C$63,0)),INDEX('SCORING MASTER'!$D$65:$D$66,MATCH(AL299,'SCORING MASTER'!$C$65:$C$66,0)),INDEX('SCORING MASTER'!$D$68:$D$69,MATCH(AM299,'SCORING MASTER'!$C$68:$C$69,0)),INDEX('SCORING MASTER'!$D$71:$D$72,MATCH(AN299,'SCORING MASTER'!$C$71:$C$72,0)),INDEX('SCORING MASTER'!$D$74:$D$75,MATCH(AO299,'SCORING MASTER'!$C$74:$C$75,0)),INDEX('SCORING MASTER'!$D$77:$D$78,MATCH(AP299,'SCORING MASTER'!$C$77:$C$78,0)))*20,0))</f>
        <v/>
      </c>
      <c r="BJ299" s="35" t="str">
        <f aca="false">IF(COUNTBLANK(AU299:AZ299)&gt;0,"",ROUND(AVERAGE(INDEX('SCORING MASTER'!$D$95:$D$96,MATCH(AU299,'SCORING MASTER'!$C$95:$C$96,0)),INDEX('SCORING MASTER'!$D$98:$D$99,MATCH(AV299,'SCORING MASTER'!$C$98:$C$99,0)),INDEX('SCORING MASTER'!$D$101:$D$102,MATCH(AW299,'SCORING MASTER'!$C$101:$C$102,0)),INDEX('SCORING MASTER'!$D$104:$D$105,MATCH(AX299,'SCORING MASTER'!$C$104:$C$105,0)),INDEX('SCORING MASTER'!$D$107:$D$108,MATCH(AY299,'SCORING MASTER'!$C$107:$C$108,0)),INDEX('SCORING MASTER'!$D$110:$D$111,MATCH(AZ299,'SCORING MASTER'!$C$110:$C$111,0)))*20,0))</f>
        <v/>
      </c>
      <c r="BK299" s="35" t="str">
        <f aca="false">IF(COUNTBLANK(AQ299:AT299)&gt;0,"",ROUND(AVERAGE(INDEX('SCORING MASTER'!$D$80:$D$82,MATCH(AQ299,'SCORING MASTER'!$C$80:$C$82,0)),INDEX('SCORING MASTER'!$D$84:$D$86,MATCH(AR299,'SCORING MASTER'!$C$84:$C$86,0)),INDEX('SCORING MASTER'!$D$88:$D$90,MATCH(AS299,'SCORING MASTER'!$C$88:$C$90,0)),INDEX('SCORING MASTER'!$D$92:$D$93,MATCH(AT299,'SCORING MASTER'!$C$92:$C$93,0)))*20,0))</f>
        <v/>
      </c>
      <c r="BL299" s="35" t="str">
        <f aca="false">IF(COUNTBLANK(BA299:BE299)&gt;0,"",ROUND(AVERAGE(INDEX('SCORING MASTER'!$D$113:$D$115,MATCH(BA299,'SCORING MASTER'!$C$113:$C$115,0)),INDEX('SCORING MASTER'!$D$117:$D$119,MATCH(BB299,'SCORING MASTER'!$C$117:$C$119,0)),INDEX('SCORING MASTER'!$D$121:$D$123,MATCH(BC299,'SCORING MASTER'!$C$121:$C$123,0)),INDEX('SCORING MASTER'!$D$125:$D$126,MATCH(BD299,'SCORING MASTER'!$C$125:$C$126,0)),INDEX('SCORING MASTER'!$D$128:$D$129,MATCH(BE299,'SCORING MASTER'!$C$128:$C$129,0)))*20,0))</f>
        <v/>
      </c>
      <c r="BM299" s="35" t="str">
        <f aca="false">IF(OR(BF299="",BG299="",BH299="",BI299="",BJ299="",BK299="",BL299=""),"",ROUND(BF299*0.25+BG299*0.2+BH299*0.15+BI299*0.15+BJ299*0.1+BK299*0.1+BL299*0.05,0))</f>
        <v/>
      </c>
      <c r="BN299" s="35" t="str">
        <f aca="false">IF(OR(BF299="",BG299=""),"",ROUND(BF299*0.5+BG299*0.5,0))</f>
        <v/>
      </c>
      <c r="BO299" s="35" t="str">
        <f aca="false">IF(BN299="","",ROUND(MIN(100,MAX(0,(100-BN299)+IF(AL299="Yes",15,0)+IF(AM299="Yes",15,0)+IF(AND(U299&lt;&gt;"",U299&lt;18.5),20,0))),0))</f>
        <v/>
      </c>
      <c r="BP299" s="32" t="str">
        <f aca="false">IF(BM299="","",IF(BM299&gt;=90,"Green - Healthy",IF(BM299&gt;=75,"Light Green - Mild Watch",IF(BM299&gt;=60,"Yellow - Mild Risk",IF(BM299&gt;=40,"Orange - Moderate Risk","Red - High Risk")))))</f>
        <v/>
      </c>
      <c r="BQ299" s="32" t="str">
        <f aca="false">IF(BM299="","",IF(OR(BM299&lt;60,BO299&gt;=60,AJ299="Yes"),"Yes","No"))</f>
        <v/>
      </c>
      <c r="BR299" s="32" t="str">
        <f aca="false">IF(BM299="","",IF(OR(BP299="Orange - Moderate Risk",BP299="Red - High Risk",BQ299="Yes"),"Yes","No"))</f>
        <v/>
      </c>
    </row>
    <row r="300" customFormat="false" ht="15" hidden="false" customHeight="false" outlineLevel="0" collapsed="false">
      <c r="A300" s="28" t="str">
        <f aca="false">IF(I300="","","STU"&amp;TEXT(ROW()-3,"000000"))</f>
        <v/>
      </c>
      <c r="B300" s="28"/>
      <c r="C300" s="28"/>
      <c r="D300" s="28"/>
      <c r="E300" s="28"/>
      <c r="F300" s="28"/>
      <c r="G300" s="28"/>
      <c r="H300" s="28"/>
      <c r="I300" s="28"/>
      <c r="J300" s="30"/>
      <c r="K300" s="28"/>
      <c r="L300" s="28"/>
      <c r="M300" s="28"/>
      <c r="N300" s="28"/>
      <c r="O300" s="28"/>
      <c r="P300" s="28"/>
      <c r="Q300" s="30"/>
      <c r="R300" s="30"/>
      <c r="S300" s="31" t="str">
        <f aca="false">IF(OR(Q300="",R300=""),"",ROUND(R300/((Q300/100)^2),1))</f>
        <v/>
      </c>
      <c r="T300" s="28" t="str">
        <f aca="false">IF(S300="","",IF(S300&lt;18.5,"Underweight",IF(S300&lt;25,"Normal",IF(S300&lt;30,"Overweight","Obese"))))</f>
        <v/>
      </c>
      <c r="U300" s="30"/>
      <c r="V300" s="30"/>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V300" s="28"/>
      <c r="AW300" s="28"/>
      <c r="AX300" s="28"/>
      <c r="AY300" s="28"/>
      <c r="AZ300" s="28"/>
      <c r="BA300" s="28"/>
      <c r="BB300" s="28"/>
      <c r="BC300" s="28"/>
      <c r="BD300" s="28"/>
      <c r="BE300" s="28"/>
      <c r="BF300" s="31" t="str">
        <f aca="false">IF(T300="","",IF(T300="Normal",100,IF(T300="Overweight",65,IF(T300="Obese",50,IF(AND(U300&lt;&gt;"",U300&lt;18.5),30,45)))))</f>
        <v/>
      </c>
      <c r="BG300" s="31" t="str">
        <f aca="false">IF(COUNTBLANK(W300:AC300)&gt;0,"",ROUND(AVERAGE(INDEX('SCORING MASTER'!$D$5:$D$7,MATCH(W300,'SCORING MASTER'!$C$5:$C$7,0)),INDEX('SCORING MASTER'!$D$9:$D$11,MATCH(X300,'SCORING MASTER'!$C$9:$C$11,0)),INDEX('SCORING MASTER'!$D$13:$D$15,MATCH(Y300,'SCORING MASTER'!$C$13:$C$15,0)),INDEX('SCORING MASTER'!$D$17:$D$19,MATCH(Z300,'SCORING MASTER'!$C$17:$C$19,0)),INDEX('SCORING MASTER'!$D$21:$D$23,MATCH(AA300,'SCORING MASTER'!$C$21:$C$23,0)),INDEX('SCORING MASTER'!$D$25:$D$27,MATCH(AB300,'SCORING MASTER'!$C$25:$C$27,0)),INDEX('SCORING MASTER'!$D$29:$D$31,MATCH(AC300,'SCORING MASTER'!$C$29:$C$31,0)))*20,0))</f>
        <v/>
      </c>
      <c r="BH300" s="31" t="str">
        <f aca="false">IF(COUNTBLANK(AD300:AI300)&gt;0,"",ROUND(AVERAGE(INDEX('SCORING MASTER'!$D$33:$D$35,MATCH(AD300,'SCORING MASTER'!$C$33:$C$35,0)),INDEX('SCORING MASTER'!$D$37:$D$39,MATCH(AE300,'SCORING MASTER'!$C$37:$C$39,0)),INDEX('SCORING MASTER'!$D$41:$D$43,MATCH(AF300,'SCORING MASTER'!$C$41:$C$43,0)),INDEX('SCORING MASTER'!$D$45:$D$47,MATCH(AG300,'SCORING MASTER'!$C$45:$C$47,0)),INDEX('SCORING MASTER'!$D$49:$D$52,MATCH(AH300,'SCORING MASTER'!$C$49:$C$52,0)),INDEX('SCORING MASTER'!$D$54:$D$57,MATCH(AI300,'SCORING MASTER'!$C$54:$C$57,0)))*20,0))</f>
        <v/>
      </c>
      <c r="BI300" s="31" t="str">
        <f aca="false">IF(COUNTBLANK(AJ300:AP300)&gt;0,"",ROUND(AVERAGE(INDEX('SCORING MASTER'!$D$59:$D$60,MATCH(AJ300,'SCORING MASTER'!$C$59:$C$60,0)),INDEX('SCORING MASTER'!$D$62:$D$63,MATCH(AK300,'SCORING MASTER'!$C$62:$C$63,0)),INDEX('SCORING MASTER'!$D$65:$D$66,MATCH(AL300,'SCORING MASTER'!$C$65:$C$66,0)),INDEX('SCORING MASTER'!$D$68:$D$69,MATCH(AM300,'SCORING MASTER'!$C$68:$C$69,0)),INDEX('SCORING MASTER'!$D$71:$D$72,MATCH(AN300,'SCORING MASTER'!$C$71:$C$72,0)),INDEX('SCORING MASTER'!$D$74:$D$75,MATCH(AO300,'SCORING MASTER'!$C$74:$C$75,0)),INDEX('SCORING MASTER'!$D$77:$D$78,MATCH(AP300,'SCORING MASTER'!$C$77:$C$78,0)))*20,0))</f>
        <v/>
      </c>
      <c r="BJ300" s="31" t="str">
        <f aca="false">IF(COUNTBLANK(AU300:AZ300)&gt;0,"",ROUND(AVERAGE(INDEX('SCORING MASTER'!$D$95:$D$96,MATCH(AU300,'SCORING MASTER'!$C$95:$C$96,0)),INDEX('SCORING MASTER'!$D$98:$D$99,MATCH(AV300,'SCORING MASTER'!$C$98:$C$99,0)),INDEX('SCORING MASTER'!$D$101:$D$102,MATCH(AW300,'SCORING MASTER'!$C$101:$C$102,0)),INDEX('SCORING MASTER'!$D$104:$D$105,MATCH(AX300,'SCORING MASTER'!$C$104:$C$105,0)),INDEX('SCORING MASTER'!$D$107:$D$108,MATCH(AY300,'SCORING MASTER'!$C$107:$C$108,0)),INDEX('SCORING MASTER'!$D$110:$D$111,MATCH(AZ300,'SCORING MASTER'!$C$110:$C$111,0)))*20,0))</f>
        <v/>
      </c>
      <c r="BK300" s="31" t="str">
        <f aca="false">IF(COUNTBLANK(AQ300:AT300)&gt;0,"",ROUND(AVERAGE(INDEX('SCORING MASTER'!$D$80:$D$82,MATCH(AQ300,'SCORING MASTER'!$C$80:$C$82,0)),INDEX('SCORING MASTER'!$D$84:$D$86,MATCH(AR300,'SCORING MASTER'!$C$84:$C$86,0)),INDEX('SCORING MASTER'!$D$88:$D$90,MATCH(AS300,'SCORING MASTER'!$C$88:$C$90,0)),INDEX('SCORING MASTER'!$D$92:$D$93,MATCH(AT300,'SCORING MASTER'!$C$92:$C$93,0)))*20,0))</f>
        <v/>
      </c>
      <c r="BL300" s="31" t="str">
        <f aca="false">IF(COUNTBLANK(BA300:BE300)&gt;0,"",ROUND(AVERAGE(INDEX('SCORING MASTER'!$D$113:$D$115,MATCH(BA300,'SCORING MASTER'!$C$113:$C$115,0)),INDEX('SCORING MASTER'!$D$117:$D$119,MATCH(BB300,'SCORING MASTER'!$C$117:$C$119,0)),INDEX('SCORING MASTER'!$D$121:$D$123,MATCH(BC300,'SCORING MASTER'!$C$121:$C$123,0)),INDEX('SCORING MASTER'!$D$125:$D$126,MATCH(BD300,'SCORING MASTER'!$C$125:$C$126,0)),INDEX('SCORING MASTER'!$D$128:$D$129,MATCH(BE300,'SCORING MASTER'!$C$128:$C$129,0)))*20,0))</f>
        <v/>
      </c>
      <c r="BM300" s="31" t="str">
        <f aca="false">IF(OR(BF300="",BG300="",BH300="",BI300="",BJ300="",BK300="",BL300=""),"",ROUND(BF300*0.25+BG300*0.2+BH300*0.15+BI300*0.15+BJ300*0.1+BK300*0.1+BL300*0.05,0))</f>
        <v/>
      </c>
      <c r="BN300" s="31" t="str">
        <f aca="false">IF(OR(BF300="",BG300=""),"",ROUND(BF300*0.5+BG300*0.5,0))</f>
        <v/>
      </c>
      <c r="BO300" s="31" t="str">
        <f aca="false">IF(BN300="","",ROUND(MIN(100,MAX(0,(100-BN300)+IF(AL300="Yes",15,0)+IF(AM300="Yes",15,0)+IF(AND(U300&lt;&gt;"",U300&lt;18.5),20,0))),0))</f>
        <v/>
      </c>
      <c r="BP300" s="28" t="str">
        <f aca="false">IF(BM300="","",IF(BM300&gt;=90,"Green - Healthy",IF(BM300&gt;=75,"Light Green - Mild Watch",IF(BM300&gt;=60,"Yellow - Mild Risk",IF(BM300&gt;=40,"Orange - Moderate Risk","Red - High Risk")))))</f>
        <v/>
      </c>
      <c r="BQ300" s="28" t="str">
        <f aca="false">IF(BM300="","",IF(OR(BM300&lt;60,BO300&gt;=60,AJ300="Yes"),"Yes","No"))</f>
        <v/>
      </c>
      <c r="BR300" s="28" t="str">
        <f aca="false">IF(BM300="","",IF(OR(BP300="Orange - Moderate Risk",BP300="Red - High Risk",BQ300="Yes"),"Yes","No"))</f>
        <v/>
      </c>
    </row>
    <row r="301" customFormat="false" ht="15" hidden="false" customHeight="false" outlineLevel="0" collapsed="false">
      <c r="A301" s="32" t="str">
        <f aca="false">IF(I301="","","STU"&amp;TEXT(ROW()-3,"000000"))</f>
        <v/>
      </c>
      <c r="B301" s="32"/>
      <c r="C301" s="32"/>
      <c r="D301" s="32"/>
      <c r="E301" s="32"/>
      <c r="F301" s="32"/>
      <c r="G301" s="32"/>
      <c r="H301" s="32"/>
      <c r="I301" s="32"/>
      <c r="J301" s="34"/>
      <c r="K301" s="32"/>
      <c r="L301" s="32"/>
      <c r="M301" s="32"/>
      <c r="N301" s="32"/>
      <c r="O301" s="32"/>
      <c r="P301" s="32"/>
      <c r="Q301" s="34"/>
      <c r="R301" s="34"/>
      <c r="S301" s="35" t="str">
        <f aca="false">IF(OR(Q301="",R301=""),"",ROUND(R301/((Q301/100)^2),1))</f>
        <v/>
      </c>
      <c r="T301" s="32" t="str">
        <f aca="false">IF(S301="","",IF(S301&lt;18.5,"Underweight",IF(S301&lt;25,"Normal",IF(S301&lt;30,"Overweight","Obese"))))</f>
        <v/>
      </c>
      <c r="U301" s="34"/>
      <c r="V301" s="34"/>
      <c r="W301" s="32"/>
      <c r="X301" s="32"/>
      <c r="Y301" s="32"/>
      <c r="Z301" s="32"/>
      <c r="AA301" s="32"/>
      <c r="AB301" s="32"/>
      <c r="AC301" s="32"/>
      <c r="AD301" s="32"/>
      <c r="AE301" s="32"/>
      <c r="AF301" s="32"/>
      <c r="AG301" s="32"/>
      <c r="AH301" s="32"/>
      <c r="AI301" s="32"/>
      <c r="AJ301" s="32"/>
      <c r="AK301" s="32"/>
      <c r="AL301" s="32"/>
      <c r="AM301" s="32"/>
      <c r="AN301" s="32"/>
      <c r="AO301" s="32"/>
      <c r="AP301" s="32"/>
      <c r="AQ301" s="32"/>
      <c r="AR301" s="32"/>
      <c r="AS301" s="32"/>
      <c r="AT301" s="32"/>
      <c r="AU301" s="32"/>
      <c r="AV301" s="32"/>
      <c r="AW301" s="32"/>
      <c r="AX301" s="32"/>
      <c r="AY301" s="32"/>
      <c r="AZ301" s="32"/>
      <c r="BA301" s="32"/>
      <c r="BB301" s="32"/>
      <c r="BC301" s="32"/>
      <c r="BD301" s="32"/>
      <c r="BE301" s="32"/>
      <c r="BF301" s="35" t="str">
        <f aca="false">IF(T301="","",IF(T301="Normal",100,IF(T301="Overweight",65,IF(T301="Obese",50,IF(AND(U301&lt;&gt;"",U301&lt;18.5),30,45)))))</f>
        <v/>
      </c>
      <c r="BG301" s="35" t="str">
        <f aca="false">IF(COUNTBLANK(W301:AC301)&gt;0,"",ROUND(AVERAGE(INDEX('SCORING MASTER'!$D$5:$D$7,MATCH(W301,'SCORING MASTER'!$C$5:$C$7,0)),INDEX('SCORING MASTER'!$D$9:$D$11,MATCH(X301,'SCORING MASTER'!$C$9:$C$11,0)),INDEX('SCORING MASTER'!$D$13:$D$15,MATCH(Y301,'SCORING MASTER'!$C$13:$C$15,0)),INDEX('SCORING MASTER'!$D$17:$D$19,MATCH(Z301,'SCORING MASTER'!$C$17:$C$19,0)),INDEX('SCORING MASTER'!$D$21:$D$23,MATCH(AA301,'SCORING MASTER'!$C$21:$C$23,0)),INDEX('SCORING MASTER'!$D$25:$D$27,MATCH(AB301,'SCORING MASTER'!$C$25:$C$27,0)),INDEX('SCORING MASTER'!$D$29:$D$31,MATCH(AC301,'SCORING MASTER'!$C$29:$C$31,0)))*20,0))</f>
        <v/>
      </c>
      <c r="BH301" s="35" t="str">
        <f aca="false">IF(COUNTBLANK(AD301:AI301)&gt;0,"",ROUND(AVERAGE(INDEX('SCORING MASTER'!$D$33:$D$35,MATCH(AD301,'SCORING MASTER'!$C$33:$C$35,0)),INDEX('SCORING MASTER'!$D$37:$D$39,MATCH(AE301,'SCORING MASTER'!$C$37:$C$39,0)),INDEX('SCORING MASTER'!$D$41:$D$43,MATCH(AF301,'SCORING MASTER'!$C$41:$C$43,0)),INDEX('SCORING MASTER'!$D$45:$D$47,MATCH(AG301,'SCORING MASTER'!$C$45:$C$47,0)),INDEX('SCORING MASTER'!$D$49:$D$52,MATCH(AH301,'SCORING MASTER'!$C$49:$C$52,0)),INDEX('SCORING MASTER'!$D$54:$D$57,MATCH(AI301,'SCORING MASTER'!$C$54:$C$57,0)))*20,0))</f>
        <v/>
      </c>
      <c r="BI301" s="35" t="str">
        <f aca="false">IF(COUNTBLANK(AJ301:AP301)&gt;0,"",ROUND(AVERAGE(INDEX('SCORING MASTER'!$D$59:$D$60,MATCH(AJ301,'SCORING MASTER'!$C$59:$C$60,0)),INDEX('SCORING MASTER'!$D$62:$D$63,MATCH(AK301,'SCORING MASTER'!$C$62:$C$63,0)),INDEX('SCORING MASTER'!$D$65:$D$66,MATCH(AL301,'SCORING MASTER'!$C$65:$C$66,0)),INDEX('SCORING MASTER'!$D$68:$D$69,MATCH(AM301,'SCORING MASTER'!$C$68:$C$69,0)),INDEX('SCORING MASTER'!$D$71:$D$72,MATCH(AN301,'SCORING MASTER'!$C$71:$C$72,0)),INDEX('SCORING MASTER'!$D$74:$D$75,MATCH(AO301,'SCORING MASTER'!$C$74:$C$75,0)),INDEX('SCORING MASTER'!$D$77:$D$78,MATCH(AP301,'SCORING MASTER'!$C$77:$C$78,0)))*20,0))</f>
        <v/>
      </c>
      <c r="BJ301" s="35" t="str">
        <f aca="false">IF(COUNTBLANK(AU301:AZ301)&gt;0,"",ROUND(AVERAGE(INDEX('SCORING MASTER'!$D$95:$D$96,MATCH(AU301,'SCORING MASTER'!$C$95:$C$96,0)),INDEX('SCORING MASTER'!$D$98:$D$99,MATCH(AV301,'SCORING MASTER'!$C$98:$C$99,0)),INDEX('SCORING MASTER'!$D$101:$D$102,MATCH(AW301,'SCORING MASTER'!$C$101:$C$102,0)),INDEX('SCORING MASTER'!$D$104:$D$105,MATCH(AX301,'SCORING MASTER'!$C$104:$C$105,0)),INDEX('SCORING MASTER'!$D$107:$D$108,MATCH(AY301,'SCORING MASTER'!$C$107:$C$108,0)),INDEX('SCORING MASTER'!$D$110:$D$111,MATCH(AZ301,'SCORING MASTER'!$C$110:$C$111,0)))*20,0))</f>
        <v/>
      </c>
      <c r="BK301" s="35" t="str">
        <f aca="false">IF(COUNTBLANK(AQ301:AT301)&gt;0,"",ROUND(AVERAGE(INDEX('SCORING MASTER'!$D$80:$D$82,MATCH(AQ301,'SCORING MASTER'!$C$80:$C$82,0)),INDEX('SCORING MASTER'!$D$84:$D$86,MATCH(AR301,'SCORING MASTER'!$C$84:$C$86,0)),INDEX('SCORING MASTER'!$D$88:$D$90,MATCH(AS301,'SCORING MASTER'!$C$88:$C$90,0)),INDEX('SCORING MASTER'!$D$92:$D$93,MATCH(AT301,'SCORING MASTER'!$C$92:$C$93,0)))*20,0))</f>
        <v/>
      </c>
      <c r="BL301" s="35" t="str">
        <f aca="false">IF(COUNTBLANK(BA301:BE301)&gt;0,"",ROUND(AVERAGE(INDEX('SCORING MASTER'!$D$113:$D$115,MATCH(BA301,'SCORING MASTER'!$C$113:$C$115,0)),INDEX('SCORING MASTER'!$D$117:$D$119,MATCH(BB301,'SCORING MASTER'!$C$117:$C$119,0)),INDEX('SCORING MASTER'!$D$121:$D$123,MATCH(BC301,'SCORING MASTER'!$C$121:$C$123,0)),INDEX('SCORING MASTER'!$D$125:$D$126,MATCH(BD301,'SCORING MASTER'!$C$125:$C$126,0)),INDEX('SCORING MASTER'!$D$128:$D$129,MATCH(BE301,'SCORING MASTER'!$C$128:$C$129,0)))*20,0))</f>
        <v/>
      </c>
      <c r="BM301" s="35" t="str">
        <f aca="false">IF(OR(BF301="",BG301="",BH301="",BI301="",BJ301="",BK301="",BL301=""),"",ROUND(BF301*0.25+BG301*0.2+BH301*0.15+BI301*0.15+BJ301*0.1+BK301*0.1+BL301*0.05,0))</f>
        <v/>
      </c>
      <c r="BN301" s="35" t="str">
        <f aca="false">IF(OR(BF301="",BG301=""),"",ROUND(BF301*0.5+BG301*0.5,0))</f>
        <v/>
      </c>
      <c r="BO301" s="35" t="str">
        <f aca="false">IF(BN301="","",ROUND(MIN(100,MAX(0,(100-BN301)+IF(AL301="Yes",15,0)+IF(AM301="Yes",15,0)+IF(AND(U301&lt;&gt;"",U301&lt;18.5),20,0))),0))</f>
        <v/>
      </c>
      <c r="BP301" s="32" t="str">
        <f aca="false">IF(BM301="","",IF(BM301&gt;=90,"Green - Healthy",IF(BM301&gt;=75,"Light Green - Mild Watch",IF(BM301&gt;=60,"Yellow - Mild Risk",IF(BM301&gt;=40,"Orange - Moderate Risk","Red - High Risk")))))</f>
        <v/>
      </c>
      <c r="BQ301" s="32" t="str">
        <f aca="false">IF(BM301="","",IF(OR(BM301&lt;60,BO301&gt;=60,AJ301="Yes"),"Yes","No"))</f>
        <v/>
      </c>
      <c r="BR301" s="32" t="str">
        <f aca="false">IF(BM301="","",IF(OR(BP301="Orange - Moderate Risk",BP301="Red - High Risk",BQ301="Yes"),"Yes","No"))</f>
        <v/>
      </c>
    </row>
    <row r="302" customFormat="false" ht="15" hidden="false" customHeight="false" outlineLevel="0" collapsed="false">
      <c r="A302" s="28" t="str">
        <f aca="false">IF(I302="","","STU"&amp;TEXT(ROW()-3,"000000"))</f>
        <v/>
      </c>
      <c r="B302" s="28"/>
      <c r="C302" s="28"/>
      <c r="D302" s="28"/>
      <c r="E302" s="28"/>
      <c r="F302" s="28"/>
      <c r="G302" s="28"/>
      <c r="H302" s="28"/>
      <c r="I302" s="28"/>
      <c r="J302" s="30"/>
      <c r="K302" s="28"/>
      <c r="L302" s="28"/>
      <c r="M302" s="28"/>
      <c r="N302" s="28"/>
      <c r="O302" s="28"/>
      <c r="P302" s="28"/>
      <c r="Q302" s="30"/>
      <c r="R302" s="30"/>
      <c r="S302" s="31" t="str">
        <f aca="false">IF(OR(Q302="",R302=""),"",ROUND(R302/((Q302/100)^2),1))</f>
        <v/>
      </c>
      <c r="T302" s="28" t="str">
        <f aca="false">IF(S302="","",IF(S302&lt;18.5,"Underweight",IF(S302&lt;25,"Normal",IF(S302&lt;30,"Overweight","Obese"))))</f>
        <v/>
      </c>
      <c r="U302" s="30"/>
      <c r="V302" s="30"/>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8"/>
      <c r="AZ302" s="28"/>
      <c r="BA302" s="28"/>
      <c r="BB302" s="28"/>
      <c r="BC302" s="28"/>
      <c r="BD302" s="28"/>
      <c r="BE302" s="28"/>
      <c r="BF302" s="31" t="str">
        <f aca="false">IF(T302="","",IF(T302="Normal",100,IF(T302="Overweight",65,IF(T302="Obese",50,IF(AND(U302&lt;&gt;"",U302&lt;18.5),30,45)))))</f>
        <v/>
      </c>
      <c r="BG302" s="31" t="str">
        <f aca="false">IF(COUNTBLANK(W302:AC302)&gt;0,"",ROUND(AVERAGE(INDEX('SCORING MASTER'!$D$5:$D$7,MATCH(W302,'SCORING MASTER'!$C$5:$C$7,0)),INDEX('SCORING MASTER'!$D$9:$D$11,MATCH(X302,'SCORING MASTER'!$C$9:$C$11,0)),INDEX('SCORING MASTER'!$D$13:$D$15,MATCH(Y302,'SCORING MASTER'!$C$13:$C$15,0)),INDEX('SCORING MASTER'!$D$17:$D$19,MATCH(Z302,'SCORING MASTER'!$C$17:$C$19,0)),INDEX('SCORING MASTER'!$D$21:$D$23,MATCH(AA302,'SCORING MASTER'!$C$21:$C$23,0)),INDEX('SCORING MASTER'!$D$25:$D$27,MATCH(AB302,'SCORING MASTER'!$C$25:$C$27,0)),INDEX('SCORING MASTER'!$D$29:$D$31,MATCH(AC302,'SCORING MASTER'!$C$29:$C$31,0)))*20,0))</f>
        <v/>
      </c>
      <c r="BH302" s="31" t="str">
        <f aca="false">IF(COUNTBLANK(AD302:AI302)&gt;0,"",ROUND(AVERAGE(INDEX('SCORING MASTER'!$D$33:$D$35,MATCH(AD302,'SCORING MASTER'!$C$33:$C$35,0)),INDEX('SCORING MASTER'!$D$37:$D$39,MATCH(AE302,'SCORING MASTER'!$C$37:$C$39,0)),INDEX('SCORING MASTER'!$D$41:$D$43,MATCH(AF302,'SCORING MASTER'!$C$41:$C$43,0)),INDEX('SCORING MASTER'!$D$45:$D$47,MATCH(AG302,'SCORING MASTER'!$C$45:$C$47,0)),INDEX('SCORING MASTER'!$D$49:$D$52,MATCH(AH302,'SCORING MASTER'!$C$49:$C$52,0)),INDEX('SCORING MASTER'!$D$54:$D$57,MATCH(AI302,'SCORING MASTER'!$C$54:$C$57,0)))*20,0))</f>
        <v/>
      </c>
      <c r="BI302" s="31" t="str">
        <f aca="false">IF(COUNTBLANK(AJ302:AP302)&gt;0,"",ROUND(AVERAGE(INDEX('SCORING MASTER'!$D$59:$D$60,MATCH(AJ302,'SCORING MASTER'!$C$59:$C$60,0)),INDEX('SCORING MASTER'!$D$62:$D$63,MATCH(AK302,'SCORING MASTER'!$C$62:$C$63,0)),INDEX('SCORING MASTER'!$D$65:$D$66,MATCH(AL302,'SCORING MASTER'!$C$65:$C$66,0)),INDEX('SCORING MASTER'!$D$68:$D$69,MATCH(AM302,'SCORING MASTER'!$C$68:$C$69,0)),INDEX('SCORING MASTER'!$D$71:$D$72,MATCH(AN302,'SCORING MASTER'!$C$71:$C$72,0)),INDEX('SCORING MASTER'!$D$74:$D$75,MATCH(AO302,'SCORING MASTER'!$C$74:$C$75,0)),INDEX('SCORING MASTER'!$D$77:$D$78,MATCH(AP302,'SCORING MASTER'!$C$77:$C$78,0)))*20,0))</f>
        <v/>
      </c>
      <c r="BJ302" s="31" t="str">
        <f aca="false">IF(COUNTBLANK(AU302:AZ302)&gt;0,"",ROUND(AVERAGE(INDEX('SCORING MASTER'!$D$95:$D$96,MATCH(AU302,'SCORING MASTER'!$C$95:$C$96,0)),INDEX('SCORING MASTER'!$D$98:$D$99,MATCH(AV302,'SCORING MASTER'!$C$98:$C$99,0)),INDEX('SCORING MASTER'!$D$101:$D$102,MATCH(AW302,'SCORING MASTER'!$C$101:$C$102,0)),INDEX('SCORING MASTER'!$D$104:$D$105,MATCH(AX302,'SCORING MASTER'!$C$104:$C$105,0)),INDEX('SCORING MASTER'!$D$107:$D$108,MATCH(AY302,'SCORING MASTER'!$C$107:$C$108,0)),INDEX('SCORING MASTER'!$D$110:$D$111,MATCH(AZ302,'SCORING MASTER'!$C$110:$C$111,0)))*20,0))</f>
        <v/>
      </c>
      <c r="BK302" s="31" t="str">
        <f aca="false">IF(COUNTBLANK(AQ302:AT302)&gt;0,"",ROUND(AVERAGE(INDEX('SCORING MASTER'!$D$80:$D$82,MATCH(AQ302,'SCORING MASTER'!$C$80:$C$82,0)),INDEX('SCORING MASTER'!$D$84:$D$86,MATCH(AR302,'SCORING MASTER'!$C$84:$C$86,0)),INDEX('SCORING MASTER'!$D$88:$D$90,MATCH(AS302,'SCORING MASTER'!$C$88:$C$90,0)),INDEX('SCORING MASTER'!$D$92:$D$93,MATCH(AT302,'SCORING MASTER'!$C$92:$C$93,0)))*20,0))</f>
        <v/>
      </c>
      <c r="BL302" s="31" t="str">
        <f aca="false">IF(COUNTBLANK(BA302:BE302)&gt;0,"",ROUND(AVERAGE(INDEX('SCORING MASTER'!$D$113:$D$115,MATCH(BA302,'SCORING MASTER'!$C$113:$C$115,0)),INDEX('SCORING MASTER'!$D$117:$D$119,MATCH(BB302,'SCORING MASTER'!$C$117:$C$119,0)),INDEX('SCORING MASTER'!$D$121:$D$123,MATCH(BC302,'SCORING MASTER'!$C$121:$C$123,0)),INDEX('SCORING MASTER'!$D$125:$D$126,MATCH(BD302,'SCORING MASTER'!$C$125:$C$126,0)),INDEX('SCORING MASTER'!$D$128:$D$129,MATCH(BE302,'SCORING MASTER'!$C$128:$C$129,0)))*20,0))</f>
        <v/>
      </c>
      <c r="BM302" s="31" t="str">
        <f aca="false">IF(OR(BF302="",BG302="",BH302="",BI302="",BJ302="",BK302="",BL302=""),"",ROUND(BF302*0.25+BG302*0.2+BH302*0.15+BI302*0.15+BJ302*0.1+BK302*0.1+BL302*0.05,0))</f>
        <v/>
      </c>
      <c r="BN302" s="31" t="str">
        <f aca="false">IF(OR(BF302="",BG302=""),"",ROUND(BF302*0.5+BG302*0.5,0))</f>
        <v/>
      </c>
      <c r="BO302" s="31" t="str">
        <f aca="false">IF(BN302="","",ROUND(MIN(100,MAX(0,(100-BN302)+IF(AL302="Yes",15,0)+IF(AM302="Yes",15,0)+IF(AND(U302&lt;&gt;"",U302&lt;18.5),20,0))),0))</f>
        <v/>
      </c>
      <c r="BP302" s="28" t="str">
        <f aca="false">IF(BM302="","",IF(BM302&gt;=90,"Green - Healthy",IF(BM302&gt;=75,"Light Green - Mild Watch",IF(BM302&gt;=60,"Yellow - Mild Risk",IF(BM302&gt;=40,"Orange - Moderate Risk","Red - High Risk")))))</f>
        <v/>
      </c>
      <c r="BQ302" s="28" t="str">
        <f aca="false">IF(BM302="","",IF(OR(BM302&lt;60,BO302&gt;=60,AJ302="Yes"),"Yes","No"))</f>
        <v/>
      </c>
      <c r="BR302" s="28" t="str">
        <f aca="false">IF(BM302="","",IF(OR(BP302="Orange - Moderate Risk",BP302="Red - High Risk",BQ302="Yes"),"Yes","No"))</f>
        <v/>
      </c>
    </row>
    <row r="303" customFormat="false" ht="15" hidden="false" customHeight="false" outlineLevel="0" collapsed="false">
      <c r="A303" s="32" t="str">
        <f aca="false">IF(I303="","","STU"&amp;TEXT(ROW()-3,"000000"))</f>
        <v/>
      </c>
      <c r="B303" s="32"/>
      <c r="C303" s="32"/>
      <c r="D303" s="32"/>
      <c r="E303" s="32"/>
      <c r="F303" s="32"/>
      <c r="G303" s="32"/>
      <c r="H303" s="32"/>
      <c r="I303" s="32"/>
      <c r="J303" s="34"/>
      <c r="K303" s="32"/>
      <c r="L303" s="32"/>
      <c r="M303" s="32"/>
      <c r="N303" s="32"/>
      <c r="O303" s="32"/>
      <c r="P303" s="32"/>
      <c r="Q303" s="34"/>
      <c r="R303" s="34"/>
      <c r="S303" s="35" t="str">
        <f aca="false">IF(OR(Q303="",R303=""),"",ROUND(R303/((Q303/100)^2),1))</f>
        <v/>
      </c>
      <c r="T303" s="32" t="str">
        <f aca="false">IF(S303="","",IF(S303&lt;18.5,"Underweight",IF(S303&lt;25,"Normal",IF(S303&lt;30,"Overweight","Obese"))))</f>
        <v/>
      </c>
      <c r="U303" s="34"/>
      <c r="V303" s="34"/>
      <c r="W303" s="32"/>
      <c r="X303" s="32"/>
      <c r="Y303" s="32"/>
      <c r="Z303" s="32"/>
      <c r="AA303" s="32"/>
      <c r="AB303" s="32"/>
      <c r="AC303" s="32"/>
      <c r="AD303" s="32"/>
      <c r="AE303" s="32"/>
      <c r="AF303" s="32"/>
      <c r="AG303" s="32"/>
      <c r="AH303" s="32"/>
      <c r="AI303" s="32"/>
      <c r="AJ303" s="32"/>
      <c r="AK303" s="32"/>
      <c r="AL303" s="32"/>
      <c r="AM303" s="32"/>
      <c r="AN303" s="32"/>
      <c r="AO303" s="32"/>
      <c r="AP303" s="32"/>
      <c r="AQ303" s="32"/>
      <c r="AR303" s="32"/>
      <c r="AS303" s="32"/>
      <c r="AT303" s="32"/>
      <c r="AU303" s="32"/>
      <c r="AV303" s="32"/>
      <c r="AW303" s="32"/>
      <c r="AX303" s="32"/>
      <c r="AY303" s="32"/>
      <c r="AZ303" s="32"/>
      <c r="BA303" s="32"/>
      <c r="BB303" s="32"/>
      <c r="BC303" s="32"/>
      <c r="BD303" s="32"/>
      <c r="BE303" s="32"/>
      <c r="BF303" s="35" t="str">
        <f aca="false">IF(T303="","",IF(T303="Normal",100,IF(T303="Overweight",65,IF(T303="Obese",50,IF(AND(U303&lt;&gt;"",U303&lt;18.5),30,45)))))</f>
        <v/>
      </c>
      <c r="BG303" s="35" t="str">
        <f aca="false">IF(COUNTBLANK(W303:AC303)&gt;0,"",ROUND(AVERAGE(INDEX('SCORING MASTER'!$D$5:$D$7,MATCH(W303,'SCORING MASTER'!$C$5:$C$7,0)),INDEX('SCORING MASTER'!$D$9:$D$11,MATCH(X303,'SCORING MASTER'!$C$9:$C$11,0)),INDEX('SCORING MASTER'!$D$13:$D$15,MATCH(Y303,'SCORING MASTER'!$C$13:$C$15,0)),INDEX('SCORING MASTER'!$D$17:$D$19,MATCH(Z303,'SCORING MASTER'!$C$17:$C$19,0)),INDEX('SCORING MASTER'!$D$21:$D$23,MATCH(AA303,'SCORING MASTER'!$C$21:$C$23,0)),INDEX('SCORING MASTER'!$D$25:$D$27,MATCH(AB303,'SCORING MASTER'!$C$25:$C$27,0)),INDEX('SCORING MASTER'!$D$29:$D$31,MATCH(AC303,'SCORING MASTER'!$C$29:$C$31,0)))*20,0))</f>
        <v/>
      </c>
      <c r="BH303" s="35" t="str">
        <f aca="false">IF(COUNTBLANK(AD303:AI303)&gt;0,"",ROUND(AVERAGE(INDEX('SCORING MASTER'!$D$33:$D$35,MATCH(AD303,'SCORING MASTER'!$C$33:$C$35,0)),INDEX('SCORING MASTER'!$D$37:$D$39,MATCH(AE303,'SCORING MASTER'!$C$37:$C$39,0)),INDEX('SCORING MASTER'!$D$41:$D$43,MATCH(AF303,'SCORING MASTER'!$C$41:$C$43,0)),INDEX('SCORING MASTER'!$D$45:$D$47,MATCH(AG303,'SCORING MASTER'!$C$45:$C$47,0)),INDEX('SCORING MASTER'!$D$49:$D$52,MATCH(AH303,'SCORING MASTER'!$C$49:$C$52,0)),INDEX('SCORING MASTER'!$D$54:$D$57,MATCH(AI303,'SCORING MASTER'!$C$54:$C$57,0)))*20,0))</f>
        <v/>
      </c>
      <c r="BI303" s="35" t="str">
        <f aca="false">IF(COUNTBLANK(AJ303:AP303)&gt;0,"",ROUND(AVERAGE(INDEX('SCORING MASTER'!$D$59:$D$60,MATCH(AJ303,'SCORING MASTER'!$C$59:$C$60,0)),INDEX('SCORING MASTER'!$D$62:$D$63,MATCH(AK303,'SCORING MASTER'!$C$62:$C$63,0)),INDEX('SCORING MASTER'!$D$65:$D$66,MATCH(AL303,'SCORING MASTER'!$C$65:$C$66,0)),INDEX('SCORING MASTER'!$D$68:$D$69,MATCH(AM303,'SCORING MASTER'!$C$68:$C$69,0)),INDEX('SCORING MASTER'!$D$71:$D$72,MATCH(AN303,'SCORING MASTER'!$C$71:$C$72,0)),INDEX('SCORING MASTER'!$D$74:$D$75,MATCH(AO303,'SCORING MASTER'!$C$74:$C$75,0)),INDEX('SCORING MASTER'!$D$77:$D$78,MATCH(AP303,'SCORING MASTER'!$C$77:$C$78,0)))*20,0))</f>
        <v/>
      </c>
      <c r="BJ303" s="35" t="str">
        <f aca="false">IF(COUNTBLANK(AU303:AZ303)&gt;0,"",ROUND(AVERAGE(INDEX('SCORING MASTER'!$D$95:$D$96,MATCH(AU303,'SCORING MASTER'!$C$95:$C$96,0)),INDEX('SCORING MASTER'!$D$98:$D$99,MATCH(AV303,'SCORING MASTER'!$C$98:$C$99,0)),INDEX('SCORING MASTER'!$D$101:$D$102,MATCH(AW303,'SCORING MASTER'!$C$101:$C$102,0)),INDEX('SCORING MASTER'!$D$104:$D$105,MATCH(AX303,'SCORING MASTER'!$C$104:$C$105,0)),INDEX('SCORING MASTER'!$D$107:$D$108,MATCH(AY303,'SCORING MASTER'!$C$107:$C$108,0)),INDEX('SCORING MASTER'!$D$110:$D$111,MATCH(AZ303,'SCORING MASTER'!$C$110:$C$111,0)))*20,0))</f>
        <v/>
      </c>
      <c r="BK303" s="35" t="str">
        <f aca="false">IF(COUNTBLANK(AQ303:AT303)&gt;0,"",ROUND(AVERAGE(INDEX('SCORING MASTER'!$D$80:$D$82,MATCH(AQ303,'SCORING MASTER'!$C$80:$C$82,0)),INDEX('SCORING MASTER'!$D$84:$D$86,MATCH(AR303,'SCORING MASTER'!$C$84:$C$86,0)),INDEX('SCORING MASTER'!$D$88:$D$90,MATCH(AS303,'SCORING MASTER'!$C$88:$C$90,0)),INDEX('SCORING MASTER'!$D$92:$D$93,MATCH(AT303,'SCORING MASTER'!$C$92:$C$93,0)))*20,0))</f>
        <v/>
      </c>
      <c r="BL303" s="35" t="str">
        <f aca="false">IF(COUNTBLANK(BA303:BE303)&gt;0,"",ROUND(AVERAGE(INDEX('SCORING MASTER'!$D$113:$D$115,MATCH(BA303,'SCORING MASTER'!$C$113:$C$115,0)),INDEX('SCORING MASTER'!$D$117:$D$119,MATCH(BB303,'SCORING MASTER'!$C$117:$C$119,0)),INDEX('SCORING MASTER'!$D$121:$D$123,MATCH(BC303,'SCORING MASTER'!$C$121:$C$123,0)),INDEX('SCORING MASTER'!$D$125:$D$126,MATCH(BD303,'SCORING MASTER'!$C$125:$C$126,0)),INDEX('SCORING MASTER'!$D$128:$D$129,MATCH(BE303,'SCORING MASTER'!$C$128:$C$129,0)))*20,0))</f>
        <v/>
      </c>
      <c r="BM303" s="35" t="str">
        <f aca="false">IF(OR(BF303="",BG303="",BH303="",BI303="",BJ303="",BK303="",BL303=""),"",ROUND(BF303*0.25+BG303*0.2+BH303*0.15+BI303*0.15+BJ303*0.1+BK303*0.1+BL303*0.05,0))</f>
        <v/>
      </c>
      <c r="BN303" s="35" t="str">
        <f aca="false">IF(OR(BF303="",BG303=""),"",ROUND(BF303*0.5+BG303*0.5,0))</f>
        <v/>
      </c>
      <c r="BO303" s="35" t="str">
        <f aca="false">IF(BN303="","",ROUND(MIN(100,MAX(0,(100-BN303)+IF(AL303="Yes",15,0)+IF(AM303="Yes",15,0)+IF(AND(U303&lt;&gt;"",U303&lt;18.5),20,0))),0))</f>
        <v/>
      </c>
      <c r="BP303" s="32" t="str">
        <f aca="false">IF(BM303="","",IF(BM303&gt;=90,"Green - Healthy",IF(BM303&gt;=75,"Light Green - Mild Watch",IF(BM303&gt;=60,"Yellow - Mild Risk",IF(BM303&gt;=40,"Orange - Moderate Risk","Red - High Risk")))))</f>
        <v/>
      </c>
      <c r="BQ303" s="32" t="str">
        <f aca="false">IF(BM303="","",IF(OR(BM303&lt;60,BO303&gt;=60,AJ303="Yes"),"Yes","No"))</f>
        <v/>
      </c>
      <c r="BR303" s="32" t="str">
        <f aca="false">IF(BM303="","",IF(OR(BP303="Orange - Moderate Risk",BP303="Red - High Risk",BQ303="Yes"),"Yes","No"))</f>
        <v/>
      </c>
    </row>
  </sheetData>
  <mergeCells count="10">
    <mergeCell ref="A1:BR1"/>
    <mergeCell ref="A2:P2"/>
    <mergeCell ref="Q2:V2"/>
    <mergeCell ref="W2:AC2"/>
    <mergeCell ref="AD2:AI2"/>
    <mergeCell ref="AJ2:AP2"/>
    <mergeCell ref="AQ2:AT2"/>
    <mergeCell ref="AU2:AZ2"/>
    <mergeCell ref="BA2:BE2"/>
    <mergeCell ref="BF2:BR2"/>
  </mergeCells>
  <conditionalFormatting sqref="T4:T303">
    <cfRule type="expression" priority="2" aboveAverage="0" equalAverage="0" bottom="0" percent="0" rank="0" text="" dxfId="0">
      <formula>T4="Underweight"</formula>
    </cfRule>
    <cfRule type="expression" priority="3" aboveAverage="0" equalAverage="0" bottom="0" percent="0" rank="0" text="" dxfId="1">
      <formula>T4="Normal"</formula>
    </cfRule>
    <cfRule type="expression" priority="4" aboveAverage="0" equalAverage="0" bottom="0" percent="0" rank="0" text="" dxfId="2">
      <formula>T4="Overweight"</formula>
    </cfRule>
    <cfRule type="expression" priority="5" aboveAverage="0" equalAverage="0" bottom="0" percent="0" rank="0" text="" dxfId="0">
      <formula>T4="Obese"</formula>
    </cfRule>
  </conditionalFormatting>
  <conditionalFormatting sqref="BM4:BM303">
    <cfRule type="cellIs" priority="6" operator="greaterThanOrEqual" aboveAverage="0" equalAverage="0" bottom="0" percent="0" rank="0" text="" dxfId="1">
      <formula>90</formula>
    </cfRule>
    <cfRule type="expression" priority="7" aboveAverage="0" equalAverage="0" bottom="0" percent="0" rank="0" text="" dxfId="3">
      <formula>AND(BM4&gt;=75,BM4&lt;90)</formula>
    </cfRule>
    <cfRule type="expression" priority="8" aboveAverage="0" equalAverage="0" bottom="0" percent="0" rank="0" text="" dxfId="4">
      <formula>AND(BM4&gt;=60,BM4&lt;75)</formula>
    </cfRule>
    <cfRule type="expression" priority="9" aboveAverage="0" equalAverage="0" bottom="0" percent="0" rank="0" text="" dxfId="2">
      <formula>AND(BM4&gt;=40,BM4&lt;60)</formula>
    </cfRule>
    <cfRule type="cellIs" priority="10" operator="lessThan" aboveAverage="0" equalAverage="0" bottom="0" percent="0" rank="0" text="" dxfId="0">
      <formula>40</formula>
    </cfRule>
  </conditionalFormatting>
  <conditionalFormatting sqref="BP4:BP303">
    <cfRule type="expression" priority="11" aboveAverage="0" equalAverage="0" bottom="0" percent="0" rank="0" text="" dxfId="1">
      <formula>BP4="Green - Healthy"</formula>
    </cfRule>
    <cfRule type="expression" priority="12" aboveAverage="0" equalAverage="0" bottom="0" percent="0" rank="0" text="" dxfId="5">
      <formula>BP4="Light Green - Mild Watch"</formula>
    </cfRule>
    <cfRule type="expression" priority="13" aboveAverage="0" equalAverage="0" bottom="0" percent="0" rank="0" text="" dxfId="6">
      <formula>BP4="Yellow - Mild Risk"</formula>
    </cfRule>
    <cfRule type="expression" priority="14" aboveAverage="0" equalAverage="0" bottom="0" percent="0" rank="0" text="" dxfId="2">
      <formula>BP4="Orange - Moderate Risk"</formula>
    </cfRule>
    <cfRule type="expression" priority="15" aboveAverage="0" equalAverage="0" bottom="0" percent="0" rank="0" text="" dxfId="0">
      <formula>BP4="Red - High Risk"</formula>
    </cfRule>
  </conditionalFormatting>
  <conditionalFormatting sqref="BQ4:BQ303">
    <cfRule type="expression" priority="16" aboveAverage="0" equalAverage="0" bottom="0" percent="0" rank="0" text="" dxfId="0">
      <formula>BQ4="Yes"</formula>
    </cfRule>
  </conditionalFormatting>
  <conditionalFormatting sqref="BR4:BR303">
    <cfRule type="expression" priority="17" aboveAverage="0" equalAverage="0" bottom="0" percent="0" rank="0" text="" dxfId="0">
      <formula>BR4="Yes"</formula>
    </cfRule>
  </conditionalFormatting>
  <dataValidations count="44">
    <dataValidation allowBlank="true" error="Age must be between 7 and 30." errorStyle="stop" errorTitle="Out of range" operator="between" showDropDown="false" showErrorMessage="true" showInputMessage="false" sqref="J4:J303" type="decimal">
      <formula1>7</formula1>
      <formula2>30</formula2>
    </dataValidation>
    <dataValidation allowBlank="true" error="Height (cm) must be between 80 and 220." errorStyle="stop" errorTitle="Out of range" operator="between" showDropDown="false" showErrorMessage="true" showInputMessage="false" sqref="Q4:Q303" type="decimal">
      <formula1>80</formula1>
      <formula2>220</formula2>
    </dataValidation>
    <dataValidation allowBlank="true" error="Weight (kg) must be between 10 and 200." errorStyle="stop" errorTitle="Out of range" operator="between" showDropDown="false" showErrorMessage="true" showInputMessage="false" sqref="R4:R303" type="decimal">
      <formula1>10</formula1>
      <formula2>200</formula2>
    </dataValidation>
    <dataValidation allowBlank="true" error="MUAC (cm) must be between 8 and 40." errorStyle="stop" errorTitle="Out of range" operator="between" showDropDown="false" showErrorMessage="true" showInputMessage="false" sqref="U4:U303" type="decimal">
      <formula1>8</formula1>
      <formula2>40</formula2>
    </dataValidation>
    <dataValidation allowBlank="true" error="Waist Circumference (cm) must be between 30 and 150." errorStyle="stop" errorTitle="Out of range" operator="between" showDropDown="false" showErrorMessage="true" showInputMessage="false" sqref="V4:V303" type="decimal">
      <formula1>30</formula1>
      <formula2>150</formula2>
    </dataValidation>
    <dataValidation allowBlank="true" error="Please choose a value from the dropdown list." errorStyle="stop" errorTitle="Invalid entry" operator="between" showDropDown="false" showErrorMessage="true" showInputMessage="false" sqref="K4:K303" type="list">
      <formula1>Adm_Gender</formula1>
      <formula2>0</formula2>
    </dataValidation>
    <dataValidation allowBlank="true" error="Please choose a value from the dropdown list." errorStyle="stop" errorTitle="Invalid entry" operator="between" showDropDown="false" showErrorMessage="true" showInputMessage="false" sqref="P4:P303" type="list">
      <formula1>Adm_Blood_Group</formula1>
      <formula2>0</formula2>
    </dataValidation>
    <dataValidation allowBlank="true" error="Please choose a value from the dropdown list." errorStyle="stop" errorTitle="Invalid entry" operator="between" showDropDown="false" showErrorMessage="true" showInputMessage="false" sqref="F4:F303" type="list">
      <formula1>Adm_Class</formula1>
      <formula2>0</formula2>
    </dataValidation>
    <dataValidation allowBlank="true" error="Please choose a value from the dropdown list." errorStyle="stop" errorTitle="Invalid entry" operator="between" showDropDown="false" showErrorMessage="true" showInputMessage="false" sqref="E4:E303" type="list">
      <formula1>Adm_State</formula1>
      <formula2>0</formula2>
    </dataValidation>
    <dataValidation allowBlank="true" error="Please choose a value from the dropdown list." errorStyle="stop" errorTitle="Invalid entry" operator="between" showDropDown="false" showErrorMessage="true" showInputMessage="false" sqref="W4:W303" type="list">
      <formula1>'SCORING MASTER'!$C$5:$C$7</formula1>
      <formula2>0</formula2>
    </dataValidation>
    <dataValidation allowBlank="true" error="Please choose a value from the dropdown list." errorStyle="stop" errorTitle="Invalid entry" operator="between" showDropDown="false" showErrorMessage="true" showInputMessage="false" sqref="X4:X303" type="list">
      <formula1>'SCORING MASTER'!$C$9:$C$11</formula1>
      <formula2>0</formula2>
    </dataValidation>
    <dataValidation allowBlank="true" error="Please choose a value from the dropdown list." errorStyle="stop" errorTitle="Invalid entry" operator="between" showDropDown="false" showErrorMessage="true" showInputMessage="false" sqref="Y4:Y303" type="list">
      <formula1>'SCORING MASTER'!$C$13:$C$15</formula1>
      <formula2>0</formula2>
    </dataValidation>
    <dataValidation allowBlank="true" error="Please choose a value from the dropdown list." errorStyle="stop" errorTitle="Invalid entry" operator="between" showDropDown="false" showErrorMessage="true" showInputMessage="false" sqref="Z4:Z303" type="list">
      <formula1>'SCORING MASTER'!$C$17:$C$19</formula1>
      <formula2>0</formula2>
    </dataValidation>
    <dataValidation allowBlank="true" error="Please choose a value from the dropdown list." errorStyle="stop" errorTitle="Invalid entry" operator="between" showDropDown="false" showErrorMessage="true" showInputMessage="false" sqref="AA4:AA303" type="list">
      <formula1>'SCORING MASTER'!$C$21:$C$23</formula1>
      <formula2>0</formula2>
    </dataValidation>
    <dataValidation allowBlank="true" error="Please choose a value from the dropdown list." errorStyle="stop" errorTitle="Invalid entry" operator="between" showDropDown="false" showErrorMessage="true" showInputMessage="false" sqref="AB4:AB303" type="list">
      <formula1>'SCORING MASTER'!$C$25:$C$27</formula1>
      <formula2>0</formula2>
    </dataValidation>
    <dataValidation allowBlank="true" error="Please choose a value from the dropdown list." errorStyle="stop" errorTitle="Invalid entry" operator="between" showDropDown="false" showErrorMessage="true" showInputMessage="false" sqref="AC4:AC303" type="list">
      <formula1>'SCORING MASTER'!$C$29:$C$31</formula1>
      <formula2>0</formula2>
    </dataValidation>
    <dataValidation allowBlank="true" error="Please choose a value from the dropdown list." errorStyle="stop" errorTitle="Invalid entry" operator="between" showDropDown="false" showErrorMessage="true" showInputMessage="false" sqref="AD4:AD303" type="list">
      <formula1>'SCORING MASTER'!$C$33:$C$35</formula1>
      <formula2>0</formula2>
    </dataValidation>
    <dataValidation allowBlank="true" error="Please choose a value from the dropdown list." errorStyle="stop" errorTitle="Invalid entry" operator="between" showDropDown="false" showErrorMessage="true" showInputMessage="false" sqref="AE4:AE303" type="list">
      <formula1>'SCORING MASTER'!$C$37:$C$39</formula1>
      <formula2>0</formula2>
    </dataValidation>
    <dataValidation allowBlank="true" error="Please choose a value from the dropdown list." errorStyle="stop" errorTitle="Invalid entry" operator="between" showDropDown="false" showErrorMessage="true" showInputMessage="false" sqref="AF4:AF303" type="list">
      <formula1>'SCORING MASTER'!$C$41:$C$43</formula1>
      <formula2>0</formula2>
    </dataValidation>
    <dataValidation allowBlank="true" error="Please choose a value from the dropdown list." errorStyle="stop" errorTitle="Invalid entry" operator="between" showDropDown="false" showErrorMessage="true" showInputMessage="false" sqref="AG4:AG303" type="list">
      <formula1>'SCORING MASTER'!$C$45:$C$47</formula1>
      <formula2>0</formula2>
    </dataValidation>
    <dataValidation allowBlank="true" error="Please choose a value from the dropdown list." errorStyle="stop" errorTitle="Invalid entry" operator="between" showDropDown="false" showErrorMessage="true" showInputMessage="false" sqref="AH4:AH303" type="list">
      <formula1>'SCORING MASTER'!$C$49:$C$52</formula1>
      <formula2>0</formula2>
    </dataValidation>
    <dataValidation allowBlank="true" error="Please choose a value from the dropdown list." errorStyle="stop" errorTitle="Invalid entry" operator="between" showDropDown="false" showErrorMessage="true" showInputMessage="false" sqref="AI4:AI303" type="list">
      <formula1>'SCORING MASTER'!$C$54:$C$57</formula1>
      <formula2>0</formula2>
    </dataValidation>
    <dataValidation allowBlank="true" error="Please choose a value from the dropdown list." errorStyle="stop" errorTitle="Invalid entry" operator="between" showDropDown="false" showErrorMessage="true" showInputMessage="false" sqref="AJ4:AJ303" type="list">
      <formula1>'SCORING MASTER'!$C$59:$C$60</formula1>
      <formula2>0</formula2>
    </dataValidation>
    <dataValidation allowBlank="true" error="Please choose a value from the dropdown list." errorStyle="stop" errorTitle="Invalid entry" operator="between" showDropDown="false" showErrorMessage="true" showInputMessage="false" sqref="AK4:AK303" type="list">
      <formula1>'SCORING MASTER'!$C$62:$C$63</formula1>
      <formula2>0</formula2>
    </dataValidation>
    <dataValidation allowBlank="true" error="Please choose a value from the dropdown list." errorStyle="stop" errorTitle="Invalid entry" operator="between" showDropDown="false" showErrorMessage="true" showInputMessage="false" sqref="AL4:AL303" type="list">
      <formula1>'SCORING MASTER'!$C$65:$C$66</formula1>
      <formula2>0</formula2>
    </dataValidation>
    <dataValidation allowBlank="true" error="Please choose a value from the dropdown list." errorStyle="stop" errorTitle="Invalid entry" operator="between" showDropDown="false" showErrorMessage="true" showInputMessage="false" sqref="AM4:AM303" type="list">
      <formula1>'SCORING MASTER'!$C$68:$C$69</formula1>
      <formula2>0</formula2>
    </dataValidation>
    <dataValidation allowBlank="true" error="Please choose a value from the dropdown list." errorStyle="stop" errorTitle="Invalid entry" operator="between" showDropDown="false" showErrorMessage="true" showInputMessage="false" sqref="AN4:AN303" type="list">
      <formula1>'SCORING MASTER'!$C$71:$C$72</formula1>
      <formula2>0</formula2>
    </dataValidation>
    <dataValidation allowBlank="true" error="Please choose a value from the dropdown list." errorStyle="stop" errorTitle="Invalid entry" operator="between" showDropDown="false" showErrorMessage="true" showInputMessage="false" sqref="AO4:AO303" type="list">
      <formula1>'SCORING MASTER'!$C$74:$C$75</formula1>
      <formula2>0</formula2>
    </dataValidation>
    <dataValidation allowBlank="true" error="Please choose a value from the dropdown list." errorStyle="stop" errorTitle="Invalid entry" operator="between" showDropDown="false" showErrorMessage="true" showInputMessage="false" sqref="AP4:AP303" type="list">
      <formula1>'SCORING MASTER'!$C$77:$C$78</formula1>
      <formula2>0</formula2>
    </dataValidation>
    <dataValidation allowBlank="true" error="Please choose a value from the dropdown list." errorStyle="stop" errorTitle="Invalid entry" operator="between" showDropDown="false" showErrorMessage="true" showInputMessage="false" sqref="AQ4:AQ303" type="list">
      <formula1>'SCORING MASTER'!$C$80:$C$82</formula1>
      <formula2>0</formula2>
    </dataValidation>
    <dataValidation allowBlank="true" error="Please choose a value from the dropdown list." errorStyle="stop" errorTitle="Invalid entry" operator="between" showDropDown="false" showErrorMessage="true" showInputMessage="false" sqref="AR4:AR303" type="list">
      <formula1>'SCORING MASTER'!$C$84:$C$86</formula1>
      <formula2>0</formula2>
    </dataValidation>
    <dataValidation allowBlank="true" error="Please choose a value from the dropdown list." errorStyle="stop" errorTitle="Invalid entry" operator="between" showDropDown="false" showErrorMessage="true" showInputMessage="false" sqref="AS4:AS303" type="list">
      <formula1>'SCORING MASTER'!$C$88:$C$90</formula1>
      <formula2>0</formula2>
    </dataValidation>
    <dataValidation allowBlank="true" error="Please choose a value from the dropdown list." errorStyle="stop" errorTitle="Invalid entry" operator="between" showDropDown="false" showErrorMessage="true" showInputMessage="false" sqref="AT4:AT303" type="list">
      <formula1>'SCORING MASTER'!$C$92:$C$93</formula1>
      <formula2>0</formula2>
    </dataValidation>
    <dataValidation allowBlank="true" error="Please choose a value from the dropdown list." errorStyle="stop" errorTitle="Invalid entry" operator="between" showDropDown="false" showErrorMessage="true" showInputMessage="false" sqref="AU4:AU303" type="list">
      <formula1>'SCORING MASTER'!$C$95:$C$96</formula1>
      <formula2>0</formula2>
    </dataValidation>
    <dataValidation allowBlank="true" error="Please choose a value from the dropdown list." errorStyle="stop" errorTitle="Invalid entry" operator="between" showDropDown="false" showErrorMessage="true" showInputMessage="false" sqref="AV4:AV303" type="list">
      <formula1>'SCORING MASTER'!$C$98:$C$99</formula1>
      <formula2>0</formula2>
    </dataValidation>
    <dataValidation allowBlank="true" error="Please choose a value from the dropdown list." errorStyle="stop" errorTitle="Invalid entry" operator="between" showDropDown="false" showErrorMessage="true" showInputMessage="false" sqref="AW4:AW303" type="list">
      <formula1>'SCORING MASTER'!$C$101:$C$102</formula1>
      <formula2>0</formula2>
    </dataValidation>
    <dataValidation allowBlank="true" error="Please choose a value from the dropdown list." errorStyle="stop" errorTitle="Invalid entry" operator="between" showDropDown="false" showErrorMessage="true" showInputMessage="false" sqref="AX4:AX303" type="list">
      <formula1>'SCORING MASTER'!$C$104:$C$105</formula1>
      <formula2>0</formula2>
    </dataValidation>
    <dataValidation allowBlank="true" error="Please choose a value from the dropdown list." errorStyle="stop" errorTitle="Invalid entry" operator="between" showDropDown="false" showErrorMessage="true" showInputMessage="false" sqref="AY4:AY303" type="list">
      <formula1>'SCORING MASTER'!$C$107:$C$108</formula1>
      <formula2>0</formula2>
    </dataValidation>
    <dataValidation allowBlank="true" error="Please choose a value from the dropdown list." errorStyle="stop" errorTitle="Invalid entry" operator="between" showDropDown="false" showErrorMessage="true" showInputMessage="false" sqref="AZ4:AZ303" type="list">
      <formula1>'SCORING MASTER'!$C$110:$C$111</formula1>
      <formula2>0</formula2>
    </dataValidation>
    <dataValidation allowBlank="true" error="Please choose a value from the dropdown list." errorStyle="stop" errorTitle="Invalid entry" operator="between" showDropDown="false" showErrorMessage="true" showInputMessage="false" sqref="BA4:BA303" type="list">
      <formula1>'SCORING MASTER'!$C$113:$C$115</formula1>
      <formula2>0</formula2>
    </dataValidation>
    <dataValidation allowBlank="true" error="Please choose a value from the dropdown list." errorStyle="stop" errorTitle="Invalid entry" operator="between" showDropDown="false" showErrorMessage="true" showInputMessage="false" sqref="BB4:BB303" type="list">
      <formula1>'SCORING MASTER'!$C$117:$C$119</formula1>
      <formula2>0</formula2>
    </dataValidation>
    <dataValidation allowBlank="true" error="Please choose a value from the dropdown list." errorStyle="stop" errorTitle="Invalid entry" operator="between" showDropDown="false" showErrorMessage="true" showInputMessage="false" sqref="BC4:BC303" type="list">
      <formula1>'SCORING MASTER'!$C$121:$C$123</formula1>
      <formula2>0</formula2>
    </dataValidation>
    <dataValidation allowBlank="true" error="Please choose a value from the dropdown list." errorStyle="stop" errorTitle="Invalid entry" operator="between" showDropDown="false" showErrorMessage="true" showInputMessage="false" sqref="BD4:BD303" type="list">
      <formula1>'SCORING MASTER'!$C$125:$C$126</formula1>
      <formula2>0</formula2>
    </dataValidation>
    <dataValidation allowBlank="true" error="Please choose a value from the dropdown list." errorStyle="stop" errorTitle="Invalid entry" operator="between" showDropDown="false" showErrorMessage="true" showInputMessage="false" sqref="BE4:BE303" type="list">
      <formula1>'SCORING MASTER'!$C$128:$C$129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2A86"/>
    <pageSetUpPr fitToPage="false"/>
  </sheetPr>
  <dimension ref="A1:X3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4"/>
    <col collapsed="false" customWidth="true" hidden="false" outlineLevel="0" max="4" min="3" style="0" width="18"/>
    <col collapsed="false" customWidth="true" hidden="false" outlineLevel="0" max="5" min="5" style="0" width="24"/>
    <col collapsed="false" customWidth="true" hidden="false" outlineLevel="0" max="15" min="6" style="0" width="18"/>
    <col collapsed="false" customWidth="true" hidden="false" outlineLevel="0" max="17" min="16" style="0" width="24"/>
    <col collapsed="false" customWidth="true" hidden="false" outlineLevel="0" max="23" min="18" style="0" width="18"/>
    <col collapsed="false" customWidth="true" hidden="false" outlineLevel="0" max="24" min="24" style="0" width="24"/>
  </cols>
  <sheetData>
    <row r="1" customFormat="false" ht="30" hidden="false" customHeight="true" outlineLevel="0" collapsed="false">
      <c r="A1" s="17" t="s">
        <v>180</v>
      </c>
      <c r="B1" s="17"/>
      <c r="C1" s="17"/>
      <c r="D1" s="17"/>
      <c r="E1" s="17"/>
      <c r="F1" s="17"/>
      <c r="G1" s="17"/>
      <c r="H1" s="17"/>
      <c r="I1" s="17"/>
      <c r="J1" s="17"/>
      <c r="K1" s="17"/>
      <c r="L1" s="17"/>
      <c r="M1" s="17"/>
      <c r="N1" s="17"/>
      <c r="O1" s="17"/>
      <c r="P1" s="17"/>
      <c r="Q1" s="17"/>
      <c r="R1" s="17"/>
      <c r="S1" s="17"/>
      <c r="T1" s="17"/>
      <c r="U1" s="17"/>
      <c r="V1" s="17"/>
      <c r="W1" s="17"/>
      <c r="X1" s="17"/>
    </row>
    <row r="2" customFormat="false" ht="19.5" hidden="false" customHeight="true" outlineLevel="0" collapsed="false">
      <c r="A2" s="19" t="s">
        <v>181</v>
      </c>
      <c r="B2" s="19"/>
      <c r="C2" s="19"/>
      <c r="D2" s="19"/>
      <c r="E2" s="19"/>
      <c r="F2" s="19"/>
      <c r="G2" s="19"/>
      <c r="H2" s="19"/>
      <c r="I2" s="19"/>
      <c r="J2" s="19"/>
      <c r="K2" s="19"/>
      <c r="L2" s="19"/>
      <c r="M2" s="19"/>
      <c r="N2" s="19"/>
      <c r="O2" s="19"/>
      <c r="P2" s="26" t="s">
        <v>182</v>
      </c>
      <c r="Q2" s="26"/>
      <c r="R2" s="26"/>
      <c r="S2" s="26"/>
      <c r="T2" s="26"/>
      <c r="U2" s="26"/>
      <c r="V2" s="26"/>
      <c r="W2" s="26"/>
      <c r="X2" s="26"/>
    </row>
    <row r="3" customFormat="false" ht="36" hidden="false" customHeight="true" outlineLevel="0" collapsed="false">
      <c r="A3" s="36" t="s">
        <v>38</v>
      </c>
      <c r="B3" s="36" t="s">
        <v>46</v>
      </c>
      <c r="C3" s="36" t="s">
        <v>43</v>
      </c>
      <c r="D3" s="36" t="s">
        <v>44</v>
      </c>
      <c r="E3" s="36" t="s">
        <v>40</v>
      </c>
      <c r="F3" s="36" t="s">
        <v>47</v>
      </c>
      <c r="G3" s="36" t="s">
        <v>48</v>
      </c>
      <c r="H3" s="36" t="s">
        <v>56</v>
      </c>
      <c r="I3" s="36" t="s">
        <v>57</v>
      </c>
      <c r="J3" s="36" t="s">
        <v>102</v>
      </c>
      <c r="K3" s="36" t="s">
        <v>103</v>
      </c>
      <c r="L3" s="36" t="s">
        <v>104</v>
      </c>
      <c r="M3" s="36" t="s">
        <v>105</v>
      </c>
      <c r="N3" s="36" t="s">
        <v>106</v>
      </c>
      <c r="O3" s="36" t="s">
        <v>107</v>
      </c>
      <c r="P3" s="36" t="s">
        <v>183</v>
      </c>
      <c r="Q3" s="36" t="s">
        <v>184</v>
      </c>
      <c r="R3" s="36" t="s">
        <v>185</v>
      </c>
      <c r="S3" s="36" t="s">
        <v>186</v>
      </c>
      <c r="T3" s="36" t="s">
        <v>187</v>
      </c>
      <c r="U3" s="36" t="s">
        <v>188</v>
      </c>
      <c r="V3" s="36" t="s">
        <v>189</v>
      </c>
      <c r="W3" s="36" t="s">
        <v>190</v>
      </c>
      <c r="X3" s="36" t="s">
        <v>191</v>
      </c>
    </row>
    <row r="4" customFormat="false" ht="15" hidden="false" customHeight="false" outlineLevel="0" collapsed="false">
      <c r="A4" s="37" t="str">
        <f aca="false">IF('STUDENT SCREENING'!A4="","",'STUDENT SCREENING'!A4)</f>
        <v>STU000001</v>
      </c>
      <c r="B4" s="37" t="str">
        <f aca="false">IF('STUDENT SCREENING'!I4="","",'STUDENT SCREENING'!I4)</f>
        <v>Aarav Shah</v>
      </c>
      <c r="C4" s="37" t="str">
        <f aca="false">IF('STUDENT SCREENING'!F4="","",'STUDENT SCREENING'!F4)</f>
        <v>8</v>
      </c>
      <c r="D4" s="37" t="str">
        <f aca="false">IF('STUDENT SCREENING'!G4="","",'STUDENT SCREENING'!G4)</f>
        <v>A</v>
      </c>
      <c r="E4" s="37" t="str">
        <f aca="false">IF('STUDENT SCREENING'!C4="","",'STUDENT SCREENING'!C4)</f>
        <v>Greenwood High</v>
      </c>
      <c r="F4" s="37" t="n">
        <f aca="false">IF('STUDENT SCREENING'!J4="","",'STUDENT SCREENING'!J4)</f>
        <v>13</v>
      </c>
      <c r="G4" s="37" t="str">
        <f aca="false">IF('STUDENT SCREENING'!K4="","",'STUDENT SCREENING'!K4)</f>
        <v>Male</v>
      </c>
      <c r="H4" s="37" t="n">
        <f aca="false">IF('STUDENT SCREENING'!S4="","",'STUDENT SCREENING'!S4)</f>
        <v>18.7</v>
      </c>
      <c r="I4" s="37" t="str">
        <f aca="false">IF('STUDENT SCREENING'!T4="","",'STUDENT SCREENING'!T4)</f>
        <v>Normal</v>
      </c>
      <c r="J4" s="37" t="n">
        <f aca="false">IF('STUDENT SCREENING'!BM4="","",'STUDENT SCREENING'!BM4)</f>
        <v>100</v>
      </c>
      <c r="K4" s="37" t="n">
        <f aca="false">IF('STUDENT SCREENING'!BN4="","",'STUDENT SCREENING'!BN4)</f>
        <v>100</v>
      </c>
      <c r="L4" s="37" t="n">
        <f aca="false">IF('STUDENT SCREENING'!BO4="","",'STUDENT SCREENING'!BO4)</f>
        <v>0</v>
      </c>
      <c r="M4" s="37" t="str">
        <f aca="false">IF('STUDENT SCREENING'!BP4="","",'STUDENT SCREENING'!BP4)</f>
        <v>Green - Healthy</v>
      </c>
      <c r="N4" s="37" t="str">
        <f aca="false">IF('STUDENT SCREENING'!BQ4="","",'STUDENT SCREENING'!BQ4)</f>
        <v>No</v>
      </c>
      <c r="O4" s="37" t="str">
        <f aca="false">IF('STUDENT SCREENING'!BR4="","",'STUDENT SCREENING'!BR4)</f>
        <v>No</v>
      </c>
      <c r="P4" s="28"/>
      <c r="Q4" s="28"/>
      <c r="R4" s="28"/>
      <c r="S4" s="28"/>
      <c r="T4" s="28"/>
      <c r="U4" s="28"/>
      <c r="V4" s="28"/>
      <c r="W4" s="28"/>
      <c r="X4" s="28"/>
    </row>
    <row r="5" customFormat="false" ht="15" hidden="false" customHeight="false" outlineLevel="0" collapsed="false">
      <c r="A5" s="38" t="str">
        <f aca="false">IF('STUDENT SCREENING'!A5="","",'STUDENT SCREENING'!A5)</f>
        <v>STU000002</v>
      </c>
      <c r="B5" s="38" t="str">
        <f aca="false">IF('STUDENT SCREENING'!I5="","",'STUDENT SCREENING'!I5)</f>
        <v>Priya Kadam</v>
      </c>
      <c r="C5" s="38" t="str">
        <f aca="false">IF('STUDENT SCREENING'!F5="","",'STUDENT SCREENING'!F5)</f>
        <v>6</v>
      </c>
      <c r="D5" s="38" t="str">
        <f aca="false">IF('STUDENT SCREENING'!G5="","",'STUDENT SCREENING'!G5)</f>
        <v>B</v>
      </c>
      <c r="E5" s="38" t="str">
        <f aca="false">IF('STUDENT SCREENING'!C5="","",'STUDENT SCREENING'!C5)</f>
        <v>Greenwood High</v>
      </c>
      <c r="F5" s="38" t="n">
        <f aca="false">IF('STUDENT SCREENING'!J5="","",'STUDENT SCREENING'!J5)</f>
        <v>11</v>
      </c>
      <c r="G5" s="38" t="str">
        <f aca="false">IF('STUDENT SCREENING'!K5="","",'STUDENT SCREENING'!K5)</f>
        <v>Female</v>
      </c>
      <c r="H5" s="38" t="n">
        <f aca="false">IF('STUDENT SCREENING'!S5="","",'STUDENT SCREENING'!S5)</f>
        <v>12.8</v>
      </c>
      <c r="I5" s="38" t="str">
        <f aca="false">IF('STUDENT SCREENING'!T5="","",'STUDENT SCREENING'!T5)</f>
        <v>Underweight</v>
      </c>
      <c r="J5" s="38" t="n">
        <f aca="false">IF('STUDENT SCREENING'!BM5="","",'STUDENT SCREENING'!BM5)</f>
        <v>23</v>
      </c>
      <c r="K5" s="38" t="n">
        <f aca="false">IF('STUDENT SCREENING'!BN5="","",'STUDENT SCREENING'!BN5)</f>
        <v>15</v>
      </c>
      <c r="L5" s="38" t="n">
        <f aca="false">IF('STUDENT SCREENING'!BO5="","",'STUDENT SCREENING'!BO5)</f>
        <v>100</v>
      </c>
      <c r="M5" s="38" t="str">
        <f aca="false">IF('STUDENT SCREENING'!BP5="","",'STUDENT SCREENING'!BP5)</f>
        <v>Red - High Risk</v>
      </c>
      <c r="N5" s="38" t="str">
        <f aca="false">IF('STUDENT SCREENING'!BQ5="","",'STUDENT SCREENING'!BQ5)</f>
        <v>Yes</v>
      </c>
      <c r="O5" s="38" t="str">
        <f aca="false">IF('STUDENT SCREENING'!BR5="","",'STUDENT SCREENING'!BR5)</f>
        <v>Yes</v>
      </c>
      <c r="P5" s="32" t="s">
        <v>192</v>
      </c>
      <c r="Q5" s="32" t="s">
        <v>193</v>
      </c>
      <c r="R5" s="32" t="s">
        <v>129</v>
      </c>
      <c r="S5" s="32" t="s">
        <v>194</v>
      </c>
      <c r="T5" s="32" t="s">
        <v>129</v>
      </c>
      <c r="U5" s="32" t="s">
        <v>129</v>
      </c>
      <c r="V5" s="32" t="s">
        <v>129</v>
      </c>
      <c r="W5" s="33" t="n">
        <v>46235</v>
      </c>
      <c r="X5" s="32" t="s">
        <v>195</v>
      </c>
    </row>
    <row r="6" customFormat="false" ht="15" hidden="false" customHeight="false" outlineLevel="0" collapsed="false">
      <c r="A6" s="37" t="str">
        <f aca="false">IF('STUDENT SCREENING'!A6="","",'STUDENT SCREENING'!A6)</f>
        <v>STU000003</v>
      </c>
      <c r="B6" s="37" t="str">
        <f aca="false">IF('STUDENT SCREENING'!I6="","",'STUDENT SCREENING'!I6)</f>
        <v>Rohan Deshmukh</v>
      </c>
      <c r="C6" s="37" t="str">
        <f aca="false">IF('STUDENT SCREENING'!F6="","",'STUDENT SCREENING'!F6)</f>
        <v>UG-2</v>
      </c>
      <c r="D6" s="37" t="str">
        <f aca="false">IF('STUDENT SCREENING'!G6="","",'STUDENT SCREENING'!G6)</f>
        <v>C</v>
      </c>
      <c r="E6" s="37" t="str">
        <f aca="false">IF('STUDENT SCREENING'!C6="","",'STUDENT SCREENING'!C6)</f>
        <v>St. Xavier's College</v>
      </c>
      <c r="F6" s="37" t="n">
        <f aca="false">IF('STUDENT SCREENING'!J6="","",'STUDENT SCREENING'!J6)</f>
        <v>19</v>
      </c>
      <c r="G6" s="37" t="str">
        <f aca="false">IF('STUDENT SCREENING'!K6="","",'STUDENT SCREENING'!K6)</f>
        <v>Male</v>
      </c>
      <c r="H6" s="37" t="n">
        <f aca="false">IF('STUDENT SCREENING'!S6="","",'STUDENT SCREENING'!S6)</f>
        <v>29.7</v>
      </c>
      <c r="I6" s="37" t="str">
        <f aca="false">IF('STUDENT SCREENING'!T6="","",'STUDENT SCREENING'!T6)</f>
        <v>Overweight</v>
      </c>
      <c r="J6" s="37" t="n">
        <f aca="false">IF('STUDENT SCREENING'!BM6="","",'STUDENT SCREENING'!BM6)</f>
        <v>61</v>
      </c>
      <c r="K6" s="37" t="n">
        <f aca="false">IF('STUDENT SCREENING'!BN6="","",'STUDENT SCREENING'!BN6)</f>
        <v>66</v>
      </c>
      <c r="L6" s="37" t="n">
        <f aca="false">IF('STUDENT SCREENING'!BO6="","",'STUDENT SCREENING'!BO6)</f>
        <v>34</v>
      </c>
      <c r="M6" s="37" t="str">
        <f aca="false">IF('STUDENT SCREENING'!BP6="","",'STUDENT SCREENING'!BP6)</f>
        <v>Yellow - Mild Risk</v>
      </c>
      <c r="N6" s="37" t="str">
        <f aca="false">IF('STUDENT SCREENING'!BQ6="","",'STUDENT SCREENING'!BQ6)</f>
        <v>No</v>
      </c>
      <c r="O6" s="37" t="str">
        <f aca="false">IF('STUDENT SCREENING'!BR6="","",'STUDENT SCREENING'!BR6)</f>
        <v>No</v>
      </c>
      <c r="P6" s="28" t="s">
        <v>196</v>
      </c>
      <c r="Q6" s="28" t="s">
        <v>197</v>
      </c>
      <c r="R6" s="28" t="s">
        <v>129</v>
      </c>
      <c r="S6" s="28" t="s">
        <v>198</v>
      </c>
      <c r="T6" s="28" t="s">
        <v>125</v>
      </c>
      <c r="U6" s="28" t="s">
        <v>129</v>
      </c>
      <c r="V6" s="28" t="s">
        <v>129</v>
      </c>
      <c r="W6" s="29" t="n">
        <v>46249</v>
      </c>
      <c r="X6" s="28" t="s">
        <v>195</v>
      </c>
    </row>
    <row r="7" customFormat="false" ht="15" hidden="false" customHeight="false" outlineLevel="0" collapsed="false">
      <c r="A7" s="38" t="str">
        <f aca="false">IF('STUDENT SCREENING'!A7="","",'STUDENT SCREENING'!A7)</f>
        <v>STU000004</v>
      </c>
      <c r="B7" s="38" t="str">
        <f aca="false">IF('STUDENT SCREENING'!I7="","",'STUDENT SCREENING'!I7)</f>
        <v>Sneha Iyer</v>
      </c>
      <c r="C7" s="38" t="str">
        <f aca="false">IF('STUDENT SCREENING'!F7="","",'STUDENT SCREENING'!F7)</f>
        <v>UG-1</v>
      </c>
      <c r="D7" s="38" t="str">
        <f aca="false">IF('STUDENT SCREENING'!G7="","",'STUDENT SCREENING'!G7)</f>
        <v>A</v>
      </c>
      <c r="E7" s="38" t="str">
        <f aca="false">IF('STUDENT SCREENING'!C7="","",'STUDENT SCREENING'!C7)</f>
        <v>St. Xavier's College</v>
      </c>
      <c r="F7" s="38" t="n">
        <f aca="false">IF('STUDENT SCREENING'!J7="","",'STUDENT SCREENING'!J7)</f>
        <v>18</v>
      </c>
      <c r="G7" s="38" t="str">
        <f aca="false">IF('STUDENT SCREENING'!K7="","",'STUDENT SCREENING'!K7)</f>
        <v>Female</v>
      </c>
      <c r="H7" s="38" t="n">
        <f aca="false">IF('STUDENT SCREENING'!S7="","",'STUDENT SCREENING'!S7)</f>
        <v>21.1</v>
      </c>
      <c r="I7" s="38" t="str">
        <f aca="false">IF('STUDENT SCREENING'!T7="","",'STUDENT SCREENING'!T7)</f>
        <v>Normal</v>
      </c>
      <c r="J7" s="38" t="n">
        <f aca="false">IF('STUDENT SCREENING'!BM7="","",'STUDENT SCREENING'!BM7)</f>
        <v>88</v>
      </c>
      <c r="K7" s="38" t="n">
        <f aca="false">IF('STUDENT SCREENING'!BN7="","",'STUDENT SCREENING'!BN7)</f>
        <v>89</v>
      </c>
      <c r="L7" s="38" t="n">
        <f aca="false">IF('STUDENT SCREENING'!BO7="","",'STUDENT SCREENING'!BO7)</f>
        <v>11</v>
      </c>
      <c r="M7" s="38" t="str">
        <f aca="false">IF('STUDENT SCREENING'!BP7="","",'STUDENT SCREENING'!BP7)</f>
        <v>Light Green - Mild Watch</v>
      </c>
      <c r="N7" s="38" t="str">
        <f aca="false">IF('STUDENT SCREENING'!BQ7="","",'STUDENT SCREENING'!BQ7)</f>
        <v>No</v>
      </c>
      <c r="O7" s="38" t="str">
        <f aca="false">IF('STUDENT SCREENING'!BR7="","",'STUDENT SCREENING'!BR7)</f>
        <v>No</v>
      </c>
      <c r="P7" s="32"/>
      <c r="Q7" s="32"/>
      <c r="R7" s="32"/>
      <c r="S7" s="32"/>
      <c r="T7" s="32"/>
      <c r="U7" s="32"/>
      <c r="V7" s="32"/>
      <c r="W7" s="32"/>
      <c r="X7" s="32"/>
    </row>
    <row r="8" customFormat="false" ht="15" hidden="false" customHeight="false" outlineLevel="0" collapsed="false">
      <c r="A8" s="37" t="str">
        <f aca="false">IF('STUDENT SCREENING'!A8="","",'STUDENT SCREENING'!A8)</f>
        <v>STU000005</v>
      </c>
      <c r="B8" s="37" t="str">
        <f aca="false">IF('STUDENT SCREENING'!I8="","",'STUDENT SCREENING'!I8)</f>
        <v>Kabir Mehta</v>
      </c>
      <c r="C8" s="37" t="str">
        <f aca="false">IF('STUDENT SCREENING'!F8="","",'STUDENT SCREENING'!F8)</f>
        <v>10</v>
      </c>
      <c r="D8" s="37" t="str">
        <f aca="false">IF('STUDENT SCREENING'!G8="","",'STUDENT SCREENING'!G8)</f>
        <v>A</v>
      </c>
      <c r="E8" s="37" t="str">
        <f aca="false">IF('STUDENT SCREENING'!C8="","",'STUDENT SCREENING'!C8)</f>
        <v>Delhi Public School</v>
      </c>
      <c r="F8" s="37" t="n">
        <f aca="false">IF('STUDENT SCREENING'!J8="","",'STUDENT SCREENING'!J8)</f>
        <v>15</v>
      </c>
      <c r="G8" s="37" t="str">
        <f aca="false">IF('STUDENT SCREENING'!K8="","",'STUDENT SCREENING'!K8)</f>
        <v>Male</v>
      </c>
      <c r="H8" s="37" t="n">
        <f aca="false">IF('STUDENT SCREENING'!S8="","",'STUDENT SCREENING'!S8)</f>
        <v>27.1</v>
      </c>
      <c r="I8" s="37" t="str">
        <f aca="false">IF('STUDENT SCREENING'!T8="","",'STUDENT SCREENING'!T8)</f>
        <v>Overweight</v>
      </c>
      <c r="J8" s="37" t="n">
        <f aca="false">IF('STUDENT SCREENING'!BM8="","",'STUDENT SCREENING'!BM8)</f>
        <v>54</v>
      </c>
      <c r="K8" s="37" t="n">
        <f aca="false">IF('STUDENT SCREENING'!BN8="","",'STUDENT SCREENING'!BN8)</f>
        <v>48</v>
      </c>
      <c r="L8" s="37" t="n">
        <f aca="false">IF('STUDENT SCREENING'!BO8="","",'STUDENT SCREENING'!BO8)</f>
        <v>52</v>
      </c>
      <c r="M8" s="37" t="str">
        <f aca="false">IF('STUDENT SCREENING'!BP8="","",'STUDENT SCREENING'!BP8)</f>
        <v>Orange - Moderate Risk</v>
      </c>
      <c r="N8" s="37" t="str">
        <f aca="false">IF('STUDENT SCREENING'!BQ8="","",'STUDENT SCREENING'!BQ8)</f>
        <v>Yes</v>
      </c>
      <c r="O8" s="37" t="str">
        <f aca="false">IF('STUDENT SCREENING'!BR8="","",'STUDENT SCREENING'!BR8)</f>
        <v>Yes</v>
      </c>
      <c r="P8" s="28" t="s">
        <v>199</v>
      </c>
      <c r="Q8" s="28" t="s">
        <v>200</v>
      </c>
      <c r="R8" s="28" t="s">
        <v>129</v>
      </c>
      <c r="S8" s="28" t="s">
        <v>201</v>
      </c>
      <c r="T8" s="28" t="s">
        <v>125</v>
      </c>
      <c r="U8" s="28" t="s">
        <v>129</v>
      </c>
      <c r="V8" s="28" t="s">
        <v>129</v>
      </c>
      <c r="W8" s="29" t="n">
        <v>46244</v>
      </c>
      <c r="X8" s="28" t="s">
        <v>195</v>
      </c>
    </row>
    <row r="9" customFormat="false" ht="15" hidden="false" customHeight="false" outlineLevel="0" collapsed="false">
      <c r="A9" s="38" t="str">
        <f aca="false">IF('STUDENT SCREENING'!A9="","",'STUDENT SCREENING'!A9)</f>
        <v>STU000006</v>
      </c>
      <c r="B9" s="38" t="str">
        <f aca="false">IF('STUDENT SCREENING'!I9="","",'STUDENT SCREENING'!I9)</f>
        <v>Ananya Verma</v>
      </c>
      <c r="C9" s="38" t="str">
        <f aca="false">IF('STUDENT SCREENING'!F9="","",'STUDENT SCREENING'!F9)</f>
        <v>9</v>
      </c>
      <c r="D9" s="38" t="str">
        <f aca="false">IF('STUDENT SCREENING'!G9="","",'STUDENT SCREENING'!G9)</f>
        <v>B</v>
      </c>
      <c r="E9" s="38" t="str">
        <f aca="false">IF('STUDENT SCREENING'!C9="","",'STUDENT SCREENING'!C9)</f>
        <v>Delhi Public School</v>
      </c>
      <c r="F9" s="38" t="n">
        <f aca="false">IF('STUDENT SCREENING'!J9="","",'STUDENT SCREENING'!J9)</f>
        <v>14</v>
      </c>
      <c r="G9" s="38" t="str">
        <f aca="false">IF('STUDENT SCREENING'!K9="","",'STUDENT SCREENING'!K9)</f>
        <v>Female</v>
      </c>
      <c r="H9" s="38" t="n">
        <f aca="false">IF('STUDENT SCREENING'!S9="","",'STUDENT SCREENING'!S9)</f>
        <v>16.9</v>
      </c>
      <c r="I9" s="38" t="str">
        <f aca="false">IF('STUDENT SCREENING'!T9="","",'STUDENT SCREENING'!T9)</f>
        <v>Underweight</v>
      </c>
      <c r="J9" s="38" t="n">
        <f aca="false">IF('STUDENT SCREENING'!BM9="","",'STUDENT SCREENING'!BM9)</f>
        <v>82</v>
      </c>
      <c r="K9" s="38" t="n">
        <f aca="false">IF('STUDENT SCREENING'!BN9="","",'STUDENT SCREENING'!BN9)</f>
        <v>64</v>
      </c>
      <c r="L9" s="38" t="n">
        <f aca="false">IF('STUDENT SCREENING'!BO9="","",'STUDENT SCREENING'!BO9)</f>
        <v>36</v>
      </c>
      <c r="M9" s="38" t="str">
        <f aca="false">IF('STUDENT SCREENING'!BP9="","",'STUDENT SCREENING'!BP9)</f>
        <v>Light Green - Mild Watch</v>
      </c>
      <c r="N9" s="38" t="str">
        <f aca="false">IF('STUDENT SCREENING'!BQ9="","",'STUDENT SCREENING'!BQ9)</f>
        <v>No</v>
      </c>
      <c r="O9" s="38" t="str">
        <f aca="false">IF('STUDENT SCREENING'!BR9="","",'STUDENT SCREENING'!BR9)</f>
        <v>No</v>
      </c>
      <c r="P9" s="32"/>
      <c r="Q9" s="32"/>
      <c r="R9" s="32"/>
      <c r="S9" s="32"/>
      <c r="T9" s="32"/>
      <c r="U9" s="32"/>
      <c r="V9" s="32"/>
      <c r="W9" s="32"/>
      <c r="X9" s="32"/>
    </row>
    <row r="10" customFormat="false" ht="15" hidden="false" customHeight="false" outlineLevel="0" collapsed="false">
      <c r="A10" s="37" t="str">
        <f aca="false">IF('STUDENT SCREENING'!A10="","",'STUDENT SCREENING'!A10)</f>
        <v/>
      </c>
      <c r="B10" s="37" t="str">
        <f aca="false">IF('STUDENT SCREENING'!I10="","",'STUDENT SCREENING'!I10)</f>
        <v/>
      </c>
      <c r="C10" s="37" t="str">
        <f aca="false">IF('STUDENT SCREENING'!F10="","",'STUDENT SCREENING'!F10)</f>
        <v/>
      </c>
      <c r="D10" s="37" t="str">
        <f aca="false">IF('STUDENT SCREENING'!G10="","",'STUDENT SCREENING'!G10)</f>
        <v/>
      </c>
      <c r="E10" s="37" t="str">
        <f aca="false">IF('STUDENT SCREENING'!C10="","",'STUDENT SCREENING'!C10)</f>
        <v/>
      </c>
      <c r="F10" s="37" t="str">
        <f aca="false">IF('STUDENT SCREENING'!J10="","",'STUDENT SCREENING'!J10)</f>
        <v/>
      </c>
      <c r="G10" s="37" t="str">
        <f aca="false">IF('STUDENT SCREENING'!K10="","",'STUDENT SCREENING'!K10)</f>
        <v/>
      </c>
      <c r="H10" s="37" t="str">
        <f aca="false">IF('STUDENT SCREENING'!S10="","",'STUDENT SCREENING'!S10)</f>
        <v/>
      </c>
      <c r="I10" s="37" t="str">
        <f aca="false">IF('STUDENT SCREENING'!T10="","",'STUDENT SCREENING'!T10)</f>
        <v/>
      </c>
      <c r="J10" s="37" t="str">
        <f aca="false">IF('STUDENT SCREENING'!BM10="","",'STUDENT SCREENING'!BM10)</f>
        <v/>
      </c>
      <c r="K10" s="37" t="str">
        <f aca="false">IF('STUDENT SCREENING'!BN10="","",'STUDENT SCREENING'!BN10)</f>
        <v/>
      </c>
      <c r="L10" s="37" t="str">
        <f aca="false">IF('STUDENT SCREENING'!BO10="","",'STUDENT SCREENING'!BO10)</f>
        <v/>
      </c>
      <c r="M10" s="37" t="str">
        <f aca="false">IF('STUDENT SCREENING'!BP10="","",'STUDENT SCREENING'!BP10)</f>
        <v/>
      </c>
      <c r="N10" s="37" t="str">
        <f aca="false">IF('STUDENT SCREENING'!BQ10="","",'STUDENT SCREENING'!BQ10)</f>
        <v/>
      </c>
      <c r="O10" s="37" t="str">
        <f aca="false">IF('STUDENT SCREENING'!BR10="","",'STUDENT SCREENING'!BR10)</f>
        <v/>
      </c>
      <c r="P10" s="28"/>
      <c r="Q10" s="28"/>
      <c r="R10" s="28"/>
      <c r="S10" s="28"/>
      <c r="T10" s="28"/>
      <c r="U10" s="28"/>
      <c r="V10" s="28"/>
      <c r="W10" s="28"/>
      <c r="X10" s="28"/>
    </row>
    <row r="11" customFormat="false" ht="15" hidden="false" customHeight="false" outlineLevel="0" collapsed="false">
      <c r="A11" s="38" t="str">
        <f aca="false">IF('STUDENT SCREENING'!A11="","",'STUDENT SCREENING'!A11)</f>
        <v/>
      </c>
      <c r="B11" s="38" t="str">
        <f aca="false">IF('STUDENT SCREENING'!I11="","",'STUDENT SCREENING'!I11)</f>
        <v/>
      </c>
      <c r="C11" s="38" t="str">
        <f aca="false">IF('STUDENT SCREENING'!F11="","",'STUDENT SCREENING'!F11)</f>
        <v/>
      </c>
      <c r="D11" s="38" t="str">
        <f aca="false">IF('STUDENT SCREENING'!G11="","",'STUDENT SCREENING'!G11)</f>
        <v/>
      </c>
      <c r="E11" s="38" t="str">
        <f aca="false">IF('STUDENT SCREENING'!C11="","",'STUDENT SCREENING'!C11)</f>
        <v/>
      </c>
      <c r="F11" s="38" t="str">
        <f aca="false">IF('STUDENT SCREENING'!J11="","",'STUDENT SCREENING'!J11)</f>
        <v/>
      </c>
      <c r="G11" s="38" t="str">
        <f aca="false">IF('STUDENT SCREENING'!K11="","",'STUDENT SCREENING'!K11)</f>
        <v/>
      </c>
      <c r="H11" s="38" t="str">
        <f aca="false">IF('STUDENT SCREENING'!S11="","",'STUDENT SCREENING'!S11)</f>
        <v/>
      </c>
      <c r="I11" s="38" t="str">
        <f aca="false">IF('STUDENT SCREENING'!T11="","",'STUDENT SCREENING'!T11)</f>
        <v/>
      </c>
      <c r="J11" s="38" t="str">
        <f aca="false">IF('STUDENT SCREENING'!BM11="","",'STUDENT SCREENING'!BM11)</f>
        <v/>
      </c>
      <c r="K11" s="38" t="str">
        <f aca="false">IF('STUDENT SCREENING'!BN11="","",'STUDENT SCREENING'!BN11)</f>
        <v/>
      </c>
      <c r="L11" s="38" t="str">
        <f aca="false">IF('STUDENT SCREENING'!BO11="","",'STUDENT SCREENING'!BO11)</f>
        <v/>
      </c>
      <c r="M11" s="38" t="str">
        <f aca="false">IF('STUDENT SCREENING'!BP11="","",'STUDENT SCREENING'!BP11)</f>
        <v/>
      </c>
      <c r="N11" s="38" t="str">
        <f aca="false">IF('STUDENT SCREENING'!BQ11="","",'STUDENT SCREENING'!BQ11)</f>
        <v/>
      </c>
      <c r="O11" s="38" t="str">
        <f aca="false">IF('STUDENT SCREENING'!BR11="","",'STUDENT SCREENING'!BR11)</f>
        <v/>
      </c>
      <c r="P11" s="32"/>
      <c r="Q11" s="32"/>
      <c r="R11" s="32"/>
      <c r="S11" s="32"/>
      <c r="T11" s="32"/>
      <c r="U11" s="32"/>
      <c r="V11" s="32"/>
      <c r="W11" s="32"/>
      <c r="X11" s="32"/>
    </row>
    <row r="12" customFormat="false" ht="15" hidden="false" customHeight="false" outlineLevel="0" collapsed="false">
      <c r="A12" s="37" t="str">
        <f aca="false">IF('STUDENT SCREENING'!A12="","",'STUDENT SCREENING'!A12)</f>
        <v/>
      </c>
      <c r="B12" s="37" t="str">
        <f aca="false">IF('STUDENT SCREENING'!I12="","",'STUDENT SCREENING'!I12)</f>
        <v/>
      </c>
      <c r="C12" s="37" t="str">
        <f aca="false">IF('STUDENT SCREENING'!F12="","",'STUDENT SCREENING'!F12)</f>
        <v/>
      </c>
      <c r="D12" s="37" t="str">
        <f aca="false">IF('STUDENT SCREENING'!G12="","",'STUDENT SCREENING'!G12)</f>
        <v/>
      </c>
      <c r="E12" s="37" t="str">
        <f aca="false">IF('STUDENT SCREENING'!C12="","",'STUDENT SCREENING'!C12)</f>
        <v/>
      </c>
      <c r="F12" s="37" t="str">
        <f aca="false">IF('STUDENT SCREENING'!J12="","",'STUDENT SCREENING'!J12)</f>
        <v/>
      </c>
      <c r="G12" s="37" t="str">
        <f aca="false">IF('STUDENT SCREENING'!K12="","",'STUDENT SCREENING'!K12)</f>
        <v/>
      </c>
      <c r="H12" s="37" t="str">
        <f aca="false">IF('STUDENT SCREENING'!S12="","",'STUDENT SCREENING'!S12)</f>
        <v/>
      </c>
      <c r="I12" s="37" t="str">
        <f aca="false">IF('STUDENT SCREENING'!T12="","",'STUDENT SCREENING'!T12)</f>
        <v/>
      </c>
      <c r="J12" s="37" t="str">
        <f aca="false">IF('STUDENT SCREENING'!BM12="","",'STUDENT SCREENING'!BM12)</f>
        <v/>
      </c>
      <c r="K12" s="37" t="str">
        <f aca="false">IF('STUDENT SCREENING'!BN12="","",'STUDENT SCREENING'!BN12)</f>
        <v/>
      </c>
      <c r="L12" s="37" t="str">
        <f aca="false">IF('STUDENT SCREENING'!BO12="","",'STUDENT SCREENING'!BO12)</f>
        <v/>
      </c>
      <c r="M12" s="37" t="str">
        <f aca="false">IF('STUDENT SCREENING'!BP12="","",'STUDENT SCREENING'!BP12)</f>
        <v/>
      </c>
      <c r="N12" s="37" t="str">
        <f aca="false">IF('STUDENT SCREENING'!BQ12="","",'STUDENT SCREENING'!BQ12)</f>
        <v/>
      </c>
      <c r="O12" s="37" t="str">
        <f aca="false">IF('STUDENT SCREENING'!BR12="","",'STUDENT SCREENING'!BR12)</f>
        <v/>
      </c>
      <c r="P12" s="28"/>
      <c r="Q12" s="28"/>
      <c r="R12" s="28"/>
      <c r="S12" s="28"/>
      <c r="T12" s="28"/>
      <c r="U12" s="28"/>
      <c r="V12" s="28"/>
      <c r="W12" s="28"/>
      <c r="X12" s="28"/>
    </row>
    <row r="13" customFormat="false" ht="15" hidden="false" customHeight="false" outlineLevel="0" collapsed="false">
      <c r="A13" s="38" t="str">
        <f aca="false">IF('STUDENT SCREENING'!A13="","",'STUDENT SCREENING'!A13)</f>
        <v/>
      </c>
      <c r="B13" s="38" t="str">
        <f aca="false">IF('STUDENT SCREENING'!I13="","",'STUDENT SCREENING'!I13)</f>
        <v/>
      </c>
      <c r="C13" s="38" t="str">
        <f aca="false">IF('STUDENT SCREENING'!F13="","",'STUDENT SCREENING'!F13)</f>
        <v/>
      </c>
      <c r="D13" s="38" t="str">
        <f aca="false">IF('STUDENT SCREENING'!G13="","",'STUDENT SCREENING'!G13)</f>
        <v/>
      </c>
      <c r="E13" s="38" t="str">
        <f aca="false">IF('STUDENT SCREENING'!C13="","",'STUDENT SCREENING'!C13)</f>
        <v/>
      </c>
      <c r="F13" s="38" t="str">
        <f aca="false">IF('STUDENT SCREENING'!J13="","",'STUDENT SCREENING'!J13)</f>
        <v/>
      </c>
      <c r="G13" s="38" t="str">
        <f aca="false">IF('STUDENT SCREENING'!K13="","",'STUDENT SCREENING'!K13)</f>
        <v/>
      </c>
      <c r="H13" s="38" t="str">
        <f aca="false">IF('STUDENT SCREENING'!S13="","",'STUDENT SCREENING'!S13)</f>
        <v/>
      </c>
      <c r="I13" s="38" t="str">
        <f aca="false">IF('STUDENT SCREENING'!T13="","",'STUDENT SCREENING'!T13)</f>
        <v/>
      </c>
      <c r="J13" s="38" t="str">
        <f aca="false">IF('STUDENT SCREENING'!BM13="","",'STUDENT SCREENING'!BM13)</f>
        <v/>
      </c>
      <c r="K13" s="38" t="str">
        <f aca="false">IF('STUDENT SCREENING'!BN13="","",'STUDENT SCREENING'!BN13)</f>
        <v/>
      </c>
      <c r="L13" s="38" t="str">
        <f aca="false">IF('STUDENT SCREENING'!BO13="","",'STUDENT SCREENING'!BO13)</f>
        <v/>
      </c>
      <c r="M13" s="38" t="str">
        <f aca="false">IF('STUDENT SCREENING'!BP13="","",'STUDENT SCREENING'!BP13)</f>
        <v/>
      </c>
      <c r="N13" s="38" t="str">
        <f aca="false">IF('STUDENT SCREENING'!BQ13="","",'STUDENT SCREENING'!BQ13)</f>
        <v/>
      </c>
      <c r="O13" s="38" t="str">
        <f aca="false">IF('STUDENT SCREENING'!BR13="","",'STUDENT SCREENING'!BR13)</f>
        <v/>
      </c>
      <c r="P13" s="32"/>
      <c r="Q13" s="32"/>
      <c r="R13" s="32"/>
      <c r="S13" s="32"/>
      <c r="T13" s="32"/>
      <c r="U13" s="32"/>
      <c r="V13" s="32"/>
      <c r="W13" s="32"/>
      <c r="X13" s="32"/>
    </row>
    <row r="14" customFormat="false" ht="15" hidden="false" customHeight="false" outlineLevel="0" collapsed="false">
      <c r="A14" s="37" t="str">
        <f aca="false">IF('STUDENT SCREENING'!A14="","",'STUDENT SCREENING'!A14)</f>
        <v/>
      </c>
      <c r="B14" s="37" t="str">
        <f aca="false">IF('STUDENT SCREENING'!I14="","",'STUDENT SCREENING'!I14)</f>
        <v/>
      </c>
      <c r="C14" s="37" t="str">
        <f aca="false">IF('STUDENT SCREENING'!F14="","",'STUDENT SCREENING'!F14)</f>
        <v/>
      </c>
      <c r="D14" s="37" t="str">
        <f aca="false">IF('STUDENT SCREENING'!G14="","",'STUDENT SCREENING'!G14)</f>
        <v/>
      </c>
      <c r="E14" s="37" t="str">
        <f aca="false">IF('STUDENT SCREENING'!C14="","",'STUDENT SCREENING'!C14)</f>
        <v/>
      </c>
      <c r="F14" s="37" t="str">
        <f aca="false">IF('STUDENT SCREENING'!J14="","",'STUDENT SCREENING'!J14)</f>
        <v/>
      </c>
      <c r="G14" s="37" t="str">
        <f aca="false">IF('STUDENT SCREENING'!K14="","",'STUDENT SCREENING'!K14)</f>
        <v/>
      </c>
      <c r="H14" s="37" t="str">
        <f aca="false">IF('STUDENT SCREENING'!S14="","",'STUDENT SCREENING'!S14)</f>
        <v/>
      </c>
      <c r="I14" s="37" t="str">
        <f aca="false">IF('STUDENT SCREENING'!T14="","",'STUDENT SCREENING'!T14)</f>
        <v/>
      </c>
      <c r="J14" s="37" t="str">
        <f aca="false">IF('STUDENT SCREENING'!BM14="","",'STUDENT SCREENING'!BM14)</f>
        <v/>
      </c>
      <c r="K14" s="37" t="str">
        <f aca="false">IF('STUDENT SCREENING'!BN14="","",'STUDENT SCREENING'!BN14)</f>
        <v/>
      </c>
      <c r="L14" s="37" t="str">
        <f aca="false">IF('STUDENT SCREENING'!BO14="","",'STUDENT SCREENING'!BO14)</f>
        <v/>
      </c>
      <c r="M14" s="37" t="str">
        <f aca="false">IF('STUDENT SCREENING'!BP14="","",'STUDENT SCREENING'!BP14)</f>
        <v/>
      </c>
      <c r="N14" s="37" t="str">
        <f aca="false">IF('STUDENT SCREENING'!BQ14="","",'STUDENT SCREENING'!BQ14)</f>
        <v/>
      </c>
      <c r="O14" s="37" t="str">
        <f aca="false">IF('STUDENT SCREENING'!BR14="","",'STUDENT SCREENING'!BR14)</f>
        <v/>
      </c>
      <c r="P14" s="28"/>
      <c r="Q14" s="28"/>
      <c r="R14" s="28"/>
      <c r="S14" s="28"/>
      <c r="T14" s="28"/>
      <c r="U14" s="28"/>
      <c r="V14" s="28"/>
      <c r="W14" s="28"/>
      <c r="X14" s="28"/>
    </row>
    <row r="15" customFormat="false" ht="15" hidden="false" customHeight="false" outlineLevel="0" collapsed="false">
      <c r="A15" s="38" t="str">
        <f aca="false">IF('STUDENT SCREENING'!A15="","",'STUDENT SCREENING'!A15)</f>
        <v/>
      </c>
      <c r="B15" s="38" t="str">
        <f aca="false">IF('STUDENT SCREENING'!I15="","",'STUDENT SCREENING'!I15)</f>
        <v/>
      </c>
      <c r="C15" s="38" t="str">
        <f aca="false">IF('STUDENT SCREENING'!F15="","",'STUDENT SCREENING'!F15)</f>
        <v/>
      </c>
      <c r="D15" s="38" t="str">
        <f aca="false">IF('STUDENT SCREENING'!G15="","",'STUDENT SCREENING'!G15)</f>
        <v/>
      </c>
      <c r="E15" s="38" t="str">
        <f aca="false">IF('STUDENT SCREENING'!C15="","",'STUDENT SCREENING'!C15)</f>
        <v/>
      </c>
      <c r="F15" s="38" t="str">
        <f aca="false">IF('STUDENT SCREENING'!J15="","",'STUDENT SCREENING'!J15)</f>
        <v/>
      </c>
      <c r="G15" s="38" t="str">
        <f aca="false">IF('STUDENT SCREENING'!K15="","",'STUDENT SCREENING'!K15)</f>
        <v/>
      </c>
      <c r="H15" s="38" t="str">
        <f aca="false">IF('STUDENT SCREENING'!S15="","",'STUDENT SCREENING'!S15)</f>
        <v/>
      </c>
      <c r="I15" s="38" t="str">
        <f aca="false">IF('STUDENT SCREENING'!T15="","",'STUDENT SCREENING'!T15)</f>
        <v/>
      </c>
      <c r="J15" s="38" t="str">
        <f aca="false">IF('STUDENT SCREENING'!BM15="","",'STUDENT SCREENING'!BM15)</f>
        <v/>
      </c>
      <c r="K15" s="38" t="str">
        <f aca="false">IF('STUDENT SCREENING'!BN15="","",'STUDENT SCREENING'!BN15)</f>
        <v/>
      </c>
      <c r="L15" s="38" t="str">
        <f aca="false">IF('STUDENT SCREENING'!BO15="","",'STUDENT SCREENING'!BO15)</f>
        <v/>
      </c>
      <c r="M15" s="38" t="str">
        <f aca="false">IF('STUDENT SCREENING'!BP15="","",'STUDENT SCREENING'!BP15)</f>
        <v/>
      </c>
      <c r="N15" s="38" t="str">
        <f aca="false">IF('STUDENT SCREENING'!BQ15="","",'STUDENT SCREENING'!BQ15)</f>
        <v/>
      </c>
      <c r="O15" s="38" t="str">
        <f aca="false">IF('STUDENT SCREENING'!BR15="","",'STUDENT SCREENING'!BR15)</f>
        <v/>
      </c>
      <c r="P15" s="32"/>
      <c r="Q15" s="32"/>
      <c r="R15" s="32"/>
      <c r="S15" s="32"/>
      <c r="T15" s="32"/>
      <c r="U15" s="32"/>
      <c r="V15" s="32"/>
      <c r="W15" s="32"/>
      <c r="X15" s="32"/>
    </row>
    <row r="16" customFormat="false" ht="15" hidden="false" customHeight="false" outlineLevel="0" collapsed="false">
      <c r="A16" s="37" t="str">
        <f aca="false">IF('STUDENT SCREENING'!A16="","",'STUDENT SCREENING'!A16)</f>
        <v/>
      </c>
      <c r="B16" s="37" t="str">
        <f aca="false">IF('STUDENT SCREENING'!I16="","",'STUDENT SCREENING'!I16)</f>
        <v/>
      </c>
      <c r="C16" s="37" t="str">
        <f aca="false">IF('STUDENT SCREENING'!F16="","",'STUDENT SCREENING'!F16)</f>
        <v/>
      </c>
      <c r="D16" s="37" t="str">
        <f aca="false">IF('STUDENT SCREENING'!G16="","",'STUDENT SCREENING'!G16)</f>
        <v/>
      </c>
      <c r="E16" s="37" t="str">
        <f aca="false">IF('STUDENT SCREENING'!C16="","",'STUDENT SCREENING'!C16)</f>
        <v/>
      </c>
      <c r="F16" s="37" t="str">
        <f aca="false">IF('STUDENT SCREENING'!J16="","",'STUDENT SCREENING'!J16)</f>
        <v/>
      </c>
      <c r="G16" s="37" t="str">
        <f aca="false">IF('STUDENT SCREENING'!K16="","",'STUDENT SCREENING'!K16)</f>
        <v/>
      </c>
      <c r="H16" s="37" t="str">
        <f aca="false">IF('STUDENT SCREENING'!S16="","",'STUDENT SCREENING'!S16)</f>
        <v/>
      </c>
      <c r="I16" s="37" t="str">
        <f aca="false">IF('STUDENT SCREENING'!T16="","",'STUDENT SCREENING'!T16)</f>
        <v/>
      </c>
      <c r="J16" s="37" t="str">
        <f aca="false">IF('STUDENT SCREENING'!BM16="","",'STUDENT SCREENING'!BM16)</f>
        <v/>
      </c>
      <c r="K16" s="37" t="str">
        <f aca="false">IF('STUDENT SCREENING'!BN16="","",'STUDENT SCREENING'!BN16)</f>
        <v/>
      </c>
      <c r="L16" s="37" t="str">
        <f aca="false">IF('STUDENT SCREENING'!BO16="","",'STUDENT SCREENING'!BO16)</f>
        <v/>
      </c>
      <c r="M16" s="37" t="str">
        <f aca="false">IF('STUDENT SCREENING'!BP16="","",'STUDENT SCREENING'!BP16)</f>
        <v/>
      </c>
      <c r="N16" s="37" t="str">
        <f aca="false">IF('STUDENT SCREENING'!BQ16="","",'STUDENT SCREENING'!BQ16)</f>
        <v/>
      </c>
      <c r="O16" s="37" t="str">
        <f aca="false">IF('STUDENT SCREENING'!BR16="","",'STUDENT SCREENING'!BR16)</f>
        <v/>
      </c>
      <c r="P16" s="28"/>
      <c r="Q16" s="28"/>
      <c r="R16" s="28"/>
      <c r="S16" s="28"/>
      <c r="T16" s="28"/>
      <c r="U16" s="28"/>
      <c r="V16" s="28"/>
      <c r="W16" s="28"/>
      <c r="X16" s="28"/>
    </row>
    <row r="17" customFormat="false" ht="15" hidden="false" customHeight="false" outlineLevel="0" collapsed="false">
      <c r="A17" s="38" t="str">
        <f aca="false">IF('STUDENT SCREENING'!A17="","",'STUDENT SCREENING'!A17)</f>
        <v/>
      </c>
      <c r="B17" s="38" t="str">
        <f aca="false">IF('STUDENT SCREENING'!I17="","",'STUDENT SCREENING'!I17)</f>
        <v/>
      </c>
      <c r="C17" s="38" t="str">
        <f aca="false">IF('STUDENT SCREENING'!F17="","",'STUDENT SCREENING'!F17)</f>
        <v/>
      </c>
      <c r="D17" s="38" t="str">
        <f aca="false">IF('STUDENT SCREENING'!G17="","",'STUDENT SCREENING'!G17)</f>
        <v/>
      </c>
      <c r="E17" s="38" t="str">
        <f aca="false">IF('STUDENT SCREENING'!C17="","",'STUDENT SCREENING'!C17)</f>
        <v/>
      </c>
      <c r="F17" s="38" t="str">
        <f aca="false">IF('STUDENT SCREENING'!J17="","",'STUDENT SCREENING'!J17)</f>
        <v/>
      </c>
      <c r="G17" s="38" t="str">
        <f aca="false">IF('STUDENT SCREENING'!K17="","",'STUDENT SCREENING'!K17)</f>
        <v/>
      </c>
      <c r="H17" s="38" t="str">
        <f aca="false">IF('STUDENT SCREENING'!S17="","",'STUDENT SCREENING'!S17)</f>
        <v/>
      </c>
      <c r="I17" s="38" t="str">
        <f aca="false">IF('STUDENT SCREENING'!T17="","",'STUDENT SCREENING'!T17)</f>
        <v/>
      </c>
      <c r="J17" s="38" t="str">
        <f aca="false">IF('STUDENT SCREENING'!BM17="","",'STUDENT SCREENING'!BM17)</f>
        <v/>
      </c>
      <c r="K17" s="38" t="str">
        <f aca="false">IF('STUDENT SCREENING'!BN17="","",'STUDENT SCREENING'!BN17)</f>
        <v/>
      </c>
      <c r="L17" s="38" t="str">
        <f aca="false">IF('STUDENT SCREENING'!BO17="","",'STUDENT SCREENING'!BO17)</f>
        <v/>
      </c>
      <c r="M17" s="38" t="str">
        <f aca="false">IF('STUDENT SCREENING'!BP17="","",'STUDENT SCREENING'!BP17)</f>
        <v/>
      </c>
      <c r="N17" s="38" t="str">
        <f aca="false">IF('STUDENT SCREENING'!BQ17="","",'STUDENT SCREENING'!BQ17)</f>
        <v/>
      </c>
      <c r="O17" s="38" t="str">
        <f aca="false">IF('STUDENT SCREENING'!BR17="","",'STUDENT SCREENING'!BR17)</f>
        <v/>
      </c>
      <c r="P17" s="32"/>
      <c r="Q17" s="32"/>
      <c r="R17" s="32"/>
      <c r="S17" s="32"/>
      <c r="T17" s="32"/>
      <c r="U17" s="32"/>
      <c r="V17" s="32"/>
      <c r="W17" s="32"/>
      <c r="X17" s="32"/>
    </row>
    <row r="18" customFormat="false" ht="15" hidden="false" customHeight="false" outlineLevel="0" collapsed="false">
      <c r="A18" s="37" t="str">
        <f aca="false">IF('STUDENT SCREENING'!A18="","",'STUDENT SCREENING'!A18)</f>
        <v/>
      </c>
      <c r="B18" s="37" t="str">
        <f aca="false">IF('STUDENT SCREENING'!I18="","",'STUDENT SCREENING'!I18)</f>
        <v/>
      </c>
      <c r="C18" s="37" t="str">
        <f aca="false">IF('STUDENT SCREENING'!F18="","",'STUDENT SCREENING'!F18)</f>
        <v/>
      </c>
      <c r="D18" s="37" t="str">
        <f aca="false">IF('STUDENT SCREENING'!G18="","",'STUDENT SCREENING'!G18)</f>
        <v/>
      </c>
      <c r="E18" s="37" t="str">
        <f aca="false">IF('STUDENT SCREENING'!C18="","",'STUDENT SCREENING'!C18)</f>
        <v/>
      </c>
      <c r="F18" s="37" t="str">
        <f aca="false">IF('STUDENT SCREENING'!J18="","",'STUDENT SCREENING'!J18)</f>
        <v/>
      </c>
      <c r="G18" s="37" t="str">
        <f aca="false">IF('STUDENT SCREENING'!K18="","",'STUDENT SCREENING'!K18)</f>
        <v/>
      </c>
      <c r="H18" s="37" t="str">
        <f aca="false">IF('STUDENT SCREENING'!S18="","",'STUDENT SCREENING'!S18)</f>
        <v/>
      </c>
      <c r="I18" s="37" t="str">
        <f aca="false">IF('STUDENT SCREENING'!T18="","",'STUDENT SCREENING'!T18)</f>
        <v/>
      </c>
      <c r="J18" s="37" t="str">
        <f aca="false">IF('STUDENT SCREENING'!BM18="","",'STUDENT SCREENING'!BM18)</f>
        <v/>
      </c>
      <c r="K18" s="37" t="str">
        <f aca="false">IF('STUDENT SCREENING'!BN18="","",'STUDENT SCREENING'!BN18)</f>
        <v/>
      </c>
      <c r="L18" s="37" t="str">
        <f aca="false">IF('STUDENT SCREENING'!BO18="","",'STUDENT SCREENING'!BO18)</f>
        <v/>
      </c>
      <c r="M18" s="37" t="str">
        <f aca="false">IF('STUDENT SCREENING'!BP18="","",'STUDENT SCREENING'!BP18)</f>
        <v/>
      </c>
      <c r="N18" s="37" t="str">
        <f aca="false">IF('STUDENT SCREENING'!BQ18="","",'STUDENT SCREENING'!BQ18)</f>
        <v/>
      </c>
      <c r="O18" s="37" t="str">
        <f aca="false">IF('STUDENT SCREENING'!BR18="","",'STUDENT SCREENING'!BR18)</f>
        <v/>
      </c>
      <c r="P18" s="28"/>
      <c r="Q18" s="28"/>
      <c r="R18" s="28"/>
      <c r="S18" s="28"/>
      <c r="T18" s="28"/>
      <c r="U18" s="28"/>
      <c r="V18" s="28"/>
      <c r="W18" s="28"/>
      <c r="X18" s="28"/>
    </row>
    <row r="19" customFormat="false" ht="15" hidden="false" customHeight="false" outlineLevel="0" collapsed="false">
      <c r="A19" s="38" t="str">
        <f aca="false">IF('STUDENT SCREENING'!A19="","",'STUDENT SCREENING'!A19)</f>
        <v/>
      </c>
      <c r="B19" s="38" t="str">
        <f aca="false">IF('STUDENT SCREENING'!I19="","",'STUDENT SCREENING'!I19)</f>
        <v/>
      </c>
      <c r="C19" s="38" t="str">
        <f aca="false">IF('STUDENT SCREENING'!F19="","",'STUDENT SCREENING'!F19)</f>
        <v/>
      </c>
      <c r="D19" s="38" t="str">
        <f aca="false">IF('STUDENT SCREENING'!G19="","",'STUDENT SCREENING'!G19)</f>
        <v/>
      </c>
      <c r="E19" s="38" t="str">
        <f aca="false">IF('STUDENT SCREENING'!C19="","",'STUDENT SCREENING'!C19)</f>
        <v/>
      </c>
      <c r="F19" s="38" t="str">
        <f aca="false">IF('STUDENT SCREENING'!J19="","",'STUDENT SCREENING'!J19)</f>
        <v/>
      </c>
      <c r="G19" s="38" t="str">
        <f aca="false">IF('STUDENT SCREENING'!K19="","",'STUDENT SCREENING'!K19)</f>
        <v/>
      </c>
      <c r="H19" s="38" t="str">
        <f aca="false">IF('STUDENT SCREENING'!S19="","",'STUDENT SCREENING'!S19)</f>
        <v/>
      </c>
      <c r="I19" s="38" t="str">
        <f aca="false">IF('STUDENT SCREENING'!T19="","",'STUDENT SCREENING'!T19)</f>
        <v/>
      </c>
      <c r="J19" s="38" t="str">
        <f aca="false">IF('STUDENT SCREENING'!BM19="","",'STUDENT SCREENING'!BM19)</f>
        <v/>
      </c>
      <c r="K19" s="38" t="str">
        <f aca="false">IF('STUDENT SCREENING'!BN19="","",'STUDENT SCREENING'!BN19)</f>
        <v/>
      </c>
      <c r="L19" s="38" t="str">
        <f aca="false">IF('STUDENT SCREENING'!BO19="","",'STUDENT SCREENING'!BO19)</f>
        <v/>
      </c>
      <c r="M19" s="38" t="str">
        <f aca="false">IF('STUDENT SCREENING'!BP19="","",'STUDENT SCREENING'!BP19)</f>
        <v/>
      </c>
      <c r="N19" s="38" t="str">
        <f aca="false">IF('STUDENT SCREENING'!BQ19="","",'STUDENT SCREENING'!BQ19)</f>
        <v/>
      </c>
      <c r="O19" s="38" t="str">
        <f aca="false">IF('STUDENT SCREENING'!BR19="","",'STUDENT SCREENING'!BR19)</f>
        <v/>
      </c>
      <c r="P19" s="32"/>
      <c r="Q19" s="32"/>
      <c r="R19" s="32"/>
      <c r="S19" s="32"/>
      <c r="T19" s="32"/>
      <c r="U19" s="32"/>
      <c r="V19" s="32"/>
      <c r="W19" s="32"/>
      <c r="X19" s="32"/>
    </row>
    <row r="20" customFormat="false" ht="15" hidden="false" customHeight="false" outlineLevel="0" collapsed="false">
      <c r="A20" s="37" t="str">
        <f aca="false">IF('STUDENT SCREENING'!A20="","",'STUDENT SCREENING'!A20)</f>
        <v/>
      </c>
      <c r="B20" s="37" t="str">
        <f aca="false">IF('STUDENT SCREENING'!I20="","",'STUDENT SCREENING'!I20)</f>
        <v/>
      </c>
      <c r="C20" s="37" t="str">
        <f aca="false">IF('STUDENT SCREENING'!F20="","",'STUDENT SCREENING'!F20)</f>
        <v/>
      </c>
      <c r="D20" s="37" t="str">
        <f aca="false">IF('STUDENT SCREENING'!G20="","",'STUDENT SCREENING'!G20)</f>
        <v/>
      </c>
      <c r="E20" s="37" t="str">
        <f aca="false">IF('STUDENT SCREENING'!C20="","",'STUDENT SCREENING'!C20)</f>
        <v/>
      </c>
      <c r="F20" s="37" t="str">
        <f aca="false">IF('STUDENT SCREENING'!J20="","",'STUDENT SCREENING'!J20)</f>
        <v/>
      </c>
      <c r="G20" s="37" t="str">
        <f aca="false">IF('STUDENT SCREENING'!K20="","",'STUDENT SCREENING'!K20)</f>
        <v/>
      </c>
      <c r="H20" s="37" t="str">
        <f aca="false">IF('STUDENT SCREENING'!S20="","",'STUDENT SCREENING'!S20)</f>
        <v/>
      </c>
      <c r="I20" s="37" t="str">
        <f aca="false">IF('STUDENT SCREENING'!T20="","",'STUDENT SCREENING'!T20)</f>
        <v/>
      </c>
      <c r="J20" s="37" t="str">
        <f aca="false">IF('STUDENT SCREENING'!BM20="","",'STUDENT SCREENING'!BM20)</f>
        <v/>
      </c>
      <c r="K20" s="37" t="str">
        <f aca="false">IF('STUDENT SCREENING'!BN20="","",'STUDENT SCREENING'!BN20)</f>
        <v/>
      </c>
      <c r="L20" s="37" t="str">
        <f aca="false">IF('STUDENT SCREENING'!BO20="","",'STUDENT SCREENING'!BO20)</f>
        <v/>
      </c>
      <c r="M20" s="37" t="str">
        <f aca="false">IF('STUDENT SCREENING'!BP20="","",'STUDENT SCREENING'!BP20)</f>
        <v/>
      </c>
      <c r="N20" s="37" t="str">
        <f aca="false">IF('STUDENT SCREENING'!BQ20="","",'STUDENT SCREENING'!BQ20)</f>
        <v/>
      </c>
      <c r="O20" s="37" t="str">
        <f aca="false">IF('STUDENT SCREENING'!BR20="","",'STUDENT SCREENING'!BR20)</f>
        <v/>
      </c>
      <c r="P20" s="28"/>
      <c r="Q20" s="28"/>
      <c r="R20" s="28"/>
      <c r="S20" s="28"/>
      <c r="T20" s="28"/>
      <c r="U20" s="28"/>
      <c r="V20" s="28"/>
      <c r="W20" s="28"/>
      <c r="X20" s="28"/>
    </row>
    <row r="21" customFormat="false" ht="15" hidden="false" customHeight="false" outlineLevel="0" collapsed="false">
      <c r="A21" s="38" t="str">
        <f aca="false">IF('STUDENT SCREENING'!A21="","",'STUDENT SCREENING'!A21)</f>
        <v/>
      </c>
      <c r="B21" s="38" t="str">
        <f aca="false">IF('STUDENT SCREENING'!I21="","",'STUDENT SCREENING'!I21)</f>
        <v/>
      </c>
      <c r="C21" s="38" t="str">
        <f aca="false">IF('STUDENT SCREENING'!F21="","",'STUDENT SCREENING'!F21)</f>
        <v/>
      </c>
      <c r="D21" s="38" t="str">
        <f aca="false">IF('STUDENT SCREENING'!G21="","",'STUDENT SCREENING'!G21)</f>
        <v/>
      </c>
      <c r="E21" s="38" t="str">
        <f aca="false">IF('STUDENT SCREENING'!C21="","",'STUDENT SCREENING'!C21)</f>
        <v/>
      </c>
      <c r="F21" s="38" t="str">
        <f aca="false">IF('STUDENT SCREENING'!J21="","",'STUDENT SCREENING'!J21)</f>
        <v/>
      </c>
      <c r="G21" s="38" t="str">
        <f aca="false">IF('STUDENT SCREENING'!K21="","",'STUDENT SCREENING'!K21)</f>
        <v/>
      </c>
      <c r="H21" s="38" t="str">
        <f aca="false">IF('STUDENT SCREENING'!S21="","",'STUDENT SCREENING'!S21)</f>
        <v/>
      </c>
      <c r="I21" s="38" t="str">
        <f aca="false">IF('STUDENT SCREENING'!T21="","",'STUDENT SCREENING'!T21)</f>
        <v/>
      </c>
      <c r="J21" s="38" t="str">
        <f aca="false">IF('STUDENT SCREENING'!BM21="","",'STUDENT SCREENING'!BM21)</f>
        <v/>
      </c>
      <c r="K21" s="38" t="str">
        <f aca="false">IF('STUDENT SCREENING'!BN21="","",'STUDENT SCREENING'!BN21)</f>
        <v/>
      </c>
      <c r="L21" s="38" t="str">
        <f aca="false">IF('STUDENT SCREENING'!BO21="","",'STUDENT SCREENING'!BO21)</f>
        <v/>
      </c>
      <c r="M21" s="38" t="str">
        <f aca="false">IF('STUDENT SCREENING'!BP21="","",'STUDENT SCREENING'!BP21)</f>
        <v/>
      </c>
      <c r="N21" s="38" t="str">
        <f aca="false">IF('STUDENT SCREENING'!BQ21="","",'STUDENT SCREENING'!BQ21)</f>
        <v/>
      </c>
      <c r="O21" s="38" t="str">
        <f aca="false">IF('STUDENT SCREENING'!BR21="","",'STUDENT SCREENING'!BR21)</f>
        <v/>
      </c>
      <c r="P21" s="32"/>
      <c r="Q21" s="32"/>
      <c r="R21" s="32"/>
      <c r="S21" s="32"/>
      <c r="T21" s="32"/>
      <c r="U21" s="32"/>
      <c r="V21" s="32"/>
      <c r="W21" s="32"/>
      <c r="X21" s="32"/>
    </row>
    <row r="22" customFormat="false" ht="15" hidden="false" customHeight="false" outlineLevel="0" collapsed="false">
      <c r="A22" s="37" t="str">
        <f aca="false">IF('STUDENT SCREENING'!A22="","",'STUDENT SCREENING'!A22)</f>
        <v/>
      </c>
      <c r="B22" s="37" t="str">
        <f aca="false">IF('STUDENT SCREENING'!I22="","",'STUDENT SCREENING'!I22)</f>
        <v/>
      </c>
      <c r="C22" s="37" t="str">
        <f aca="false">IF('STUDENT SCREENING'!F22="","",'STUDENT SCREENING'!F22)</f>
        <v/>
      </c>
      <c r="D22" s="37" t="str">
        <f aca="false">IF('STUDENT SCREENING'!G22="","",'STUDENT SCREENING'!G22)</f>
        <v/>
      </c>
      <c r="E22" s="37" t="str">
        <f aca="false">IF('STUDENT SCREENING'!C22="","",'STUDENT SCREENING'!C22)</f>
        <v/>
      </c>
      <c r="F22" s="37" t="str">
        <f aca="false">IF('STUDENT SCREENING'!J22="","",'STUDENT SCREENING'!J22)</f>
        <v/>
      </c>
      <c r="G22" s="37" t="str">
        <f aca="false">IF('STUDENT SCREENING'!K22="","",'STUDENT SCREENING'!K22)</f>
        <v/>
      </c>
      <c r="H22" s="37" t="str">
        <f aca="false">IF('STUDENT SCREENING'!S22="","",'STUDENT SCREENING'!S22)</f>
        <v/>
      </c>
      <c r="I22" s="37" t="str">
        <f aca="false">IF('STUDENT SCREENING'!T22="","",'STUDENT SCREENING'!T22)</f>
        <v/>
      </c>
      <c r="J22" s="37" t="str">
        <f aca="false">IF('STUDENT SCREENING'!BM22="","",'STUDENT SCREENING'!BM22)</f>
        <v/>
      </c>
      <c r="K22" s="37" t="str">
        <f aca="false">IF('STUDENT SCREENING'!BN22="","",'STUDENT SCREENING'!BN22)</f>
        <v/>
      </c>
      <c r="L22" s="37" t="str">
        <f aca="false">IF('STUDENT SCREENING'!BO22="","",'STUDENT SCREENING'!BO22)</f>
        <v/>
      </c>
      <c r="M22" s="37" t="str">
        <f aca="false">IF('STUDENT SCREENING'!BP22="","",'STUDENT SCREENING'!BP22)</f>
        <v/>
      </c>
      <c r="N22" s="37" t="str">
        <f aca="false">IF('STUDENT SCREENING'!BQ22="","",'STUDENT SCREENING'!BQ22)</f>
        <v/>
      </c>
      <c r="O22" s="37" t="str">
        <f aca="false">IF('STUDENT SCREENING'!BR22="","",'STUDENT SCREENING'!BR22)</f>
        <v/>
      </c>
      <c r="P22" s="28"/>
      <c r="Q22" s="28"/>
      <c r="R22" s="28"/>
      <c r="S22" s="28"/>
      <c r="T22" s="28"/>
      <c r="U22" s="28"/>
      <c r="V22" s="28"/>
      <c r="W22" s="28"/>
      <c r="X22" s="28"/>
    </row>
    <row r="23" customFormat="false" ht="15" hidden="false" customHeight="false" outlineLevel="0" collapsed="false">
      <c r="A23" s="38" t="str">
        <f aca="false">IF('STUDENT SCREENING'!A23="","",'STUDENT SCREENING'!A23)</f>
        <v/>
      </c>
      <c r="B23" s="38" t="str">
        <f aca="false">IF('STUDENT SCREENING'!I23="","",'STUDENT SCREENING'!I23)</f>
        <v/>
      </c>
      <c r="C23" s="38" t="str">
        <f aca="false">IF('STUDENT SCREENING'!F23="","",'STUDENT SCREENING'!F23)</f>
        <v/>
      </c>
      <c r="D23" s="38" t="str">
        <f aca="false">IF('STUDENT SCREENING'!G23="","",'STUDENT SCREENING'!G23)</f>
        <v/>
      </c>
      <c r="E23" s="38" t="str">
        <f aca="false">IF('STUDENT SCREENING'!C23="","",'STUDENT SCREENING'!C23)</f>
        <v/>
      </c>
      <c r="F23" s="38" t="str">
        <f aca="false">IF('STUDENT SCREENING'!J23="","",'STUDENT SCREENING'!J23)</f>
        <v/>
      </c>
      <c r="G23" s="38" t="str">
        <f aca="false">IF('STUDENT SCREENING'!K23="","",'STUDENT SCREENING'!K23)</f>
        <v/>
      </c>
      <c r="H23" s="38" t="str">
        <f aca="false">IF('STUDENT SCREENING'!S23="","",'STUDENT SCREENING'!S23)</f>
        <v/>
      </c>
      <c r="I23" s="38" t="str">
        <f aca="false">IF('STUDENT SCREENING'!T23="","",'STUDENT SCREENING'!T23)</f>
        <v/>
      </c>
      <c r="J23" s="38" t="str">
        <f aca="false">IF('STUDENT SCREENING'!BM23="","",'STUDENT SCREENING'!BM23)</f>
        <v/>
      </c>
      <c r="K23" s="38" t="str">
        <f aca="false">IF('STUDENT SCREENING'!BN23="","",'STUDENT SCREENING'!BN23)</f>
        <v/>
      </c>
      <c r="L23" s="38" t="str">
        <f aca="false">IF('STUDENT SCREENING'!BO23="","",'STUDENT SCREENING'!BO23)</f>
        <v/>
      </c>
      <c r="M23" s="38" t="str">
        <f aca="false">IF('STUDENT SCREENING'!BP23="","",'STUDENT SCREENING'!BP23)</f>
        <v/>
      </c>
      <c r="N23" s="38" t="str">
        <f aca="false">IF('STUDENT SCREENING'!BQ23="","",'STUDENT SCREENING'!BQ23)</f>
        <v/>
      </c>
      <c r="O23" s="38" t="str">
        <f aca="false">IF('STUDENT SCREENING'!BR23="","",'STUDENT SCREENING'!BR23)</f>
        <v/>
      </c>
      <c r="P23" s="32"/>
      <c r="Q23" s="32"/>
      <c r="R23" s="32"/>
      <c r="S23" s="32"/>
      <c r="T23" s="32"/>
      <c r="U23" s="32"/>
      <c r="V23" s="32"/>
      <c r="W23" s="32"/>
      <c r="X23" s="32"/>
    </row>
    <row r="24" customFormat="false" ht="15" hidden="false" customHeight="false" outlineLevel="0" collapsed="false">
      <c r="A24" s="37" t="str">
        <f aca="false">IF('STUDENT SCREENING'!A24="","",'STUDENT SCREENING'!A24)</f>
        <v/>
      </c>
      <c r="B24" s="37" t="str">
        <f aca="false">IF('STUDENT SCREENING'!I24="","",'STUDENT SCREENING'!I24)</f>
        <v/>
      </c>
      <c r="C24" s="37" t="str">
        <f aca="false">IF('STUDENT SCREENING'!F24="","",'STUDENT SCREENING'!F24)</f>
        <v/>
      </c>
      <c r="D24" s="37" t="str">
        <f aca="false">IF('STUDENT SCREENING'!G24="","",'STUDENT SCREENING'!G24)</f>
        <v/>
      </c>
      <c r="E24" s="37" t="str">
        <f aca="false">IF('STUDENT SCREENING'!C24="","",'STUDENT SCREENING'!C24)</f>
        <v/>
      </c>
      <c r="F24" s="37" t="str">
        <f aca="false">IF('STUDENT SCREENING'!J24="","",'STUDENT SCREENING'!J24)</f>
        <v/>
      </c>
      <c r="G24" s="37" t="str">
        <f aca="false">IF('STUDENT SCREENING'!K24="","",'STUDENT SCREENING'!K24)</f>
        <v/>
      </c>
      <c r="H24" s="37" t="str">
        <f aca="false">IF('STUDENT SCREENING'!S24="","",'STUDENT SCREENING'!S24)</f>
        <v/>
      </c>
      <c r="I24" s="37" t="str">
        <f aca="false">IF('STUDENT SCREENING'!T24="","",'STUDENT SCREENING'!T24)</f>
        <v/>
      </c>
      <c r="J24" s="37" t="str">
        <f aca="false">IF('STUDENT SCREENING'!BM24="","",'STUDENT SCREENING'!BM24)</f>
        <v/>
      </c>
      <c r="K24" s="37" t="str">
        <f aca="false">IF('STUDENT SCREENING'!BN24="","",'STUDENT SCREENING'!BN24)</f>
        <v/>
      </c>
      <c r="L24" s="37" t="str">
        <f aca="false">IF('STUDENT SCREENING'!BO24="","",'STUDENT SCREENING'!BO24)</f>
        <v/>
      </c>
      <c r="M24" s="37" t="str">
        <f aca="false">IF('STUDENT SCREENING'!BP24="","",'STUDENT SCREENING'!BP24)</f>
        <v/>
      </c>
      <c r="N24" s="37" t="str">
        <f aca="false">IF('STUDENT SCREENING'!BQ24="","",'STUDENT SCREENING'!BQ24)</f>
        <v/>
      </c>
      <c r="O24" s="37" t="str">
        <f aca="false">IF('STUDENT SCREENING'!BR24="","",'STUDENT SCREENING'!BR24)</f>
        <v/>
      </c>
      <c r="P24" s="28"/>
      <c r="Q24" s="28"/>
      <c r="R24" s="28"/>
      <c r="S24" s="28"/>
      <c r="T24" s="28"/>
      <c r="U24" s="28"/>
      <c r="V24" s="28"/>
      <c r="W24" s="28"/>
      <c r="X24" s="28"/>
    </row>
    <row r="25" customFormat="false" ht="15" hidden="false" customHeight="false" outlineLevel="0" collapsed="false">
      <c r="A25" s="38" t="str">
        <f aca="false">IF('STUDENT SCREENING'!A25="","",'STUDENT SCREENING'!A25)</f>
        <v/>
      </c>
      <c r="B25" s="38" t="str">
        <f aca="false">IF('STUDENT SCREENING'!I25="","",'STUDENT SCREENING'!I25)</f>
        <v/>
      </c>
      <c r="C25" s="38" t="str">
        <f aca="false">IF('STUDENT SCREENING'!F25="","",'STUDENT SCREENING'!F25)</f>
        <v/>
      </c>
      <c r="D25" s="38" t="str">
        <f aca="false">IF('STUDENT SCREENING'!G25="","",'STUDENT SCREENING'!G25)</f>
        <v/>
      </c>
      <c r="E25" s="38" t="str">
        <f aca="false">IF('STUDENT SCREENING'!C25="","",'STUDENT SCREENING'!C25)</f>
        <v/>
      </c>
      <c r="F25" s="38" t="str">
        <f aca="false">IF('STUDENT SCREENING'!J25="","",'STUDENT SCREENING'!J25)</f>
        <v/>
      </c>
      <c r="G25" s="38" t="str">
        <f aca="false">IF('STUDENT SCREENING'!K25="","",'STUDENT SCREENING'!K25)</f>
        <v/>
      </c>
      <c r="H25" s="38" t="str">
        <f aca="false">IF('STUDENT SCREENING'!S25="","",'STUDENT SCREENING'!S25)</f>
        <v/>
      </c>
      <c r="I25" s="38" t="str">
        <f aca="false">IF('STUDENT SCREENING'!T25="","",'STUDENT SCREENING'!T25)</f>
        <v/>
      </c>
      <c r="J25" s="38" t="str">
        <f aca="false">IF('STUDENT SCREENING'!BM25="","",'STUDENT SCREENING'!BM25)</f>
        <v/>
      </c>
      <c r="K25" s="38" t="str">
        <f aca="false">IF('STUDENT SCREENING'!BN25="","",'STUDENT SCREENING'!BN25)</f>
        <v/>
      </c>
      <c r="L25" s="38" t="str">
        <f aca="false">IF('STUDENT SCREENING'!BO25="","",'STUDENT SCREENING'!BO25)</f>
        <v/>
      </c>
      <c r="M25" s="38" t="str">
        <f aca="false">IF('STUDENT SCREENING'!BP25="","",'STUDENT SCREENING'!BP25)</f>
        <v/>
      </c>
      <c r="N25" s="38" t="str">
        <f aca="false">IF('STUDENT SCREENING'!BQ25="","",'STUDENT SCREENING'!BQ25)</f>
        <v/>
      </c>
      <c r="O25" s="38" t="str">
        <f aca="false">IF('STUDENT SCREENING'!BR25="","",'STUDENT SCREENING'!BR25)</f>
        <v/>
      </c>
      <c r="P25" s="32"/>
      <c r="Q25" s="32"/>
      <c r="R25" s="32"/>
      <c r="S25" s="32"/>
      <c r="T25" s="32"/>
      <c r="U25" s="32"/>
      <c r="V25" s="32"/>
      <c r="W25" s="32"/>
      <c r="X25" s="32"/>
    </row>
    <row r="26" customFormat="false" ht="15" hidden="false" customHeight="false" outlineLevel="0" collapsed="false">
      <c r="A26" s="37" t="str">
        <f aca="false">IF('STUDENT SCREENING'!A26="","",'STUDENT SCREENING'!A26)</f>
        <v/>
      </c>
      <c r="B26" s="37" t="str">
        <f aca="false">IF('STUDENT SCREENING'!I26="","",'STUDENT SCREENING'!I26)</f>
        <v/>
      </c>
      <c r="C26" s="37" t="str">
        <f aca="false">IF('STUDENT SCREENING'!F26="","",'STUDENT SCREENING'!F26)</f>
        <v/>
      </c>
      <c r="D26" s="37" t="str">
        <f aca="false">IF('STUDENT SCREENING'!G26="","",'STUDENT SCREENING'!G26)</f>
        <v/>
      </c>
      <c r="E26" s="37" t="str">
        <f aca="false">IF('STUDENT SCREENING'!C26="","",'STUDENT SCREENING'!C26)</f>
        <v/>
      </c>
      <c r="F26" s="37" t="str">
        <f aca="false">IF('STUDENT SCREENING'!J26="","",'STUDENT SCREENING'!J26)</f>
        <v/>
      </c>
      <c r="G26" s="37" t="str">
        <f aca="false">IF('STUDENT SCREENING'!K26="","",'STUDENT SCREENING'!K26)</f>
        <v/>
      </c>
      <c r="H26" s="37" t="str">
        <f aca="false">IF('STUDENT SCREENING'!S26="","",'STUDENT SCREENING'!S26)</f>
        <v/>
      </c>
      <c r="I26" s="37" t="str">
        <f aca="false">IF('STUDENT SCREENING'!T26="","",'STUDENT SCREENING'!T26)</f>
        <v/>
      </c>
      <c r="J26" s="37" t="str">
        <f aca="false">IF('STUDENT SCREENING'!BM26="","",'STUDENT SCREENING'!BM26)</f>
        <v/>
      </c>
      <c r="K26" s="37" t="str">
        <f aca="false">IF('STUDENT SCREENING'!BN26="","",'STUDENT SCREENING'!BN26)</f>
        <v/>
      </c>
      <c r="L26" s="37" t="str">
        <f aca="false">IF('STUDENT SCREENING'!BO26="","",'STUDENT SCREENING'!BO26)</f>
        <v/>
      </c>
      <c r="M26" s="37" t="str">
        <f aca="false">IF('STUDENT SCREENING'!BP26="","",'STUDENT SCREENING'!BP26)</f>
        <v/>
      </c>
      <c r="N26" s="37" t="str">
        <f aca="false">IF('STUDENT SCREENING'!BQ26="","",'STUDENT SCREENING'!BQ26)</f>
        <v/>
      </c>
      <c r="O26" s="37" t="str">
        <f aca="false">IF('STUDENT SCREENING'!BR26="","",'STUDENT SCREENING'!BR26)</f>
        <v/>
      </c>
      <c r="P26" s="28"/>
      <c r="Q26" s="28"/>
      <c r="R26" s="28"/>
      <c r="S26" s="28"/>
      <c r="T26" s="28"/>
      <c r="U26" s="28"/>
      <c r="V26" s="28"/>
      <c r="W26" s="28"/>
      <c r="X26" s="28"/>
    </row>
    <row r="27" customFormat="false" ht="15" hidden="false" customHeight="false" outlineLevel="0" collapsed="false">
      <c r="A27" s="38" t="str">
        <f aca="false">IF('STUDENT SCREENING'!A27="","",'STUDENT SCREENING'!A27)</f>
        <v/>
      </c>
      <c r="B27" s="38" t="str">
        <f aca="false">IF('STUDENT SCREENING'!I27="","",'STUDENT SCREENING'!I27)</f>
        <v/>
      </c>
      <c r="C27" s="38" t="str">
        <f aca="false">IF('STUDENT SCREENING'!F27="","",'STUDENT SCREENING'!F27)</f>
        <v/>
      </c>
      <c r="D27" s="38" t="str">
        <f aca="false">IF('STUDENT SCREENING'!G27="","",'STUDENT SCREENING'!G27)</f>
        <v/>
      </c>
      <c r="E27" s="38" t="str">
        <f aca="false">IF('STUDENT SCREENING'!C27="","",'STUDENT SCREENING'!C27)</f>
        <v/>
      </c>
      <c r="F27" s="38" t="str">
        <f aca="false">IF('STUDENT SCREENING'!J27="","",'STUDENT SCREENING'!J27)</f>
        <v/>
      </c>
      <c r="G27" s="38" t="str">
        <f aca="false">IF('STUDENT SCREENING'!K27="","",'STUDENT SCREENING'!K27)</f>
        <v/>
      </c>
      <c r="H27" s="38" t="str">
        <f aca="false">IF('STUDENT SCREENING'!S27="","",'STUDENT SCREENING'!S27)</f>
        <v/>
      </c>
      <c r="I27" s="38" t="str">
        <f aca="false">IF('STUDENT SCREENING'!T27="","",'STUDENT SCREENING'!T27)</f>
        <v/>
      </c>
      <c r="J27" s="38" t="str">
        <f aca="false">IF('STUDENT SCREENING'!BM27="","",'STUDENT SCREENING'!BM27)</f>
        <v/>
      </c>
      <c r="K27" s="38" t="str">
        <f aca="false">IF('STUDENT SCREENING'!BN27="","",'STUDENT SCREENING'!BN27)</f>
        <v/>
      </c>
      <c r="L27" s="38" t="str">
        <f aca="false">IF('STUDENT SCREENING'!BO27="","",'STUDENT SCREENING'!BO27)</f>
        <v/>
      </c>
      <c r="M27" s="38" t="str">
        <f aca="false">IF('STUDENT SCREENING'!BP27="","",'STUDENT SCREENING'!BP27)</f>
        <v/>
      </c>
      <c r="N27" s="38" t="str">
        <f aca="false">IF('STUDENT SCREENING'!BQ27="","",'STUDENT SCREENING'!BQ27)</f>
        <v/>
      </c>
      <c r="O27" s="38" t="str">
        <f aca="false">IF('STUDENT SCREENING'!BR27="","",'STUDENT SCREENING'!BR27)</f>
        <v/>
      </c>
      <c r="P27" s="32"/>
      <c r="Q27" s="32"/>
      <c r="R27" s="32"/>
      <c r="S27" s="32"/>
      <c r="T27" s="32"/>
      <c r="U27" s="32"/>
      <c r="V27" s="32"/>
      <c r="W27" s="32"/>
      <c r="X27" s="32"/>
    </row>
    <row r="28" customFormat="false" ht="15" hidden="false" customHeight="false" outlineLevel="0" collapsed="false">
      <c r="A28" s="37" t="str">
        <f aca="false">IF('STUDENT SCREENING'!A28="","",'STUDENT SCREENING'!A28)</f>
        <v/>
      </c>
      <c r="B28" s="37" t="str">
        <f aca="false">IF('STUDENT SCREENING'!I28="","",'STUDENT SCREENING'!I28)</f>
        <v/>
      </c>
      <c r="C28" s="37" t="str">
        <f aca="false">IF('STUDENT SCREENING'!F28="","",'STUDENT SCREENING'!F28)</f>
        <v/>
      </c>
      <c r="D28" s="37" t="str">
        <f aca="false">IF('STUDENT SCREENING'!G28="","",'STUDENT SCREENING'!G28)</f>
        <v/>
      </c>
      <c r="E28" s="37" t="str">
        <f aca="false">IF('STUDENT SCREENING'!C28="","",'STUDENT SCREENING'!C28)</f>
        <v/>
      </c>
      <c r="F28" s="37" t="str">
        <f aca="false">IF('STUDENT SCREENING'!J28="","",'STUDENT SCREENING'!J28)</f>
        <v/>
      </c>
      <c r="G28" s="37" t="str">
        <f aca="false">IF('STUDENT SCREENING'!K28="","",'STUDENT SCREENING'!K28)</f>
        <v/>
      </c>
      <c r="H28" s="37" t="str">
        <f aca="false">IF('STUDENT SCREENING'!S28="","",'STUDENT SCREENING'!S28)</f>
        <v/>
      </c>
      <c r="I28" s="37" t="str">
        <f aca="false">IF('STUDENT SCREENING'!T28="","",'STUDENT SCREENING'!T28)</f>
        <v/>
      </c>
      <c r="J28" s="37" t="str">
        <f aca="false">IF('STUDENT SCREENING'!BM28="","",'STUDENT SCREENING'!BM28)</f>
        <v/>
      </c>
      <c r="K28" s="37" t="str">
        <f aca="false">IF('STUDENT SCREENING'!BN28="","",'STUDENT SCREENING'!BN28)</f>
        <v/>
      </c>
      <c r="L28" s="37" t="str">
        <f aca="false">IF('STUDENT SCREENING'!BO28="","",'STUDENT SCREENING'!BO28)</f>
        <v/>
      </c>
      <c r="M28" s="37" t="str">
        <f aca="false">IF('STUDENT SCREENING'!BP28="","",'STUDENT SCREENING'!BP28)</f>
        <v/>
      </c>
      <c r="N28" s="37" t="str">
        <f aca="false">IF('STUDENT SCREENING'!BQ28="","",'STUDENT SCREENING'!BQ28)</f>
        <v/>
      </c>
      <c r="O28" s="37" t="str">
        <f aca="false">IF('STUDENT SCREENING'!BR28="","",'STUDENT SCREENING'!BR28)</f>
        <v/>
      </c>
      <c r="P28" s="28"/>
      <c r="Q28" s="28"/>
      <c r="R28" s="28"/>
      <c r="S28" s="28"/>
      <c r="T28" s="28"/>
      <c r="U28" s="28"/>
      <c r="V28" s="28"/>
      <c r="W28" s="28"/>
      <c r="X28" s="28"/>
    </row>
    <row r="29" customFormat="false" ht="15" hidden="false" customHeight="false" outlineLevel="0" collapsed="false">
      <c r="A29" s="38" t="str">
        <f aca="false">IF('STUDENT SCREENING'!A29="","",'STUDENT SCREENING'!A29)</f>
        <v/>
      </c>
      <c r="B29" s="38" t="str">
        <f aca="false">IF('STUDENT SCREENING'!I29="","",'STUDENT SCREENING'!I29)</f>
        <v/>
      </c>
      <c r="C29" s="38" t="str">
        <f aca="false">IF('STUDENT SCREENING'!F29="","",'STUDENT SCREENING'!F29)</f>
        <v/>
      </c>
      <c r="D29" s="38" t="str">
        <f aca="false">IF('STUDENT SCREENING'!G29="","",'STUDENT SCREENING'!G29)</f>
        <v/>
      </c>
      <c r="E29" s="38" t="str">
        <f aca="false">IF('STUDENT SCREENING'!C29="","",'STUDENT SCREENING'!C29)</f>
        <v/>
      </c>
      <c r="F29" s="38" t="str">
        <f aca="false">IF('STUDENT SCREENING'!J29="","",'STUDENT SCREENING'!J29)</f>
        <v/>
      </c>
      <c r="G29" s="38" t="str">
        <f aca="false">IF('STUDENT SCREENING'!K29="","",'STUDENT SCREENING'!K29)</f>
        <v/>
      </c>
      <c r="H29" s="38" t="str">
        <f aca="false">IF('STUDENT SCREENING'!S29="","",'STUDENT SCREENING'!S29)</f>
        <v/>
      </c>
      <c r="I29" s="38" t="str">
        <f aca="false">IF('STUDENT SCREENING'!T29="","",'STUDENT SCREENING'!T29)</f>
        <v/>
      </c>
      <c r="J29" s="38" t="str">
        <f aca="false">IF('STUDENT SCREENING'!BM29="","",'STUDENT SCREENING'!BM29)</f>
        <v/>
      </c>
      <c r="K29" s="38" t="str">
        <f aca="false">IF('STUDENT SCREENING'!BN29="","",'STUDENT SCREENING'!BN29)</f>
        <v/>
      </c>
      <c r="L29" s="38" t="str">
        <f aca="false">IF('STUDENT SCREENING'!BO29="","",'STUDENT SCREENING'!BO29)</f>
        <v/>
      </c>
      <c r="M29" s="38" t="str">
        <f aca="false">IF('STUDENT SCREENING'!BP29="","",'STUDENT SCREENING'!BP29)</f>
        <v/>
      </c>
      <c r="N29" s="38" t="str">
        <f aca="false">IF('STUDENT SCREENING'!BQ29="","",'STUDENT SCREENING'!BQ29)</f>
        <v/>
      </c>
      <c r="O29" s="38" t="str">
        <f aca="false">IF('STUDENT SCREENING'!BR29="","",'STUDENT SCREENING'!BR29)</f>
        <v/>
      </c>
      <c r="P29" s="32"/>
      <c r="Q29" s="32"/>
      <c r="R29" s="32"/>
      <c r="S29" s="32"/>
      <c r="T29" s="32"/>
      <c r="U29" s="32"/>
      <c r="V29" s="32"/>
      <c r="W29" s="32"/>
      <c r="X29" s="32"/>
    </row>
    <row r="30" customFormat="false" ht="15" hidden="false" customHeight="false" outlineLevel="0" collapsed="false">
      <c r="A30" s="37" t="str">
        <f aca="false">IF('STUDENT SCREENING'!A30="","",'STUDENT SCREENING'!A30)</f>
        <v/>
      </c>
      <c r="B30" s="37" t="str">
        <f aca="false">IF('STUDENT SCREENING'!I30="","",'STUDENT SCREENING'!I30)</f>
        <v/>
      </c>
      <c r="C30" s="37" t="str">
        <f aca="false">IF('STUDENT SCREENING'!F30="","",'STUDENT SCREENING'!F30)</f>
        <v/>
      </c>
      <c r="D30" s="37" t="str">
        <f aca="false">IF('STUDENT SCREENING'!G30="","",'STUDENT SCREENING'!G30)</f>
        <v/>
      </c>
      <c r="E30" s="37" t="str">
        <f aca="false">IF('STUDENT SCREENING'!C30="","",'STUDENT SCREENING'!C30)</f>
        <v/>
      </c>
      <c r="F30" s="37" t="str">
        <f aca="false">IF('STUDENT SCREENING'!J30="","",'STUDENT SCREENING'!J30)</f>
        <v/>
      </c>
      <c r="G30" s="37" t="str">
        <f aca="false">IF('STUDENT SCREENING'!K30="","",'STUDENT SCREENING'!K30)</f>
        <v/>
      </c>
      <c r="H30" s="37" t="str">
        <f aca="false">IF('STUDENT SCREENING'!S30="","",'STUDENT SCREENING'!S30)</f>
        <v/>
      </c>
      <c r="I30" s="37" t="str">
        <f aca="false">IF('STUDENT SCREENING'!T30="","",'STUDENT SCREENING'!T30)</f>
        <v/>
      </c>
      <c r="J30" s="37" t="str">
        <f aca="false">IF('STUDENT SCREENING'!BM30="","",'STUDENT SCREENING'!BM30)</f>
        <v/>
      </c>
      <c r="K30" s="37" t="str">
        <f aca="false">IF('STUDENT SCREENING'!BN30="","",'STUDENT SCREENING'!BN30)</f>
        <v/>
      </c>
      <c r="L30" s="37" t="str">
        <f aca="false">IF('STUDENT SCREENING'!BO30="","",'STUDENT SCREENING'!BO30)</f>
        <v/>
      </c>
      <c r="M30" s="37" t="str">
        <f aca="false">IF('STUDENT SCREENING'!BP30="","",'STUDENT SCREENING'!BP30)</f>
        <v/>
      </c>
      <c r="N30" s="37" t="str">
        <f aca="false">IF('STUDENT SCREENING'!BQ30="","",'STUDENT SCREENING'!BQ30)</f>
        <v/>
      </c>
      <c r="O30" s="37" t="str">
        <f aca="false">IF('STUDENT SCREENING'!BR30="","",'STUDENT SCREENING'!BR30)</f>
        <v/>
      </c>
      <c r="P30" s="28"/>
      <c r="Q30" s="28"/>
      <c r="R30" s="28"/>
      <c r="S30" s="28"/>
      <c r="T30" s="28"/>
      <c r="U30" s="28"/>
      <c r="V30" s="28"/>
      <c r="W30" s="28"/>
      <c r="X30" s="28"/>
    </row>
    <row r="31" customFormat="false" ht="15" hidden="false" customHeight="false" outlineLevel="0" collapsed="false">
      <c r="A31" s="38" t="str">
        <f aca="false">IF('STUDENT SCREENING'!A31="","",'STUDENT SCREENING'!A31)</f>
        <v/>
      </c>
      <c r="B31" s="38" t="str">
        <f aca="false">IF('STUDENT SCREENING'!I31="","",'STUDENT SCREENING'!I31)</f>
        <v/>
      </c>
      <c r="C31" s="38" t="str">
        <f aca="false">IF('STUDENT SCREENING'!F31="","",'STUDENT SCREENING'!F31)</f>
        <v/>
      </c>
      <c r="D31" s="38" t="str">
        <f aca="false">IF('STUDENT SCREENING'!G31="","",'STUDENT SCREENING'!G31)</f>
        <v/>
      </c>
      <c r="E31" s="38" t="str">
        <f aca="false">IF('STUDENT SCREENING'!C31="","",'STUDENT SCREENING'!C31)</f>
        <v/>
      </c>
      <c r="F31" s="38" t="str">
        <f aca="false">IF('STUDENT SCREENING'!J31="","",'STUDENT SCREENING'!J31)</f>
        <v/>
      </c>
      <c r="G31" s="38" t="str">
        <f aca="false">IF('STUDENT SCREENING'!K31="","",'STUDENT SCREENING'!K31)</f>
        <v/>
      </c>
      <c r="H31" s="38" t="str">
        <f aca="false">IF('STUDENT SCREENING'!S31="","",'STUDENT SCREENING'!S31)</f>
        <v/>
      </c>
      <c r="I31" s="38" t="str">
        <f aca="false">IF('STUDENT SCREENING'!T31="","",'STUDENT SCREENING'!T31)</f>
        <v/>
      </c>
      <c r="J31" s="38" t="str">
        <f aca="false">IF('STUDENT SCREENING'!BM31="","",'STUDENT SCREENING'!BM31)</f>
        <v/>
      </c>
      <c r="K31" s="38" t="str">
        <f aca="false">IF('STUDENT SCREENING'!BN31="","",'STUDENT SCREENING'!BN31)</f>
        <v/>
      </c>
      <c r="L31" s="38" t="str">
        <f aca="false">IF('STUDENT SCREENING'!BO31="","",'STUDENT SCREENING'!BO31)</f>
        <v/>
      </c>
      <c r="M31" s="38" t="str">
        <f aca="false">IF('STUDENT SCREENING'!BP31="","",'STUDENT SCREENING'!BP31)</f>
        <v/>
      </c>
      <c r="N31" s="38" t="str">
        <f aca="false">IF('STUDENT SCREENING'!BQ31="","",'STUDENT SCREENING'!BQ31)</f>
        <v/>
      </c>
      <c r="O31" s="38" t="str">
        <f aca="false">IF('STUDENT SCREENING'!BR31="","",'STUDENT SCREENING'!BR31)</f>
        <v/>
      </c>
      <c r="P31" s="32"/>
      <c r="Q31" s="32"/>
      <c r="R31" s="32"/>
      <c r="S31" s="32"/>
      <c r="T31" s="32"/>
      <c r="U31" s="32"/>
      <c r="V31" s="32"/>
      <c r="W31" s="32"/>
      <c r="X31" s="32"/>
    </row>
    <row r="32" customFormat="false" ht="15" hidden="false" customHeight="false" outlineLevel="0" collapsed="false">
      <c r="A32" s="37" t="str">
        <f aca="false">IF('STUDENT SCREENING'!A32="","",'STUDENT SCREENING'!A32)</f>
        <v/>
      </c>
      <c r="B32" s="37" t="str">
        <f aca="false">IF('STUDENT SCREENING'!I32="","",'STUDENT SCREENING'!I32)</f>
        <v/>
      </c>
      <c r="C32" s="37" t="str">
        <f aca="false">IF('STUDENT SCREENING'!F32="","",'STUDENT SCREENING'!F32)</f>
        <v/>
      </c>
      <c r="D32" s="37" t="str">
        <f aca="false">IF('STUDENT SCREENING'!G32="","",'STUDENT SCREENING'!G32)</f>
        <v/>
      </c>
      <c r="E32" s="37" t="str">
        <f aca="false">IF('STUDENT SCREENING'!C32="","",'STUDENT SCREENING'!C32)</f>
        <v/>
      </c>
      <c r="F32" s="37" t="str">
        <f aca="false">IF('STUDENT SCREENING'!J32="","",'STUDENT SCREENING'!J32)</f>
        <v/>
      </c>
      <c r="G32" s="37" t="str">
        <f aca="false">IF('STUDENT SCREENING'!K32="","",'STUDENT SCREENING'!K32)</f>
        <v/>
      </c>
      <c r="H32" s="37" t="str">
        <f aca="false">IF('STUDENT SCREENING'!S32="","",'STUDENT SCREENING'!S32)</f>
        <v/>
      </c>
      <c r="I32" s="37" t="str">
        <f aca="false">IF('STUDENT SCREENING'!T32="","",'STUDENT SCREENING'!T32)</f>
        <v/>
      </c>
      <c r="J32" s="37" t="str">
        <f aca="false">IF('STUDENT SCREENING'!BM32="","",'STUDENT SCREENING'!BM32)</f>
        <v/>
      </c>
      <c r="K32" s="37" t="str">
        <f aca="false">IF('STUDENT SCREENING'!BN32="","",'STUDENT SCREENING'!BN32)</f>
        <v/>
      </c>
      <c r="L32" s="37" t="str">
        <f aca="false">IF('STUDENT SCREENING'!BO32="","",'STUDENT SCREENING'!BO32)</f>
        <v/>
      </c>
      <c r="M32" s="37" t="str">
        <f aca="false">IF('STUDENT SCREENING'!BP32="","",'STUDENT SCREENING'!BP32)</f>
        <v/>
      </c>
      <c r="N32" s="37" t="str">
        <f aca="false">IF('STUDENT SCREENING'!BQ32="","",'STUDENT SCREENING'!BQ32)</f>
        <v/>
      </c>
      <c r="O32" s="37" t="str">
        <f aca="false">IF('STUDENT SCREENING'!BR32="","",'STUDENT SCREENING'!BR32)</f>
        <v/>
      </c>
      <c r="P32" s="28"/>
      <c r="Q32" s="28"/>
      <c r="R32" s="28"/>
      <c r="S32" s="28"/>
      <c r="T32" s="28"/>
      <c r="U32" s="28"/>
      <c r="V32" s="28"/>
      <c r="W32" s="28"/>
      <c r="X32" s="28"/>
    </row>
    <row r="33" customFormat="false" ht="15" hidden="false" customHeight="false" outlineLevel="0" collapsed="false">
      <c r="A33" s="38" t="str">
        <f aca="false">IF('STUDENT SCREENING'!A33="","",'STUDENT SCREENING'!A33)</f>
        <v/>
      </c>
      <c r="B33" s="38" t="str">
        <f aca="false">IF('STUDENT SCREENING'!I33="","",'STUDENT SCREENING'!I33)</f>
        <v/>
      </c>
      <c r="C33" s="38" t="str">
        <f aca="false">IF('STUDENT SCREENING'!F33="","",'STUDENT SCREENING'!F33)</f>
        <v/>
      </c>
      <c r="D33" s="38" t="str">
        <f aca="false">IF('STUDENT SCREENING'!G33="","",'STUDENT SCREENING'!G33)</f>
        <v/>
      </c>
      <c r="E33" s="38" t="str">
        <f aca="false">IF('STUDENT SCREENING'!C33="","",'STUDENT SCREENING'!C33)</f>
        <v/>
      </c>
      <c r="F33" s="38" t="str">
        <f aca="false">IF('STUDENT SCREENING'!J33="","",'STUDENT SCREENING'!J33)</f>
        <v/>
      </c>
      <c r="G33" s="38" t="str">
        <f aca="false">IF('STUDENT SCREENING'!K33="","",'STUDENT SCREENING'!K33)</f>
        <v/>
      </c>
      <c r="H33" s="38" t="str">
        <f aca="false">IF('STUDENT SCREENING'!S33="","",'STUDENT SCREENING'!S33)</f>
        <v/>
      </c>
      <c r="I33" s="38" t="str">
        <f aca="false">IF('STUDENT SCREENING'!T33="","",'STUDENT SCREENING'!T33)</f>
        <v/>
      </c>
      <c r="J33" s="38" t="str">
        <f aca="false">IF('STUDENT SCREENING'!BM33="","",'STUDENT SCREENING'!BM33)</f>
        <v/>
      </c>
      <c r="K33" s="38" t="str">
        <f aca="false">IF('STUDENT SCREENING'!BN33="","",'STUDENT SCREENING'!BN33)</f>
        <v/>
      </c>
      <c r="L33" s="38" t="str">
        <f aca="false">IF('STUDENT SCREENING'!BO33="","",'STUDENT SCREENING'!BO33)</f>
        <v/>
      </c>
      <c r="M33" s="38" t="str">
        <f aca="false">IF('STUDENT SCREENING'!BP33="","",'STUDENT SCREENING'!BP33)</f>
        <v/>
      </c>
      <c r="N33" s="38" t="str">
        <f aca="false">IF('STUDENT SCREENING'!BQ33="","",'STUDENT SCREENING'!BQ33)</f>
        <v/>
      </c>
      <c r="O33" s="38" t="str">
        <f aca="false">IF('STUDENT SCREENING'!BR33="","",'STUDENT SCREENING'!BR33)</f>
        <v/>
      </c>
      <c r="P33" s="32"/>
      <c r="Q33" s="32"/>
      <c r="R33" s="32"/>
      <c r="S33" s="32"/>
      <c r="T33" s="32"/>
      <c r="U33" s="32"/>
      <c r="V33" s="32"/>
      <c r="W33" s="32"/>
      <c r="X33" s="32"/>
    </row>
    <row r="34" customFormat="false" ht="15" hidden="false" customHeight="false" outlineLevel="0" collapsed="false">
      <c r="A34" s="37" t="str">
        <f aca="false">IF('STUDENT SCREENING'!A34="","",'STUDENT SCREENING'!A34)</f>
        <v/>
      </c>
      <c r="B34" s="37" t="str">
        <f aca="false">IF('STUDENT SCREENING'!I34="","",'STUDENT SCREENING'!I34)</f>
        <v/>
      </c>
      <c r="C34" s="37" t="str">
        <f aca="false">IF('STUDENT SCREENING'!F34="","",'STUDENT SCREENING'!F34)</f>
        <v/>
      </c>
      <c r="D34" s="37" t="str">
        <f aca="false">IF('STUDENT SCREENING'!G34="","",'STUDENT SCREENING'!G34)</f>
        <v/>
      </c>
      <c r="E34" s="37" t="str">
        <f aca="false">IF('STUDENT SCREENING'!C34="","",'STUDENT SCREENING'!C34)</f>
        <v/>
      </c>
      <c r="F34" s="37" t="str">
        <f aca="false">IF('STUDENT SCREENING'!J34="","",'STUDENT SCREENING'!J34)</f>
        <v/>
      </c>
      <c r="G34" s="37" t="str">
        <f aca="false">IF('STUDENT SCREENING'!K34="","",'STUDENT SCREENING'!K34)</f>
        <v/>
      </c>
      <c r="H34" s="37" t="str">
        <f aca="false">IF('STUDENT SCREENING'!S34="","",'STUDENT SCREENING'!S34)</f>
        <v/>
      </c>
      <c r="I34" s="37" t="str">
        <f aca="false">IF('STUDENT SCREENING'!T34="","",'STUDENT SCREENING'!T34)</f>
        <v/>
      </c>
      <c r="J34" s="37" t="str">
        <f aca="false">IF('STUDENT SCREENING'!BM34="","",'STUDENT SCREENING'!BM34)</f>
        <v/>
      </c>
      <c r="K34" s="37" t="str">
        <f aca="false">IF('STUDENT SCREENING'!BN34="","",'STUDENT SCREENING'!BN34)</f>
        <v/>
      </c>
      <c r="L34" s="37" t="str">
        <f aca="false">IF('STUDENT SCREENING'!BO34="","",'STUDENT SCREENING'!BO34)</f>
        <v/>
      </c>
      <c r="M34" s="37" t="str">
        <f aca="false">IF('STUDENT SCREENING'!BP34="","",'STUDENT SCREENING'!BP34)</f>
        <v/>
      </c>
      <c r="N34" s="37" t="str">
        <f aca="false">IF('STUDENT SCREENING'!BQ34="","",'STUDENT SCREENING'!BQ34)</f>
        <v/>
      </c>
      <c r="O34" s="37" t="str">
        <f aca="false">IF('STUDENT SCREENING'!BR34="","",'STUDENT SCREENING'!BR34)</f>
        <v/>
      </c>
      <c r="P34" s="28"/>
      <c r="Q34" s="28"/>
      <c r="R34" s="28"/>
      <c r="S34" s="28"/>
      <c r="T34" s="28"/>
      <c r="U34" s="28"/>
      <c r="V34" s="28"/>
      <c r="W34" s="28"/>
      <c r="X34" s="28"/>
    </row>
    <row r="35" customFormat="false" ht="15" hidden="false" customHeight="false" outlineLevel="0" collapsed="false">
      <c r="A35" s="38" t="str">
        <f aca="false">IF('STUDENT SCREENING'!A35="","",'STUDENT SCREENING'!A35)</f>
        <v/>
      </c>
      <c r="B35" s="38" t="str">
        <f aca="false">IF('STUDENT SCREENING'!I35="","",'STUDENT SCREENING'!I35)</f>
        <v/>
      </c>
      <c r="C35" s="38" t="str">
        <f aca="false">IF('STUDENT SCREENING'!F35="","",'STUDENT SCREENING'!F35)</f>
        <v/>
      </c>
      <c r="D35" s="38" t="str">
        <f aca="false">IF('STUDENT SCREENING'!G35="","",'STUDENT SCREENING'!G35)</f>
        <v/>
      </c>
      <c r="E35" s="38" t="str">
        <f aca="false">IF('STUDENT SCREENING'!C35="","",'STUDENT SCREENING'!C35)</f>
        <v/>
      </c>
      <c r="F35" s="38" t="str">
        <f aca="false">IF('STUDENT SCREENING'!J35="","",'STUDENT SCREENING'!J35)</f>
        <v/>
      </c>
      <c r="G35" s="38" t="str">
        <f aca="false">IF('STUDENT SCREENING'!K35="","",'STUDENT SCREENING'!K35)</f>
        <v/>
      </c>
      <c r="H35" s="38" t="str">
        <f aca="false">IF('STUDENT SCREENING'!S35="","",'STUDENT SCREENING'!S35)</f>
        <v/>
      </c>
      <c r="I35" s="38" t="str">
        <f aca="false">IF('STUDENT SCREENING'!T35="","",'STUDENT SCREENING'!T35)</f>
        <v/>
      </c>
      <c r="J35" s="38" t="str">
        <f aca="false">IF('STUDENT SCREENING'!BM35="","",'STUDENT SCREENING'!BM35)</f>
        <v/>
      </c>
      <c r="K35" s="38" t="str">
        <f aca="false">IF('STUDENT SCREENING'!BN35="","",'STUDENT SCREENING'!BN35)</f>
        <v/>
      </c>
      <c r="L35" s="38" t="str">
        <f aca="false">IF('STUDENT SCREENING'!BO35="","",'STUDENT SCREENING'!BO35)</f>
        <v/>
      </c>
      <c r="M35" s="38" t="str">
        <f aca="false">IF('STUDENT SCREENING'!BP35="","",'STUDENT SCREENING'!BP35)</f>
        <v/>
      </c>
      <c r="N35" s="38" t="str">
        <f aca="false">IF('STUDENT SCREENING'!BQ35="","",'STUDENT SCREENING'!BQ35)</f>
        <v/>
      </c>
      <c r="O35" s="38" t="str">
        <f aca="false">IF('STUDENT SCREENING'!BR35="","",'STUDENT SCREENING'!BR35)</f>
        <v/>
      </c>
      <c r="P35" s="32"/>
      <c r="Q35" s="32"/>
      <c r="R35" s="32"/>
      <c r="S35" s="32"/>
      <c r="T35" s="32"/>
      <c r="U35" s="32"/>
      <c r="V35" s="32"/>
      <c r="W35" s="32"/>
      <c r="X35" s="32"/>
    </row>
    <row r="36" customFormat="false" ht="15" hidden="false" customHeight="false" outlineLevel="0" collapsed="false">
      <c r="A36" s="37" t="str">
        <f aca="false">IF('STUDENT SCREENING'!A36="","",'STUDENT SCREENING'!A36)</f>
        <v/>
      </c>
      <c r="B36" s="37" t="str">
        <f aca="false">IF('STUDENT SCREENING'!I36="","",'STUDENT SCREENING'!I36)</f>
        <v/>
      </c>
      <c r="C36" s="37" t="str">
        <f aca="false">IF('STUDENT SCREENING'!F36="","",'STUDENT SCREENING'!F36)</f>
        <v/>
      </c>
      <c r="D36" s="37" t="str">
        <f aca="false">IF('STUDENT SCREENING'!G36="","",'STUDENT SCREENING'!G36)</f>
        <v/>
      </c>
      <c r="E36" s="37" t="str">
        <f aca="false">IF('STUDENT SCREENING'!C36="","",'STUDENT SCREENING'!C36)</f>
        <v/>
      </c>
      <c r="F36" s="37" t="str">
        <f aca="false">IF('STUDENT SCREENING'!J36="","",'STUDENT SCREENING'!J36)</f>
        <v/>
      </c>
      <c r="G36" s="37" t="str">
        <f aca="false">IF('STUDENT SCREENING'!K36="","",'STUDENT SCREENING'!K36)</f>
        <v/>
      </c>
      <c r="H36" s="37" t="str">
        <f aca="false">IF('STUDENT SCREENING'!S36="","",'STUDENT SCREENING'!S36)</f>
        <v/>
      </c>
      <c r="I36" s="37" t="str">
        <f aca="false">IF('STUDENT SCREENING'!T36="","",'STUDENT SCREENING'!T36)</f>
        <v/>
      </c>
      <c r="J36" s="37" t="str">
        <f aca="false">IF('STUDENT SCREENING'!BM36="","",'STUDENT SCREENING'!BM36)</f>
        <v/>
      </c>
      <c r="K36" s="37" t="str">
        <f aca="false">IF('STUDENT SCREENING'!BN36="","",'STUDENT SCREENING'!BN36)</f>
        <v/>
      </c>
      <c r="L36" s="37" t="str">
        <f aca="false">IF('STUDENT SCREENING'!BO36="","",'STUDENT SCREENING'!BO36)</f>
        <v/>
      </c>
      <c r="M36" s="37" t="str">
        <f aca="false">IF('STUDENT SCREENING'!BP36="","",'STUDENT SCREENING'!BP36)</f>
        <v/>
      </c>
      <c r="N36" s="37" t="str">
        <f aca="false">IF('STUDENT SCREENING'!BQ36="","",'STUDENT SCREENING'!BQ36)</f>
        <v/>
      </c>
      <c r="O36" s="37" t="str">
        <f aca="false">IF('STUDENT SCREENING'!BR36="","",'STUDENT SCREENING'!BR36)</f>
        <v/>
      </c>
      <c r="P36" s="28"/>
      <c r="Q36" s="28"/>
      <c r="R36" s="28"/>
      <c r="S36" s="28"/>
      <c r="T36" s="28"/>
      <c r="U36" s="28"/>
      <c r="V36" s="28"/>
      <c r="W36" s="28"/>
      <c r="X36" s="28"/>
    </row>
    <row r="37" customFormat="false" ht="15" hidden="false" customHeight="false" outlineLevel="0" collapsed="false">
      <c r="A37" s="38" t="str">
        <f aca="false">IF('STUDENT SCREENING'!A37="","",'STUDENT SCREENING'!A37)</f>
        <v/>
      </c>
      <c r="B37" s="38" t="str">
        <f aca="false">IF('STUDENT SCREENING'!I37="","",'STUDENT SCREENING'!I37)</f>
        <v/>
      </c>
      <c r="C37" s="38" t="str">
        <f aca="false">IF('STUDENT SCREENING'!F37="","",'STUDENT SCREENING'!F37)</f>
        <v/>
      </c>
      <c r="D37" s="38" t="str">
        <f aca="false">IF('STUDENT SCREENING'!G37="","",'STUDENT SCREENING'!G37)</f>
        <v/>
      </c>
      <c r="E37" s="38" t="str">
        <f aca="false">IF('STUDENT SCREENING'!C37="","",'STUDENT SCREENING'!C37)</f>
        <v/>
      </c>
      <c r="F37" s="38" t="str">
        <f aca="false">IF('STUDENT SCREENING'!J37="","",'STUDENT SCREENING'!J37)</f>
        <v/>
      </c>
      <c r="G37" s="38" t="str">
        <f aca="false">IF('STUDENT SCREENING'!K37="","",'STUDENT SCREENING'!K37)</f>
        <v/>
      </c>
      <c r="H37" s="38" t="str">
        <f aca="false">IF('STUDENT SCREENING'!S37="","",'STUDENT SCREENING'!S37)</f>
        <v/>
      </c>
      <c r="I37" s="38" t="str">
        <f aca="false">IF('STUDENT SCREENING'!T37="","",'STUDENT SCREENING'!T37)</f>
        <v/>
      </c>
      <c r="J37" s="38" t="str">
        <f aca="false">IF('STUDENT SCREENING'!BM37="","",'STUDENT SCREENING'!BM37)</f>
        <v/>
      </c>
      <c r="K37" s="38" t="str">
        <f aca="false">IF('STUDENT SCREENING'!BN37="","",'STUDENT SCREENING'!BN37)</f>
        <v/>
      </c>
      <c r="L37" s="38" t="str">
        <f aca="false">IF('STUDENT SCREENING'!BO37="","",'STUDENT SCREENING'!BO37)</f>
        <v/>
      </c>
      <c r="M37" s="38" t="str">
        <f aca="false">IF('STUDENT SCREENING'!BP37="","",'STUDENT SCREENING'!BP37)</f>
        <v/>
      </c>
      <c r="N37" s="38" t="str">
        <f aca="false">IF('STUDENT SCREENING'!BQ37="","",'STUDENT SCREENING'!BQ37)</f>
        <v/>
      </c>
      <c r="O37" s="38" t="str">
        <f aca="false">IF('STUDENT SCREENING'!BR37="","",'STUDENT SCREENING'!BR37)</f>
        <v/>
      </c>
      <c r="P37" s="32"/>
      <c r="Q37" s="32"/>
      <c r="R37" s="32"/>
      <c r="S37" s="32"/>
      <c r="T37" s="32"/>
      <c r="U37" s="32"/>
      <c r="V37" s="32"/>
      <c r="W37" s="32"/>
      <c r="X37" s="32"/>
    </row>
    <row r="38" customFormat="false" ht="15" hidden="false" customHeight="false" outlineLevel="0" collapsed="false">
      <c r="A38" s="37" t="str">
        <f aca="false">IF('STUDENT SCREENING'!A38="","",'STUDENT SCREENING'!A38)</f>
        <v/>
      </c>
      <c r="B38" s="37" t="str">
        <f aca="false">IF('STUDENT SCREENING'!I38="","",'STUDENT SCREENING'!I38)</f>
        <v/>
      </c>
      <c r="C38" s="37" t="str">
        <f aca="false">IF('STUDENT SCREENING'!F38="","",'STUDENT SCREENING'!F38)</f>
        <v/>
      </c>
      <c r="D38" s="37" t="str">
        <f aca="false">IF('STUDENT SCREENING'!G38="","",'STUDENT SCREENING'!G38)</f>
        <v/>
      </c>
      <c r="E38" s="37" t="str">
        <f aca="false">IF('STUDENT SCREENING'!C38="","",'STUDENT SCREENING'!C38)</f>
        <v/>
      </c>
      <c r="F38" s="37" t="str">
        <f aca="false">IF('STUDENT SCREENING'!J38="","",'STUDENT SCREENING'!J38)</f>
        <v/>
      </c>
      <c r="G38" s="37" t="str">
        <f aca="false">IF('STUDENT SCREENING'!K38="","",'STUDENT SCREENING'!K38)</f>
        <v/>
      </c>
      <c r="H38" s="37" t="str">
        <f aca="false">IF('STUDENT SCREENING'!S38="","",'STUDENT SCREENING'!S38)</f>
        <v/>
      </c>
      <c r="I38" s="37" t="str">
        <f aca="false">IF('STUDENT SCREENING'!T38="","",'STUDENT SCREENING'!T38)</f>
        <v/>
      </c>
      <c r="J38" s="37" t="str">
        <f aca="false">IF('STUDENT SCREENING'!BM38="","",'STUDENT SCREENING'!BM38)</f>
        <v/>
      </c>
      <c r="K38" s="37" t="str">
        <f aca="false">IF('STUDENT SCREENING'!BN38="","",'STUDENT SCREENING'!BN38)</f>
        <v/>
      </c>
      <c r="L38" s="37" t="str">
        <f aca="false">IF('STUDENT SCREENING'!BO38="","",'STUDENT SCREENING'!BO38)</f>
        <v/>
      </c>
      <c r="M38" s="37" t="str">
        <f aca="false">IF('STUDENT SCREENING'!BP38="","",'STUDENT SCREENING'!BP38)</f>
        <v/>
      </c>
      <c r="N38" s="37" t="str">
        <f aca="false">IF('STUDENT SCREENING'!BQ38="","",'STUDENT SCREENING'!BQ38)</f>
        <v/>
      </c>
      <c r="O38" s="37" t="str">
        <f aca="false">IF('STUDENT SCREENING'!BR38="","",'STUDENT SCREENING'!BR38)</f>
        <v/>
      </c>
      <c r="P38" s="28"/>
      <c r="Q38" s="28"/>
      <c r="R38" s="28"/>
      <c r="S38" s="28"/>
      <c r="T38" s="28"/>
      <c r="U38" s="28"/>
      <c r="V38" s="28"/>
      <c r="W38" s="28"/>
      <c r="X38" s="28"/>
    </row>
    <row r="39" customFormat="false" ht="15" hidden="false" customHeight="false" outlineLevel="0" collapsed="false">
      <c r="A39" s="38" t="str">
        <f aca="false">IF('STUDENT SCREENING'!A39="","",'STUDENT SCREENING'!A39)</f>
        <v/>
      </c>
      <c r="B39" s="38" t="str">
        <f aca="false">IF('STUDENT SCREENING'!I39="","",'STUDENT SCREENING'!I39)</f>
        <v/>
      </c>
      <c r="C39" s="38" t="str">
        <f aca="false">IF('STUDENT SCREENING'!F39="","",'STUDENT SCREENING'!F39)</f>
        <v/>
      </c>
      <c r="D39" s="38" t="str">
        <f aca="false">IF('STUDENT SCREENING'!G39="","",'STUDENT SCREENING'!G39)</f>
        <v/>
      </c>
      <c r="E39" s="38" t="str">
        <f aca="false">IF('STUDENT SCREENING'!C39="","",'STUDENT SCREENING'!C39)</f>
        <v/>
      </c>
      <c r="F39" s="38" t="str">
        <f aca="false">IF('STUDENT SCREENING'!J39="","",'STUDENT SCREENING'!J39)</f>
        <v/>
      </c>
      <c r="G39" s="38" t="str">
        <f aca="false">IF('STUDENT SCREENING'!K39="","",'STUDENT SCREENING'!K39)</f>
        <v/>
      </c>
      <c r="H39" s="38" t="str">
        <f aca="false">IF('STUDENT SCREENING'!S39="","",'STUDENT SCREENING'!S39)</f>
        <v/>
      </c>
      <c r="I39" s="38" t="str">
        <f aca="false">IF('STUDENT SCREENING'!T39="","",'STUDENT SCREENING'!T39)</f>
        <v/>
      </c>
      <c r="J39" s="38" t="str">
        <f aca="false">IF('STUDENT SCREENING'!BM39="","",'STUDENT SCREENING'!BM39)</f>
        <v/>
      </c>
      <c r="K39" s="38" t="str">
        <f aca="false">IF('STUDENT SCREENING'!BN39="","",'STUDENT SCREENING'!BN39)</f>
        <v/>
      </c>
      <c r="L39" s="38" t="str">
        <f aca="false">IF('STUDENT SCREENING'!BO39="","",'STUDENT SCREENING'!BO39)</f>
        <v/>
      </c>
      <c r="M39" s="38" t="str">
        <f aca="false">IF('STUDENT SCREENING'!BP39="","",'STUDENT SCREENING'!BP39)</f>
        <v/>
      </c>
      <c r="N39" s="38" t="str">
        <f aca="false">IF('STUDENT SCREENING'!BQ39="","",'STUDENT SCREENING'!BQ39)</f>
        <v/>
      </c>
      <c r="O39" s="38" t="str">
        <f aca="false">IF('STUDENT SCREENING'!BR39="","",'STUDENT SCREENING'!BR39)</f>
        <v/>
      </c>
      <c r="P39" s="32"/>
      <c r="Q39" s="32"/>
      <c r="R39" s="32"/>
      <c r="S39" s="32"/>
      <c r="T39" s="32"/>
      <c r="U39" s="32"/>
      <c r="V39" s="32"/>
      <c r="W39" s="32"/>
      <c r="X39" s="32"/>
    </row>
    <row r="40" customFormat="false" ht="15" hidden="false" customHeight="false" outlineLevel="0" collapsed="false">
      <c r="A40" s="37" t="str">
        <f aca="false">IF('STUDENT SCREENING'!A40="","",'STUDENT SCREENING'!A40)</f>
        <v/>
      </c>
      <c r="B40" s="37" t="str">
        <f aca="false">IF('STUDENT SCREENING'!I40="","",'STUDENT SCREENING'!I40)</f>
        <v/>
      </c>
      <c r="C40" s="37" t="str">
        <f aca="false">IF('STUDENT SCREENING'!F40="","",'STUDENT SCREENING'!F40)</f>
        <v/>
      </c>
      <c r="D40" s="37" t="str">
        <f aca="false">IF('STUDENT SCREENING'!G40="","",'STUDENT SCREENING'!G40)</f>
        <v/>
      </c>
      <c r="E40" s="37" t="str">
        <f aca="false">IF('STUDENT SCREENING'!C40="","",'STUDENT SCREENING'!C40)</f>
        <v/>
      </c>
      <c r="F40" s="37" t="str">
        <f aca="false">IF('STUDENT SCREENING'!J40="","",'STUDENT SCREENING'!J40)</f>
        <v/>
      </c>
      <c r="G40" s="37" t="str">
        <f aca="false">IF('STUDENT SCREENING'!K40="","",'STUDENT SCREENING'!K40)</f>
        <v/>
      </c>
      <c r="H40" s="37" t="str">
        <f aca="false">IF('STUDENT SCREENING'!S40="","",'STUDENT SCREENING'!S40)</f>
        <v/>
      </c>
      <c r="I40" s="37" t="str">
        <f aca="false">IF('STUDENT SCREENING'!T40="","",'STUDENT SCREENING'!T40)</f>
        <v/>
      </c>
      <c r="J40" s="37" t="str">
        <f aca="false">IF('STUDENT SCREENING'!BM40="","",'STUDENT SCREENING'!BM40)</f>
        <v/>
      </c>
      <c r="K40" s="37" t="str">
        <f aca="false">IF('STUDENT SCREENING'!BN40="","",'STUDENT SCREENING'!BN40)</f>
        <v/>
      </c>
      <c r="L40" s="37" t="str">
        <f aca="false">IF('STUDENT SCREENING'!BO40="","",'STUDENT SCREENING'!BO40)</f>
        <v/>
      </c>
      <c r="M40" s="37" t="str">
        <f aca="false">IF('STUDENT SCREENING'!BP40="","",'STUDENT SCREENING'!BP40)</f>
        <v/>
      </c>
      <c r="N40" s="37" t="str">
        <f aca="false">IF('STUDENT SCREENING'!BQ40="","",'STUDENT SCREENING'!BQ40)</f>
        <v/>
      </c>
      <c r="O40" s="37" t="str">
        <f aca="false">IF('STUDENT SCREENING'!BR40="","",'STUDENT SCREENING'!BR40)</f>
        <v/>
      </c>
      <c r="P40" s="28"/>
      <c r="Q40" s="28"/>
      <c r="R40" s="28"/>
      <c r="S40" s="28"/>
      <c r="T40" s="28"/>
      <c r="U40" s="28"/>
      <c r="V40" s="28"/>
      <c r="W40" s="28"/>
      <c r="X40" s="28"/>
    </row>
    <row r="41" customFormat="false" ht="15" hidden="false" customHeight="false" outlineLevel="0" collapsed="false">
      <c r="A41" s="38" t="str">
        <f aca="false">IF('STUDENT SCREENING'!A41="","",'STUDENT SCREENING'!A41)</f>
        <v/>
      </c>
      <c r="B41" s="38" t="str">
        <f aca="false">IF('STUDENT SCREENING'!I41="","",'STUDENT SCREENING'!I41)</f>
        <v/>
      </c>
      <c r="C41" s="38" t="str">
        <f aca="false">IF('STUDENT SCREENING'!F41="","",'STUDENT SCREENING'!F41)</f>
        <v/>
      </c>
      <c r="D41" s="38" t="str">
        <f aca="false">IF('STUDENT SCREENING'!G41="","",'STUDENT SCREENING'!G41)</f>
        <v/>
      </c>
      <c r="E41" s="38" t="str">
        <f aca="false">IF('STUDENT SCREENING'!C41="","",'STUDENT SCREENING'!C41)</f>
        <v/>
      </c>
      <c r="F41" s="38" t="str">
        <f aca="false">IF('STUDENT SCREENING'!J41="","",'STUDENT SCREENING'!J41)</f>
        <v/>
      </c>
      <c r="G41" s="38" t="str">
        <f aca="false">IF('STUDENT SCREENING'!K41="","",'STUDENT SCREENING'!K41)</f>
        <v/>
      </c>
      <c r="H41" s="38" t="str">
        <f aca="false">IF('STUDENT SCREENING'!S41="","",'STUDENT SCREENING'!S41)</f>
        <v/>
      </c>
      <c r="I41" s="38" t="str">
        <f aca="false">IF('STUDENT SCREENING'!T41="","",'STUDENT SCREENING'!T41)</f>
        <v/>
      </c>
      <c r="J41" s="38" t="str">
        <f aca="false">IF('STUDENT SCREENING'!BM41="","",'STUDENT SCREENING'!BM41)</f>
        <v/>
      </c>
      <c r="K41" s="38" t="str">
        <f aca="false">IF('STUDENT SCREENING'!BN41="","",'STUDENT SCREENING'!BN41)</f>
        <v/>
      </c>
      <c r="L41" s="38" t="str">
        <f aca="false">IF('STUDENT SCREENING'!BO41="","",'STUDENT SCREENING'!BO41)</f>
        <v/>
      </c>
      <c r="M41" s="38" t="str">
        <f aca="false">IF('STUDENT SCREENING'!BP41="","",'STUDENT SCREENING'!BP41)</f>
        <v/>
      </c>
      <c r="N41" s="38" t="str">
        <f aca="false">IF('STUDENT SCREENING'!BQ41="","",'STUDENT SCREENING'!BQ41)</f>
        <v/>
      </c>
      <c r="O41" s="38" t="str">
        <f aca="false">IF('STUDENT SCREENING'!BR41="","",'STUDENT SCREENING'!BR41)</f>
        <v/>
      </c>
      <c r="P41" s="32"/>
      <c r="Q41" s="32"/>
      <c r="R41" s="32"/>
      <c r="S41" s="32"/>
      <c r="T41" s="32"/>
      <c r="U41" s="32"/>
      <c r="V41" s="32"/>
      <c r="W41" s="32"/>
      <c r="X41" s="32"/>
    </row>
    <row r="42" customFormat="false" ht="15" hidden="false" customHeight="false" outlineLevel="0" collapsed="false">
      <c r="A42" s="37" t="str">
        <f aca="false">IF('STUDENT SCREENING'!A42="","",'STUDENT SCREENING'!A42)</f>
        <v/>
      </c>
      <c r="B42" s="37" t="str">
        <f aca="false">IF('STUDENT SCREENING'!I42="","",'STUDENT SCREENING'!I42)</f>
        <v/>
      </c>
      <c r="C42" s="37" t="str">
        <f aca="false">IF('STUDENT SCREENING'!F42="","",'STUDENT SCREENING'!F42)</f>
        <v/>
      </c>
      <c r="D42" s="37" t="str">
        <f aca="false">IF('STUDENT SCREENING'!G42="","",'STUDENT SCREENING'!G42)</f>
        <v/>
      </c>
      <c r="E42" s="37" t="str">
        <f aca="false">IF('STUDENT SCREENING'!C42="","",'STUDENT SCREENING'!C42)</f>
        <v/>
      </c>
      <c r="F42" s="37" t="str">
        <f aca="false">IF('STUDENT SCREENING'!J42="","",'STUDENT SCREENING'!J42)</f>
        <v/>
      </c>
      <c r="G42" s="37" t="str">
        <f aca="false">IF('STUDENT SCREENING'!K42="","",'STUDENT SCREENING'!K42)</f>
        <v/>
      </c>
      <c r="H42" s="37" t="str">
        <f aca="false">IF('STUDENT SCREENING'!S42="","",'STUDENT SCREENING'!S42)</f>
        <v/>
      </c>
      <c r="I42" s="37" t="str">
        <f aca="false">IF('STUDENT SCREENING'!T42="","",'STUDENT SCREENING'!T42)</f>
        <v/>
      </c>
      <c r="J42" s="37" t="str">
        <f aca="false">IF('STUDENT SCREENING'!BM42="","",'STUDENT SCREENING'!BM42)</f>
        <v/>
      </c>
      <c r="K42" s="37" t="str">
        <f aca="false">IF('STUDENT SCREENING'!BN42="","",'STUDENT SCREENING'!BN42)</f>
        <v/>
      </c>
      <c r="L42" s="37" t="str">
        <f aca="false">IF('STUDENT SCREENING'!BO42="","",'STUDENT SCREENING'!BO42)</f>
        <v/>
      </c>
      <c r="M42" s="37" t="str">
        <f aca="false">IF('STUDENT SCREENING'!BP42="","",'STUDENT SCREENING'!BP42)</f>
        <v/>
      </c>
      <c r="N42" s="37" t="str">
        <f aca="false">IF('STUDENT SCREENING'!BQ42="","",'STUDENT SCREENING'!BQ42)</f>
        <v/>
      </c>
      <c r="O42" s="37" t="str">
        <f aca="false">IF('STUDENT SCREENING'!BR42="","",'STUDENT SCREENING'!BR42)</f>
        <v/>
      </c>
      <c r="P42" s="28"/>
      <c r="Q42" s="28"/>
      <c r="R42" s="28"/>
      <c r="S42" s="28"/>
      <c r="T42" s="28"/>
      <c r="U42" s="28"/>
      <c r="V42" s="28"/>
      <c r="W42" s="28"/>
      <c r="X42" s="28"/>
    </row>
    <row r="43" customFormat="false" ht="15" hidden="false" customHeight="false" outlineLevel="0" collapsed="false">
      <c r="A43" s="38" t="str">
        <f aca="false">IF('STUDENT SCREENING'!A43="","",'STUDENT SCREENING'!A43)</f>
        <v/>
      </c>
      <c r="B43" s="38" t="str">
        <f aca="false">IF('STUDENT SCREENING'!I43="","",'STUDENT SCREENING'!I43)</f>
        <v/>
      </c>
      <c r="C43" s="38" t="str">
        <f aca="false">IF('STUDENT SCREENING'!F43="","",'STUDENT SCREENING'!F43)</f>
        <v/>
      </c>
      <c r="D43" s="38" t="str">
        <f aca="false">IF('STUDENT SCREENING'!G43="","",'STUDENT SCREENING'!G43)</f>
        <v/>
      </c>
      <c r="E43" s="38" t="str">
        <f aca="false">IF('STUDENT SCREENING'!C43="","",'STUDENT SCREENING'!C43)</f>
        <v/>
      </c>
      <c r="F43" s="38" t="str">
        <f aca="false">IF('STUDENT SCREENING'!J43="","",'STUDENT SCREENING'!J43)</f>
        <v/>
      </c>
      <c r="G43" s="38" t="str">
        <f aca="false">IF('STUDENT SCREENING'!K43="","",'STUDENT SCREENING'!K43)</f>
        <v/>
      </c>
      <c r="H43" s="38" t="str">
        <f aca="false">IF('STUDENT SCREENING'!S43="","",'STUDENT SCREENING'!S43)</f>
        <v/>
      </c>
      <c r="I43" s="38" t="str">
        <f aca="false">IF('STUDENT SCREENING'!T43="","",'STUDENT SCREENING'!T43)</f>
        <v/>
      </c>
      <c r="J43" s="38" t="str">
        <f aca="false">IF('STUDENT SCREENING'!BM43="","",'STUDENT SCREENING'!BM43)</f>
        <v/>
      </c>
      <c r="K43" s="38" t="str">
        <f aca="false">IF('STUDENT SCREENING'!BN43="","",'STUDENT SCREENING'!BN43)</f>
        <v/>
      </c>
      <c r="L43" s="38" t="str">
        <f aca="false">IF('STUDENT SCREENING'!BO43="","",'STUDENT SCREENING'!BO43)</f>
        <v/>
      </c>
      <c r="M43" s="38" t="str">
        <f aca="false">IF('STUDENT SCREENING'!BP43="","",'STUDENT SCREENING'!BP43)</f>
        <v/>
      </c>
      <c r="N43" s="38" t="str">
        <f aca="false">IF('STUDENT SCREENING'!BQ43="","",'STUDENT SCREENING'!BQ43)</f>
        <v/>
      </c>
      <c r="O43" s="38" t="str">
        <f aca="false">IF('STUDENT SCREENING'!BR43="","",'STUDENT SCREENING'!BR43)</f>
        <v/>
      </c>
      <c r="P43" s="32"/>
      <c r="Q43" s="32"/>
      <c r="R43" s="32"/>
      <c r="S43" s="32"/>
      <c r="T43" s="32"/>
      <c r="U43" s="32"/>
      <c r="V43" s="32"/>
      <c r="W43" s="32"/>
      <c r="X43" s="32"/>
    </row>
    <row r="44" customFormat="false" ht="15" hidden="false" customHeight="false" outlineLevel="0" collapsed="false">
      <c r="A44" s="37" t="str">
        <f aca="false">IF('STUDENT SCREENING'!A44="","",'STUDENT SCREENING'!A44)</f>
        <v/>
      </c>
      <c r="B44" s="37" t="str">
        <f aca="false">IF('STUDENT SCREENING'!I44="","",'STUDENT SCREENING'!I44)</f>
        <v/>
      </c>
      <c r="C44" s="37" t="str">
        <f aca="false">IF('STUDENT SCREENING'!F44="","",'STUDENT SCREENING'!F44)</f>
        <v/>
      </c>
      <c r="D44" s="37" t="str">
        <f aca="false">IF('STUDENT SCREENING'!G44="","",'STUDENT SCREENING'!G44)</f>
        <v/>
      </c>
      <c r="E44" s="37" t="str">
        <f aca="false">IF('STUDENT SCREENING'!C44="","",'STUDENT SCREENING'!C44)</f>
        <v/>
      </c>
      <c r="F44" s="37" t="str">
        <f aca="false">IF('STUDENT SCREENING'!J44="","",'STUDENT SCREENING'!J44)</f>
        <v/>
      </c>
      <c r="G44" s="37" t="str">
        <f aca="false">IF('STUDENT SCREENING'!K44="","",'STUDENT SCREENING'!K44)</f>
        <v/>
      </c>
      <c r="H44" s="37" t="str">
        <f aca="false">IF('STUDENT SCREENING'!S44="","",'STUDENT SCREENING'!S44)</f>
        <v/>
      </c>
      <c r="I44" s="37" t="str">
        <f aca="false">IF('STUDENT SCREENING'!T44="","",'STUDENT SCREENING'!T44)</f>
        <v/>
      </c>
      <c r="J44" s="37" t="str">
        <f aca="false">IF('STUDENT SCREENING'!BM44="","",'STUDENT SCREENING'!BM44)</f>
        <v/>
      </c>
      <c r="K44" s="37" t="str">
        <f aca="false">IF('STUDENT SCREENING'!BN44="","",'STUDENT SCREENING'!BN44)</f>
        <v/>
      </c>
      <c r="L44" s="37" t="str">
        <f aca="false">IF('STUDENT SCREENING'!BO44="","",'STUDENT SCREENING'!BO44)</f>
        <v/>
      </c>
      <c r="M44" s="37" t="str">
        <f aca="false">IF('STUDENT SCREENING'!BP44="","",'STUDENT SCREENING'!BP44)</f>
        <v/>
      </c>
      <c r="N44" s="37" t="str">
        <f aca="false">IF('STUDENT SCREENING'!BQ44="","",'STUDENT SCREENING'!BQ44)</f>
        <v/>
      </c>
      <c r="O44" s="37" t="str">
        <f aca="false">IF('STUDENT SCREENING'!BR44="","",'STUDENT SCREENING'!BR44)</f>
        <v/>
      </c>
      <c r="P44" s="28"/>
      <c r="Q44" s="28"/>
      <c r="R44" s="28"/>
      <c r="S44" s="28"/>
      <c r="T44" s="28"/>
      <c r="U44" s="28"/>
      <c r="V44" s="28"/>
      <c r="W44" s="28"/>
      <c r="X44" s="28"/>
    </row>
    <row r="45" customFormat="false" ht="15" hidden="false" customHeight="false" outlineLevel="0" collapsed="false">
      <c r="A45" s="38" t="str">
        <f aca="false">IF('STUDENT SCREENING'!A45="","",'STUDENT SCREENING'!A45)</f>
        <v/>
      </c>
      <c r="B45" s="38" t="str">
        <f aca="false">IF('STUDENT SCREENING'!I45="","",'STUDENT SCREENING'!I45)</f>
        <v/>
      </c>
      <c r="C45" s="38" t="str">
        <f aca="false">IF('STUDENT SCREENING'!F45="","",'STUDENT SCREENING'!F45)</f>
        <v/>
      </c>
      <c r="D45" s="38" t="str">
        <f aca="false">IF('STUDENT SCREENING'!G45="","",'STUDENT SCREENING'!G45)</f>
        <v/>
      </c>
      <c r="E45" s="38" t="str">
        <f aca="false">IF('STUDENT SCREENING'!C45="","",'STUDENT SCREENING'!C45)</f>
        <v/>
      </c>
      <c r="F45" s="38" t="str">
        <f aca="false">IF('STUDENT SCREENING'!J45="","",'STUDENT SCREENING'!J45)</f>
        <v/>
      </c>
      <c r="G45" s="38" t="str">
        <f aca="false">IF('STUDENT SCREENING'!K45="","",'STUDENT SCREENING'!K45)</f>
        <v/>
      </c>
      <c r="H45" s="38" t="str">
        <f aca="false">IF('STUDENT SCREENING'!S45="","",'STUDENT SCREENING'!S45)</f>
        <v/>
      </c>
      <c r="I45" s="38" t="str">
        <f aca="false">IF('STUDENT SCREENING'!T45="","",'STUDENT SCREENING'!T45)</f>
        <v/>
      </c>
      <c r="J45" s="38" t="str">
        <f aca="false">IF('STUDENT SCREENING'!BM45="","",'STUDENT SCREENING'!BM45)</f>
        <v/>
      </c>
      <c r="K45" s="38" t="str">
        <f aca="false">IF('STUDENT SCREENING'!BN45="","",'STUDENT SCREENING'!BN45)</f>
        <v/>
      </c>
      <c r="L45" s="38" t="str">
        <f aca="false">IF('STUDENT SCREENING'!BO45="","",'STUDENT SCREENING'!BO45)</f>
        <v/>
      </c>
      <c r="M45" s="38" t="str">
        <f aca="false">IF('STUDENT SCREENING'!BP45="","",'STUDENT SCREENING'!BP45)</f>
        <v/>
      </c>
      <c r="N45" s="38" t="str">
        <f aca="false">IF('STUDENT SCREENING'!BQ45="","",'STUDENT SCREENING'!BQ45)</f>
        <v/>
      </c>
      <c r="O45" s="38" t="str">
        <f aca="false">IF('STUDENT SCREENING'!BR45="","",'STUDENT SCREENING'!BR45)</f>
        <v/>
      </c>
      <c r="P45" s="32"/>
      <c r="Q45" s="32"/>
      <c r="R45" s="32"/>
      <c r="S45" s="32"/>
      <c r="T45" s="32"/>
      <c r="U45" s="32"/>
      <c r="V45" s="32"/>
      <c r="W45" s="32"/>
      <c r="X45" s="32"/>
    </row>
    <row r="46" customFormat="false" ht="15" hidden="false" customHeight="false" outlineLevel="0" collapsed="false">
      <c r="A46" s="37" t="str">
        <f aca="false">IF('STUDENT SCREENING'!A46="","",'STUDENT SCREENING'!A46)</f>
        <v/>
      </c>
      <c r="B46" s="37" t="str">
        <f aca="false">IF('STUDENT SCREENING'!I46="","",'STUDENT SCREENING'!I46)</f>
        <v/>
      </c>
      <c r="C46" s="37" t="str">
        <f aca="false">IF('STUDENT SCREENING'!F46="","",'STUDENT SCREENING'!F46)</f>
        <v/>
      </c>
      <c r="D46" s="37" t="str">
        <f aca="false">IF('STUDENT SCREENING'!G46="","",'STUDENT SCREENING'!G46)</f>
        <v/>
      </c>
      <c r="E46" s="37" t="str">
        <f aca="false">IF('STUDENT SCREENING'!C46="","",'STUDENT SCREENING'!C46)</f>
        <v/>
      </c>
      <c r="F46" s="37" t="str">
        <f aca="false">IF('STUDENT SCREENING'!J46="","",'STUDENT SCREENING'!J46)</f>
        <v/>
      </c>
      <c r="G46" s="37" t="str">
        <f aca="false">IF('STUDENT SCREENING'!K46="","",'STUDENT SCREENING'!K46)</f>
        <v/>
      </c>
      <c r="H46" s="37" t="str">
        <f aca="false">IF('STUDENT SCREENING'!S46="","",'STUDENT SCREENING'!S46)</f>
        <v/>
      </c>
      <c r="I46" s="37" t="str">
        <f aca="false">IF('STUDENT SCREENING'!T46="","",'STUDENT SCREENING'!T46)</f>
        <v/>
      </c>
      <c r="J46" s="37" t="str">
        <f aca="false">IF('STUDENT SCREENING'!BM46="","",'STUDENT SCREENING'!BM46)</f>
        <v/>
      </c>
      <c r="K46" s="37" t="str">
        <f aca="false">IF('STUDENT SCREENING'!BN46="","",'STUDENT SCREENING'!BN46)</f>
        <v/>
      </c>
      <c r="L46" s="37" t="str">
        <f aca="false">IF('STUDENT SCREENING'!BO46="","",'STUDENT SCREENING'!BO46)</f>
        <v/>
      </c>
      <c r="M46" s="37" t="str">
        <f aca="false">IF('STUDENT SCREENING'!BP46="","",'STUDENT SCREENING'!BP46)</f>
        <v/>
      </c>
      <c r="N46" s="37" t="str">
        <f aca="false">IF('STUDENT SCREENING'!BQ46="","",'STUDENT SCREENING'!BQ46)</f>
        <v/>
      </c>
      <c r="O46" s="37" t="str">
        <f aca="false">IF('STUDENT SCREENING'!BR46="","",'STUDENT SCREENING'!BR46)</f>
        <v/>
      </c>
      <c r="P46" s="28"/>
      <c r="Q46" s="28"/>
      <c r="R46" s="28"/>
      <c r="S46" s="28"/>
      <c r="T46" s="28"/>
      <c r="U46" s="28"/>
      <c r="V46" s="28"/>
      <c r="W46" s="28"/>
      <c r="X46" s="28"/>
    </row>
    <row r="47" customFormat="false" ht="15" hidden="false" customHeight="false" outlineLevel="0" collapsed="false">
      <c r="A47" s="38" t="str">
        <f aca="false">IF('STUDENT SCREENING'!A47="","",'STUDENT SCREENING'!A47)</f>
        <v/>
      </c>
      <c r="B47" s="38" t="str">
        <f aca="false">IF('STUDENT SCREENING'!I47="","",'STUDENT SCREENING'!I47)</f>
        <v/>
      </c>
      <c r="C47" s="38" t="str">
        <f aca="false">IF('STUDENT SCREENING'!F47="","",'STUDENT SCREENING'!F47)</f>
        <v/>
      </c>
      <c r="D47" s="38" t="str">
        <f aca="false">IF('STUDENT SCREENING'!G47="","",'STUDENT SCREENING'!G47)</f>
        <v/>
      </c>
      <c r="E47" s="38" t="str">
        <f aca="false">IF('STUDENT SCREENING'!C47="","",'STUDENT SCREENING'!C47)</f>
        <v/>
      </c>
      <c r="F47" s="38" t="str">
        <f aca="false">IF('STUDENT SCREENING'!J47="","",'STUDENT SCREENING'!J47)</f>
        <v/>
      </c>
      <c r="G47" s="38" t="str">
        <f aca="false">IF('STUDENT SCREENING'!K47="","",'STUDENT SCREENING'!K47)</f>
        <v/>
      </c>
      <c r="H47" s="38" t="str">
        <f aca="false">IF('STUDENT SCREENING'!S47="","",'STUDENT SCREENING'!S47)</f>
        <v/>
      </c>
      <c r="I47" s="38" t="str">
        <f aca="false">IF('STUDENT SCREENING'!T47="","",'STUDENT SCREENING'!T47)</f>
        <v/>
      </c>
      <c r="J47" s="38" t="str">
        <f aca="false">IF('STUDENT SCREENING'!BM47="","",'STUDENT SCREENING'!BM47)</f>
        <v/>
      </c>
      <c r="K47" s="38" t="str">
        <f aca="false">IF('STUDENT SCREENING'!BN47="","",'STUDENT SCREENING'!BN47)</f>
        <v/>
      </c>
      <c r="L47" s="38" t="str">
        <f aca="false">IF('STUDENT SCREENING'!BO47="","",'STUDENT SCREENING'!BO47)</f>
        <v/>
      </c>
      <c r="M47" s="38" t="str">
        <f aca="false">IF('STUDENT SCREENING'!BP47="","",'STUDENT SCREENING'!BP47)</f>
        <v/>
      </c>
      <c r="N47" s="38" t="str">
        <f aca="false">IF('STUDENT SCREENING'!BQ47="","",'STUDENT SCREENING'!BQ47)</f>
        <v/>
      </c>
      <c r="O47" s="38" t="str">
        <f aca="false">IF('STUDENT SCREENING'!BR47="","",'STUDENT SCREENING'!BR47)</f>
        <v/>
      </c>
      <c r="P47" s="32"/>
      <c r="Q47" s="32"/>
      <c r="R47" s="32"/>
      <c r="S47" s="32"/>
      <c r="T47" s="32"/>
      <c r="U47" s="32"/>
      <c r="V47" s="32"/>
      <c r="W47" s="32"/>
      <c r="X47" s="32"/>
    </row>
    <row r="48" customFormat="false" ht="15" hidden="false" customHeight="false" outlineLevel="0" collapsed="false">
      <c r="A48" s="37" t="str">
        <f aca="false">IF('STUDENT SCREENING'!A48="","",'STUDENT SCREENING'!A48)</f>
        <v/>
      </c>
      <c r="B48" s="37" t="str">
        <f aca="false">IF('STUDENT SCREENING'!I48="","",'STUDENT SCREENING'!I48)</f>
        <v/>
      </c>
      <c r="C48" s="37" t="str">
        <f aca="false">IF('STUDENT SCREENING'!F48="","",'STUDENT SCREENING'!F48)</f>
        <v/>
      </c>
      <c r="D48" s="37" t="str">
        <f aca="false">IF('STUDENT SCREENING'!G48="","",'STUDENT SCREENING'!G48)</f>
        <v/>
      </c>
      <c r="E48" s="37" t="str">
        <f aca="false">IF('STUDENT SCREENING'!C48="","",'STUDENT SCREENING'!C48)</f>
        <v/>
      </c>
      <c r="F48" s="37" t="str">
        <f aca="false">IF('STUDENT SCREENING'!J48="","",'STUDENT SCREENING'!J48)</f>
        <v/>
      </c>
      <c r="G48" s="37" t="str">
        <f aca="false">IF('STUDENT SCREENING'!K48="","",'STUDENT SCREENING'!K48)</f>
        <v/>
      </c>
      <c r="H48" s="37" t="str">
        <f aca="false">IF('STUDENT SCREENING'!S48="","",'STUDENT SCREENING'!S48)</f>
        <v/>
      </c>
      <c r="I48" s="37" t="str">
        <f aca="false">IF('STUDENT SCREENING'!T48="","",'STUDENT SCREENING'!T48)</f>
        <v/>
      </c>
      <c r="J48" s="37" t="str">
        <f aca="false">IF('STUDENT SCREENING'!BM48="","",'STUDENT SCREENING'!BM48)</f>
        <v/>
      </c>
      <c r="K48" s="37" t="str">
        <f aca="false">IF('STUDENT SCREENING'!BN48="","",'STUDENT SCREENING'!BN48)</f>
        <v/>
      </c>
      <c r="L48" s="37" t="str">
        <f aca="false">IF('STUDENT SCREENING'!BO48="","",'STUDENT SCREENING'!BO48)</f>
        <v/>
      </c>
      <c r="M48" s="37" t="str">
        <f aca="false">IF('STUDENT SCREENING'!BP48="","",'STUDENT SCREENING'!BP48)</f>
        <v/>
      </c>
      <c r="N48" s="37" t="str">
        <f aca="false">IF('STUDENT SCREENING'!BQ48="","",'STUDENT SCREENING'!BQ48)</f>
        <v/>
      </c>
      <c r="O48" s="37" t="str">
        <f aca="false">IF('STUDENT SCREENING'!BR48="","",'STUDENT SCREENING'!BR48)</f>
        <v/>
      </c>
      <c r="P48" s="28"/>
      <c r="Q48" s="28"/>
      <c r="R48" s="28"/>
      <c r="S48" s="28"/>
      <c r="T48" s="28"/>
      <c r="U48" s="28"/>
      <c r="V48" s="28"/>
      <c r="W48" s="28"/>
      <c r="X48" s="28"/>
    </row>
    <row r="49" customFormat="false" ht="15" hidden="false" customHeight="false" outlineLevel="0" collapsed="false">
      <c r="A49" s="38" t="str">
        <f aca="false">IF('STUDENT SCREENING'!A49="","",'STUDENT SCREENING'!A49)</f>
        <v/>
      </c>
      <c r="B49" s="38" t="str">
        <f aca="false">IF('STUDENT SCREENING'!I49="","",'STUDENT SCREENING'!I49)</f>
        <v/>
      </c>
      <c r="C49" s="38" t="str">
        <f aca="false">IF('STUDENT SCREENING'!F49="","",'STUDENT SCREENING'!F49)</f>
        <v/>
      </c>
      <c r="D49" s="38" t="str">
        <f aca="false">IF('STUDENT SCREENING'!G49="","",'STUDENT SCREENING'!G49)</f>
        <v/>
      </c>
      <c r="E49" s="38" t="str">
        <f aca="false">IF('STUDENT SCREENING'!C49="","",'STUDENT SCREENING'!C49)</f>
        <v/>
      </c>
      <c r="F49" s="38" t="str">
        <f aca="false">IF('STUDENT SCREENING'!J49="","",'STUDENT SCREENING'!J49)</f>
        <v/>
      </c>
      <c r="G49" s="38" t="str">
        <f aca="false">IF('STUDENT SCREENING'!K49="","",'STUDENT SCREENING'!K49)</f>
        <v/>
      </c>
      <c r="H49" s="38" t="str">
        <f aca="false">IF('STUDENT SCREENING'!S49="","",'STUDENT SCREENING'!S49)</f>
        <v/>
      </c>
      <c r="I49" s="38" t="str">
        <f aca="false">IF('STUDENT SCREENING'!T49="","",'STUDENT SCREENING'!T49)</f>
        <v/>
      </c>
      <c r="J49" s="38" t="str">
        <f aca="false">IF('STUDENT SCREENING'!BM49="","",'STUDENT SCREENING'!BM49)</f>
        <v/>
      </c>
      <c r="K49" s="38" t="str">
        <f aca="false">IF('STUDENT SCREENING'!BN49="","",'STUDENT SCREENING'!BN49)</f>
        <v/>
      </c>
      <c r="L49" s="38" t="str">
        <f aca="false">IF('STUDENT SCREENING'!BO49="","",'STUDENT SCREENING'!BO49)</f>
        <v/>
      </c>
      <c r="M49" s="38" t="str">
        <f aca="false">IF('STUDENT SCREENING'!BP49="","",'STUDENT SCREENING'!BP49)</f>
        <v/>
      </c>
      <c r="N49" s="38" t="str">
        <f aca="false">IF('STUDENT SCREENING'!BQ49="","",'STUDENT SCREENING'!BQ49)</f>
        <v/>
      </c>
      <c r="O49" s="38" t="str">
        <f aca="false">IF('STUDENT SCREENING'!BR49="","",'STUDENT SCREENING'!BR49)</f>
        <v/>
      </c>
      <c r="P49" s="32"/>
      <c r="Q49" s="32"/>
      <c r="R49" s="32"/>
      <c r="S49" s="32"/>
      <c r="T49" s="32"/>
      <c r="U49" s="32"/>
      <c r="V49" s="32"/>
      <c r="W49" s="32"/>
      <c r="X49" s="32"/>
    </row>
    <row r="50" customFormat="false" ht="15" hidden="false" customHeight="false" outlineLevel="0" collapsed="false">
      <c r="A50" s="37" t="str">
        <f aca="false">IF('STUDENT SCREENING'!A50="","",'STUDENT SCREENING'!A50)</f>
        <v/>
      </c>
      <c r="B50" s="37" t="str">
        <f aca="false">IF('STUDENT SCREENING'!I50="","",'STUDENT SCREENING'!I50)</f>
        <v/>
      </c>
      <c r="C50" s="37" t="str">
        <f aca="false">IF('STUDENT SCREENING'!F50="","",'STUDENT SCREENING'!F50)</f>
        <v/>
      </c>
      <c r="D50" s="37" t="str">
        <f aca="false">IF('STUDENT SCREENING'!G50="","",'STUDENT SCREENING'!G50)</f>
        <v/>
      </c>
      <c r="E50" s="37" t="str">
        <f aca="false">IF('STUDENT SCREENING'!C50="","",'STUDENT SCREENING'!C50)</f>
        <v/>
      </c>
      <c r="F50" s="37" t="str">
        <f aca="false">IF('STUDENT SCREENING'!J50="","",'STUDENT SCREENING'!J50)</f>
        <v/>
      </c>
      <c r="G50" s="37" t="str">
        <f aca="false">IF('STUDENT SCREENING'!K50="","",'STUDENT SCREENING'!K50)</f>
        <v/>
      </c>
      <c r="H50" s="37" t="str">
        <f aca="false">IF('STUDENT SCREENING'!S50="","",'STUDENT SCREENING'!S50)</f>
        <v/>
      </c>
      <c r="I50" s="37" t="str">
        <f aca="false">IF('STUDENT SCREENING'!T50="","",'STUDENT SCREENING'!T50)</f>
        <v/>
      </c>
      <c r="J50" s="37" t="str">
        <f aca="false">IF('STUDENT SCREENING'!BM50="","",'STUDENT SCREENING'!BM50)</f>
        <v/>
      </c>
      <c r="K50" s="37" t="str">
        <f aca="false">IF('STUDENT SCREENING'!BN50="","",'STUDENT SCREENING'!BN50)</f>
        <v/>
      </c>
      <c r="L50" s="37" t="str">
        <f aca="false">IF('STUDENT SCREENING'!BO50="","",'STUDENT SCREENING'!BO50)</f>
        <v/>
      </c>
      <c r="M50" s="37" t="str">
        <f aca="false">IF('STUDENT SCREENING'!BP50="","",'STUDENT SCREENING'!BP50)</f>
        <v/>
      </c>
      <c r="N50" s="37" t="str">
        <f aca="false">IF('STUDENT SCREENING'!BQ50="","",'STUDENT SCREENING'!BQ50)</f>
        <v/>
      </c>
      <c r="O50" s="37" t="str">
        <f aca="false">IF('STUDENT SCREENING'!BR50="","",'STUDENT SCREENING'!BR50)</f>
        <v/>
      </c>
      <c r="P50" s="28"/>
      <c r="Q50" s="28"/>
      <c r="R50" s="28"/>
      <c r="S50" s="28"/>
      <c r="T50" s="28"/>
      <c r="U50" s="28"/>
      <c r="V50" s="28"/>
      <c r="W50" s="28"/>
      <c r="X50" s="28"/>
    </row>
    <row r="51" customFormat="false" ht="15" hidden="false" customHeight="false" outlineLevel="0" collapsed="false">
      <c r="A51" s="38" t="str">
        <f aca="false">IF('STUDENT SCREENING'!A51="","",'STUDENT SCREENING'!A51)</f>
        <v/>
      </c>
      <c r="B51" s="38" t="str">
        <f aca="false">IF('STUDENT SCREENING'!I51="","",'STUDENT SCREENING'!I51)</f>
        <v/>
      </c>
      <c r="C51" s="38" t="str">
        <f aca="false">IF('STUDENT SCREENING'!F51="","",'STUDENT SCREENING'!F51)</f>
        <v/>
      </c>
      <c r="D51" s="38" t="str">
        <f aca="false">IF('STUDENT SCREENING'!G51="","",'STUDENT SCREENING'!G51)</f>
        <v/>
      </c>
      <c r="E51" s="38" t="str">
        <f aca="false">IF('STUDENT SCREENING'!C51="","",'STUDENT SCREENING'!C51)</f>
        <v/>
      </c>
      <c r="F51" s="38" t="str">
        <f aca="false">IF('STUDENT SCREENING'!J51="","",'STUDENT SCREENING'!J51)</f>
        <v/>
      </c>
      <c r="G51" s="38" t="str">
        <f aca="false">IF('STUDENT SCREENING'!K51="","",'STUDENT SCREENING'!K51)</f>
        <v/>
      </c>
      <c r="H51" s="38" t="str">
        <f aca="false">IF('STUDENT SCREENING'!S51="","",'STUDENT SCREENING'!S51)</f>
        <v/>
      </c>
      <c r="I51" s="38" t="str">
        <f aca="false">IF('STUDENT SCREENING'!T51="","",'STUDENT SCREENING'!T51)</f>
        <v/>
      </c>
      <c r="J51" s="38" t="str">
        <f aca="false">IF('STUDENT SCREENING'!BM51="","",'STUDENT SCREENING'!BM51)</f>
        <v/>
      </c>
      <c r="K51" s="38" t="str">
        <f aca="false">IF('STUDENT SCREENING'!BN51="","",'STUDENT SCREENING'!BN51)</f>
        <v/>
      </c>
      <c r="L51" s="38" t="str">
        <f aca="false">IF('STUDENT SCREENING'!BO51="","",'STUDENT SCREENING'!BO51)</f>
        <v/>
      </c>
      <c r="M51" s="38" t="str">
        <f aca="false">IF('STUDENT SCREENING'!BP51="","",'STUDENT SCREENING'!BP51)</f>
        <v/>
      </c>
      <c r="N51" s="38" t="str">
        <f aca="false">IF('STUDENT SCREENING'!BQ51="","",'STUDENT SCREENING'!BQ51)</f>
        <v/>
      </c>
      <c r="O51" s="38" t="str">
        <f aca="false">IF('STUDENT SCREENING'!BR51="","",'STUDENT SCREENING'!BR51)</f>
        <v/>
      </c>
      <c r="P51" s="32"/>
      <c r="Q51" s="32"/>
      <c r="R51" s="32"/>
      <c r="S51" s="32"/>
      <c r="T51" s="32"/>
      <c r="U51" s="32"/>
      <c r="V51" s="32"/>
      <c r="W51" s="32"/>
      <c r="X51" s="32"/>
    </row>
    <row r="52" customFormat="false" ht="15" hidden="false" customHeight="false" outlineLevel="0" collapsed="false">
      <c r="A52" s="37" t="str">
        <f aca="false">IF('STUDENT SCREENING'!A52="","",'STUDENT SCREENING'!A52)</f>
        <v/>
      </c>
      <c r="B52" s="37" t="str">
        <f aca="false">IF('STUDENT SCREENING'!I52="","",'STUDENT SCREENING'!I52)</f>
        <v/>
      </c>
      <c r="C52" s="37" t="str">
        <f aca="false">IF('STUDENT SCREENING'!F52="","",'STUDENT SCREENING'!F52)</f>
        <v/>
      </c>
      <c r="D52" s="37" t="str">
        <f aca="false">IF('STUDENT SCREENING'!G52="","",'STUDENT SCREENING'!G52)</f>
        <v/>
      </c>
      <c r="E52" s="37" t="str">
        <f aca="false">IF('STUDENT SCREENING'!C52="","",'STUDENT SCREENING'!C52)</f>
        <v/>
      </c>
      <c r="F52" s="37" t="str">
        <f aca="false">IF('STUDENT SCREENING'!J52="","",'STUDENT SCREENING'!J52)</f>
        <v/>
      </c>
      <c r="G52" s="37" t="str">
        <f aca="false">IF('STUDENT SCREENING'!K52="","",'STUDENT SCREENING'!K52)</f>
        <v/>
      </c>
      <c r="H52" s="37" t="str">
        <f aca="false">IF('STUDENT SCREENING'!S52="","",'STUDENT SCREENING'!S52)</f>
        <v/>
      </c>
      <c r="I52" s="37" t="str">
        <f aca="false">IF('STUDENT SCREENING'!T52="","",'STUDENT SCREENING'!T52)</f>
        <v/>
      </c>
      <c r="J52" s="37" t="str">
        <f aca="false">IF('STUDENT SCREENING'!BM52="","",'STUDENT SCREENING'!BM52)</f>
        <v/>
      </c>
      <c r="K52" s="37" t="str">
        <f aca="false">IF('STUDENT SCREENING'!BN52="","",'STUDENT SCREENING'!BN52)</f>
        <v/>
      </c>
      <c r="L52" s="37" t="str">
        <f aca="false">IF('STUDENT SCREENING'!BO52="","",'STUDENT SCREENING'!BO52)</f>
        <v/>
      </c>
      <c r="M52" s="37" t="str">
        <f aca="false">IF('STUDENT SCREENING'!BP52="","",'STUDENT SCREENING'!BP52)</f>
        <v/>
      </c>
      <c r="N52" s="37" t="str">
        <f aca="false">IF('STUDENT SCREENING'!BQ52="","",'STUDENT SCREENING'!BQ52)</f>
        <v/>
      </c>
      <c r="O52" s="37" t="str">
        <f aca="false">IF('STUDENT SCREENING'!BR52="","",'STUDENT SCREENING'!BR52)</f>
        <v/>
      </c>
      <c r="P52" s="28"/>
      <c r="Q52" s="28"/>
      <c r="R52" s="28"/>
      <c r="S52" s="28"/>
      <c r="T52" s="28"/>
      <c r="U52" s="28"/>
      <c r="V52" s="28"/>
      <c r="W52" s="28"/>
      <c r="X52" s="28"/>
    </row>
    <row r="53" customFormat="false" ht="15" hidden="false" customHeight="false" outlineLevel="0" collapsed="false">
      <c r="A53" s="38" t="str">
        <f aca="false">IF('STUDENT SCREENING'!A53="","",'STUDENT SCREENING'!A53)</f>
        <v/>
      </c>
      <c r="B53" s="38" t="str">
        <f aca="false">IF('STUDENT SCREENING'!I53="","",'STUDENT SCREENING'!I53)</f>
        <v/>
      </c>
      <c r="C53" s="38" t="str">
        <f aca="false">IF('STUDENT SCREENING'!F53="","",'STUDENT SCREENING'!F53)</f>
        <v/>
      </c>
      <c r="D53" s="38" t="str">
        <f aca="false">IF('STUDENT SCREENING'!G53="","",'STUDENT SCREENING'!G53)</f>
        <v/>
      </c>
      <c r="E53" s="38" t="str">
        <f aca="false">IF('STUDENT SCREENING'!C53="","",'STUDENT SCREENING'!C53)</f>
        <v/>
      </c>
      <c r="F53" s="38" t="str">
        <f aca="false">IF('STUDENT SCREENING'!J53="","",'STUDENT SCREENING'!J53)</f>
        <v/>
      </c>
      <c r="G53" s="38" t="str">
        <f aca="false">IF('STUDENT SCREENING'!K53="","",'STUDENT SCREENING'!K53)</f>
        <v/>
      </c>
      <c r="H53" s="38" t="str">
        <f aca="false">IF('STUDENT SCREENING'!S53="","",'STUDENT SCREENING'!S53)</f>
        <v/>
      </c>
      <c r="I53" s="38" t="str">
        <f aca="false">IF('STUDENT SCREENING'!T53="","",'STUDENT SCREENING'!T53)</f>
        <v/>
      </c>
      <c r="J53" s="38" t="str">
        <f aca="false">IF('STUDENT SCREENING'!BM53="","",'STUDENT SCREENING'!BM53)</f>
        <v/>
      </c>
      <c r="K53" s="38" t="str">
        <f aca="false">IF('STUDENT SCREENING'!BN53="","",'STUDENT SCREENING'!BN53)</f>
        <v/>
      </c>
      <c r="L53" s="38" t="str">
        <f aca="false">IF('STUDENT SCREENING'!BO53="","",'STUDENT SCREENING'!BO53)</f>
        <v/>
      </c>
      <c r="M53" s="38" t="str">
        <f aca="false">IF('STUDENT SCREENING'!BP53="","",'STUDENT SCREENING'!BP53)</f>
        <v/>
      </c>
      <c r="N53" s="38" t="str">
        <f aca="false">IF('STUDENT SCREENING'!BQ53="","",'STUDENT SCREENING'!BQ53)</f>
        <v/>
      </c>
      <c r="O53" s="38" t="str">
        <f aca="false">IF('STUDENT SCREENING'!BR53="","",'STUDENT SCREENING'!BR53)</f>
        <v/>
      </c>
      <c r="P53" s="32"/>
      <c r="Q53" s="32"/>
      <c r="R53" s="32"/>
      <c r="S53" s="32"/>
      <c r="T53" s="32"/>
      <c r="U53" s="32"/>
      <c r="V53" s="32"/>
      <c r="W53" s="32"/>
      <c r="X53" s="32"/>
    </row>
    <row r="54" customFormat="false" ht="15" hidden="false" customHeight="false" outlineLevel="0" collapsed="false">
      <c r="A54" s="37" t="str">
        <f aca="false">IF('STUDENT SCREENING'!A54="","",'STUDENT SCREENING'!A54)</f>
        <v/>
      </c>
      <c r="B54" s="37" t="str">
        <f aca="false">IF('STUDENT SCREENING'!I54="","",'STUDENT SCREENING'!I54)</f>
        <v/>
      </c>
      <c r="C54" s="37" t="str">
        <f aca="false">IF('STUDENT SCREENING'!F54="","",'STUDENT SCREENING'!F54)</f>
        <v/>
      </c>
      <c r="D54" s="37" t="str">
        <f aca="false">IF('STUDENT SCREENING'!G54="","",'STUDENT SCREENING'!G54)</f>
        <v/>
      </c>
      <c r="E54" s="37" t="str">
        <f aca="false">IF('STUDENT SCREENING'!C54="","",'STUDENT SCREENING'!C54)</f>
        <v/>
      </c>
      <c r="F54" s="37" t="str">
        <f aca="false">IF('STUDENT SCREENING'!J54="","",'STUDENT SCREENING'!J54)</f>
        <v/>
      </c>
      <c r="G54" s="37" t="str">
        <f aca="false">IF('STUDENT SCREENING'!K54="","",'STUDENT SCREENING'!K54)</f>
        <v/>
      </c>
      <c r="H54" s="37" t="str">
        <f aca="false">IF('STUDENT SCREENING'!S54="","",'STUDENT SCREENING'!S54)</f>
        <v/>
      </c>
      <c r="I54" s="37" t="str">
        <f aca="false">IF('STUDENT SCREENING'!T54="","",'STUDENT SCREENING'!T54)</f>
        <v/>
      </c>
      <c r="J54" s="37" t="str">
        <f aca="false">IF('STUDENT SCREENING'!BM54="","",'STUDENT SCREENING'!BM54)</f>
        <v/>
      </c>
      <c r="K54" s="37" t="str">
        <f aca="false">IF('STUDENT SCREENING'!BN54="","",'STUDENT SCREENING'!BN54)</f>
        <v/>
      </c>
      <c r="L54" s="37" t="str">
        <f aca="false">IF('STUDENT SCREENING'!BO54="","",'STUDENT SCREENING'!BO54)</f>
        <v/>
      </c>
      <c r="M54" s="37" t="str">
        <f aca="false">IF('STUDENT SCREENING'!BP54="","",'STUDENT SCREENING'!BP54)</f>
        <v/>
      </c>
      <c r="N54" s="37" t="str">
        <f aca="false">IF('STUDENT SCREENING'!BQ54="","",'STUDENT SCREENING'!BQ54)</f>
        <v/>
      </c>
      <c r="O54" s="37" t="str">
        <f aca="false">IF('STUDENT SCREENING'!BR54="","",'STUDENT SCREENING'!BR54)</f>
        <v/>
      </c>
      <c r="P54" s="28"/>
      <c r="Q54" s="28"/>
      <c r="R54" s="28"/>
      <c r="S54" s="28"/>
      <c r="T54" s="28"/>
      <c r="U54" s="28"/>
      <c r="V54" s="28"/>
      <c r="W54" s="28"/>
      <c r="X54" s="28"/>
    </row>
    <row r="55" customFormat="false" ht="15" hidden="false" customHeight="false" outlineLevel="0" collapsed="false">
      <c r="A55" s="38" t="str">
        <f aca="false">IF('STUDENT SCREENING'!A55="","",'STUDENT SCREENING'!A55)</f>
        <v/>
      </c>
      <c r="B55" s="38" t="str">
        <f aca="false">IF('STUDENT SCREENING'!I55="","",'STUDENT SCREENING'!I55)</f>
        <v/>
      </c>
      <c r="C55" s="38" t="str">
        <f aca="false">IF('STUDENT SCREENING'!F55="","",'STUDENT SCREENING'!F55)</f>
        <v/>
      </c>
      <c r="D55" s="38" t="str">
        <f aca="false">IF('STUDENT SCREENING'!G55="","",'STUDENT SCREENING'!G55)</f>
        <v/>
      </c>
      <c r="E55" s="38" t="str">
        <f aca="false">IF('STUDENT SCREENING'!C55="","",'STUDENT SCREENING'!C55)</f>
        <v/>
      </c>
      <c r="F55" s="38" t="str">
        <f aca="false">IF('STUDENT SCREENING'!J55="","",'STUDENT SCREENING'!J55)</f>
        <v/>
      </c>
      <c r="G55" s="38" t="str">
        <f aca="false">IF('STUDENT SCREENING'!K55="","",'STUDENT SCREENING'!K55)</f>
        <v/>
      </c>
      <c r="H55" s="38" t="str">
        <f aca="false">IF('STUDENT SCREENING'!S55="","",'STUDENT SCREENING'!S55)</f>
        <v/>
      </c>
      <c r="I55" s="38" t="str">
        <f aca="false">IF('STUDENT SCREENING'!T55="","",'STUDENT SCREENING'!T55)</f>
        <v/>
      </c>
      <c r="J55" s="38" t="str">
        <f aca="false">IF('STUDENT SCREENING'!BM55="","",'STUDENT SCREENING'!BM55)</f>
        <v/>
      </c>
      <c r="K55" s="38" t="str">
        <f aca="false">IF('STUDENT SCREENING'!BN55="","",'STUDENT SCREENING'!BN55)</f>
        <v/>
      </c>
      <c r="L55" s="38" t="str">
        <f aca="false">IF('STUDENT SCREENING'!BO55="","",'STUDENT SCREENING'!BO55)</f>
        <v/>
      </c>
      <c r="M55" s="38" t="str">
        <f aca="false">IF('STUDENT SCREENING'!BP55="","",'STUDENT SCREENING'!BP55)</f>
        <v/>
      </c>
      <c r="N55" s="38" t="str">
        <f aca="false">IF('STUDENT SCREENING'!BQ55="","",'STUDENT SCREENING'!BQ55)</f>
        <v/>
      </c>
      <c r="O55" s="38" t="str">
        <f aca="false">IF('STUDENT SCREENING'!BR55="","",'STUDENT SCREENING'!BR55)</f>
        <v/>
      </c>
      <c r="P55" s="32"/>
      <c r="Q55" s="32"/>
      <c r="R55" s="32"/>
      <c r="S55" s="32"/>
      <c r="T55" s="32"/>
      <c r="U55" s="32"/>
      <c r="V55" s="32"/>
      <c r="W55" s="32"/>
      <c r="X55" s="32"/>
    </row>
    <row r="56" customFormat="false" ht="15" hidden="false" customHeight="false" outlineLevel="0" collapsed="false">
      <c r="A56" s="37" t="str">
        <f aca="false">IF('STUDENT SCREENING'!A56="","",'STUDENT SCREENING'!A56)</f>
        <v/>
      </c>
      <c r="B56" s="37" t="str">
        <f aca="false">IF('STUDENT SCREENING'!I56="","",'STUDENT SCREENING'!I56)</f>
        <v/>
      </c>
      <c r="C56" s="37" t="str">
        <f aca="false">IF('STUDENT SCREENING'!F56="","",'STUDENT SCREENING'!F56)</f>
        <v/>
      </c>
      <c r="D56" s="37" t="str">
        <f aca="false">IF('STUDENT SCREENING'!G56="","",'STUDENT SCREENING'!G56)</f>
        <v/>
      </c>
      <c r="E56" s="37" t="str">
        <f aca="false">IF('STUDENT SCREENING'!C56="","",'STUDENT SCREENING'!C56)</f>
        <v/>
      </c>
      <c r="F56" s="37" t="str">
        <f aca="false">IF('STUDENT SCREENING'!J56="","",'STUDENT SCREENING'!J56)</f>
        <v/>
      </c>
      <c r="G56" s="37" t="str">
        <f aca="false">IF('STUDENT SCREENING'!K56="","",'STUDENT SCREENING'!K56)</f>
        <v/>
      </c>
      <c r="H56" s="37" t="str">
        <f aca="false">IF('STUDENT SCREENING'!S56="","",'STUDENT SCREENING'!S56)</f>
        <v/>
      </c>
      <c r="I56" s="37" t="str">
        <f aca="false">IF('STUDENT SCREENING'!T56="","",'STUDENT SCREENING'!T56)</f>
        <v/>
      </c>
      <c r="J56" s="37" t="str">
        <f aca="false">IF('STUDENT SCREENING'!BM56="","",'STUDENT SCREENING'!BM56)</f>
        <v/>
      </c>
      <c r="K56" s="37" t="str">
        <f aca="false">IF('STUDENT SCREENING'!BN56="","",'STUDENT SCREENING'!BN56)</f>
        <v/>
      </c>
      <c r="L56" s="37" t="str">
        <f aca="false">IF('STUDENT SCREENING'!BO56="","",'STUDENT SCREENING'!BO56)</f>
        <v/>
      </c>
      <c r="M56" s="37" t="str">
        <f aca="false">IF('STUDENT SCREENING'!BP56="","",'STUDENT SCREENING'!BP56)</f>
        <v/>
      </c>
      <c r="N56" s="37" t="str">
        <f aca="false">IF('STUDENT SCREENING'!BQ56="","",'STUDENT SCREENING'!BQ56)</f>
        <v/>
      </c>
      <c r="O56" s="37" t="str">
        <f aca="false">IF('STUDENT SCREENING'!BR56="","",'STUDENT SCREENING'!BR56)</f>
        <v/>
      </c>
      <c r="P56" s="28"/>
      <c r="Q56" s="28"/>
      <c r="R56" s="28"/>
      <c r="S56" s="28"/>
      <c r="T56" s="28"/>
      <c r="U56" s="28"/>
      <c r="V56" s="28"/>
      <c r="W56" s="28"/>
      <c r="X56" s="28"/>
    </row>
    <row r="57" customFormat="false" ht="15" hidden="false" customHeight="false" outlineLevel="0" collapsed="false">
      <c r="A57" s="38" t="str">
        <f aca="false">IF('STUDENT SCREENING'!A57="","",'STUDENT SCREENING'!A57)</f>
        <v/>
      </c>
      <c r="B57" s="38" t="str">
        <f aca="false">IF('STUDENT SCREENING'!I57="","",'STUDENT SCREENING'!I57)</f>
        <v/>
      </c>
      <c r="C57" s="38" t="str">
        <f aca="false">IF('STUDENT SCREENING'!F57="","",'STUDENT SCREENING'!F57)</f>
        <v/>
      </c>
      <c r="D57" s="38" t="str">
        <f aca="false">IF('STUDENT SCREENING'!G57="","",'STUDENT SCREENING'!G57)</f>
        <v/>
      </c>
      <c r="E57" s="38" t="str">
        <f aca="false">IF('STUDENT SCREENING'!C57="","",'STUDENT SCREENING'!C57)</f>
        <v/>
      </c>
      <c r="F57" s="38" t="str">
        <f aca="false">IF('STUDENT SCREENING'!J57="","",'STUDENT SCREENING'!J57)</f>
        <v/>
      </c>
      <c r="G57" s="38" t="str">
        <f aca="false">IF('STUDENT SCREENING'!K57="","",'STUDENT SCREENING'!K57)</f>
        <v/>
      </c>
      <c r="H57" s="38" t="str">
        <f aca="false">IF('STUDENT SCREENING'!S57="","",'STUDENT SCREENING'!S57)</f>
        <v/>
      </c>
      <c r="I57" s="38" t="str">
        <f aca="false">IF('STUDENT SCREENING'!T57="","",'STUDENT SCREENING'!T57)</f>
        <v/>
      </c>
      <c r="J57" s="38" t="str">
        <f aca="false">IF('STUDENT SCREENING'!BM57="","",'STUDENT SCREENING'!BM57)</f>
        <v/>
      </c>
      <c r="K57" s="38" t="str">
        <f aca="false">IF('STUDENT SCREENING'!BN57="","",'STUDENT SCREENING'!BN57)</f>
        <v/>
      </c>
      <c r="L57" s="38" t="str">
        <f aca="false">IF('STUDENT SCREENING'!BO57="","",'STUDENT SCREENING'!BO57)</f>
        <v/>
      </c>
      <c r="M57" s="38" t="str">
        <f aca="false">IF('STUDENT SCREENING'!BP57="","",'STUDENT SCREENING'!BP57)</f>
        <v/>
      </c>
      <c r="N57" s="38" t="str">
        <f aca="false">IF('STUDENT SCREENING'!BQ57="","",'STUDENT SCREENING'!BQ57)</f>
        <v/>
      </c>
      <c r="O57" s="38" t="str">
        <f aca="false">IF('STUDENT SCREENING'!BR57="","",'STUDENT SCREENING'!BR57)</f>
        <v/>
      </c>
      <c r="P57" s="32"/>
      <c r="Q57" s="32"/>
      <c r="R57" s="32"/>
      <c r="S57" s="32"/>
      <c r="T57" s="32"/>
      <c r="U57" s="32"/>
      <c r="V57" s="32"/>
      <c r="W57" s="32"/>
      <c r="X57" s="32"/>
    </row>
    <row r="58" customFormat="false" ht="15" hidden="false" customHeight="false" outlineLevel="0" collapsed="false">
      <c r="A58" s="37" t="str">
        <f aca="false">IF('STUDENT SCREENING'!A58="","",'STUDENT SCREENING'!A58)</f>
        <v/>
      </c>
      <c r="B58" s="37" t="str">
        <f aca="false">IF('STUDENT SCREENING'!I58="","",'STUDENT SCREENING'!I58)</f>
        <v/>
      </c>
      <c r="C58" s="37" t="str">
        <f aca="false">IF('STUDENT SCREENING'!F58="","",'STUDENT SCREENING'!F58)</f>
        <v/>
      </c>
      <c r="D58" s="37" t="str">
        <f aca="false">IF('STUDENT SCREENING'!G58="","",'STUDENT SCREENING'!G58)</f>
        <v/>
      </c>
      <c r="E58" s="37" t="str">
        <f aca="false">IF('STUDENT SCREENING'!C58="","",'STUDENT SCREENING'!C58)</f>
        <v/>
      </c>
      <c r="F58" s="37" t="str">
        <f aca="false">IF('STUDENT SCREENING'!J58="","",'STUDENT SCREENING'!J58)</f>
        <v/>
      </c>
      <c r="G58" s="37" t="str">
        <f aca="false">IF('STUDENT SCREENING'!K58="","",'STUDENT SCREENING'!K58)</f>
        <v/>
      </c>
      <c r="H58" s="37" t="str">
        <f aca="false">IF('STUDENT SCREENING'!S58="","",'STUDENT SCREENING'!S58)</f>
        <v/>
      </c>
      <c r="I58" s="37" t="str">
        <f aca="false">IF('STUDENT SCREENING'!T58="","",'STUDENT SCREENING'!T58)</f>
        <v/>
      </c>
      <c r="J58" s="37" t="str">
        <f aca="false">IF('STUDENT SCREENING'!BM58="","",'STUDENT SCREENING'!BM58)</f>
        <v/>
      </c>
      <c r="K58" s="37" t="str">
        <f aca="false">IF('STUDENT SCREENING'!BN58="","",'STUDENT SCREENING'!BN58)</f>
        <v/>
      </c>
      <c r="L58" s="37" t="str">
        <f aca="false">IF('STUDENT SCREENING'!BO58="","",'STUDENT SCREENING'!BO58)</f>
        <v/>
      </c>
      <c r="M58" s="37" t="str">
        <f aca="false">IF('STUDENT SCREENING'!BP58="","",'STUDENT SCREENING'!BP58)</f>
        <v/>
      </c>
      <c r="N58" s="37" t="str">
        <f aca="false">IF('STUDENT SCREENING'!BQ58="","",'STUDENT SCREENING'!BQ58)</f>
        <v/>
      </c>
      <c r="O58" s="37" t="str">
        <f aca="false">IF('STUDENT SCREENING'!BR58="","",'STUDENT SCREENING'!BR58)</f>
        <v/>
      </c>
      <c r="P58" s="28"/>
      <c r="Q58" s="28"/>
      <c r="R58" s="28"/>
      <c r="S58" s="28"/>
      <c r="T58" s="28"/>
      <c r="U58" s="28"/>
      <c r="V58" s="28"/>
      <c r="W58" s="28"/>
      <c r="X58" s="28"/>
    </row>
    <row r="59" customFormat="false" ht="15" hidden="false" customHeight="false" outlineLevel="0" collapsed="false">
      <c r="A59" s="38" t="str">
        <f aca="false">IF('STUDENT SCREENING'!A59="","",'STUDENT SCREENING'!A59)</f>
        <v/>
      </c>
      <c r="B59" s="38" t="str">
        <f aca="false">IF('STUDENT SCREENING'!I59="","",'STUDENT SCREENING'!I59)</f>
        <v/>
      </c>
      <c r="C59" s="38" t="str">
        <f aca="false">IF('STUDENT SCREENING'!F59="","",'STUDENT SCREENING'!F59)</f>
        <v/>
      </c>
      <c r="D59" s="38" t="str">
        <f aca="false">IF('STUDENT SCREENING'!G59="","",'STUDENT SCREENING'!G59)</f>
        <v/>
      </c>
      <c r="E59" s="38" t="str">
        <f aca="false">IF('STUDENT SCREENING'!C59="","",'STUDENT SCREENING'!C59)</f>
        <v/>
      </c>
      <c r="F59" s="38" t="str">
        <f aca="false">IF('STUDENT SCREENING'!J59="","",'STUDENT SCREENING'!J59)</f>
        <v/>
      </c>
      <c r="G59" s="38" t="str">
        <f aca="false">IF('STUDENT SCREENING'!K59="","",'STUDENT SCREENING'!K59)</f>
        <v/>
      </c>
      <c r="H59" s="38" t="str">
        <f aca="false">IF('STUDENT SCREENING'!S59="","",'STUDENT SCREENING'!S59)</f>
        <v/>
      </c>
      <c r="I59" s="38" t="str">
        <f aca="false">IF('STUDENT SCREENING'!T59="","",'STUDENT SCREENING'!T59)</f>
        <v/>
      </c>
      <c r="J59" s="38" t="str">
        <f aca="false">IF('STUDENT SCREENING'!BM59="","",'STUDENT SCREENING'!BM59)</f>
        <v/>
      </c>
      <c r="K59" s="38" t="str">
        <f aca="false">IF('STUDENT SCREENING'!BN59="","",'STUDENT SCREENING'!BN59)</f>
        <v/>
      </c>
      <c r="L59" s="38" t="str">
        <f aca="false">IF('STUDENT SCREENING'!BO59="","",'STUDENT SCREENING'!BO59)</f>
        <v/>
      </c>
      <c r="M59" s="38" t="str">
        <f aca="false">IF('STUDENT SCREENING'!BP59="","",'STUDENT SCREENING'!BP59)</f>
        <v/>
      </c>
      <c r="N59" s="38" t="str">
        <f aca="false">IF('STUDENT SCREENING'!BQ59="","",'STUDENT SCREENING'!BQ59)</f>
        <v/>
      </c>
      <c r="O59" s="38" t="str">
        <f aca="false">IF('STUDENT SCREENING'!BR59="","",'STUDENT SCREENING'!BR59)</f>
        <v/>
      </c>
      <c r="P59" s="32"/>
      <c r="Q59" s="32"/>
      <c r="R59" s="32"/>
      <c r="S59" s="32"/>
      <c r="T59" s="32"/>
      <c r="U59" s="32"/>
      <c r="V59" s="32"/>
      <c r="W59" s="32"/>
      <c r="X59" s="32"/>
    </row>
    <row r="60" customFormat="false" ht="15" hidden="false" customHeight="false" outlineLevel="0" collapsed="false">
      <c r="A60" s="37" t="str">
        <f aca="false">IF('STUDENT SCREENING'!A60="","",'STUDENT SCREENING'!A60)</f>
        <v/>
      </c>
      <c r="B60" s="37" t="str">
        <f aca="false">IF('STUDENT SCREENING'!I60="","",'STUDENT SCREENING'!I60)</f>
        <v/>
      </c>
      <c r="C60" s="37" t="str">
        <f aca="false">IF('STUDENT SCREENING'!F60="","",'STUDENT SCREENING'!F60)</f>
        <v/>
      </c>
      <c r="D60" s="37" t="str">
        <f aca="false">IF('STUDENT SCREENING'!G60="","",'STUDENT SCREENING'!G60)</f>
        <v/>
      </c>
      <c r="E60" s="37" t="str">
        <f aca="false">IF('STUDENT SCREENING'!C60="","",'STUDENT SCREENING'!C60)</f>
        <v/>
      </c>
      <c r="F60" s="37" t="str">
        <f aca="false">IF('STUDENT SCREENING'!J60="","",'STUDENT SCREENING'!J60)</f>
        <v/>
      </c>
      <c r="G60" s="37" t="str">
        <f aca="false">IF('STUDENT SCREENING'!K60="","",'STUDENT SCREENING'!K60)</f>
        <v/>
      </c>
      <c r="H60" s="37" t="str">
        <f aca="false">IF('STUDENT SCREENING'!S60="","",'STUDENT SCREENING'!S60)</f>
        <v/>
      </c>
      <c r="I60" s="37" t="str">
        <f aca="false">IF('STUDENT SCREENING'!T60="","",'STUDENT SCREENING'!T60)</f>
        <v/>
      </c>
      <c r="J60" s="37" t="str">
        <f aca="false">IF('STUDENT SCREENING'!BM60="","",'STUDENT SCREENING'!BM60)</f>
        <v/>
      </c>
      <c r="K60" s="37" t="str">
        <f aca="false">IF('STUDENT SCREENING'!BN60="","",'STUDENT SCREENING'!BN60)</f>
        <v/>
      </c>
      <c r="L60" s="37" t="str">
        <f aca="false">IF('STUDENT SCREENING'!BO60="","",'STUDENT SCREENING'!BO60)</f>
        <v/>
      </c>
      <c r="M60" s="37" t="str">
        <f aca="false">IF('STUDENT SCREENING'!BP60="","",'STUDENT SCREENING'!BP60)</f>
        <v/>
      </c>
      <c r="N60" s="37" t="str">
        <f aca="false">IF('STUDENT SCREENING'!BQ60="","",'STUDENT SCREENING'!BQ60)</f>
        <v/>
      </c>
      <c r="O60" s="37" t="str">
        <f aca="false">IF('STUDENT SCREENING'!BR60="","",'STUDENT SCREENING'!BR60)</f>
        <v/>
      </c>
      <c r="P60" s="28"/>
      <c r="Q60" s="28"/>
      <c r="R60" s="28"/>
      <c r="S60" s="28"/>
      <c r="T60" s="28"/>
      <c r="U60" s="28"/>
      <c r="V60" s="28"/>
      <c r="W60" s="28"/>
      <c r="X60" s="28"/>
    </row>
    <row r="61" customFormat="false" ht="15" hidden="false" customHeight="false" outlineLevel="0" collapsed="false">
      <c r="A61" s="38" t="str">
        <f aca="false">IF('STUDENT SCREENING'!A61="","",'STUDENT SCREENING'!A61)</f>
        <v/>
      </c>
      <c r="B61" s="38" t="str">
        <f aca="false">IF('STUDENT SCREENING'!I61="","",'STUDENT SCREENING'!I61)</f>
        <v/>
      </c>
      <c r="C61" s="38" t="str">
        <f aca="false">IF('STUDENT SCREENING'!F61="","",'STUDENT SCREENING'!F61)</f>
        <v/>
      </c>
      <c r="D61" s="38" t="str">
        <f aca="false">IF('STUDENT SCREENING'!G61="","",'STUDENT SCREENING'!G61)</f>
        <v/>
      </c>
      <c r="E61" s="38" t="str">
        <f aca="false">IF('STUDENT SCREENING'!C61="","",'STUDENT SCREENING'!C61)</f>
        <v/>
      </c>
      <c r="F61" s="38" t="str">
        <f aca="false">IF('STUDENT SCREENING'!J61="","",'STUDENT SCREENING'!J61)</f>
        <v/>
      </c>
      <c r="G61" s="38" t="str">
        <f aca="false">IF('STUDENT SCREENING'!K61="","",'STUDENT SCREENING'!K61)</f>
        <v/>
      </c>
      <c r="H61" s="38" t="str">
        <f aca="false">IF('STUDENT SCREENING'!S61="","",'STUDENT SCREENING'!S61)</f>
        <v/>
      </c>
      <c r="I61" s="38" t="str">
        <f aca="false">IF('STUDENT SCREENING'!T61="","",'STUDENT SCREENING'!T61)</f>
        <v/>
      </c>
      <c r="J61" s="38" t="str">
        <f aca="false">IF('STUDENT SCREENING'!BM61="","",'STUDENT SCREENING'!BM61)</f>
        <v/>
      </c>
      <c r="K61" s="38" t="str">
        <f aca="false">IF('STUDENT SCREENING'!BN61="","",'STUDENT SCREENING'!BN61)</f>
        <v/>
      </c>
      <c r="L61" s="38" t="str">
        <f aca="false">IF('STUDENT SCREENING'!BO61="","",'STUDENT SCREENING'!BO61)</f>
        <v/>
      </c>
      <c r="M61" s="38" t="str">
        <f aca="false">IF('STUDENT SCREENING'!BP61="","",'STUDENT SCREENING'!BP61)</f>
        <v/>
      </c>
      <c r="N61" s="38" t="str">
        <f aca="false">IF('STUDENT SCREENING'!BQ61="","",'STUDENT SCREENING'!BQ61)</f>
        <v/>
      </c>
      <c r="O61" s="38" t="str">
        <f aca="false">IF('STUDENT SCREENING'!BR61="","",'STUDENT SCREENING'!BR61)</f>
        <v/>
      </c>
      <c r="P61" s="32"/>
      <c r="Q61" s="32"/>
      <c r="R61" s="32"/>
      <c r="S61" s="32"/>
      <c r="T61" s="32"/>
      <c r="U61" s="32"/>
      <c r="V61" s="32"/>
      <c r="W61" s="32"/>
      <c r="X61" s="32"/>
    </row>
    <row r="62" customFormat="false" ht="15" hidden="false" customHeight="false" outlineLevel="0" collapsed="false">
      <c r="A62" s="37" t="str">
        <f aca="false">IF('STUDENT SCREENING'!A62="","",'STUDENT SCREENING'!A62)</f>
        <v/>
      </c>
      <c r="B62" s="37" t="str">
        <f aca="false">IF('STUDENT SCREENING'!I62="","",'STUDENT SCREENING'!I62)</f>
        <v/>
      </c>
      <c r="C62" s="37" t="str">
        <f aca="false">IF('STUDENT SCREENING'!F62="","",'STUDENT SCREENING'!F62)</f>
        <v/>
      </c>
      <c r="D62" s="37" t="str">
        <f aca="false">IF('STUDENT SCREENING'!G62="","",'STUDENT SCREENING'!G62)</f>
        <v/>
      </c>
      <c r="E62" s="37" t="str">
        <f aca="false">IF('STUDENT SCREENING'!C62="","",'STUDENT SCREENING'!C62)</f>
        <v/>
      </c>
      <c r="F62" s="37" t="str">
        <f aca="false">IF('STUDENT SCREENING'!J62="","",'STUDENT SCREENING'!J62)</f>
        <v/>
      </c>
      <c r="G62" s="37" t="str">
        <f aca="false">IF('STUDENT SCREENING'!K62="","",'STUDENT SCREENING'!K62)</f>
        <v/>
      </c>
      <c r="H62" s="37" t="str">
        <f aca="false">IF('STUDENT SCREENING'!S62="","",'STUDENT SCREENING'!S62)</f>
        <v/>
      </c>
      <c r="I62" s="37" t="str">
        <f aca="false">IF('STUDENT SCREENING'!T62="","",'STUDENT SCREENING'!T62)</f>
        <v/>
      </c>
      <c r="J62" s="37" t="str">
        <f aca="false">IF('STUDENT SCREENING'!BM62="","",'STUDENT SCREENING'!BM62)</f>
        <v/>
      </c>
      <c r="K62" s="37" t="str">
        <f aca="false">IF('STUDENT SCREENING'!BN62="","",'STUDENT SCREENING'!BN62)</f>
        <v/>
      </c>
      <c r="L62" s="37" t="str">
        <f aca="false">IF('STUDENT SCREENING'!BO62="","",'STUDENT SCREENING'!BO62)</f>
        <v/>
      </c>
      <c r="M62" s="37" t="str">
        <f aca="false">IF('STUDENT SCREENING'!BP62="","",'STUDENT SCREENING'!BP62)</f>
        <v/>
      </c>
      <c r="N62" s="37" t="str">
        <f aca="false">IF('STUDENT SCREENING'!BQ62="","",'STUDENT SCREENING'!BQ62)</f>
        <v/>
      </c>
      <c r="O62" s="37" t="str">
        <f aca="false">IF('STUDENT SCREENING'!BR62="","",'STUDENT SCREENING'!BR62)</f>
        <v/>
      </c>
      <c r="P62" s="28"/>
      <c r="Q62" s="28"/>
      <c r="R62" s="28"/>
      <c r="S62" s="28"/>
      <c r="T62" s="28"/>
      <c r="U62" s="28"/>
      <c r="V62" s="28"/>
      <c r="W62" s="28"/>
      <c r="X62" s="28"/>
    </row>
    <row r="63" customFormat="false" ht="15" hidden="false" customHeight="false" outlineLevel="0" collapsed="false">
      <c r="A63" s="38" t="str">
        <f aca="false">IF('STUDENT SCREENING'!A63="","",'STUDENT SCREENING'!A63)</f>
        <v/>
      </c>
      <c r="B63" s="38" t="str">
        <f aca="false">IF('STUDENT SCREENING'!I63="","",'STUDENT SCREENING'!I63)</f>
        <v/>
      </c>
      <c r="C63" s="38" t="str">
        <f aca="false">IF('STUDENT SCREENING'!F63="","",'STUDENT SCREENING'!F63)</f>
        <v/>
      </c>
      <c r="D63" s="38" t="str">
        <f aca="false">IF('STUDENT SCREENING'!G63="","",'STUDENT SCREENING'!G63)</f>
        <v/>
      </c>
      <c r="E63" s="38" t="str">
        <f aca="false">IF('STUDENT SCREENING'!C63="","",'STUDENT SCREENING'!C63)</f>
        <v/>
      </c>
      <c r="F63" s="38" t="str">
        <f aca="false">IF('STUDENT SCREENING'!J63="","",'STUDENT SCREENING'!J63)</f>
        <v/>
      </c>
      <c r="G63" s="38" t="str">
        <f aca="false">IF('STUDENT SCREENING'!K63="","",'STUDENT SCREENING'!K63)</f>
        <v/>
      </c>
      <c r="H63" s="38" t="str">
        <f aca="false">IF('STUDENT SCREENING'!S63="","",'STUDENT SCREENING'!S63)</f>
        <v/>
      </c>
      <c r="I63" s="38" t="str">
        <f aca="false">IF('STUDENT SCREENING'!T63="","",'STUDENT SCREENING'!T63)</f>
        <v/>
      </c>
      <c r="J63" s="38" t="str">
        <f aca="false">IF('STUDENT SCREENING'!BM63="","",'STUDENT SCREENING'!BM63)</f>
        <v/>
      </c>
      <c r="K63" s="38" t="str">
        <f aca="false">IF('STUDENT SCREENING'!BN63="","",'STUDENT SCREENING'!BN63)</f>
        <v/>
      </c>
      <c r="L63" s="38" t="str">
        <f aca="false">IF('STUDENT SCREENING'!BO63="","",'STUDENT SCREENING'!BO63)</f>
        <v/>
      </c>
      <c r="M63" s="38" t="str">
        <f aca="false">IF('STUDENT SCREENING'!BP63="","",'STUDENT SCREENING'!BP63)</f>
        <v/>
      </c>
      <c r="N63" s="38" t="str">
        <f aca="false">IF('STUDENT SCREENING'!BQ63="","",'STUDENT SCREENING'!BQ63)</f>
        <v/>
      </c>
      <c r="O63" s="38" t="str">
        <f aca="false">IF('STUDENT SCREENING'!BR63="","",'STUDENT SCREENING'!BR63)</f>
        <v/>
      </c>
      <c r="P63" s="32"/>
      <c r="Q63" s="32"/>
      <c r="R63" s="32"/>
      <c r="S63" s="32"/>
      <c r="T63" s="32"/>
      <c r="U63" s="32"/>
      <c r="V63" s="32"/>
      <c r="W63" s="32"/>
      <c r="X63" s="32"/>
    </row>
    <row r="64" customFormat="false" ht="15" hidden="false" customHeight="false" outlineLevel="0" collapsed="false">
      <c r="A64" s="37" t="str">
        <f aca="false">IF('STUDENT SCREENING'!A64="","",'STUDENT SCREENING'!A64)</f>
        <v/>
      </c>
      <c r="B64" s="37" t="str">
        <f aca="false">IF('STUDENT SCREENING'!I64="","",'STUDENT SCREENING'!I64)</f>
        <v/>
      </c>
      <c r="C64" s="37" t="str">
        <f aca="false">IF('STUDENT SCREENING'!F64="","",'STUDENT SCREENING'!F64)</f>
        <v/>
      </c>
      <c r="D64" s="37" t="str">
        <f aca="false">IF('STUDENT SCREENING'!G64="","",'STUDENT SCREENING'!G64)</f>
        <v/>
      </c>
      <c r="E64" s="37" t="str">
        <f aca="false">IF('STUDENT SCREENING'!C64="","",'STUDENT SCREENING'!C64)</f>
        <v/>
      </c>
      <c r="F64" s="37" t="str">
        <f aca="false">IF('STUDENT SCREENING'!J64="","",'STUDENT SCREENING'!J64)</f>
        <v/>
      </c>
      <c r="G64" s="37" t="str">
        <f aca="false">IF('STUDENT SCREENING'!K64="","",'STUDENT SCREENING'!K64)</f>
        <v/>
      </c>
      <c r="H64" s="37" t="str">
        <f aca="false">IF('STUDENT SCREENING'!S64="","",'STUDENT SCREENING'!S64)</f>
        <v/>
      </c>
      <c r="I64" s="37" t="str">
        <f aca="false">IF('STUDENT SCREENING'!T64="","",'STUDENT SCREENING'!T64)</f>
        <v/>
      </c>
      <c r="J64" s="37" t="str">
        <f aca="false">IF('STUDENT SCREENING'!BM64="","",'STUDENT SCREENING'!BM64)</f>
        <v/>
      </c>
      <c r="K64" s="37" t="str">
        <f aca="false">IF('STUDENT SCREENING'!BN64="","",'STUDENT SCREENING'!BN64)</f>
        <v/>
      </c>
      <c r="L64" s="37" t="str">
        <f aca="false">IF('STUDENT SCREENING'!BO64="","",'STUDENT SCREENING'!BO64)</f>
        <v/>
      </c>
      <c r="M64" s="37" t="str">
        <f aca="false">IF('STUDENT SCREENING'!BP64="","",'STUDENT SCREENING'!BP64)</f>
        <v/>
      </c>
      <c r="N64" s="37" t="str">
        <f aca="false">IF('STUDENT SCREENING'!BQ64="","",'STUDENT SCREENING'!BQ64)</f>
        <v/>
      </c>
      <c r="O64" s="37" t="str">
        <f aca="false">IF('STUDENT SCREENING'!BR64="","",'STUDENT SCREENING'!BR64)</f>
        <v/>
      </c>
      <c r="P64" s="28"/>
      <c r="Q64" s="28"/>
      <c r="R64" s="28"/>
      <c r="S64" s="28"/>
      <c r="T64" s="28"/>
      <c r="U64" s="28"/>
      <c r="V64" s="28"/>
      <c r="W64" s="28"/>
      <c r="X64" s="28"/>
    </row>
    <row r="65" customFormat="false" ht="15" hidden="false" customHeight="false" outlineLevel="0" collapsed="false">
      <c r="A65" s="38" t="str">
        <f aca="false">IF('STUDENT SCREENING'!A65="","",'STUDENT SCREENING'!A65)</f>
        <v/>
      </c>
      <c r="B65" s="38" t="str">
        <f aca="false">IF('STUDENT SCREENING'!I65="","",'STUDENT SCREENING'!I65)</f>
        <v/>
      </c>
      <c r="C65" s="38" t="str">
        <f aca="false">IF('STUDENT SCREENING'!F65="","",'STUDENT SCREENING'!F65)</f>
        <v/>
      </c>
      <c r="D65" s="38" t="str">
        <f aca="false">IF('STUDENT SCREENING'!G65="","",'STUDENT SCREENING'!G65)</f>
        <v/>
      </c>
      <c r="E65" s="38" t="str">
        <f aca="false">IF('STUDENT SCREENING'!C65="","",'STUDENT SCREENING'!C65)</f>
        <v/>
      </c>
      <c r="F65" s="38" t="str">
        <f aca="false">IF('STUDENT SCREENING'!J65="","",'STUDENT SCREENING'!J65)</f>
        <v/>
      </c>
      <c r="G65" s="38" t="str">
        <f aca="false">IF('STUDENT SCREENING'!K65="","",'STUDENT SCREENING'!K65)</f>
        <v/>
      </c>
      <c r="H65" s="38" t="str">
        <f aca="false">IF('STUDENT SCREENING'!S65="","",'STUDENT SCREENING'!S65)</f>
        <v/>
      </c>
      <c r="I65" s="38" t="str">
        <f aca="false">IF('STUDENT SCREENING'!T65="","",'STUDENT SCREENING'!T65)</f>
        <v/>
      </c>
      <c r="J65" s="38" t="str">
        <f aca="false">IF('STUDENT SCREENING'!BM65="","",'STUDENT SCREENING'!BM65)</f>
        <v/>
      </c>
      <c r="K65" s="38" t="str">
        <f aca="false">IF('STUDENT SCREENING'!BN65="","",'STUDENT SCREENING'!BN65)</f>
        <v/>
      </c>
      <c r="L65" s="38" t="str">
        <f aca="false">IF('STUDENT SCREENING'!BO65="","",'STUDENT SCREENING'!BO65)</f>
        <v/>
      </c>
      <c r="M65" s="38" t="str">
        <f aca="false">IF('STUDENT SCREENING'!BP65="","",'STUDENT SCREENING'!BP65)</f>
        <v/>
      </c>
      <c r="N65" s="38" t="str">
        <f aca="false">IF('STUDENT SCREENING'!BQ65="","",'STUDENT SCREENING'!BQ65)</f>
        <v/>
      </c>
      <c r="O65" s="38" t="str">
        <f aca="false">IF('STUDENT SCREENING'!BR65="","",'STUDENT SCREENING'!BR65)</f>
        <v/>
      </c>
      <c r="P65" s="32"/>
      <c r="Q65" s="32"/>
      <c r="R65" s="32"/>
      <c r="S65" s="32"/>
      <c r="T65" s="32"/>
      <c r="U65" s="32"/>
      <c r="V65" s="32"/>
      <c r="W65" s="32"/>
      <c r="X65" s="32"/>
    </row>
    <row r="66" customFormat="false" ht="15" hidden="false" customHeight="false" outlineLevel="0" collapsed="false">
      <c r="A66" s="37" t="str">
        <f aca="false">IF('STUDENT SCREENING'!A66="","",'STUDENT SCREENING'!A66)</f>
        <v/>
      </c>
      <c r="B66" s="37" t="str">
        <f aca="false">IF('STUDENT SCREENING'!I66="","",'STUDENT SCREENING'!I66)</f>
        <v/>
      </c>
      <c r="C66" s="37" t="str">
        <f aca="false">IF('STUDENT SCREENING'!F66="","",'STUDENT SCREENING'!F66)</f>
        <v/>
      </c>
      <c r="D66" s="37" t="str">
        <f aca="false">IF('STUDENT SCREENING'!G66="","",'STUDENT SCREENING'!G66)</f>
        <v/>
      </c>
      <c r="E66" s="37" t="str">
        <f aca="false">IF('STUDENT SCREENING'!C66="","",'STUDENT SCREENING'!C66)</f>
        <v/>
      </c>
      <c r="F66" s="37" t="str">
        <f aca="false">IF('STUDENT SCREENING'!J66="","",'STUDENT SCREENING'!J66)</f>
        <v/>
      </c>
      <c r="G66" s="37" t="str">
        <f aca="false">IF('STUDENT SCREENING'!K66="","",'STUDENT SCREENING'!K66)</f>
        <v/>
      </c>
      <c r="H66" s="37" t="str">
        <f aca="false">IF('STUDENT SCREENING'!S66="","",'STUDENT SCREENING'!S66)</f>
        <v/>
      </c>
      <c r="I66" s="37" t="str">
        <f aca="false">IF('STUDENT SCREENING'!T66="","",'STUDENT SCREENING'!T66)</f>
        <v/>
      </c>
      <c r="J66" s="37" t="str">
        <f aca="false">IF('STUDENT SCREENING'!BM66="","",'STUDENT SCREENING'!BM66)</f>
        <v/>
      </c>
      <c r="K66" s="37" t="str">
        <f aca="false">IF('STUDENT SCREENING'!BN66="","",'STUDENT SCREENING'!BN66)</f>
        <v/>
      </c>
      <c r="L66" s="37" t="str">
        <f aca="false">IF('STUDENT SCREENING'!BO66="","",'STUDENT SCREENING'!BO66)</f>
        <v/>
      </c>
      <c r="M66" s="37" t="str">
        <f aca="false">IF('STUDENT SCREENING'!BP66="","",'STUDENT SCREENING'!BP66)</f>
        <v/>
      </c>
      <c r="N66" s="37" t="str">
        <f aca="false">IF('STUDENT SCREENING'!BQ66="","",'STUDENT SCREENING'!BQ66)</f>
        <v/>
      </c>
      <c r="O66" s="37" t="str">
        <f aca="false">IF('STUDENT SCREENING'!BR66="","",'STUDENT SCREENING'!BR66)</f>
        <v/>
      </c>
      <c r="P66" s="28"/>
      <c r="Q66" s="28"/>
      <c r="R66" s="28"/>
      <c r="S66" s="28"/>
      <c r="T66" s="28"/>
      <c r="U66" s="28"/>
      <c r="V66" s="28"/>
      <c r="W66" s="28"/>
      <c r="X66" s="28"/>
    </row>
    <row r="67" customFormat="false" ht="15" hidden="false" customHeight="false" outlineLevel="0" collapsed="false">
      <c r="A67" s="38" t="str">
        <f aca="false">IF('STUDENT SCREENING'!A67="","",'STUDENT SCREENING'!A67)</f>
        <v/>
      </c>
      <c r="B67" s="38" t="str">
        <f aca="false">IF('STUDENT SCREENING'!I67="","",'STUDENT SCREENING'!I67)</f>
        <v/>
      </c>
      <c r="C67" s="38" t="str">
        <f aca="false">IF('STUDENT SCREENING'!F67="","",'STUDENT SCREENING'!F67)</f>
        <v/>
      </c>
      <c r="D67" s="38" t="str">
        <f aca="false">IF('STUDENT SCREENING'!G67="","",'STUDENT SCREENING'!G67)</f>
        <v/>
      </c>
      <c r="E67" s="38" t="str">
        <f aca="false">IF('STUDENT SCREENING'!C67="","",'STUDENT SCREENING'!C67)</f>
        <v/>
      </c>
      <c r="F67" s="38" t="str">
        <f aca="false">IF('STUDENT SCREENING'!J67="","",'STUDENT SCREENING'!J67)</f>
        <v/>
      </c>
      <c r="G67" s="38" t="str">
        <f aca="false">IF('STUDENT SCREENING'!K67="","",'STUDENT SCREENING'!K67)</f>
        <v/>
      </c>
      <c r="H67" s="38" t="str">
        <f aca="false">IF('STUDENT SCREENING'!S67="","",'STUDENT SCREENING'!S67)</f>
        <v/>
      </c>
      <c r="I67" s="38" t="str">
        <f aca="false">IF('STUDENT SCREENING'!T67="","",'STUDENT SCREENING'!T67)</f>
        <v/>
      </c>
      <c r="J67" s="38" t="str">
        <f aca="false">IF('STUDENT SCREENING'!BM67="","",'STUDENT SCREENING'!BM67)</f>
        <v/>
      </c>
      <c r="K67" s="38" t="str">
        <f aca="false">IF('STUDENT SCREENING'!BN67="","",'STUDENT SCREENING'!BN67)</f>
        <v/>
      </c>
      <c r="L67" s="38" t="str">
        <f aca="false">IF('STUDENT SCREENING'!BO67="","",'STUDENT SCREENING'!BO67)</f>
        <v/>
      </c>
      <c r="M67" s="38" t="str">
        <f aca="false">IF('STUDENT SCREENING'!BP67="","",'STUDENT SCREENING'!BP67)</f>
        <v/>
      </c>
      <c r="N67" s="38" t="str">
        <f aca="false">IF('STUDENT SCREENING'!BQ67="","",'STUDENT SCREENING'!BQ67)</f>
        <v/>
      </c>
      <c r="O67" s="38" t="str">
        <f aca="false">IF('STUDENT SCREENING'!BR67="","",'STUDENT SCREENING'!BR67)</f>
        <v/>
      </c>
      <c r="P67" s="32"/>
      <c r="Q67" s="32"/>
      <c r="R67" s="32"/>
      <c r="S67" s="32"/>
      <c r="T67" s="32"/>
      <c r="U67" s="32"/>
      <c r="V67" s="32"/>
      <c r="W67" s="32"/>
      <c r="X67" s="32"/>
    </row>
    <row r="68" customFormat="false" ht="15" hidden="false" customHeight="false" outlineLevel="0" collapsed="false">
      <c r="A68" s="37" t="str">
        <f aca="false">IF('STUDENT SCREENING'!A68="","",'STUDENT SCREENING'!A68)</f>
        <v/>
      </c>
      <c r="B68" s="37" t="str">
        <f aca="false">IF('STUDENT SCREENING'!I68="","",'STUDENT SCREENING'!I68)</f>
        <v/>
      </c>
      <c r="C68" s="37" t="str">
        <f aca="false">IF('STUDENT SCREENING'!F68="","",'STUDENT SCREENING'!F68)</f>
        <v/>
      </c>
      <c r="D68" s="37" t="str">
        <f aca="false">IF('STUDENT SCREENING'!G68="","",'STUDENT SCREENING'!G68)</f>
        <v/>
      </c>
      <c r="E68" s="37" t="str">
        <f aca="false">IF('STUDENT SCREENING'!C68="","",'STUDENT SCREENING'!C68)</f>
        <v/>
      </c>
      <c r="F68" s="37" t="str">
        <f aca="false">IF('STUDENT SCREENING'!J68="","",'STUDENT SCREENING'!J68)</f>
        <v/>
      </c>
      <c r="G68" s="37" t="str">
        <f aca="false">IF('STUDENT SCREENING'!K68="","",'STUDENT SCREENING'!K68)</f>
        <v/>
      </c>
      <c r="H68" s="37" t="str">
        <f aca="false">IF('STUDENT SCREENING'!S68="","",'STUDENT SCREENING'!S68)</f>
        <v/>
      </c>
      <c r="I68" s="37" t="str">
        <f aca="false">IF('STUDENT SCREENING'!T68="","",'STUDENT SCREENING'!T68)</f>
        <v/>
      </c>
      <c r="J68" s="37" t="str">
        <f aca="false">IF('STUDENT SCREENING'!BM68="","",'STUDENT SCREENING'!BM68)</f>
        <v/>
      </c>
      <c r="K68" s="37" t="str">
        <f aca="false">IF('STUDENT SCREENING'!BN68="","",'STUDENT SCREENING'!BN68)</f>
        <v/>
      </c>
      <c r="L68" s="37" t="str">
        <f aca="false">IF('STUDENT SCREENING'!BO68="","",'STUDENT SCREENING'!BO68)</f>
        <v/>
      </c>
      <c r="M68" s="37" t="str">
        <f aca="false">IF('STUDENT SCREENING'!BP68="","",'STUDENT SCREENING'!BP68)</f>
        <v/>
      </c>
      <c r="N68" s="37" t="str">
        <f aca="false">IF('STUDENT SCREENING'!BQ68="","",'STUDENT SCREENING'!BQ68)</f>
        <v/>
      </c>
      <c r="O68" s="37" t="str">
        <f aca="false">IF('STUDENT SCREENING'!BR68="","",'STUDENT SCREENING'!BR68)</f>
        <v/>
      </c>
      <c r="P68" s="28"/>
      <c r="Q68" s="28"/>
      <c r="R68" s="28"/>
      <c r="S68" s="28"/>
      <c r="T68" s="28"/>
      <c r="U68" s="28"/>
      <c r="V68" s="28"/>
      <c r="W68" s="28"/>
      <c r="X68" s="28"/>
    </row>
    <row r="69" customFormat="false" ht="15" hidden="false" customHeight="false" outlineLevel="0" collapsed="false">
      <c r="A69" s="38" t="str">
        <f aca="false">IF('STUDENT SCREENING'!A69="","",'STUDENT SCREENING'!A69)</f>
        <v/>
      </c>
      <c r="B69" s="38" t="str">
        <f aca="false">IF('STUDENT SCREENING'!I69="","",'STUDENT SCREENING'!I69)</f>
        <v/>
      </c>
      <c r="C69" s="38" t="str">
        <f aca="false">IF('STUDENT SCREENING'!F69="","",'STUDENT SCREENING'!F69)</f>
        <v/>
      </c>
      <c r="D69" s="38" t="str">
        <f aca="false">IF('STUDENT SCREENING'!G69="","",'STUDENT SCREENING'!G69)</f>
        <v/>
      </c>
      <c r="E69" s="38" t="str">
        <f aca="false">IF('STUDENT SCREENING'!C69="","",'STUDENT SCREENING'!C69)</f>
        <v/>
      </c>
      <c r="F69" s="38" t="str">
        <f aca="false">IF('STUDENT SCREENING'!J69="","",'STUDENT SCREENING'!J69)</f>
        <v/>
      </c>
      <c r="G69" s="38" t="str">
        <f aca="false">IF('STUDENT SCREENING'!K69="","",'STUDENT SCREENING'!K69)</f>
        <v/>
      </c>
      <c r="H69" s="38" t="str">
        <f aca="false">IF('STUDENT SCREENING'!S69="","",'STUDENT SCREENING'!S69)</f>
        <v/>
      </c>
      <c r="I69" s="38" t="str">
        <f aca="false">IF('STUDENT SCREENING'!T69="","",'STUDENT SCREENING'!T69)</f>
        <v/>
      </c>
      <c r="J69" s="38" t="str">
        <f aca="false">IF('STUDENT SCREENING'!BM69="","",'STUDENT SCREENING'!BM69)</f>
        <v/>
      </c>
      <c r="K69" s="38" t="str">
        <f aca="false">IF('STUDENT SCREENING'!BN69="","",'STUDENT SCREENING'!BN69)</f>
        <v/>
      </c>
      <c r="L69" s="38" t="str">
        <f aca="false">IF('STUDENT SCREENING'!BO69="","",'STUDENT SCREENING'!BO69)</f>
        <v/>
      </c>
      <c r="M69" s="38" t="str">
        <f aca="false">IF('STUDENT SCREENING'!BP69="","",'STUDENT SCREENING'!BP69)</f>
        <v/>
      </c>
      <c r="N69" s="38" t="str">
        <f aca="false">IF('STUDENT SCREENING'!BQ69="","",'STUDENT SCREENING'!BQ69)</f>
        <v/>
      </c>
      <c r="O69" s="38" t="str">
        <f aca="false">IF('STUDENT SCREENING'!BR69="","",'STUDENT SCREENING'!BR69)</f>
        <v/>
      </c>
      <c r="P69" s="32"/>
      <c r="Q69" s="32"/>
      <c r="R69" s="32"/>
      <c r="S69" s="32"/>
      <c r="T69" s="32"/>
      <c r="U69" s="32"/>
      <c r="V69" s="32"/>
      <c r="W69" s="32"/>
      <c r="X69" s="32"/>
    </row>
    <row r="70" customFormat="false" ht="15" hidden="false" customHeight="false" outlineLevel="0" collapsed="false">
      <c r="A70" s="37" t="str">
        <f aca="false">IF('STUDENT SCREENING'!A70="","",'STUDENT SCREENING'!A70)</f>
        <v/>
      </c>
      <c r="B70" s="37" t="str">
        <f aca="false">IF('STUDENT SCREENING'!I70="","",'STUDENT SCREENING'!I70)</f>
        <v/>
      </c>
      <c r="C70" s="37" t="str">
        <f aca="false">IF('STUDENT SCREENING'!F70="","",'STUDENT SCREENING'!F70)</f>
        <v/>
      </c>
      <c r="D70" s="37" t="str">
        <f aca="false">IF('STUDENT SCREENING'!G70="","",'STUDENT SCREENING'!G70)</f>
        <v/>
      </c>
      <c r="E70" s="37" t="str">
        <f aca="false">IF('STUDENT SCREENING'!C70="","",'STUDENT SCREENING'!C70)</f>
        <v/>
      </c>
      <c r="F70" s="37" t="str">
        <f aca="false">IF('STUDENT SCREENING'!J70="","",'STUDENT SCREENING'!J70)</f>
        <v/>
      </c>
      <c r="G70" s="37" t="str">
        <f aca="false">IF('STUDENT SCREENING'!K70="","",'STUDENT SCREENING'!K70)</f>
        <v/>
      </c>
      <c r="H70" s="37" t="str">
        <f aca="false">IF('STUDENT SCREENING'!S70="","",'STUDENT SCREENING'!S70)</f>
        <v/>
      </c>
      <c r="I70" s="37" t="str">
        <f aca="false">IF('STUDENT SCREENING'!T70="","",'STUDENT SCREENING'!T70)</f>
        <v/>
      </c>
      <c r="J70" s="37" t="str">
        <f aca="false">IF('STUDENT SCREENING'!BM70="","",'STUDENT SCREENING'!BM70)</f>
        <v/>
      </c>
      <c r="K70" s="37" t="str">
        <f aca="false">IF('STUDENT SCREENING'!BN70="","",'STUDENT SCREENING'!BN70)</f>
        <v/>
      </c>
      <c r="L70" s="37" t="str">
        <f aca="false">IF('STUDENT SCREENING'!BO70="","",'STUDENT SCREENING'!BO70)</f>
        <v/>
      </c>
      <c r="M70" s="37" t="str">
        <f aca="false">IF('STUDENT SCREENING'!BP70="","",'STUDENT SCREENING'!BP70)</f>
        <v/>
      </c>
      <c r="N70" s="37" t="str">
        <f aca="false">IF('STUDENT SCREENING'!BQ70="","",'STUDENT SCREENING'!BQ70)</f>
        <v/>
      </c>
      <c r="O70" s="37" t="str">
        <f aca="false">IF('STUDENT SCREENING'!BR70="","",'STUDENT SCREENING'!BR70)</f>
        <v/>
      </c>
      <c r="P70" s="28"/>
      <c r="Q70" s="28"/>
      <c r="R70" s="28"/>
      <c r="S70" s="28"/>
      <c r="T70" s="28"/>
      <c r="U70" s="28"/>
      <c r="V70" s="28"/>
      <c r="W70" s="28"/>
      <c r="X70" s="28"/>
    </row>
    <row r="71" customFormat="false" ht="15" hidden="false" customHeight="false" outlineLevel="0" collapsed="false">
      <c r="A71" s="38" t="str">
        <f aca="false">IF('STUDENT SCREENING'!A71="","",'STUDENT SCREENING'!A71)</f>
        <v/>
      </c>
      <c r="B71" s="38" t="str">
        <f aca="false">IF('STUDENT SCREENING'!I71="","",'STUDENT SCREENING'!I71)</f>
        <v/>
      </c>
      <c r="C71" s="38" t="str">
        <f aca="false">IF('STUDENT SCREENING'!F71="","",'STUDENT SCREENING'!F71)</f>
        <v/>
      </c>
      <c r="D71" s="38" t="str">
        <f aca="false">IF('STUDENT SCREENING'!G71="","",'STUDENT SCREENING'!G71)</f>
        <v/>
      </c>
      <c r="E71" s="38" t="str">
        <f aca="false">IF('STUDENT SCREENING'!C71="","",'STUDENT SCREENING'!C71)</f>
        <v/>
      </c>
      <c r="F71" s="38" t="str">
        <f aca="false">IF('STUDENT SCREENING'!J71="","",'STUDENT SCREENING'!J71)</f>
        <v/>
      </c>
      <c r="G71" s="38" t="str">
        <f aca="false">IF('STUDENT SCREENING'!K71="","",'STUDENT SCREENING'!K71)</f>
        <v/>
      </c>
      <c r="H71" s="38" t="str">
        <f aca="false">IF('STUDENT SCREENING'!S71="","",'STUDENT SCREENING'!S71)</f>
        <v/>
      </c>
      <c r="I71" s="38" t="str">
        <f aca="false">IF('STUDENT SCREENING'!T71="","",'STUDENT SCREENING'!T71)</f>
        <v/>
      </c>
      <c r="J71" s="38" t="str">
        <f aca="false">IF('STUDENT SCREENING'!BM71="","",'STUDENT SCREENING'!BM71)</f>
        <v/>
      </c>
      <c r="K71" s="38" t="str">
        <f aca="false">IF('STUDENT SCREENING'!BN71="","",'STUDENT SCREENING'!BN71)</f>
        <v/>
      </c>
      <c r="L71" s="38" t="str">
        <f aca="false">IF('STUDENT SCREENING'!BO71="","",'STUDENT SCREENING'!BO71)</f>
        <v/>
      </c>
      <c r="M71" s="38" t="str">
        <f aca="false">IF('STUDENT SCREENING'!BP71="","",'STUDENT SCREENING'!BP71)</f>
        <v/>
      </c>
      <c r="N71" s="38" t="str">
        <f aca="false">IF('STUDENT SCREENING'!BQ71="","",'STUDENT SCREENING'!BQ71)</f>
        <v/>
      </c>
      <c r="O71" s="38" t="str">
        <f aca="false">IF('STUDENT SCREENING'!BR71="","",'STUDENT SCREENING'!BR71)</f>
        <v/>
      </c>
      <c r="P71" s="32"/>
      <c r="Q71" s="32"/>
      <c r="R71" s="32"/>
      <c r="S71" s="32"/>
      <c r="T71" s="32"/>
      <c r="U71" s="32"/>
      <c r="V71" s="32"/>
      <c r="W71" s="32"/>
      <c r="X71" s="32"/>
    </row>
    <row r="72" customFormat="false" ht="15" hidden="false" customHeight="false" outlineLevel="0" collapsed="false">
      <c r="A72" s="37" t="str">
        <f aca="false">IF('STUDENT SCREENING'!A72="","",'STUDENT SCREENING'!A72)</f>
        <v/>
      </c>
      <c r="B72" s="37" t="str">
        <f aca="false">IF('STUDENT SCREENING'!I72="","",'STUDENT SCREENING'!I72)</f>
        <v/>
      </c>
      <c r="C72" s="37" t="str">
        <f aca="false">IF('STUDENT SCREENING'!F72="","",'STUDENT SCREENING'!F72)</f>
        <v/>
      </c>
      <c r="D72" s="37" t="str">
        <f aca="false">IF('STUDENT SCREENING'!G72="","",'STUDENT SCREENING'!G72)</f>
        <v/>
      </c>
      <c r="E72" s="37" t="str">
        <f aca="false">IF('STUDENT SCREENING'!C72="","",'STUDENT SCREENING'!C72)</f>
        <v/>
      </c>
      <c r="F72" s="37" t="str">
        <f aca="false">IF('STUDENT SCREENING'!J72="","",'STUDENT SCREENING'!J72)</f>
        <v/>
      </c>
      <c r="G72" s="37" t="str">
        <f aca="false">IF('STUDENT SCREENING'!K72="","",'STUDENT SCREENING'!K72)</f>
        <v/>
      </c>
      <c r="H72" s="37" t="str">
        <f aca="false">IF('STUDENT SCREENING'!S72="","",'STUDENT SCREENING'!S72)</f>
        <v/>
      </c>
      <c r="I72" s="37" t="str">
        <f aca="false">IF('STUDENT SCREENING'!T72="","",'STUDENT SCREENING'!T72)</f>
        <v/>
      </c>
      <c r="J72" s="37" t="str">
        <f aca="false">IF('STUDENT SCREENING'!BM72="","",'STUDENT SCREENING'!BM72)</f>
        <v/>
      </c>
      <c r="K72" s="37" t="str">
        <f aca="false">IF('STUDENT SCREENING'!BN72="","",'STUDENT SCREENING'!BN72)</f>
        <v/>
      </c>
      <c r="L72" s="37" t="str">
        <f aca="false">IF('STUDENT SCREENING'!BO72="","",'STUDENT SCREENING'!BO72)</f>
        <v/>
      </c>
      <c r="M72" s="37" t="str">
        <f aca="false">IF('STUDENT SCREENING'!BP72="","",'STUDENT SCREENING'!BP72)</f>
        <v/>
      </c>
      <c r="N72" s="37" t="str">
        <f aca="false">IF('STUDENT SCREENING'!BQ72="","",'STUDENT SCREENING'!BQ72)</f>
        <v/>
      </c>
      <c r="O72" s="37" t="str">
        <f aca="false">IF('STUDENT SCREENING'!BR72="","",'STUDENT SCREENING'!BR72)</f>
        <v/>
      </c>
      <c r="P72" s="28"/>
      <c r="Q72" s="28"/>
      <c r="R72" s="28"/>
      <c r="S72" s="28"/>
      <c r="T72" s="28"/>
      <c r="U72" s="28"/>
      <c r="V72" s="28"/>
      <c r="W72" s="28"/>
      <c r="X72" s="28"/>
    </row>
    <row r="73" customFormat="false" ht="15" hidden="false" customHeight="false" outlineLevel="0" collapsed="false">
      <c r="A73" s="38" t="str">
        <f aca="false">IF('STUDENT SCREENING'!A73="","",'STUDENT SCREENING'!A73)</f>
        <v/>
      </c>
      <c r="B73" s="38" t="str">
        <f aca="false">IF('STUDENT SCREENING'!I73="","",'STUDENT SCREENING'!I73)</f>
        <v/>
      </c>
      <c r="C73" s="38" t="str">
        <f aca="false">IF('STUDENT SCREENING'!F73="","",'STUDENT SCREENING'!F73)</f>
        <v/>
      </c>
      <c r="D73" s="38" t="str">
        <f aca="false">IF('STUDENT SCREENING'!G73="","",'STUDENT SCREENING'!G73)</f>
        <v/>
      </c>
      <c r="E73" s="38" t="str">
        <f aca="false">IF('STUDENT SCREENING'!C73="","",'STUDENT SCREENING'!C73)</f>
        <v/>
      </c>
      <c r="F73" s="38" t="str">
        <f aca="false">IF('STUDENT SCREENING'!J73="","",'STUDENT SCREENING'!J73)</f>
        <v/>
      </c>
      <c r="G73" s="38" t="str">
        <f aca="false">IF('STUDENT SCREENING'!K73="","",'STUDENT SCREENING'!K73)</f>
        <v/>
      </c>
      <c r="H73" s="38" t="str">
        <f aca="false">IF('STUDENT SCREENING'!S73="","",'STUDENT SCREENING'!S73)</f>
        <v/>
      </c>
      <c r="I73" s="38" t="str">
        <f aca="false">IF('STUDENT SCREENING'!T73="","",'STUDENT SCREENING'!T73)</f>
        <v/>
      </c>
      <c r="J73" s="38" t="str">
        <f aca="false">IF('STUDENT SCREENING'!BM73="","",'STUDENT SCREENING'!BM73)</f>
        <v/>
      </c>
      <c r="K73" s="38" t="str">
        <f aca="false">IF('STUDENT SCREENING'!BN73="","",'STUDENT SCREENING'!BN73)</f>
        <v/>
      </c>
      <c r="L73" s="38" t="str">
        <f aca="false">IF('STUDENT SCREENING'!BO73="","",'STUDENT SCREENING'!BO73)</f>
        <v/>
      </c>
      <c r="M73" s="38" t="str">
        <f aca="false">IF('STUDENT SCREENING'!BP73="","",'STUDENT SCREENING'!BP73)</f>
        <v/>
      </c>
      <c r="N73" s="38" t="str">
        <f aca="false">IF('STUDENT SCREENING'!BQ73="","",'STUDENT SCREENING'!BQ73)</f>
        <v/>
      </c>
      <c r="O73" s="38" t="str">
        <f aca="false">IF('STUDENT SCREENING'!BR73="","",'STUDENT SCREENING'!BR73)</f>
        <v/>
      </c>
      <c r="P73" s="32"/>
      <c r="Q73" s="32"/>
      <c r="R73" s="32"/>
      <c r="S73" s="32"/>
      <c r="T73" s="32"/>
      <c r="U73" s="32"/>
      <c r="V73" s="32"/>
      <c r="W73" s="32"/>
      <c r="X73" s="32"/>
    </row>
    <row r="74" customFormat="false" ht="15" hidden="false" customHeight="false" outlineLevel="0" collapsed="false">
      <c r="A74" s="37" t="str">
        <f aca="false">IF('STUDENT SCREENING'!A74="","",'STUDENT SCREENING'!A74)</f>
        <v/>
      </c>
      <c r="B74" s="37" t="str">
        <f aca="false">IF('STUDENT SCREENING'!I74="","",'STUDENT SCREENING'!I74)</f>
        <v/>
      </c>
      <c r="C74" s="37" t="str">
        <f aca="false">IF('STUDENT SCREENING'!F74="","",'STUDENT SCREENING'!F74)</f>
        <v/>
      </c>
      <c r="D74" s="37" t="str">
        <f aca="false">IF('STUDENT SCREENING'!G74="","",'STUDENT SCREENING'!G74)</f>
        <v/>
      </c>
      <c r="E74" s="37" t="str">
        <f aca="false">IF('STUDENT SCREENING'!C74="","",'STUDENT SCREENING'!C74)</f>
        <v/>
      </c>
      <c r="F74" s="37" t="str">
        <f aca="false">IF('STUDENT SCREENING'!J74="","",'STUDENT SCREENING'!J74)</f>
        <v/>
      </c>
      <c r="G74" s="37" t="str">
        <f aca="false">IF('STUDENT SCREENING'!K74="","",'STUDENT SCREENING'!K74)</f>
        <v/>
      </c>
      <c r="H74" s="37" t="str">
        <f aca="false">IF('STUDENT SCREENING'!S74="","",'STUDENT SCREENING'!S74)</f>
        <v/>
      </c>
      <c r="I74" s="37" t="str">
        <f aca="false">IF('STUDENT SCREENING'!T74="","",'STUDENT SCREENING'!T74)</f>
        <v/>
      </c>
      <c r="J74" s="37" t="str">
        <f aca="false">IF('STUDENT SCREENING'!BM74="","",'STUDENT SCREENING'!BM74)</f>
        <v/>
      </c>
      <c r="K74" s="37" t="str">
        <f aca="false">IF('STUDENT SCREENING'!BN74="","",'STUDENT SCREENING'!BN74)</f>
        <v/>
      </c>
      <c r="L74" s="37" t="str">
        <f aca="false">IF('STUDENT SCREENING'!BO74="","",'STUDENT SCREENING'!BO74)</f>
        <v/>
      </c>
      <c r="M74" s="37" t="str">
        <f aca="false">IF('STUDENT SCREENING'!BP74="","",'STUDENT SCREENING'!BP74)</f>
        <v/>
      </c>
      <c r="N74" s="37" t="str">
        <f aca="false">IF('STUDENT SCREENING'!BQ74="","",'STUDENT SCREENING'!BQ74)</f>
        <v/>
      </c>
      <c r="O74" s="37" t="str">
        <f aca="false">IF('STUDENT SCREENING'!BR74="","",'STUDENT SCREENING'!BR74)</f>
        <v/>
      </c>
      <c r="P74" s="28"/>
      <c r="Q74" s="28"/>
      <c r="R74" s="28"/>
      <c r="S74" s="28"/>
      <c r="T74" s="28"/>
      <c r="U74" s="28"/>
      <c r="V74" s="28"/>
      <c r="W74" s="28"/>
      <c r="X74" s="28"/>
    </row>
    <row r="75" customFormat="false" ht="15" hidden="false" customHeight="false" outlineLevel="0" collapsed="false">
      <c r="A75" s="38" t="str">
        <f aca="false">IF('STUDENT SCREENING'!A75="","",'STUDENT SCREENING'!A75)</f>
        <v/>
      </c>
      <c r="B75" s="38" t="str">
        <f aca="false">IF('STUDENT SCREENING'!I75="","",'STUDENT SCREENING'!I75)</f>
        <v/>
      </c>
      <c r="C75" s="38" t="str">
        <f aca="false">IF('STUDENT SCREENING'!F75="","",'STUDENT SCREENING'!F75)</f>
        <v/>
      </c>
      <c r="D75" s="38" t="str">
        <f aca="false">IF('STUDENT SCREENING'!G75="","",'STUDENT SCREENING'!G75)</f>
        <v/>
      </c>
      <c r="E75" s="38" t="str">
        <f aca="false">IF('STUDENT SCREENING'!C75="","",'STUDENT SCREENING'!C75)</f>
        <v/>
      </c>
      <c r="F75" s="38" t="str">
        <f aca="false">IF('STUDENT SCREENING'!J75="","",'STUDENT SCREENING'!J75)</f>
        <v/>
      </c>
      <c r="G75" s="38" t="str">
        <f aca="false">IF('STUDENT SCREENING'!K75="","",'STUDENT SCREENING'!K75)</f>
        <v/>
      </c>
      <c r="H75" s="38" t="str">
        <f aca="false">IF('STUDENT SCREENING'!S75="","",'STUDENT SCREENING'!S75)</f>
        <v/>
      </c>
      <c r="I75" s="38" t="str">
        <f aca="false">IF('STUDENT SCREENING'!T75="","",'STUDENT SCREENING'!T75)</f>
        <v/>
      </c>
      <c r="J75" s="38" t="str">
        <f aca="false">IF('STUDENT SCREENING'!BM75="","",'STUDENT SCREENING'!BM75)</f>
        <v/>
      </c>
      <c r="K75" s="38" t="str">
        <f aca="false">IF('STUDENT SCREENING'!BN75="","",'STUDENT SCREENING'!BN75)</f>
        <v/>
      </c>
      <c r="L75" s="38" t="str">
        <f aca="false">IF('STUDENT SCREENING'!BO75="","",'STUDENT SCREENING'!BO75)</f>
        <v/>
      </c>
      <c r="M75" s="38" t="str">
        <f aca="false">IF('STUDENT SCREENING'!BP75="","",'STUDENT SCREENING'!BP75)</f>
        <v/>
      </c>
      <c r="N75" s="38" t="str">
        <f aca="false">IF('STUDENT SCREENING'!BQ75="","",'STUDENT SCREENING'!BQ75)</f>
        <v/>
      </c>
      <c r="O75" s="38" t="str">
        <f aca="false">IF('STUDENT SCREENING'!BR75="","",'STUDENT SCREENING'!BR75)</f>
        <v/>
      </c>
      <c r="P75" s="32"/>
      <c r="Q75" s="32"/>
      <c r="R75" s="32"/>
      <c r="S75" s="32"/>
      <c r="T75" s="32"/>
      <c r="U75" s="32"/>
      <c r="V75" s="32"/>
      <c r="W75" s="32"/>
      <c r="X75" s="32"/>
    </row>
    <row r="76" customFormat="false" ht="15" hidden="false" customHeight="false" outlineLevel="0" collapsed="false">
      <c r="A76" s="37" t="str">
        <f aca="false">IF('STUDENT SCREENING'!A76="","",'STUDENT SCREENING'!A76)</f>
        <v/>
      </c>
      <c r="B76" s="37" t="str">
        <f aca="false">IF('STUDENT SCREENING'!I76="","",'STUDENT SCREENING'!I76)</f>
        <v/>
      </c>
      <c r="C76" s="37" t="str">
        <f aca="false">IF('STUDENT SCREENING'!F76="","",'STUDENT SCREENING'!F76)</f>
        <v/>
      </c>
      <c r="D76" s="37" t="str">
        <f aca="false">IF('STUDENT SCREENING'!G76="","",'STUDENT SCREENING'!G76)</f>
        <v/>
      </c>
      <c r="E76" s="37" t="str">
        <f aca="false">IF('STUDENT SCREENING'!C76="","",'STUDENT SCREENING'!C76)</f>
        <v/>
      </c>
      <c r="F76" s="37" t="str">
        <f aca="false">IF('STUDENT SCREENING'!J76="","",'STUDENT SCREENING'!J76)</f>
        <v/>
      </c>
      <c r="G76" s="37" t="str">
        <f aca="false">IF('STUDENT SCREENING'!K76="","",'STUDENT SCREENING'!K76)</f>
        <v/>
      </c>
      <c r="H76" s="37" t="str">
        <f aca="false">IF('STUDENT SCREENING'!S76="","",'STUDENT SCREENING'!S76)</f>
        <v/>
      </c>
      <c r="I76" s="37" t="str">
        <f aca="false">IF('STUDENT SCREENING'!T76="","",'STUDENT SCREENING'!T76)</f>
        <v/>
      </c>
      <c r="J76" s="37" t="str">
        <f aca="false">IF('STUDENT SCREENING'!BM76="","",'STUDENT SCREENING'!BM76)</f>
        <v/>
      </c>
      <c r="K76" s="37" t="str">
        <f aca="false">IF('STUDENT SCREENING'!BN76="","",'STUDENT SCREENING'!BN76)</f>
        <v/>
      </c>
      <c r="L76" s="37" t="str">
        <f aca="false">IF('STUDENT SCREENING'!BO76="","",'STUDENT SCREENING'!BO76)</f>
        <v/>
      </c>
      <c r="M76" s="37" t="str">
        <f aca="false">IF('STUDENT SCREENING'!BP76="","",'STUDENT SCREENING'!BP76)</f>
        <v/>
      </c>
      <c r="N76" s="37" t="str">
        <f aca="false">IF('STUDENT SCREENING'!BQ76="","",'STUDENT SCREENING'!BQ76)</f>
        <v/>
      </c>
      <c r="O76" s="37" t="str">
        <f aca="false">IF('STUDENT SCREENING'!BR76="","",'STUDENT SCREENING'!BR76)</f>
        <v/>
      </c>
      <c r="P76" s="28"/>
      <c r="Q76" s="28"/>
      <c r="R76" s="28"/>
      <c r="S76" s="28"/>
      <c r="T76" s="28"/>
      <c r="U76" s="28"/>
      <c r="V76" s="28"/>
      <c r="W76" s="28"/>
      <c r="X76" s="28"/>
    </row>
    <row r="77" customFormat="false" ht="15" hidden="false" customHeight="false" outlineLevel="0" collapsed="false">
      <c r="A77" s="38" t="str">
        <f aca="false">IF('STUDENT SCREENING'!A77="","",'STUDENT SCREENING'!A77)</f>
        <v/>
      </c>
      <c r="B77" s="38" t="str">
        <f aca="false">IF('STUDENT SCREENING'!I77="","",'STUDENT SCREENING'!I77)</f>
        <v/>
      </c>
      <c r="C77" s="38" t="str">
        <f aca="false">IF('STUDENT SCREENING'!F77="","",'STUDENT SCREENING'!F77)</f>
        <v/>
      </c>
      <c r="D77" s="38" t="str">
        <f aca="false">IF('STUDENT SCREENING'!G77="","",'STUDENT SCREENING'!G77)</f>
        <v/>
      </c>
      <c r="E77" s="38" t="str">
        <f aca="false">IF('STUDENT SCREENING'!C77="","",'STUDENT SCREENING'!C77)</f>
        <v/>
      </c>
      <c r="F77" s="38" t="str">
        <f aca="false">IF('STUDENT SCREENING'!J77="","",'STUDENT SCREENING'!J77)</f>
        <v/>
      </c>
      <c r="G77" s="38" t="str">
        <f aca="false">IF('STUDENT SCREENING'!K77="","",'STUDENT SCREENING'!K77)</f>
        <v/>
      </c>
      <c r="H77" s="38" t="str">
        <f aca="false">IF('STUDENT SCREENING'!S77="","",'STUDENT SCREENING'!S77)</f>
        <v/>
      </c>
      <c r="I77" s="38" t="str">
        <f aca="false">IF('STUDENT SCREENING'!T77="","",'STUDENT SCREENING'!T77)</f>
        <v/>
      </c>
      <c r="J77" s="38" t="str">
        <f aca="false">IF('STUDENT SCREENING'!BM77="","",'STUDENT SCREENING'!BM77)</f>
        <v/>
      </c>
      <c r="K77" s="38" t="str">
        <f aca="false">IF('STUDENT SCREENING'!BN77="","",'STUDENT SCREENING'!BN77)</f>
        <v/>
      </c>
      <c r="L77" s="38" t="str">
        <f aca="false">IF('STUDENT SCREENING'!BO77="","",'STUDENT SCREENING'!BO77)</f>
        <v/>
      </c>
      <c r="M77" s="38" t="str">
        <f aca="false">IF('STUDENT SCREENING'!BP77="","",'STUDENT SCREENING'!BP77)</f>
        <v/>
      </c>
      <c r="N77" s="38" t="str">
        <f aca="false">IF('STUDENT SCREENING'!BQ77="","",'STUDENT SCREENING'!BQ77)</f>
        <v/>
      </c>
      <c r="O77" s="38" t="str">
        <f aca="false">IF('STUDENT SCREENING'!BR77="","",'STUDENT SCREENING'!BR77)</f>
        <v/>
      </c>
      <c r="P77" s="32"/>
      <c r="Q77" s="32"/>
      <c r="R77" s="32"/>
      <c r="S77" s="32"/>
      <c r="T77" s="32"/>
      <c r="U77" s="32"/>
      <c r="V77" s="32"/>
      <c r="W77" s="32"/>
      <c r="X77" s="32"/>
    </row>
    <row r="78" customFormat="false" ht="15" hidden="false" customHeight="false" outlineLevel="0" collapsed="false">
      <c r="A78" s="37" t="str">
        <f aca="false">IF('STUDENT SCREENING'!A78="","",'STUDENT SCREENING'!A78)</f>
        <v/>
      </c>
      <c r="B78" s="37" t="str">
        <f aca="false">IF('STUDENT SCREENING'!I78="","",'STUDENT SCREENING'!I78)</f>
        <v/>
      </c>
      <c r="C78" s="37" t="str">
        <f aca="false">IF('STUDENT SCREENING'!F78="","",'STUDENT SCREENING'!F78)</f>
        <v/>
      </c>
      <c r="D78" s="37" t="str">
        <f aca="false">IF('STUDENT SCREENING'!G78="","",'STUDENT SCREENING'!G78)</f>
        <v/>
      </c>
      <c r="E78" s="37" t="str">
        <f aca="false">IF('STUDENT SCREENING'!C78="","",'STUDENT SCREENING'!C78)</f>
        <v/>
      </c>
      <c r="F78" s="37" t="str">
        <f aca="false">IF('STUDENT SCREENING'!J78="","",'STUDENT SCREENING'!J78)</f>
        <v/>
      </c>
      <c r="G78" s="37" t="str">
        <f aca="false">IF('STUDENT SCREENING'!K78="","",'STUDENT SCREENING'!K78)</f>
        <v/>
      </c>
      <c r="H78" s="37" t="str">
        <f aca="false">IF('STUDENT SCREENING'!S78="","",'STUDENT SCREENING'!S78)</f>
        <v/>
      </c>
      <c r="I78" s="37" t="str">
        <f aca="false">IF('STUDENT SCREENING'!T78="","",'STUDENT SCREENING'!T78)</f>
        <v/>
      </c>
      <c r="J78" s="37" t="str">
        <f aca="false">IF('STUDENT SCREENING'!BM78="","",'STUDENT SCREENING'!BM78)</f>
        <v/>
      </c>
      <c r="K78" s="37" t="str">
        <f aca="false">IF('STUDENT SCREENING'!BN78="","",'STUDENT SCREENING'!BN78)</f>
        <v/>
      </c>
      <c r="L78" s="37" t="str">
        <f aca="false">IF('STUDENT SCREENING'!BO78="","",'STUDENT SCREENING'!BO78)</f>
        <v/>
      </c>
      <c r="M78" s="37" t="str">
        <f aca="false">IF('STUDENT SCREENING'!BP78="","",'STUDENT SCREENING'!BP78)</f>
        <v/>
      </c>
      <c r="N78" s="37" t="str">
        <f aca="false">IF('STUDENT SCREENING'!BQ78="","",'STUDENT SCREENING'!BQ78)</f>
        <v/>
      </c>
      <c r="O78" s="37" t="str">
        <f aca="false">IF('STUDENT SCREENING'!BR78="","",'STUDENT SCREENING'!BR78)</f>
        <v/>
      </c>
      <c r="P78" s="28"/>
      <c r="Q78" s="28"/>
      <c r="R78" s="28"/>
      <c r="S78" s="28"/>
      <c r="T78" s="28"/>
      <c r="U78" s="28"/>
      <c r="V78" s="28"/>
      <c r="W78" s="28"/>
      <c r="X78" s="28"/>
    </row>
    <row r="79" customFormat="false" ht="15" hidden="false" customHeight="false" outlineLevel="0" collapsed="false">
      <c r="A79" s="38" t="str">
        <f aca="false">IF('STUDENT SCREENING'!A79="","",'STUDENT SCREENING'!A79)</f>
        <v/>
      </c>
      <c r="B79" s="38" t="str">
        <f aca="false">IF('STUDENT SCREENING'!I79="","",'STUDENT SCREENING'!I79)</f>
        <v/>
      </c>
      <c r="C79" s="38" t="str">
        <f aca="false">IF('STUDENT SCREENING'!F79="","",'STUDENT SCREENING'!F79)</f>
        <v/>
      </c>
      <c r="D79" s="38" t="str">
        <f aca="false">IF('STUDENT SCREENING'!G79="","",'STUDENT SCREENING'!G79)</f>
        <v/>
      </c>
      <c r="E79" s="38" t="str">
        <f aca="false">IF('STUDENT SCREENING'!C79="","",'STUDENT SCREENING'!C79)</f>
        <v/>
      </c>
      <c r="F79" s="38" t="str">
        <f aca="false">IF('STUDENT SCREENING'!J79="","",'STUDENT SCREENING'!J79)</f>
        <v/>
      </c>
      <c r="G79" s="38" t="str">
        <f aca="false">IF('STUDENT SCREENING'!K79="","",'STUDENT SCREENING'!K79)</f>
        <v/>
      </c>
      <c r="H79" s="38" t="str">
        <f aca="false">IF('STUDENT SCREENING'!S79="","",'STUDENT SCREENING'!S79)</f>
        <v/>
      </c>
      <c r="I79" s="38" t="str">
        <f aca="false">IF('STUDENT SCREENING'!T79="","",'STUDENT SCREENING'!T79)</f>
        <v/>
      </c>
      <c r="J79" s="38" t="str">
        <f aca="false">IF('STUDENT SCREENING'!BM79="","",'STUDENT SCREENING'!BM79)</f>
        <v/>
      </c>
      <c r="K79" s="38" t="str">
        <f aca="false">IF('STUDENT SCREENING'!BN79="","",'STUDENT SCREENING'!BN79)</f>
        <v/>
      </c>
      <c r="L79" s="38" t="str">
        <f aca="false">IF('STUDENT SCREENING'!BO79="","",'STUDENT SCREENING'!BO79)</f>
        <v/>
      </c>
      <c r="M79" s="38" t="str">
        <f aca="false">IF('STUDENT SCREENING'!BP79="","",'STUDENT SCREENING'!BP79)</f>
        <v/>
      </c>
      <c r="N79" s="38" t="str">
        <f aca="false">IF('STUDENT SCREENING'!BQ79="","",'STUDENT SCREENING'!BQ79)</f>
        <v/>
      </c>
      <c r="O79" s="38" t="str">
        <f aca="false">IF('STUDENT SCREENING'!BR79="","",'STUDENT SCREENING'!BR79)</f>
        <v/>
      </c>
      <c r="P79" s="32"/>
      <c r="Q79" s="32"/>
      <c r="R79" s="32"/>
      <c r="S79" s="32"/>
      <c r="T79" s="32"/>
      <c r="U79" s="32"/>
      <c r="V79" s="32"/>
      <c r="W79" s="32"/>
      <c r="X79" s="32"/>
    </row>
    <row r="80" customFormat="false" ht="15" hidden="false" customHeight="false" outlineLevel="0" collapsed="false">
      <c r="A80" s="37" t="str">
        <f aca="false">IF('STUDENT SCREENING'!A80="","",'STUDENT SCREENING'!A80)</f>
        <v/>
      </c>
      <c r="B80" s="37" t="str">
        <f aca="false">IF('STUDENT SCREENING'!I80="","",'STUDENT SCREENING'!I80)</f>
        <v/>
      </c>
      <c r="C80" s="37" t="str">
        <f aca="false">IF('STUDENT SCREENING'!F80="","",'STUDENT SCREENING'!F80)</f>
        <v/>
      </c>
      <c r="D80" s="37" t="str">
        <f aca="false">IF('STUDENT SCREENING'!G80="","",'STUDENT SCREENING'!G80)</f>
        <v/>
      </c>
      <c r="E80" s="37" t="str">
        <f aca="false">IF('STUDENT SCREENING'!C80="","",'STUDENT SCREENING'!C80)</f>
        <v/>
      </c>
      <c r="F80" s="37" t="str">
        <f aca="false">IF('STUDENT SCREENING'!J80="","",'STUDENT SCREENING'!J80)</f>
        <v/>
      </c>
      <c r="G80" s="37" t="str">
        <f aca="false">IF('STUDENT SCREENING'!K80="","",'STUDENT SCREENING'!K80)</f>
        <v/>
      </c>
      <c r="H80" s="37" t="str">
        <f aca="false">IF('STUDENT SCREENING'!S80="","",'STUDENT SCREENING'!S80)</f>
        <v/>
      </c>
      <c r="I80" s="37" t="str">
        <f aca="false">IF('STUDENT SCREENING'!T80="","",'STUDENT SCREENING'!T80)</f>
        <v/>
      </c>
      <c r="J80" s="37" t="str">
        <f aca="false">IF('STUDENT SCREENING'!BM80="","",'STUDENT SCREENING'!BM80)</f>
        <v/>
      </c>
      <c r="K80" s="37" t="str">
        <f aca="false">IF('STUDENT SCREENING'!BN80="","",'STUDENT SCREENING'!BN80)</f>
        <v/>
      </c>
      <c r="L80" s="37" t="str">
        <f aca="false">IF('STUDENT SCREENING'!BO80="","",'STUDENT SCREENING'!BO80)</f>
        <v/>
      </c>
      <c r="M80" s="37" t="str">
        <f aca="false">IF('STUDENT SCREENING'!BP80="","",'STUDENT SCREENING'!BP80)</f>
        <v/>
      </c>
      <c r="N80" s="37" t="str">
        <f aca="false">IF('STUDENT SCREENING'!BQ80="","",'STUDENT SCREENING'!BQ80)</f>
        <v/>
      </c>
      <c r="O80" s="37" t="str">
        <f aca="false">IF('STUDENT SCREENING'!BR80="","",'STUDENT SCREENING'!BR80)</f>
        <v/>
      </c>
      <c r="P80" s="28"/>
      <c r="Q80" s="28"/>
      <c r="R80" s="28"/>
      <c r="S80" s="28"/>
      <c r="T80" s="28"/>
      <c r="U80" s="28"/>
      <c r="V80" s="28"/>
      <c r="W80" s="28"/>
      <c r="X80" s="28"/>
    </row>
    <row r="81" customFormat="false" ht="15" hidden="false" customHeight="false" outlineLevel="0" collapsed="false">
      <c r="A81" s="38" t="str">
        <f aca="false">IF('STUDENT SCREENING'!A81="","",'STUDENT SCREENING'!A81)</f>
        <v/>
      </c>
      <c r="B81" s="38" t="str">
        <f aca="false">IF('STUDENT SCREENING'!I81="","",'STUDENT SCREENING'!I81)</f>
        <v/>
      </c>
      <c r="C81" s="38" t="str">
        <f aca="false">IF('STUDENT SCREENING'!F81="","",'STUDENT SCREENING'!F81)</f>
        <v/>
      </c>
      <c r="D81" s="38" t="str">
        <f aca="false">IF('STUDENT SCREENING'!G81="","",'STUDENT SCREENING'!G81)</f>
        <v/>
      </c>
      <c r="E81" s="38" t="str">
        <f aca="false">IF('STUDENT SCREENING'!C81="","",'STUDENT SCREENING'!C81)</f>
        <v/>
      </c>
      <c r="F81" s="38" t="str">
        <f aca="false">IF('STUDENT SCREENING'!J81="","",'STUDENT SCREENING'!J81)</f>
        <v/>
      </c>
      <c r="G81" s="38" t="str">
        <f aca="false">IF('STUDENT SCREENING'!K81="","",'STUDENT SCREENING'!K81)</f>
        <v/>
      </c>
      <c r="H81" s="38" t="str">
        <f aca="false">IF('STUDENT SCREENING'!S81="","",'STUDENT SCREENING'!S81)</f>
        <v/>
      </c>
      <c r="I81" s="38" t="str">
        <f aca="false">IF('STUDENT SCREENING'!T81="","",'STUDENT SCREENING'!T81)</f>
        <v/>
      </c>
      <c r="J81" s="38" t="str">
        <f aca="false">IF('STUDENT SCREENING'!BM81="","",'STUDENT SCREENING'!BM81)</f>
        <v/>
      </c>
      <c r="K81" s="38" t="str">
        <f aca="false">IF('STUDENT SCREENING'!BN81="","",'STUDENT SCREENING'!BN81)</f>
        <v/>
      </c>
      <c r="L81" s="38" t="str">
        <f aca="false">IF('STUDENT SCREENING'!BO81="","",'STUDENT SCREENING'!BO81)</f>
        <v/>
      </c>
      <c r="M81" s="38" t="str">
        <f aca="false">IF('STUDENT SCREENING'!BP81="","",'STUDENT SCREENING'!BP81)</f>
        <v/>
      </c>
      <c r="N81" s="38" t="str">
        <f aca="false">IF('STUDENT SCREENING'!BQ81="","",'STUDENT SCREENING'!BQ81)</f>
        <v/>
      </c>
      <c r="O81" s="38" t="str">
        <f aca="false">IF('STUDENT SCREENING'!BR81="","",'STUDENT SCREENING'!BR81)</f>
        <v/>
      </c>
      <c r="P81" s="32"/>
      <c r="Q81" s="32"/>
      <c r="R81" s="32"/>
      <c r="S81" s="32"/>
      <c r="T81" s="32"/>
      <c r="U81" s="32"/>
      <c r="V81" s="32"/>
      <c r="W81" s="32"/>
      <c r="X81" s="32"/>
    </row>
    <row r="82" customFormat="false" ht="15" hidden="false" customHeight="false" outlineLevel="0" collapsed="false">
      <c r="A82" s="37" t="str">
        <f aca="false">IF('STUDENT SCREENING'!A82="","",'STUDENT SCREENING'!A82)</f>
        <v/>
      </c>
      <c r="B82" s="37" t="str">
        <f aca="false">IF('STUDENT SCREENING'!I82="","",'STUDENT SCREENING'!I82)</f>
        <v/>
      </c>
      <c r="C82" s="37" t="str">
        <f aca="false">IF('STUDENT SCREENING'!F82="","",'STUDENT SCREENING'!F82)</f>
        <v/>
      </c>
      <c r="D82" s="37" t="str">
        <f aca="false">IF('STUDENT SCREENING'!G82="","",'STUDENT SCREENING'!G82)</f>
        <v/>
      </c>
      <c r="E82" s="37" t="str">
        <f aca="false">IF('STUDENT SCREENING'!C82="","",'STUDENT SCREENING'!C82)</f>
        <v/>
      </c>
      <c r="F82" s="37" t="str">
        <f aca="false">IF('STUDENT SCREENING'!J82="","",'STUDENT SCREENING'!J82)</f>
        <v/>
      </c>
      <c r="G82" s="37" t="str">
        <f aca="false">IF('STUDENT SCREENING'!K82="","",'STUDENT SCREENING'!K82)</f>
        <v/>
      </c>
      <c r="H82" s="37" t="str">
        <f aca="false">IF('STUDENT SCREENING'!S82="","",'STUDENT SCREENING'!S82)</f>
        <v/>
      </c>
      <c r="I82" s="37" t="str">
        <f aca="false">IF('STUDENT SCREENING'!T82="","",'STUDENT SCREENING'!T82)</f>
        <v/>
      </c>
      <c r="J82" s="37" t="str">
        <f aca="false">IF('STUDENT SCREENING'!BM82="","",'STUDENT SCREENING'!BM82)</f>
        <v/>
      </c>
      <c r="K82" s="37" t="str">
        <f aca="false">IF('STUDENT SCREENING'!BN82="","",'STUDENT SCREENING'!BN82)</f>
        <v/>
      </c>
      <c r="L82" s="37" t="str">
        <f aca="false">IF('STUDENT SCREENING'!BO82="","",'STUDENT SCREENING'!BO82)</f>
        <v/>
      </c>
      <c r="M82" s="37" t="str">
        <f aca="false">IF('STUDENT SCREENING'!BP82="","",'STUDENT SCREENING'!BP82)</f>
        <v/>
      </c>
      <c r="N82" s="37" t="str">
        <f aca="false">IF('STUDENT SCREENING'!BQ82="","",'STUDENT SCREENING'!BQ82)</f>
        <v/>
      </c>
      <c r="O82" s="37" t="str">
        <f aca="false">IF('STUDENT SCREENING'!BR82="","",'STUDENT SCREENING'!BR82)</f>
        <v/>
      </c>
      <c r="P82" s="28"/>
      <c r="Q82" s="28"/>
      <c r="R82" s="28"/>
      <c r="S82" s="28"/>
      <c r="T82" s="28"/>
      <c r="U82" s="28"/>
      <c r="V82" s="28"/>
      <c r="W82" s="28"/>
      <c r="X82" s="28"/>
    </row>
    <row r="83" customFormat="false" ht="15" hidden="false" customHeight="false" outlineLevel="0" collapsed="false">
      <c r="A83" s="38" t="str">
        <f aca="false">IF('STUDENT SCREENING'!A83="","",'STUDENT SCREENING'!A83)</f>
        <v/>
      </c>
      <c r="B83" s="38" t="str">
        <f aca="false">IF('STUDENT SCREENING'!I83="","",'STUDENT SCREENING'!I83)</f>
        <v/>
      </c>
      <c r="C83" s="38" t="str">
        <f aca="false">IF('STUDENT SCREENING'!F83="","",'STUDENT SCREENING'!F83)</f>
        <v/>
      </c>
      <c r="D83" s="38" t="str">
        <f aca="false">IF('STUDENT SCREENING'!G83="","",'STUDENT SCREENING'!G83)</f>
        <v/>
      </c>
      <c r="E83" s="38" t="str">
        <f aca="false">IF('STUDENT SCREENING'!C83="","",'STUDENT SCREENING'!C83)</f>
        <v/>
      </c>
      <c r="F83" s="38" t="str">
        <f aca="false">IF('STUDENT SCREENING'!J83="","",'STUDENT SCREENING'!J83)</f>
        <v/>
      </c>
      <c r="G83" s="38" t="str">
        <f aca="false">IF('STUDENT SCREENING'!K83="","",'STUDENT SCREENING'!K83)</f>
        <v/>
      </c>
      <c r="H83" s="38" t="str">
        <f aca="false">IF('STUDENT SCREENING'!S83="","",'STUDENT SCREENING'!S83)</f>
        <v/>
      </c>
      <c r="I83" s="38" t="str">
        <f aca="false">IF('STUDENT SCREENING'!T83="","",'STUDENT SCREENING'!T83)</f>
        <v/>
      </c>
      <c r="J83" s="38" t="str">
        <f aca="false">IF('STUDENT SCREENING'!BM83="","",'STUDENT SCREENING'!BM83)</f>
        <v/>
      </c>
      <c r="K83" s="38" t="str">
        <f aca="false">IF('STUDENT SCREENING'!BN83="","",'STUDENT SCREENING'!BN83)</f>
        <v/>
      </c>
      <c r="L83" s="38" t="str">
        <f aca="false">IF('STUDENT SCREENING'!BO83="","",'STUDENT SCREENING'!BO83)</f>
        <v/>
      </c>
      <c r="M83" s="38" t="str">
        <f aca="false">IF('STUDENT SCREENING'!BP83="","",'STUDENT SCREENING'!BP83)</f>
        <v/>
      </c>
      <c r="N83" s="38" t="str">
        <f aca="false">IF('STUDENT SCREENING'!BQ83="","",'STUDENT SCREENING'!BQ83)</f>
        <v/>
      </c>
      <c r="O83" s="38" t="str">
        <f aca="false">IF('STUDENT SCREENING'!BR83="","",'STUDENT SCREENING'!BR83)</f>
        <v/>
      </c>
      <c r="P83" s="32"/>
      <c r="Q83" s="32"/>
      <c r="R83" s="32"/>
      <c r="S83" s="32"/>
      <c r="T83" s="32"/>
      <c r="U83" s="32"/>
      <c r="V83" s="32"/>
      <c r="W83" s="32"/>
      <c r="X83" s="32"/>
    </row>
    <row r="84" customFormat="false" ht="15" hidden="false" customHeight="false" outlineLevel="0" collapsed="false">
      <c r="A84" s="37" t="str">
        <f aca="false">IF('STUDENT SCREENING'!A84="","",'STUDENT SCREENING'!A84)</f>
        <v/>
      </c>
      <c r="B84" s="37" t="str">
        <f aca="false">IF('STUDENT SCREENING'!I84="","",'STUDENT SCREENING'!I84)</f>
        <v/>
      </c>
      <c r="C84" s="37" t="str">
        <f aca="false">IF('STUDENT SCREENING'!F84="","",'STUDENT SCREENING'!F84)</f>
        <v/>
      </c>
      <c r="D84" s="37" t="str">
        <f aca="false">IF('STUDENT SCREENING'!G84="","",'STUDENT SCREENING'!G84)</f>
        <v/>
      </c>
      <c r="E84" s="37" t="str">
        <f aca="false">IF('STUDENT SCREENING'!C84="","",'STUDENT SCREENING'!C84)</f>
        <v/>
      </c>
      <c r="F84" s="37" t="str">
        <f aca="false">IF('STUDENT SCREENING'!J84="","",'STUDENT SCREENING'!J84)</f>
        <v/>
      </c>
      <c r="G84" s="37" t="str">
        <f aca="false">IF('STUDENT SCREENING'!K84="","",'STUDENT SCREENING'!K84)</f>
        <v/>
      </c>
      <c r="H84" s="37" t="str">
        <f aca="false">IF('STUDENT SCREENING'!S84="","",'STUDENT SCREENING'!S84)</f>
        <v/>
      </c>
      <c r="I84" s="37" t="str">
        <f aca="false">IF('STUDENT SCREENING'!T84="","",'STUDENT SCREENING'!T84)</f>
        <v/>
      </c>
      <c r="J84" s="37" t="str">
        <f aca="false">IF('STUDENT SCREENING'!BM84="","",'STUDENT SCREENING'!BM84)</f>
        <v/>
      </c>
      <c r="K84" s="37" t="str">
        <f aca="false">IF('STUDENT SCREENING'!BN84="","",'STUDENT SCREENING'!BN84)</f>
        <v/>
      </c>
      <c r="L84" s="37" t="str">
        <f aca="false">IF('STUDENT SCREENING'!BO84="","",'STUDENT SCREENING'!BO84)</f>
        <v/>
      </c>
      <c r="M84" s="37" t="str">
        <f aca="false">IF('STUDENT SCREENING'!BP84="","",'STUDENT SCREENING'!BP84)</f>
        <v/>
      </c>
      <c r="N84" s="37" t="str">
        <f aca="false">IF('STUDENT SCREENING'!BQ84="","",'STUDENT SCREENING'!BQ84)</f>
        <v/>
      </c>
      <c r="O84" s="37" t="str">
        <f aca="false">IF('STUDENT SCREENING'!BR84="","",'STUDENT SCREENING'!BR84)</f>
        <v/>
      </c>
      <c r="P84" s="28"/>
      <c r="Q84" s="28"/>
      <c r="R84" s="28"/>
      <c r="S84" s="28"/>
      <c r="T84" s="28"/>
      <c r="U84" s="28"/>
      <c r="V84" s="28"/>
      <c r="W84" s="28"/>
      <c r="X84" s="28"/>
    </row>
    <row r="85" customFormat="false" ht="15" hidden="false" customHeight="false" outlineLevel="0" collapsed="false">
      <c r="A85" s="38" t="str">
        <f aca="false">IF('STUDENT SCREENING'!A85="","",'STUDENT SCREENING'!A85)</f>
        <v/>
      </c>
      <c r="B85" s="38" t="str">
        <f aca="false">IF('STUDENT SCREENING'!I85="","",'STUDENT SCREENING'!I85)</f>
        <v/>
      </c>
      <c r="C85" s="38" t="str">
        <f aca="false">IF('STUDENT SCREENING'!F85="","",'STUDENT SCREENING'!F85)</f>
        <v/>
      </c>
      <c r="D85" s="38" t="str">
        <f aca="false">IF('STUDENT SCREENING'!G85="","",'STUDENT SCREENING'!G85)</f>
        <v/>
      </c>
      <c r="E85" s="38" t="str">
        <f aca="false">IF('STUDENT SCREENING'!C85="","",'STUDENT SCREENING'!C85)</f>
        <v/>
      </c>
      <c r="F85" s="38" t="str">
        <f aca="false">IF('STUDENT SCREENING'!J85="","",'STUDENT SCREENING'!J85)</f>
        <v/>
      </c>
      <c r="G85" s="38" t="str">
        <f aca="false">IF('STUDENT SCREENING'!K85="","",'STUDENT SCREENING'!K85)</f>
        <v/>
      </c>
      <c r="H85" s="38" t="str">
        <f aca="false">IF('STUDENT SCREENING'!S85="","",'STUDENT SCREENING'!S85)</f>
        <v/>
      </c>
      <c r="I85" s="38" t="str">
        <f aca="false">IF('STUDENT SCREENING'!T85="","",'STUDENT SCREENING'!T85)</f>
        <v/>
      </c>
      <c r="J85" s="38" t="str">
        <f aca="false">IF('STUDENT SCREENING'!BM85="","",'STUDENT SCREENING'!BM85)</f>
        <v/>
      </c>
      <c r="K85" s="38" t="str">
        <f aca="false">IF('STUDENT SCREENING'!BN85="","",'STUDENT SCREENING'!BN85)</f>
        <v/>
      </c>
      <c r="L85" s="38" t="str">
        <f aca="false">IF('STUDENT SCREENING'!BO85="","",'STUDENT SCREENING'!BO85)</f>
        <v/>
      </c>
      <c r="M85" s="38" t="str">
        <f aca="false">IF('STUDENT SCREENING'!BP85="","",'STUDENT SCREENING'!BP85)</f>
        <v/>
      </c>
      <c r="N85" s="38" t="str">
        <f aca="false">IF('STUDENT SCREENING'!BQ85="","",'STUDENT SCREENING'!BQ85)</f>
        <v/>
      </c>
      <c r="O85" s="38" t="str">
        <f aca="false">IF('STUDENT SCREENING'!BR85="","",'STUDENT SCREENING'!BR85)</f>
        <v/>
      </c>
      <c r="P85" s="32"/>
      <c r="Q85" s="32"/>
      <c r="R85" s="32"/>
      <c r="S85" s="32"/>
      <c r="T85" s="32"/>
      <c r="U85" s="32"/>
      <c r="V85" s="32"/>
      <c r="W85" s="32"/>
      <c r="X85" s="32"/>
    </row>
    <row r="86" customFormat="false" ht="15" hidden="false" customHeight="false" outlineLevel="0" collapsed="false">
      <c r="A86" s="37" t="str">
        <f aca="false">IF('STUDENT SCREENING'!A86="","",'STUDENT SCREENING'!A86)</f>
        <v/>
      </c>
      <c r="B86" s="37" t="str">
        <f aca="false">IF('STUDENT SCREENING'!I86="","",'STUDENT SCREENING'!I86)</f>
        <v/>
      </c>
      <c r="C86" s="37" t="str">
        <f aca="false">IF('STUDENT SCREENING'!F86="","",'STUDENT SCREENING'!F86)</f>
        <v/>
      </c>
      <c r="D86" s="37" t="str">
        <f aca="false">IF('STUDENT SCREENING'!G86="","",'STUDENT SCREENING'!G86)</f>
        <v/>
      </c>
      <c r="E86" s="37" t="str">
        <f aca="false">IF('STUDENT SCREENING'!C86="","",'STUDENT SCREENING'!C86)</f>
        <v/>
      </c>
      <c r="F86" s="37" t="str">
        <f aca="false">IF('STUDENT SCREENING'!J86="","",'STUDENT SCREENING'!J86)</f>
        <v/>
      </c>
      <c r="G86" s="37" t="str">
        <f aca="false">IF('STUDENT SCREENING'!K86="","",'STUDENT SCREENING'!K86)</f>
        <v/>
      </c>
      <c r="H86" s="37" t="str">
        <f aca="false">IF('STUDENT SCREENING'!S86="","",'STUDENT SCREENING'!S86)</f>
        <v/>
      </c>
      <c r="I86" s="37" t="str">
        <f aca="false">IF('STUDENT SCREENING'!T86="","",'STUDENT SCREENING'!T86)</f>
        <v/>
      </c>
      <c r="J86" s="37" t="str">
        <f aca="false">IF('STUDENT SCREENING'!BM86="","",'STUDENT SCREENING'!BM86)</f>
        <v/>
      </c>
      <c r="K86" s="37" t="str">
        <f aca="false">IF('STUDENT SCREENING'!BN86="","",'STUDENT SCREENING'!BN86)</f>
        <v/>
      </c>
      <c r="L86" s="37" t="str">
        <f aca="false">IF('STUDENT SCREENING'!BO86="","",'STUDENT SCREENING'!BO86)</f>
        <v/>
      </c>
      <c r="M86" s="37" t="str">
        <f aca="false">IF('STUDENT SCREENING'!BP86="","",'STUDENT SCREENING'!BP86)</f>
        <v/>
      </c>
      <c r="N86" s="37" t="str">
        <f aca="false">IF('STUDENT SCREENING'!BQ86="","",'STUDENT SCREENING'!BQ86)</f>
        <v/>
      </c>
      <c r="O86" s="37" t="str">
        <f aca="false">IF('STUDENT SCREENING'!BR86="","",'STUDENT SCREENING'!BR86)</f>
        <v/>
      </c>
      <c r="P86" s="28"/>
      <c r="Q86" s="28"/>
      <c r="R86" s="28"/>
      <c r="S86" s="28"/>
      <c r="T86" s="28"/>
      <c r="U86" s="28"/>
      <c r="V86" s="28"/>
      <c r="W86" s="28"/>
      <c r="X86" s="28"/>
    </row>
    <row r="87" customFormat="false" ht="15" hidden="false" customHeight="false" outlineLevel="0" collapsed="false">
      <c r="A87" s="38" t="str">
        <f aca="false">IF('STUDENT SCREENING'!A87="","",'STUDENT SCREENING'!A87)</f>
        <v/>
      </c>
      <c r="B87" s="38" t="str">
        <f aca="false">IF('STUDENT SCREENING'!I87="","",'STUDENT SCREENING'!I87)</f>
        <v/>
      </c>
      <c r="C87" s="38" t="str">
        <f aca="false">IF('STUDENT SCREENING'!F87="","",'STUDENT SCREENING'!F87)</f>
        <v/>
      </c>
      <c r="D87" s="38" t="str">
        <f aca="false">IF('STUDENT SCREENING'!G87="","",'STUDENT SCREENING'!G87)</f>
        <v/>
      </c>
      <c r="E87" s="38" t="str">
        <f aca="false">IF('STUDENT SCREENING'!C87="","",'STUDENT SCREENING'!C87)</f>
        <v/>
      </c>
      <c r="F87" s="38" t="str">
        <f aca="false">IF('STUDENT SCREENING'!J87="","",'STUDENT SCREENING'!J87)</f>
        <v/>
      </c>
      <c r="G87" s="38" t="str">
        <f aca="false">IF('STUDENT SCREENING'!K87="","",'STUDENT SCREENING'!K87)</f>
        <v/>
      </c>
      <c r="H87" s="38" t="str">
        <f aca="false">IF('STUDENT SCREENING'!S87="","",'STUDENT SCREENING'!S87)</f>
        <v/>
      </c>
      <c r="I87" s="38" t="str">
        <f aca="false">IF('STUDENT SCREENING'!T87="","",'STUDENT SCREENING'!T87)</f>
        <v/>
      </c>
      <c r="J87" s="38" t="str">
        <f aca="false">IF('STUDENT SCREENING'!BM87="","",'STUDENT SCREENING'!BM87)</f>
        <v/>
      </c>
      <c r="K87" s="38" t="str">
        <f aca="false">IF('STUDENT SCREENING'!BN87="","",'STUDENT SCREENING'!BN87)</f>
        <v/>
      </c>
      <c r="L87" s="38" t="str">
        <f aca="false">IF('STUDENT SCREENING'!BO87="","",'STUDENT SCREENING'!BO87)</f>
        <v/>
      </c>
      <c r="M87" s="38" t="str">
        <f aca="false">IF('STUDENT SCREENING'!BP87="","",'STUDENT SCREENING'!BP87)</f>
        <v/>
      </c>
      <c r="N87" s="38" t="str">
        <f aca="false">IF('STUDENT SCREENING'!BQ87="","",'STUDENT SCREENING'!BQ87)</f>
        <v/>
      </c>
      <c r="O87" s="38" t="str">
        <f aca="false">IF('STUDENT SCREENING'!BR87="","",'STUDENT SCREENING'!BR87)</f>
        <v/>
      </c>
      <c r="P87" s="32"/>
      <c r="Q87" s="32"/>
      <c r="R87" s="32"/>
      <c r="S87" s="32"/>
      <c r="T87" s="32"/>
      <c r="U87" s="32"/>
      <c r="V87" s="32"/>
      <c r="W87" s="32"/>
      <c r="X87" s="32"/>
    </row>
    <row r="88" customFormat="false" ht="15" hidden="false" customHeight="false" outlineLevel="0" collapsed="false">
      <c r="A88" s="37" t="str">
        <f aca="false">IF('STUDENT SCREENING'!A88="","",'STUDENT SCREENING'!A88)</f>
        <v/>
      </c>
      <c r="B88" s="37" t="str">
        <f aca="false">IF('STUDENT SCREENING'!I88="","",'STUDENT SCREENING'!I88)</f>
        <v/>
      </c>
      <c r="C88" s="37" t="str">
        <f aca="false">IF('STUDENT SCREENING'!F88="","",'STUDENT SCREENING'!F88)</f>
        <v/>
      </c>
      <c r="D88" s="37" t="str">
        <f aca="false">IF('STUDENT SCREENING'!G88="","",'STUDENT SCREENING'!G88)</f>
        <v/>
      </c>
      <c r="E88" s="37" t="str">
        <f aca="false">IF('STUDENT SCREENING'!C88="","",'STUDENT SCREENING'!C88)</f>
        <v/>
      </c>
      <c r="F88" s="37" t="str">
        <f aca="false">IF('STUDENT SCREENING'!J88="","",'STUDENT SCREENING'!J88)</f>
        <v/>
      </c>
      <c r="G88" s="37" t="str">
        <f aca="false">IF('STUDENT SCREENING'!K88="","",'STUDENT SCREENING'!K88)</f>
        <v/>
      </c>
      <c r="H88" s="37" t="str">
        <f aca="false">IF('STUDENT SCREENING'!S88="","",'STUDENT SCREENING'!S88)</f>
        <v/>
      </c>
      <c r="I88" s="37" t="str">
        <f aca="false">IF('STUDENT SCREENING'!T88="","",'STUDENT SCREENING'!T88)</f>
        <v/>
      </c>
      <c r="J88" s="37" t="str">
        <f aca="false">IF('STUDENT SCREENING'!BM88="","",'STUDENT SCREENING'!BM88)</f>
        <v/>
      </c>
      <c r="K88" s="37" t="str">
        <f aca="false">IF('STUDENT SCREENING'!BN88="","",'STUDENT SCREENING'!BN88)</f>
        <v/>
      </c>
      <c r="L88" s="37" t="str">
        <f aca="false">IF('STUDENT SCREENING'!BO88="","",'STUDENT SCREENING'!BO88)</f>
        <v/>
      </c>
      <c r="M88" s="37" t="str">
        <f aca="false">IF('STUDENT SCREENING'!BP88="","",'STUDENT SCREENING'!BP88)</f>
        <v/>
      </c>
      <c r="N88" s="37" t="str">
        <f aca="false">IF('STUDENT SCREENING'!BQ88="","",'STUDENT SCREENING'!BQ88)</f>
        <v/>
      </c>
      <c r="O88" s="37" t="str">
        <f aca="false">IF('STUDENT SCREENING'!BR88="","",'STUDENT SCREENING'!BR88)</f>
        <v/>
      </c>
      <c r="P88" s="28"/>
      <c r="Q88" s="28"/>
      <c r="R88" s="28"/>
      <c r="S88" s="28"/>
      <c r="T88" s="28"/>
      <c r="U88" s="28"/>
      <c r="V88" s="28"/>
      <c r="W88" s="28"/>
      <c r="X88" s="28"/>
    </row>
    <row r="89" customFormat="false" ht="15" hidden="false" customHeight="false" outlineLevel="0" collapsed="false">
      <c r="A89" s="38" t="str">
        <f aca="false">IF('STUDENT SCREENING'!A89="","",'STUDENT SCREENING'!A89)</f>
        <v/>
      </c>
      <c r="B89" s="38" t="str">
        <f aca="false">IF('STUDENT SCREENING'!I89="","",'STUDENT SCREENING'!I89)</f>
        <v/>
      </c>
      <c r="C89" s="38" t="str">
        <f aca="false">IF('STUDENT SCREENING'!F89="","",'STUDENT SCREENING'!F89)</f>
        <v/>
      </c>
      <c r="D89" s="38" t="str">
        <f aca="false">IF('STUDENT SCREENING'!G89="","",'STUDENT SCREENING'!G89)</f>
        <v/>
      </c>
      <c r="E89" s="38" t="str">
        <f aca="false">IF('STUDENT SCREENING'!C89="","",'STUDENT SCREENING'!C89)</f>
        <v/>
      </c>
      <c r="F89" s="38" t="str">
        <f aca="false">IF('STUDENT SCREENING'!J89="","",'STUDENT SCREENING'!J89)</f>
        <v/>
      </c>
      <c r="G89" s="38" t="str">
        <f aca="false">IF('STUDENT SCREENING'!K89="","",'STUDENT SCREENING'!K89)</f>
        <v/>
      </c>
      <c r="H89" s="38" t="str">
        <f aca="false">IF('STUDENT SCREENING'!S89="","",'STUDENT SCREENING'!S89)</f>
        <v/>
      </c>
      <c r="I89" s="38" t="str">
        <f aca="false">IF('STUDENT SCREENING'!T89="","",'STUDENT SCREENING'!T89)</f>
        <v/>
      </c>
      <c r="J89" s="38" t="str">
        <f aca="false">IF('STUDENT SCREENING'!BM89="","",'STUDENT SCREENING'!BM89)</f>
        <v/>
      </c>
      <c r="K89" s="38" t="str">
        <f aca="false">IF('STUDENT SCREENING'!BN89="","",'STUDENT SCREENING'!BN89)</f>
        <v/>
      </c>
      <c r="L89" s="38" t="str">
        <f aca="false">IF('STUDENT SCREENING'!BO89="","",'STUDENT SCREENING'!BO89)</f>
        <v/>
      </c>
      <c r="M89" s="38" t="str">
        <f aca="false">IF('STUDENT SCREENING'!BP89="","",'STUDENT SCREENING'!BP89)</f>
        <v/>
      </c>
      <c r="N89" s="38" t="str">
        <f aca="false">IF('STUDENT SCREENING'!BQ89="","",'STUDENT SCREENING'!BQ89)</f>
        <v/>
      </c>
      <c r="O89" s="38" t="str">
        <f aca="false">IF('STUDENT SCREENING'!BR89="","",'STUDENT SCREENING'!BR89)</f>
        <v/>
      </c>
      <c r="P89" s="32"/>
      <c r="Q89" s="32"/>
      <c r="R89" s="32"/>
      <c r="S89" s="32"/>
      <c r="T89" s="32"/>
      <c r="U89" s="32"/>
      <c r="V89" s="32"/>
      <c r="W89" s="32"/>
      <c r="X89" s="32"/>
    </row>
    <row r="90" customFormat="false" ht="15" hidden="false" customHeight="false" outlineLevel="0" collapsed="false">
      <c r="A90" s="37" t="str">
        <f aca="false">IF('STUDENT SCREENING'!A90="","",'STUDENT SCREENING'!A90)</f>
        <v/>
      </c>
      <c r="B90" s="37" t="str">
        <f aca="false">IF('STUDENT SCREENING'!I90="","",'STUDENT SCREENING'!I90)</f>
        <v/>
      </c>
      <c r="C90" s="37" t="str">
        <f aca="false">IF('STUDENT SCREENING'!F90="","",'STUDENT SCREENING'!F90)</f>
        <v/>
      </c>
      <c r="D90" s="37" t="str">
        <f aca="false">IF('STUDENT SCREENING'!G90="","",'STUDENT SCREENING'!G90)</f>
        <v/>
      </c>
      <c r="E90" s="37" t="str">
        <f aca="false">IF('STUDENT SCREENING'!C90="","",'STUDENT SCREENING'!C90)</f>
        <v/>
      </c>
      <c r="F90" s="37" t="str">
        <f aca="false">IF('STUDENT SCREENING'!J90="","",'STUDENT SCREENING'!J90)</f>
        <v/>
      </c>
      <c r="G90" s="37" t="str">
        <f aca="false">IF('STUDENT SCREENING'!K90="","",'STUDENT SCREENING'!K90)</f>
        <v/>
      </c>
      <c r="H90" s="37" t="str">
        <f aca="false">IF('STUDENT SCREENING'!S90="","",'STUDENT SCREENING'!S90)</f>
        <v/>
      </c>
      <c r="I90" s="37" t="str">
        <f aca="false">IF('STUDENT SCREENING'!T90="","",'STUDENT SCREENING'!T90)</f>
        <v/>
      </c>
      <c r="J90" s="37" t="str">
        <f aca="false">IF('STUDENT SCREENING'!BM90="","",'STUDENT SCREENING'!BM90)</f>
        <v/>
      </c>
      <c r="K90" s="37" t="str">
        <f aca="false">IF('STUDENT SCREENING'!BN90="","",'STUDENT SCREENING'!BN90)</f>
        <v/>
      </c>
      <c r="L90" s="37" t="str">
        <f aca="false">IF('STUDENT SCREENING'!BO90="","",'STUDENT SCREENING'!BO90)</f>
        <v/>
      </c>
      <c r="M90" s="37" t="str">
        <f aca="false">IF('STUDENT SCREENING'!BP90="","",'STUDENT SCREENING'!BP90)</f>
        <v/>
      </c>
      <c r="N90" s="37" t="str">
        <f aca="false">IF('STUDENT SCREENING'!BQ90="","",'STUDENT SCREENING'!BQ90)</f>
        <v/>
      </c>
      <c r="O90" s="37" t="str">
        <f aca="false">IF('STUDENT SCREENING'!BR90="","",'STUDENT SCREENING'!BR90)</f>
        <v/>
      </c>
      <c r="P90" s="28"/>
      <c r="Q90" s="28"/>
      <c r="R90" s="28"/>
      <c r="S90" s="28"/>
      <c r="T90" s="28"/>
      <c r="U90" s="28"/>
      <c r="V90" s="28"/>
      <c r="W90" s="28"/>
      <c r="X90" s="28"/>
    </row>
    <row r="91" customFormat="false" ht="15" hidden="false" customHeight="false" outlineLevel="0" collapsed="false">
      <c r="A91" s="38" t="str">
        <f aca="false">IF('STUDENT SCREENING'!A91="","",'STUDENT SCREENING'!A91)</f>
        <v/>
      </c>
      <c r="B91" s="38" t="str">
        <f aca="false">IF('STUDENT SCREENING'!I91="","",'STUDENT SCREENING'!I91)</f>
        <v/>
      </c>
      <c r="C91" s="38" t="str">
        <f aca="false">IF('STUDENT SCREENING'!F91="","",'STUDENT SCREENING'!F91)</f>
        <v/>
      </c>
      <c r="D91" s="38" t="str">
        <f aca="false">IF('STUDENT SCREENING'!G91="","",'STUDENT SCREENING'!G91)</f>
        <v/>
      </c>
      <c r="E91" s="38" t="str">
        <f aca="false">IF('STUDENT SCREENING'!C91="","",'STUDENT SCREENING'!C91)</f>
        <v/>
      </c>
      <c r="F91" s="38" t="str">
        <f aca="false">IF('STUDENT SCREENING'!J91="","",'STUDENT SCREENING'!J91)</f>
        <v/>
      </c>
      <c r="G91" s="38" t="str">
        <f aca="false">IF('STUDENT SCREENING'!K91="","",'STUDENT SCREENING'!K91)</f>
        <v/>
      </c>
      <c r="H91" s="38" t="str">
        <f aca="false">IF('STUDENT SCREENING'!S91="","",'STUDENT SCREENING'!S91)</f>
        <v/>
      </c>
      <c r="I91" s="38" t="str">
        <f aca="false">IF('STUDENT SCREENING'!T91="","",'STUDENT SCREENING'!T91)</f>
        <v/>
      </c>
      <c r="J91" s="38" t="str">
        <f aca="false">IF('STUDENT SCREENING'!BM91="","",'STUDENT SCREENING'!BM91)</f>
        <v/>
      </c>
      <c r="K91" s="38" t="str">
        <f aca="false">IF('STUDENT SCREENING'!BN91="","",'STUDENT SCREENING'!BN91)</f>
        <v/>
      </c>
      <c r="L91" s="38" t="str">
        <f aca="false">IF('STUDENT SCREENING'!BO91="","",'STUDENT SCREENING'!BO91)</f>
        <v/>
      </c>
      <c r="M91" s="38" t="str">
        <f aca="false">IF('STUDENT SCREENING'!BP91="","",'STUDENT SCREENING'!BP91)</f>
        <v/>
      </c>
      <c r="N91" s="38" t="str">
        <f aca="false">IF('STUDENT SCREENING'!BQ91="","",'STUDENT SCREENING'!BQ91)</f>
        <v/>
      </c>
      <c r="O91" s="38" t="str">
        <f aca="false">IF('STUDENT SCREENING'!BR91="","",'STUDENT SCREENING'!BR91)</f>
        <v/>
      </c>
      <c r="P91" s="32"/>
      <c r="Q91" s="32"/>
      <c r="R91" s="32"/>
      <c r="S91" s="32"/>
      <c r="T91" s="32"/>
      <c r="U91" s="32"/>
      <c r="V91" s="32"/>
      <c r="W91" s="32"/>
      <c r="X91" s="32"/>
    </row>
    <row r="92" customFormat="false" ht="15" hidden="false" customHeight="false" outlineLevel="0" collapsed="false">
      <c r="A92" s="37" t="str">
        <f aca="false">IF('STUDENT SCREENING'!A92="","",'STUDENT SCREENING'!A92)</f>
        <v/>
      </c>
      <c r="B92" s="37" t="str">
        <f aca="false">IF('STUDENT SCREENING'!I92="","",'STUDENT SCREENING'!I92)</f>
        <v/>
      </c>
      <c r="C92" s="37" t="str">
        <f aca="false">IF('STUDENT SCREENING'!F92="","",'STUDENT SCREENING'!F92)</f>
        <v/>
      </c>
      <c r="D92" s="37" t="str">
        <f aca="false">IF('STUDENT SCREENING'!G92="","",'STUDENT SCREENING'!G92)</f>
        <v/>
      </c>
      <c r="E92" s="37" t="str">
        <f aca="false">IF('STUDENT SCREENING'!C92="","",'STUDENT SCREENING'!C92)</f>
        <v/>
      </c>
      <c r="F92" s="37" t="str">
        <f aca="false">IF('STUDENT SCREENING'!J92="","",'STUDENT SCREENING'!J92)</f>
        <v/>
      </c>
      <c r="G92" s="37" t="str">
        <f aca="false">IF('STUDENT SCREENING'!K92="","",'STUDENT SCREENING'!K92)</f>
        <v/>
      </c>
      <c r="H92" s="37" t="str">
        <f aca="false">IF('STUDENT SCREENING'!S92="","",'STUDENT SCREENING'!S92)</f>
        <v/>
      </c>
      <c r="I92" s="37" t="str">
        <f aca="false">IF('STUDENT SCREENING'!T92="","",'STUDENT SCREENING'!T92)</f>
        <v/>
      </c>
      <c r="J92" s="37" t="str">
        <f aca="false">IF('STUDENT SCREENING'!BM92="","",'STUDENT SCREENING'!BM92)</f>
        <v/>
      </c>
      <c r="K92" s="37" t="str">
        <f aca="false">IF('STUDENT SCREENING'!BN92="","",'STUDENT SCREENING'!BN92)</f>
        <v/>
      </c>
      <c r="L92" s="37" t="str">
        <f aca="false">IF('STUDENT SCREENING'!BO92="","",'STUDENT SCREENING'!BO92)</f>
        <v/>
      </c>
      <c r="M92" s="37" t="str">
        <f aca="false">IF('STUDENT SCREENING'!BP92="","",'STUDENT SCREENING'!BP92)</f>
        <v/>
      </c>
      <c r="N92" s="37" t="str">
        <f aca="false">IF('STUDENT SCREENING'!BQ92="","",'STUDENT SCREENING'!BQ92)</f>
        <v/>
      </c>
      <c r="O92" s="37" t="str">
        <f aca="false">IF('STUDENT SCREENING'!BR92="","",'STUDENT SCREENING'!BR92)</f>
        <v/>
      </c>
      <c r="P92" s="28"/>
      <c r="Q92" s="28"/>
      <c r="R92" s="28"/>
      <c r="S92" s="28"/>
      <c r="T92" s="28"/>
      <c r="U92" s="28"/>
      <c r="V92" s="28"/>
      <c r="W92" s="28"/>
      <c r="X92" s="28"/>
    </row>
    <row r="93" customFormat="false" ht="15" hidden="false" customHeight="false" outlineLevel="0" collapsed="false">
      <c r="A93" s="38" t="str">
        <f aca="false">IF('STUDENT SCREENING'!A93="","",'STUDENT SCREENING'!A93)</f>
        <v/>
      </c>
      <c r="B93" s="38" t="str">
        <f aca="false">IF('STUDENT SCREENING'!I93="","",'STUDENT SCREENING'!I93)</f>
        <v/>
      </c>
      <c r="C93" s="38" t="str">
        <f aca="false">IF('STUDENT SCREENING'!F93="","",'STUDENT SCREENING'!F93)</f>
        <v/>
      </c>
      <c r="D93" s="38" t="str">
        <f aca="false">IF('STUDENT SCREENING'!G93="","",'STUDENT SCREENING'!G93)</f>
        <v/>
      </c>
      <c r="E93" s="38" t="str">
        <f aca="false">IF('STUDENT SCREENING'!C93="","",'STUDENT SCREENING'!C93)</f>
        <v/>
      </c>
      <c r="F93" s="38" t="str">
        <f aca="false">IF('STUDENT SCREENING'!J93="","",'STUDENT SCREENING'!J93)</f>
        <v/>
      </c>
      <c r="G93" s="38" t="str">
        <f aca="false">IF('STUDENT SCREENING'!K93="","",'STUDENT SCREENING'!K93)</f>
        <v/>
      </c>
      <c r="H93" s="38" t="str">
        <f aca="false">IF('STUDENT SCREENING'!S93="","",'STUDENT SCREENING'!S93)</f>
        <v/>
      </c>
      <c r="I93" s="38" t="str">
        <f aca="false">IF('STUDENT SCREENING'!T93="","",'STUDENT SCREENING'!T93)</f>
        <v/>
      </c>
      <c r="J93" s="38" t="str">
        <f aca="false">IF('STUDENT SCREENING'!BM93="","",'STUDENT SCREENING'!BM93)</f>
        <v/>
      </c>
      <c r="K93" s="38" t="str">
        <f aca="false">IF('STUDENT SCREENING'!BN93="","",'STUDENT SCREENING'!BN93)</f>
        <v/>
      </c>
      <c r="L93" s="38" t="str">
        <f aca="false">IF('STUDENT SCREENING'!BO93="","",'STUDENT SCREENING'!BO93)</f>
        <v/>
      </c>
      <c r="M93" s="38" t="str">
        <f aca="false">IF('STUDENT SCREENING'!BP93="","",'STUDENT SCREENING'!BP93)</f>
        <v/>
      </c>
      <c r="N93" s="38" t="str">
        <f aca="false">IF('STUDENT SCREENING'!BQ93="","",'STUDENT SCREENING'!BQ93)</f>
        <v/>
      </c>
      <c r="O93" s="38" t="str">
        <f aca="false">IF('STUDENT SCREENING'!BR93="","",'STUDENT SCREENING'!BR93)</f>
        <v/>
      </c>
      <c r="P93" s="32"/>
      <c r="Q93" s="32"/>
      <c r="R93" s="32"/>
      <c r="S93" s="32"/>
      <c r="T93" s="32"/>
      <c r="U93" s="32"/>
      <c r="V93" s="32"/>
      <c r="W93" s="32"/>
      <c r="X93" s="32"/>
    </row>
    <row r="94" customFormat="false" ht="15" hidden="false" customHeight="false" outlineLevel="0" collapsed="false">
      <c r="A94" s="37" t="str">
        <f aca="false">IF('STUDENT SCREENING'!A94="","",'STUDENT SCREENING'!A94)</f>
        <v/>
      </c>
      <c r="B94" s="37" t="str">
        <f aca="false">IF('STUDENT SCREENING'!I94="","",'STUDENT SCREENING'!I94)</f>
        <v/>
      </c>
      <c r="C94" s="37" t="str">
        <f aca="false">IF('STUDENT SCREENING'!F94="","",'STUDENT SCREENING'!F94)</f>
        <v/>
      </c>
      <c r="D94" s="37" t="str">
        <f aca="false">IF('STUDENT SCREENING'!G94="","",'STUDENT SCREENING'!G94)</f>
        <v/>
      </c>
      <c r="E94" s="37" t="str">
        <f aca="false">IF('STUDENT SCREENING'!C94="","",'STUDENT SCREENING'!C94)</f>
        <v/>
      </c>
      <c r="F94" s="37" t="str">
        <f aca="false">IF('STUDENT SCREENING'!J94="","",'STUDENT SCREENING'!J94)</f>
        <v/>
      </c>
      <c r="G94" s="37" t="str">
        <f aca="false">IF('STUDENT SCREENING'!K94="","",'STUDENT SCREENING'!K94)</f>
        <v/>
      </c>
      <c r="H94" s="37" t="str">
        <f aca="false">IF('STUDENT SCREENING'!S94="","",'STUDENT SCREENING'!S94)</f>
        <v/>
      </c>
      <c r="I94" s="37" t="str">
        <f aca="false">IF('STUDENT SCREENING'!T94="","",'STUDENT SCREENING'!T94)</f>
        <v/>
      </c>
      <c r="J94" s="37" t="str">
        <f aca="false">IF('STUDENT SCREENING'!BM94="","",'STUDENT SCREENING'!BM94)</f>
        <v/>
      </c>
      <c r="K94" s="37" t="str">
        <f aca="false">IF('STUDENT SCREENING'!BN94="","",'STUDENT SCREENING'!BN94)</f>
        <v/>
      </c>
      <c r="L94" s="37" t="str">
        <f aca="false">IF('STUDENT SCREENING'!BO94="","",'STUDENT SCREENING'!BO94)</f>
        <v/>
      </c>
      <c r="M94" s="37" t="str">
        <f aca="false">IF('STUDENT SCREENING'!BP94="","",'STUDENT SCREENING'!BP94)</f>
        <v/>
      </c>
      <c r="N94" s="37" t="str">
        <f aca="false">IF('STUDENT SCREENING'!BQ94="","",'STUDENT SCREENING'!BQ94)</f>
        <v/>
      </c>
      <c r="O94" s="37" t="str">
        <f aca="false">IF('STUDENT SCREENING'!BR94="","",'STUDENT SCREENING'!BR94)</f>
        <v/>
      </c>
      <c r="P94" s="28"/>
      <c r="Q94" s="28"/>
      <c r="R94" s="28"/>
      <c r="S94" s="28"/>
      <c r="T94" s="28"/>
      <c r="U94" s="28"/>
      <c r="V94" s="28"/>
      <c r="W94" s="28"/>
      <c r="X94" s="28"/>
    </row>
    <row r="95" customFormat="false" ht="15" hidden="false" customHeight="false" outlineLevel="0" collapsed="false">
      <c r="A95" s="38" t="str">
        <f aca="false">IF('STUDENT SCREENING'!A95="","",'STUDENT SCREENING'!A95)</f>
        <v/>
      </c>
      <c r="B95" s="38" t="str">
        <f aca="false">IF('STUDENT SCREENING'!I95="","",'STUDENT SCREENING'!I95)</f>
        <v/>
      </c>
      <c r="C95" s="38" t="str">
        <f aca="false">IF('STUDENT SCREENING'!F95="","",'STUDENT SCREENING'!F95)</f>
        <v/>
      </c>
      <c r="D95" s="38" t="str">
        <f aca="false">IF('STUDENT SCREENING'!G95="","",'STUDENT SCREENING'!G95)</f>
        <v/>
      </c>
      <c r="E95" s="38" t="str">
        <f aca="false">IF('STUDENT SCREENING'!C95="","",'STUDENT SCREENING'!C95)</f>
        <v/>
      </c>
      <c r="F95" s="38" t="str">
        <f aca="false">IF('STUDENT SCREENING'!J95="","",'STUDENT SCREENING'!J95)</f>
        <v/>
      </c>
      <c r="G95" s="38" t="str">
        <f aca="false">IF('STUDENT SCREENING'!K95="","",'STUDENT SCREENING'!K95)</f>
        <v/>
      </c>
      <c r="H95" s="38" t="str">
        <f aca="false">IF('STUDENT SCREENING'!S95="","",'STUDENT SCREENING'!S95)</f>
        <v/>
      </c>
      <c r="I95" s="38" t="str">
        <f aca="false">IF('STUDENT SCREENING'!T95="","",'STUDENT SCREENING'!T95)</f>
        <v/>
      </c>
      <c r="J95" s="38" t="str">
        <f aca="false">IF('STUDENT SCREENING'!BM95="","",'STUDENT SCREENING'!BM95)</f>
        <v/>
      </c>
      <c r="K95" s="38" t="str">
        <f aca="false">IF('STUDENT SCREENING'!BN95="","",'STUDENT SCREENING'!BN95)</f>
        <v/>
      </c>
      <c r="L95" s="38" t="str">
        <f aca="false">IF('STUDENT SCREENING'!BO95="","",'STUDENT SCREENING'!BO95)</f>
        <v/>
      </c>
      <c r="M95" s="38" t="str">
        <f aca="false">IF('STUDENT SCREENING'!BP95="","",'STUDENT SCREENING'!BP95)</f>
        <v/>
      </c>
      <c r="N95" s="38" t="str">
        <f aca="false">IF('STUDENT SCREENING'!BQ95="","",'STUDENT SCREENING'!BQ95)</f>
        <v/>
      </c>
      <c r="O95" s="38" t="str">
        <f aca="false">IF('STUDENT SCREENING'!BR95="","",'STUDENT SCREENING'!BR95)</f>
        <v/>
      </c>
      <c r="P95" s="32"/>
      <c r="Q95" s="32"/>
      <c r="R95" s="32"/>
      <c r="S95" s="32"/>
      <c r="T95" s="32"/>
      <c r="U95" s="32"/>
      <c r="V95" s="32"/>
      <c r="W95" s="32"/>
      <c r="X95" s="32"/>
    </row>
    <row r="96" customFormat="false" ht="15" hidden="false" customHeight="false" outlineLevel="0" collapsed="false">
      <c r="A96" s="37" t="str">
        <f aca="false">IF('STUDENT SCREENING'!A96="","",'STUDENT SCREENING'!A96)</f>
        <v/>
      </c>
      <c r="B96" s="37" t="str">
        <f aca="false">IF('STUDENT SCREENING'!I96="","",'STUDENT SCREENING'!I96)</f>
        <v/>
      </c>
      <c r="C96" s="37" t="str">
        <f aca="false">IF('STUDENT SCREENING'!F96="","",'STUDENT SCREENING'!F96)</f>
        <v/>
      </c>
      <c r="D96" s="37" t="str">
        <f aca="false">IF('STUDENT SCREENING'!G96="","",'STUDENT SCREENING'!G96)</f>
        <v/>
      </c>
      <c r="E96" s="37" t="str">
        <f aca="false">IF('STUDENT SCREENING'!C96="","",'STUDENT SCREENING'!C96)</f>
        <v/>
      </c>
      <c r="F96" s="37" t="str">
        <f aca="false">IF('STUDENT SCREENING'!J96="","",'STUDENT SCREENING'!J96)</f>
        <v/>
      </c>
      <c r="G96" s="37" t="str">
        <f aca="false">IF('STUDENT SCREENING'!K96="","",'STUDENT SCREENING'!K96)</f>
        <v/>
      </c>
      <c r="H96" s="37" t="str">
        <f aca="false">IF('STUDENT SCREENING'!S96="","",'STUDENT SCREENING'!S96)</f>
        <v/>
      </c>
      <c r="I96" s="37" t="str">
        <f aca="false">IF('STUDENT SCREENING'!T96="","",'STUDENT SCREENING'!T96)</f>
        <v/>
      </c>
      <c r="J96" s="37" t="str">
        <f aca="false">IF('STUDENT SCREENING'!BM96="","",'STUDENT SCREENING'!BM96)</f>
        <v/>
      </c>
      <c r="K96" s="37" t="str">
        <f aca="false">IF('STUDENT SCREENING'!BN96="","",'STUDENT SCREENING'!BN96)</f>
        <v/>
      </c>
      <c r="L96" s="37" t="str">
        <f aca="false">IF('STUDENT SCREENING'!BO96="","",'STUDENT SCREENING'!BO96)</f>
        <v/>
      </c>
      <c r="M96" s="37" t="str">
        <f aca="false">IF('STUDENT SCREENING'!BP96="","",'STUDENT SCREENING'!BP96)</f>
        <v/>
      </c>
      <c r="N96" s="37" t="str">
        <f aca="false">IF('STUDENT SCREENING'!BQ96="","",'STUDENT SCREENING'!BQ96)</f>
        <v/>
      </c>
      <c r="O96" s="37" t="str">
        <f aca="false">IF('STUDENT SCREENING'!BR96="","",'STUDENT SCREENING'!BR96)</f>
        <v/>
      </c>
      <c r="P96" s="28"/>
      <c r="Q96" s="28"/>
      <c r="R96" s="28"/>
      <c r="S96" s="28"/>
      <c r="T96" s="28"/>
      <c r="U96" s="28"/>
      <c r="V96" s="28"/>
      <c r="W96" s="28"/>
      <c r="X96" s="28"/>
    </row>
    <row r="97" customFormat="false" ht="15" hidden="false" customHeight="false" outlineLevel="0" collapsed="false">
      <c r="A97" s="38" t="str">
        <f aca="false">IF('STUDENT SCREENING'!A97="","",'STUDENT SCREENING'!A97)</f>
        <v/>
      </c>
      <c r="B97" s="38" t="str">
        <f aca="false">IF('STUDENT SCREENING'!I97="","",'STUDENT SCREENING'!I97)</f>
        <v/>
      </c>
      <c r="C97" s="38" t="str">
        <f aca="false">IF('STUDENT SCREENING'!F97="","",'STUDENT SCREENING'!F97)</f>
        <v/>
      </c>
      <c r="D97" s="38" t="str">
        <f aca="false">IF('STUDENT SCREENING'!G97="","",'STUDENT SCREENING'!G97)</f>
        <v/>
      </c>
      <c r="E97" s="38" t="str">
        <f aca="false">IF('STUDENT SCREENING'!C97="","",'STUDENT SCREENING'!C97)</f>
        <v/>
      </c>
      <c r="F97" s="38" t="str">
        <f aca="false">IF('STUDENT SCREENING'!J97="","",'STUDENT SCREENING'!J97)</f>
        <v/>
      </c>
      <c r="G97" s="38" t="str">
        <f aca="false">IF('STUDENT SCREENING'!K97="","",'STUDENT SCREENING'!K97)</f>
        <v/>
      </c>
      <c r="H97" s="38" t="str">
        <f aca="false">IF('STUDENT SCREENING'!S97="","",'STUDENT SCREENING'!S97)</f>
        <v/>
      </c>
      <c r="I97" s="38" t="str">
        <f aca="false">IF('STUDENT SCREENING'!T97="","",'STUDENT SCREENING'!T97)</f>
        <v/>
      </c>
      <c r="J97" s="38" t="str">
        <f aca="false">IF('STUDENT SCREENING'!BM97="","",'STUDENT SCREENING'!BM97)</f>
        <v/>
      </c>
      <c r="K97" s="38" t="str">
        <f aca="false">IF('STUDENT SCREENING'!BN97="","",'STUDENT SCREENING'!BN97)</f>
        <v/>
      </c>
      <c r="L97" s="38" t="str">
        <f aca="false">IF('STUDENT SCREENING'!BO97="","",'STUDENT SCREENING'!BO97)</f>
        <v/>
      </c>
      <c r="M97" s="38" t="str">
        <f aca="false">IF('STUDENT SCREENING'!BP97="","",'STUDENT SCREENING'!BP97)</f>
        <v/>
      </c>
      <c r="N97" s="38" t="str">
        <f aca="false">IF('STUDENT SCREENING'!BQ97="","",'STUDENT SCREENING'!BQ97)</f>
        <v/>
      </c>
      <c r="O97" s="38" t="str">
        <f aca="false">IF('STUDENT SCREENING'!BR97="","",'STUDENT SCREENING'!BR97)</f>
        <v/>
      </c>
      <c r="P97" s="32"/>
      <c r="Q97" s="32"/>
      <c r="R97" s="32"/>
      <c r="S97" s="32"/>
      <c r="T97" s="32"/>
      <c r="U97" s="32"/>
      <c r="V97" s="32"/>
      <c r="W97" s="32"/>
      <c r="X97" s="32"/>
    </row>
    <row r="98" customFormat="false" ht="15" hidden="false" customHeight="false" outlineLevel="0" collapsed="false">
      <c r="A98" s="37" t="str">
        <f aca="false">IF('STUDENT SCREENING'!A98="","",'STUDENT SCREENING'!A98)</f>
        <v/>
      </c>
      <c r="B98" s="37" t="str">
        <f aca="false">IF('STUDENT SCREENING'!I98="","",'STUDENT SCREENING'!I98)</f>
        <v/>
      </c>
      <c r="C98" s="37" t="str">
        <f aca="false">IF('STUDENT SCREENING'!F98="","",'STUDENT SCREENING'!F98)</f>
        <v/>
      </c>
      <c r="D98" s="37" t="str">
        <f aca="false">IF('STUDENT SCREENING'!G98="","",'STUDENT SCREENING'!G98)</f>
        <v/>
      </c>
      <c r="E98" s="37" t="str">
        <f aca="false">IF('STUDENT SCREENING'!C98="","",'STUDENT SCREENING'!C98)</f>
        <v/>
      </c>
      <c r="F98" s="37" t="str">
        <f aca="false">IF('STUDENT SCREENING'!J98="","",'STUDENT SCREENING'!J98)</f>
        <v/>
      </c>
      <c r="G98" s="37" t="str">
        <f aca="false">IF('STUDENT SCREENING'!K98="","",'STUDENT SCREENING'!K98)</f>
        <v/>
      </c>
      <c r="H98" s="37" t="str">
        <f aca="false">IF('STUDENT SCREENING'!S98="","",'STUDENT SCREENING'!S98)</f>
        <v/>
      </c>
      <c r="I98" s="37" t="str">
        <f aca="false">IF('STUDENT SCREENING'!T98="","",'STUDENT SCREENING'!T98)</f>
        <v/>
      </c>
      <c r="J98" s="37" t="str">
        <f aca="false">IF('STUDENT SCREENING'!BM98="","",'STUDENT SCREENING'!BM98)</f>
        <v/>
      </c>
      <c r="K98" s="37" t="str">
        <f aca="false">IF('STUDENT SCREENING'!BN98="","",'STUDENT SCREENING'!BN98)</f>
        <v/>
      </c>
      <c r="L98" s="37" t="str">
        <f aca="false">IF('STUDENT SCREENING'!BO98="","",'STUDENT SCREENING'!BO98)</f>
        <v/>
      </c>
      <c r="M98" s="37" t="str">
        <f aca="false">IF('STUDENT SCREENING'!BP98="","",'STUDENT SCREENING'!BP98)</f>
        <v/>
      </c>
      <c r="N98" s="37" t="str">
        <f aca="false">IF('STUDENT SCREENING'!BQ98="","",'STUDENT SCREENING'!BQ98)</f>
        <v/>
      </c>
      <c r="O98" s="37" t="str">
        <f aca="false">IF('STUDENT SCREENING'!BR98="","",'STUDENT SCREENING'!BR98)</f>
        <v/>
      </c>
      <c r="P98" s="28"/>
      <c r="Q98" s="28"/>
      <c r="R98" s="28"/>
      <c r="S98" s="28"/>
      <c r="T98" s="28"/>
      <c r="U98" s="28"/>
      <c r="V98" s="28"/>
      <c r="W98" s="28"/>
      <c r="X98" s="28"/>
    </row>
    <row r="99" customFormat="false" ht="15" hidden="false" customHeight="false" outlineLevel="0" collapsed="false">
      <c r="A99" s="38" t="str">
        <f aca="false">IF('STUDENT SCREENING'!A99="","",'STUDENT SCREENING'!A99)</f>
        <v/>
      </c>
      <c r="B99" s="38" t="str">
        <f aca="false">IF('STUDENT SCREENING'!I99="","",'STUDENT SCREENING'!I99)</f>
        <v/>
      </c>
      <c r="C99" s="38" t="str">
        <f aca="false">IF('STUDENT SCREENING'!F99="","",'STUDENT SCREENING'!F99)</f>
        <v/>
      </c>
      <c r="D99" s="38" t="str">
        <f aca="false">IF('STUDENT SCREENING'!G99="","",'STUDENT SCREENING'!G99)</f>
        <v/>
      </c>
      <c r="E99" s="38" t="str">
        <f aca="false">IF('STUDENT SCREENING'!C99="","",'STUDENT SCREENING'!C99)</f>
        <v/>
      </c>
      <c r="F99" s="38" t="str">
        <f aca="false">IF('STUDENT SCREENING'!J99="","",'STUDENT SCREENING'!J99)</f>
        <v/>
      </c>
      <c r="G99" s="38" t="str">
        <f aca="false">IF('STUDENT SCREENING'!K99="","",'STUDENT SCREENING'!K99)</f>
        <v/>
      </c>
      <c r="H99" s="38" t="str">
        <f aca="false">IF('STUDENT SCREENING'!S99="","",'STUDENT SCREENING'!S99)</f>
        <v/>
      </c>
      <c r="I99" s="38" t="str">
        <f aca="false">IF('STUDENT SCREENING'!T99="","",'STUDENT SCREENING'!T99)</f>
        <v/>
      </c>
      <c r="J99" s="38" t="str">
        <f aca="false">IF('STUDENT SCREENING'!BM99="","",'STUDENT SCREENING'!BM99)</f>
        <v/>
      </c>
      <c r="K99" s="38" t="str">
        <f aca="false">IF('STUDENT SCREENING'!BN99="","",'STUDENT SCREENING'!BN99)</f>
        <v/>
      </c>
      <c r="L99" s="38" t="str">
        <f aca="false">IF('STUDENT SCREENING'!BO99="","",'STUDENT SCREENING'!BO99)</f>
        <v/>
      </c>
      <c r="M99" s="38" t="str">
        <f aca="false">IF('STUDENT SCREENING'!BP99="","",'STUDENT SCREENING'!BP99)</f>
        <v/>
      </c>
      <c r="N99" s="38" t="str">
        <f aca="false">IF('STUDENT SCREENING'!BQ99="","",'STUDENT SCREENING'!BQ99)</f>
        <v/>
      </c>
      <c r="O99" s="38" t="str">
        <f aca="false">IF('STUDENT SCREENING'!BR99="","",'STUDENT SCREENING'!BR99)</f>
        <v/>
      </c>
      <c r="P99" s="32"/>
      <c r="Q99" s="32"/>
      <c r="R99" s="32"/>
      <c r="S99" s="32"/>
      <c r="T99" s="32"/>
      <c r="U99" s="32"/>
      <c r="V99" s="32"/>
      <c r="W99" s="32"/>
      <c r="X99" s="32"/>
    </row>
    <row r="100" customFormat="false" ht="15" hidden="false" customHeight="false" outlineLevel="0" collapsed="false">
      <c r="A100" s="37" t="str">
        <f aca="false">IF('STUDENT SCREENING'!A100="","",'STUDENT SCREENING'!A100)</f>
        <v/>
      </c>
      <c r="B100" s="37" t="str">
        <f aca="false">IF('STUDENT SCREENING'!I100="","",'STUDENT SCREENING'!I100)</f>
        <v/>
      </c>
      <c r="C100" s="37" t="str">
        <f aca="false">IF('STUDENT SCREENING'!F100="","",'STUDENT SCREENING'!F100)</f>
        <v/>
      </c>
      <c r="D100" s="37" t="str">
        <f aca="false">IF('STUDENT SCREENING'!G100="","",'STUDENT SCREENING'!G100)</f>
        <v/>
      </c>
      <c r="E100" s="37" t="str">
        <f aca="false">IF('STUDENT SCREENING'!C100="","",'STUDENT SCREENING'!C100)</f>
        <v/>
      </c>
      <c r="F100" s="37" t="str">
        <f aca="false">IF('STUDENT SCREENING'!J100="","",'STUDENT SCREENING'!J100)</f>
        <v/>
      </c>
      <c r="G100" s="37" t="str">
        <f aca="false">IF('STUDENT SCREENING'!K100="","",'STUDENT SCREENING'!K100)</f>
        <v/>
      </c>
      <c r="H100" s="37" t="str">
        <f aca="false">IF('STUDENT SCREENING'!S100="","",'STUDENT SCREENING'!S100)</f>
        <v/>
      </c>
      <c r="I100" s="37" t="str">
        <f aca="false">IF('STUDENT SCREENING'!T100="","",'STUDENT SCREENING'!T100)</f>
        <v/>
      </c>
      <c r="J100" s="37" t="str">
        <f aca="false">IF('STUDENT SCREENING'!BM100="","",'STUDENT SCREENING'!BM100)</f>
        <v/>
      </c>
      <c r="K100" s="37" t="str">
        <f aca="false">IF('STUDENT SCREENING'!BN100="","",'STUDENT SCREENING'!BN100)</f>
        <v/>
      </c>
      <c r="L100" s="37" t="str">
        <f aca="false">IF('STUDENT SCREENING'!BO100="","",'STUDENT SCREENING'!BO100)</f>
        <v/>
      </c>
      <c r="M100" s="37" t="str">
        <f aca="false">IF('STUDENT SCREENING'!BP100="","",'STUDENT SCREENING'!BP100)</f>
        <v/>
      </c>
      <c r="N100" s="37" t="str">
        <f aca="false">IF('STUDENT SCREENING'!BQ100="","",'STUDENT SCREENING'!BQ100)</f>
        <v/>
      </c>
      <c r="O100" s="37" t="str">
        <f aca="false">IF('STUDENT SCREENING'!BR100="","",'STUDENT SCREENING'!BR100)</f>
        <v/>
      </c>
      <c r="P100" s="28"/>
      <c r="Q100" s="28"/>
      <c r="R100" s="28"/>
      <c r="S100" s="28"/>
      <c r="T100" s="28"/>
      <c r="U100" s="28"/>
      <c r="V100" s="28"/>
      <c r="W100" s="28"/>
      <c r="X100" s="28"/>
    </row>
    <row r="101" customFormat="false" ht="15" hidden="false" customHeight="false" outlineLevel="0" collapsed="false">
      <c r="A101" s="38" t="str">
        <f aca="false">IF('STUDENT SCREENING'!A101="","",'STUDENT SCREENING'!A101)</f>
        <v/>
      </c>
      <c r="B101" s="38" t="str">
        <f aca="false">IF('STUDENT SCREENING'!I101="","",'STUDENT SCREENING'!I101)</f>
        <v/>
      </c>
      <c r="C101" s="38" t="str">
        <f aca="false">IF('STUDENT SCREENING'!F101="","",'STUDENT SCREENING'!F101)</f>
        <v/>
      </c>
      <c r="D101" s="38" t="str">
        <f aca="false">IF('STUDENT SCREENING'!G101="","",'STUDENT SCREENING'!G101)</f>
        <v/>
      </c>
      <c r="E101" s="38" t="str">
        <f aca="false">IF('STUDENT SCREENING'!C101="","",'STUDENT SCREENING'!C101)</f>
        <v/>
      </c>
      <c r="F101" s="38" t="str">
        <f aca="false">IF('STUDENT SCREENING'!J101="","",'STUDENT SCREENING'!J101)</f>
        <v/>
      </c>
      <c r="G101" s="38" t="str">
        <f aca="false">IF('STUDENT SCREENING'!K101="","",'STUDENT SCREENING'!K101)</f>
        <v/>
      </c>
      <c r="H101" s="38" t="str">
        <f aca="false">IF('STUDENT SCREENING'!S101="","",'STUDENT SCREENING'!S101)</f>
        <v/>
      </c>
      <c r="I101" s="38" t="str">
        <f aca="false">IF('STUDENT SCREENING'!T101="","",'STUDENT SCREENING'!T101)</f>
        <v/>
      </c>
      <c r="J101" s="38" t="str">
        <f aca="false">IF('STUDENT SCREENING'!BM101="","",'STUDENT SCREENING'!BM101)</f>
        <v/>
      </c>
      <c r="K101" s="38" t="str">
        <f aca="false">IF('STUDENT SCREENING'!BN101="","",'STUDENT SCREENING'!BN101)</f>
        <v/>
      </c>
      <c r="L101" s="38" t="str">
        <f aca="false">IF('STUDENT SCREENING'!BO101="","",'STUDENT SCREENING'!BO101)</f>
        <v/>
      </c>
      <c r="M101" s="38" t="str">
        <f aca="false">IF('STUDENT SCREENING'!BP101="","",'STUDENT SCREENING'!BP101)</f>
        <v/>
      </c>
      <c r="N101" s="38" t="str">
        <f aca="false">IF('STUDENT SCREENING'!BQ101="","",'STUDENT SCREENING'!BQ101)</f>
        <v/>
      </c>
      <c r="O101" s="38" t="str">
        <f aca="false">IF('STUDENT SCREENING'!BR101="","",'STUDENT SCREENING'!BR101)</f>
        <v/>
      </c>
      <c r="P101" s="32"/>
      <c r="Q101" s="32"/>
      <c r="R101" s="32"/>
      <c r="S101" s="32"/>
      <c r="T101" s="32"/>
      <c r="U101" s="32"/>
      <c r="V101" s="32"/>
      <c r="W101" s="32"/>
      <c r="X101" s="32"/>
    </row>
    <row r="102" customFormat="false" ht="15" hidden="false" customHeight="false" outlineLevel="0" collapsed="false">
      <c r="A102" s="37" t="str">
        <f aca="false">IF('STUDENT SCREENING'!A102="","",'STUDENT SCREENING'!A102)</f>
        <v/>
      </c>
      <c r="B102" s="37" t="str">
        <f aca="false">IF('STUDENT SCREENING'!I102="","",'STUDENT SCREENING'!I102)</f>
        <v/>
      </c>
      <c r="C102" s="37" t="str">
        <f aca="false">IF('STUDENT SCREENING'!F102="","",'STUDENT SCREENING'!F102)</f>
        <v/>
      </c>
      <c r="D102" s="37" t="str">
        <f aca="false">IF('STUDENT SCREENING'!G102="","",'STUDENT SCREENING'!G102)</f>
        <v/>
      </c>
      <c r="E102" s="37" t="str">
        <f aca="false">IF('STUDENT SCREENING'!C102="","",'STUDENT SCREENING'!C102)</f>
        <v/>
      </c>
      <c r="F102" s="37" t="str">
        <f aca="false">IF('STUDENT SCREENING'!J102="","",'STUDENT SCREENING'!J102)</f>
        <v/>
      </c>
      <c r="G102" s="37" t="str">
        <f aca="false">IF('STUDENT SCREENING'!K102="","",'STUDENT SCREENING'!K102)</f>
        <v/>
      </c>
      <c r="H102" s="37" t="str">
        <f aca="false">IF('STUDENT SCREENING'!S102="","",'STUDENT SCREENING'!S102)</f>
        <v/>
      </c>
      <c r="I102" s="37" t="str">
        <f aca="false">IF('STUDENT SCREENING'!T102="","",'STUDENT SCREENING'!T102)</f>
        <v/>
      </c>
      <c r="J102" s="37" t="str">
        <f aca="false">IF('STUDENT SCREENING'!BM102="","",'STUDENT SCREENING'!BM102)</f>
        <v/>
      </c>
      <c r="K102" s="37" t="str">
        <f aca="false">IF('STUDENT SCREENING'!BN102="","",'STUDENT SCREENING'!BN102)</f>
        <v/>
      </c>
      <c r="L102" s="37" t="str">
        <f aca="false">IF('STUDENT SCREENING'!BO102="","",'STUDENT SCREENING'!BO102)</f>
        <v/>
      </c>
      <c r="M102" s="37" t="str">
        <f aca="false">IF('STUDENT SCREENING'!BP102="","",'STUDENT SCREENING'!BP102)</f>
        <v/>
      </c>
      <c r="N102" s="37" t="str">
        <f aca="false">IF('STUDENT SCREENING'!BQ102="","",'STUDENT SCREENING'!BQ102)</f>
        <v/>
      </c>
      <c r="O102" s="37" t="str">
        <f aca="false">IF('STUDENT SCREENING'!BR102="","",'STUDENT SCREENING'!BR102)</f>
        <v/>
      </c>
      <c r="P102" s="28"/>
      <c r="Q102" s="28"/>
      <c r="R102" s="28"/>
      <c r="S102" s="28"/>
      <c r="T102" s="28"/>
      <c r="U102" s="28"/>
      <c r="V102" s="28"/>
      <c r="W102" s="28"/>
      <c r="X102" s="28"/>
    </row>
    <row r="103" customFormat="false" ht="15" hidden="false" customHeight="false" outlineLevel="0" collapsed="false">
      <c r="A103" s="38" t="str">
        <f aca="false">IF('STUDENT SCREENING'!A103="","",'STUDENT SCREENING'!A103)</f>
        <v/>
      </c>
      <c r="B103" s="38" t="str">
        <f aca="false">IF('STUDENT SCREENING'!I103="","",'STUDENT SCREENING'!I103)</f>
        <v/>
      </c>
      <c r="C103" s="38" t="str">
        <f aca="false">IF('STUDENT SCREENING'!F103="","",'STUDENT SCREENING'!F103)</f>
        <v/>
      </c>
      <c r="D103" s="38" t="str">
        <f aca="false">IF('STUDENT SCREENING'!G103="","",'STUDENT SCREENING'!G103)</f>
        <v/>
      </c>
      <c r="E103" s="38" t="str">
        <f aca="false">IF('STUDENT SCREENING'!C103="","",'STUDENT SCREENING'!C103)</f>
        <v/>
      </c>
      <c r="F103" s="38" t="str">
        <f aca="false">IF('STUDENT SCREENING'!J103="","",'STUDENT SCREENING'!J103)</f>
        <v/>
      </c>
      <c r="G103" s="38" t="str">
        <f aca="false">IF('STUDENT SCREENING'!K103="","",'STUDENT SCREENING'!K103)</f>
        <v/>
      </c>
      <c r="H103" s="38" t="str">
        <f aca="false">IF('STUDENT SCREENING'!S103="","",'STUDENT SCREENING'!S103)</f>
        <v/>
      </c>
      <c r="I103" s="38" t="str">
        <f aca="false">IF('STUDENT SCREENING'!T103="","",'STUDENT SCREENING'!T103)</f>
        <v/>
      </c>
      <c r="J103" s="38" t="str">
        <f aca="false">IF('STUDENT SCREENING'!BM103="","",'STUDENT SCREENING'!BM103)</f>
        <v/>
      </c>
      <c r="K103" s="38" t="str">
        <f aca="false">IF('STUDENT SCREENING'!BN103="","",'STUDENT SCREENING'!BN103)</f>
        <v/>
      </c>
      <c r="L103" s="38" t="str">
        <f aca="false">IF('STUDENT SCREENING'!BO103="","",'STUDENT SCREENING'!BO103)</f>
        <v/>
      </c>
      <c r="M103" s="38" t="str">
        <f aca="false">IF('STUDENT SCREENING'!BP103="","",'STUDENT SCREENING'!BP103)</f>
        <v/>
      </c>
      <c r="N103" s="38" t="str">
        <f aca="false">IF('STUDENT SCREENING'!BQ103="","",'STUDENT SCREENING'!BQ103)</f>
        <v/>
      </c>
      <c r="O103" s="38" t="str">
        <f aca="false">IF('STUDENT SCREENING'!BR103="","",'STUDENT SCREENING'!BR103)</f>
        <v/>
      </c>
      <c r="P103" s="32"/>
      <c r="Q103" s="32"/>
      <c r="R103" s="32"/>
      <c r="S103" s="32"/>
      <c r="T103" s="32"/>
      <c r="U103" s="32"/>
      <c r="V103" s="32"/>
      <c r="W103" s="32"/>
      <c r="X103" s="32"/>
    </row>
    <row r="104" customFormat="false" ht="15" hidden="false" customHeight="false" outlineLevel="0" collapsed="false">
      <c r="A104" s="37" t="str">
        <f aca="false">IF('STUDENT SCREENING'!A104="","",'STUDENT SCREENING'!A104)</f>
        <v/>
      </c>
      <c r="B104" s="37" t="str">
        <f aca="false">IF('STUDENT SCREENING'!I104="","",'STUDENT SCREENING'!I104)</f>
        <v/>
      </c>
      <c r="C104" s="37" t="str">
        <f aca="false">IF('STUDENT SCREENING'!F104="","",'STUDENT SCREENING'!F104)</f>
        <v/>
      </c>
      <c r="D104" s="37" t="str">
        <f aca="false">IF('STUDENT SCREENING'!G104="","",'STUDENT SCREENING'!G104)</f>
        <v/>
      </c>
      <c r="E104" s="37" t="str">
        <f aca="false">IF('STUDENT SCREENING'!C104="","",'STUDENT SCREENING'!C104)</f>
        <v/>
      </c>
      <c r="F104" s="37" t="str">
        <f aca="false">IF('STUDENT SCREENING'!J104="","",'STUDENT SCREENING'!J104)</f>
        <v/>
      </c>
      <c r="G104" s="37" t="str">
        <f aca="false">IF('STUDENT SCREENING'!K104="","",'STUDENT SCREENING'!K104)</f>
        <v/>
      </c>
      <c r="H104" s="37" t="str">
        <f aca="false">IF('STUDENT SCREENING'!S104="","",'STUDENT SCREENING'!S104)</f>
        <v/>
      </c>
      <c r="I104" s="37" t="str">
        <f aca="false">IF('STUDENT SCREENING'!T104="","",'STUDENT SCREENING'!T104)</f>
        <v/>
      </c>
      <c r="J104" s="37" t="str">
        <f aca="false">IF('STUDENT SCREENING'!BM104="","",'STUDENT SCREENING'!BM104)</f>
        <v/>
      </c>
      <c r="K104" s="37" t="str">
        <f aca="false">IF('STUDENT SCREENING'!BN104="","",'STUDENT SCREENING'!BN104)</f>
        <v/>
      </c>
      <c r="L104" s="37" t="str">
        <f aca="false">IF('STUDENT SCREENING'!BO104="","",'STUDENT SCREENING'!BO104)</f>
        <v/>
      </c>
      <c r="M104" s="37" t="str">
        <f aca="false">IF('STUDENT SCREENING'!BP104="","",'STUDENT SCREENING'!BP104)</f>
        <v/>
      </c>
      <c r="N104" s="37" t="str">
        <f aca="false">IF('STUDENT SCREENING'!BQ104="","",'STUDENT SCREENING'!BQ104)</f>
        <v/>
      </c>
      <c r="O104" s="37" t="str">
        <f aca="false">IF('STUDENT SCREENING'!BR104="","",'STUDENT SCREENING'!BR104)</f>
        <v/>
      </c>
      <c r="P104" s="28"/>
      <c r="Q104" s="28"/>
      <c r="R104" s="28"/>
      <c r="S104" s="28"/>
      <c r="T104" s="28"/>
      <c r="U104" s="28"/>
      <c r="V104" s="28"/>
      <c r="W104" s="28"/>
      <c r="X104" s="28"/>
    </row>
    <row r="105" customFormat="false" ht="15" hidden="false" customHeight="false" outlineLevel="0" collapsed="false">
      <c r="A105" s="38" t="str">
        <f aca="false">IF('STUDENT SCREENING'!A105="","",'STUDENT SCREENING'!A105)</f>
        <v/>
      </c>
      <c r="B105" s="38" t="str">
        <f aca="false">IF('STUDENT SCREENING'!I105="","",'STUDENT SCREENING'!I105)</f>
        <v/>
      </c>
      <c r="C105" s="38" t="str">
        <f aca="false">IF('STUDENT SCREENING'!F105="","",'STUDENT SCREENING'!F105)</f>
        <v/>
      </c>
      <c r="D105" s="38" t="str">
        <f aca="false">IF('STUDENT SCREENING'!G105="","",'STUDENT SCREENING'!G105)</f>
        <v/>
      </c>
      <c r="E105" s="38" t="str">
        <f aca="false">IF('STUDENT SCREENING'!C105="","",'STUDENT SCREENING'!C105)</f>
        <v/>
      </c>
      <c r="F105" s="38" t="str">
        <f aca="false">IF('STUDENT SCREENING'!J105="","",'STUDENT SCREENING'!J105)</f>
        <v/>
      </c>
      <c r="G105" s="38" t="str">
        <f aca="false">IF('STUDENT SCREENING'!K105="","",'STUDENT SCREENING'!K105)</f>
        <v/>
      </c>
      <c r="H105" s="38" t="str">
        <f aca="false">IF('STUDENT SCREENING'!S105="","",'STUDENT SCREENING'!S105)</f>
        <v/>
      </c>
      <c r="I105" s="38" t="str">
        <f aca="false">IF('STUDENT SCREENING'!T105="","",'STUDENT SCREENING'!T105)</f>
        <v/>
      </c>
      <c r="J105" s="38" t="str">
        <f aca="false">IF('STUDENT SCREENING'!BM105="","",'STUDENT SCREENING'!BM105)</f>
        <v/>
      </c>
      <c r="K105" s="38" t="str">
        <f aca="false">IF('STUDENT SCREENING'!BN105="","",'STUDENT SCREENING'!BN105)</f>
        <v/>
      </c>
      <c r="L105" s="38" t="str">
        <f aca="false">IF('STUDENT SCREENING'!BO105="","",'STUDENT SCREENING'!BO105)</f>
        <v/>
      </c>
      <c r="M105" s="38" t="str">
        <f aca="false">IF('STUDENT SCREENING'!BP105="","",'STUDENT SCREENING'!BP105)</f>
        <v/>
      </c>
      <c r="N105" s="38" t="str">
        <f aca="false">IF('STUDENT SCREENING'!BQ105="","",'STUDENT SCREENING'!BQ105)</f>
        <v/>
      </c>
      <c r="O105" s="38" t="str">
        <f aca="false">IF('STUDENT SCREENING'!BR105="","",'STUDENT SCREENING'!BR105)</f>
        <v/>
      </c>
      <c r="P105" s="32"/>
      <c r="Q105" s="32"/>
      <c r="R105" s="32"/>
      <c r="S105" s="32"/>
      <c r="T105" s="32"/>
      <c r="U105" s="32"/>
      <c r="V105" s="32"/>
      <c r="W105" s="32"/>
      <c r="X105" s="32"/>
    </row>
    <row r="106" customFormat="false" ht="15" hidden="false" customHeight="false" outlineLevel="0" collapsed="false">
      <c r="A106" s="37" t="str">
        <f aca="false">IF('STUDENT SCREENING'!A106="","",'STUDENT SCREENING'!A106)</f>
        <v/>
      </c>
      <c r="B106" s="37" t="str">
        <f aca="false">IF('STUDENT SCREENING'!I106="","",'STUDENT SCREENING'!I106)</f>
        <v/>
      </c>
      <c r="C106" s="37" t="str">
        <f aca="false">IF('STUDENT SCREENING'!F106="","",'STUDENT SCREENING'!F106)</f>
        <v/>
      </c>
      <c r="D106" s="37" t="str">
        <f aca="false">IF('STUDENT SCREENING'!G106="","",'STUDENT SCREENING'!G106)</f>
        <v/>
      </c>
      <c r="E106" s="37" t="str">
        <f aca="false">IF('STUDENT SCREENING'!C106="","",'STUDENT SCREENING'!C106)</f>
        <v/>
      </c>
      <c r="F106" s="37" t="str">
        <f aca="false">IF('STUDENT SCREENING'!J106="","",'STUDENT SCREENING'!J106)</f>
        <v/>
      </c>
      <c r="G106" s="37" t="str">
        <f aca="false">IF('STUDENT SCREENING'!K106="","",'STUDENT SCREENING'!K106)</f>
        <v/>
      </c>
      <c r="H106" s="37" t="str">
        <f aca="false">IF('STUDENT SCREENING'!S106="","",'STUDENT SCREENING'!S106)</f>
        <v/>
      </c>
      <c r="I106" s="37" t="str">
        <f aca="false">IF('STUDENT SCREENING'!T106="","",'STUDENT SCREENING'!T106)</f>
        <v/>
      </c>
      <c r="J106" s="37" t="str">
        <f aca="false">IF('STUDENT SCREENING'!BM106="","",'STUDENT SCREENING'!BM106)</f>
        <v/>
      </c>
      <c r="K106" s="37" t="str">
        <f aca="false">IF('STUDENT SCREENING'!BN106="","",'STUDENT SCREENING'!BN106)</f>
        <v/>
      </c>
      <c r="L106" s="37" t="str">
        <f aca="false">IF('STUDENT SCREENING'!BO106="","",'STUDENT SCREENING'!BO106)</f>
        <v/>
      </c>
      <c r="M106" s="37" t="str">
        <f aca="false">IF('STUDENT SCREENING'!BP106="","",'STUDENT SCREENING'!BP106)</f>
        <v/>
      </c>
      <c r="N106" s="37" t="str">
        <f aca="false">IF('STUDENT SCREENING'!BQ106="","",'STUDENT SCREENING'!BQ106)</f>
        <v/>
      </c>
      <c r="O106" s="37" t="str">
        <f aca="false">IF('STUDENT SCREENING'!BR106="","",'STUDENT SCREENING'!BR106)</f>
        <v/>
      </c>
      <c r="P106" s="28"/>
      <c r="Q106" s="28"/>
      <c r="R106" s="28"/>
      <c r="S106" s="28"/>
      <c r="T106" s="28"/>
      <c r="U106" s="28"/>
      <c r="V106" s="28"/>
      <c r="W106" s="28"/>
      <c r="X106" s="28"/>
    </row>
    <row r="107" customFormat="false" ht="15" hidden="false" customHeight="false" outlineLevel="0" collapsed="false">
      <c r="A107" s="38" t="str">
        <f aca="false">IF('STUDENT SCREENING'!A107="","",'STUDENT SCREENING'!A107)</f>
        <v/>
      </c>
      <c r="B107" s="38" t="str">
        <f aca="false">IF('STUDENT SCREENING'!I107="","",'STUDENT SCREENING'!I107)</f>
        <v/>
      </c>
      <c r="C107" s="38" t="str">
        <f aca="false">IF('STUDENT SCREENING'!F107="","",'STUDENT SCREENING'!F107)</f>
        <v/>
      </c>
      <c r="D107" s="38" t="str">
        <f aca="false">IF('STUDENT SCREENING'!G107="","",'STUDENT SCREENING'!G107)</f>
        <v/>
      </c>
      <c r="E107" s="38" t="str">
        <f aca="false">IF('STUDENT SCREENING'!C107="","",'STUDENT SCREENING'!C107)</f>
        <v/>
      </c>
      <c r="F107" s="38" t="str">
        <f aca="false">IF('STUDENT SCREENING'!J107="","",'STUDENT SCREENING'!J107)</f>
        <v/>
      </c>
      <c r="G107" s="38" t="str">
        <f aca="false">IF('STUDENT SCREENING'!K107="","",'STUDENT SCREENING'!K107)</f>
        <v/>
      </c>
      <c r="H107" s="38" t="str">
        <f aca="false">IF('STUDENT SCREENING'!S107="","",'STUDENT SCREENING'!S107)</f>
        <v/>
      </c>
      <c r="I107" s="38" t="str">
        <f aca="false">IF('STUDENT SCREENING'!T107="","",'STUDENT SCREENING'!T107)</f>
        <v/>
      </c>
      <c r="J107" s="38" t="str">
        <f aca="false">IF('STUDENT SCREENING'!BM107="","",'STUDENT SCREENING'!BM107)</f>
        <v/>
      </c>
      <c r="K107" s="38" t="str">
        <f aca="false">IF('STUDENT SCREENING'!BN107="","",'STUDENT SCREENING'!BN107)</f>
        <v/>
      </c>
      <c r="L107" s="38" t="str">
        <f aca="false">IF('STUDENT SCREENING'!BO107="","",'STUDENT SCREENING'!BO107)</f>
        <v/>
      </c>
      <c r="M107" s="38" t="str">
        <f aca="false">IF('STUDENT SCREENING'!BP107="","",'STUDENT SCREENING'!BP107)</f>
        <v/>
      </c>
      <c r="N107" s="38" t="str">
        <f aca="false">IF('STUDENT SCREENING'!BQ107="","",'STUDENT SCREENING'!BQ107)</f>
        <v/>
      </c>
      <c r="O107" s="38" t="str">
        <f aca="false">IF('STUDENT SCREENING'!BR107="","",'STUDENT SCREENING'!BR107)</f>
        <v/>
      </c>
      <c r="P107" s="32"/>
      <c r="Q107" s="32"/>
      <c r="R107" s="32"/>
      <c r="S107" s="32"/>
      <c r="T107" s="32"/>
      <c r="U107" s="32"/>
      <c r="V107" s="32"/>
      <c r="W107" s="32"/>
      <c r="X107" s="32"/>
    </row>
    <row r="108" customFormat="false" ht="15" hidden="false" customHeight="false" outlineLevel="0" collapsed="false">
      <c r="A108" s="37" t="str">
        <f aca="false">IF('STUDENT SCREENING'!A108="","",'STUDENT SCREENING'!A108)</f>
        <v/>
      </c>
      <c r="B108" s="37" t="str">
        <f aca="false">IF('STUDENT SCREENING'!I108="","",'STUDENT SCREENING'!I108)</f>
        <v/>
      </c>
      <c r="C108" s="37" t="str">
        <f aca="false">IF('STUDENT SCREENING'!F108="","",'STUDENT SCREENING'!F108)</f>
        <v/>
      </c>
      <c r="D108" s="37" t="str">
        <f aca="false">IF('STUDENT SCREENING'!G108="","",'STUDENT SCREENING'!G108)</f>
        <v/>
      </c>
      <c r="E108" s="37" t="str">
        <f aca="false">IF('STUDENT SCREENING'!C108="","",'STUDENT SCREENING'!C108)</f>
        <v/>
      </c>
      <c r="F108" s="37" t="str">
        <f aca="false">IF('STUDENT SCREENING'!J108="","",'STUDENT SCREENING'!J108)</f>
        <v/>
      </c>
      <c r="G108" s="37" t="str">
        <f aca="false">IF('STUDENT SCREENING'!K108="","",'STUDENT SCREENING'!K108)</f>
        <v/>
      </c>
      <c r="H108" s="37" t="str">
        <f aca="false">IF('STUDENT SCREENING'!S108="","",'STUDENT SCREENING'!S108)</f>
        <v/>
      </c>
      <c r="I108" s="37" t="str">
        <f aca="false">IF('STUDENT SCREENING'!T108="","",'STUDENT SCREENING'!T108)</f>
        <v/>
      </c>
      <c r="J108" s="37" t="str">
        <f aca="false">IF('STUDENT SCREENING'!BM108="","",'STUDENT SCREENING'!BM108)</f>
        <v/>
      </c>
      <c r="K108" s="37" t="str">
        <f aca="false">IF('STUDENT SCREENING'!BN108="","",'STUDENT SCREENING'!BN108)</f>
        <v/>
      </c>
      <c r="L108" s="37" t="str">
        <f aca="false">IF('STUDENT SCREENING'!BO108="","",'STUDENT SCREENING'!BO108)</f>
        <v/>
      </c>
      <c r="M108" s="37" t="str">
        <f aca="false">IF('STUDENT SCREENING'!BP108="","",'STUDENT SCREENING'!BP108)</f>
        <v/>
      </c>
      <c r="N108" s="37" t="str">
        <f aca="false">IF('STUDENT SCREENING'!BQ108="","",'STUDENT SCREENING'!BQ108)</f>
        <v/>
      </c>
      <c r="O108" s="37" t="str">
        <f aca="false">IF('STUDENT SCREENING'!BR108="","",'STUDENT SCREENING'!BR108)</f>
        <v/>
      </c>
      <c r="P108" s="28"/>
      <c r="Q108" s="28"/>
      <c r="R108" s="28"/>
      <c r="S108" s="28"/>
      <c r="T108" s="28"/>
      <c r="U108" s="28"/>
      <c r="V108" s="28"/>
      <c r="W108" s="28"/>
      <c r="X108" s="28"/>
    </row>
    <row r="109" customFormat="false" ht="15" hidden="false" customHeight="false" outlineLevel="0" collapsed="false">
      <c r="A109" s="38" t="str">
        <f aca="false">IF('STUDENT SCREENING'!A109="","",'STUDENT SCREENING'!A109)</f>
        <v/>
      </c>
      <c r="B109" s="38" t="str">
        <f aca="false">IF('STUDENT SCREENING'!I109="","",'STUDENT SCREENING'!I109)</f>
        <v/>
      </c>
      <c r="C109" s="38" t="str">
        <f aca="false">IF('STUDENT SCREENING'!F109="","",'STUDENT SCREENING'!F109)</f>
        <v/>
      </c>
      <c r="D109" s="38" t="str">
        <f aca="false">IF('STUDENT SCREENING'!G109="","",'STUDENT SCREENING'!G109)</f>
        <v/>
      </c>
      <c r="E109" s="38" t="str">
        <f aca="false">IF('STUDENT SCREENING'!C109="","",'STUDENT SCREENING'!C109)</f>
        <v/>
      </c>
      <c r="F109" s="38" t="str">
        <f aca="false">IF('STUDENT SCREENING'!J109="","",'STUDENT SCREENING'!J109)</f>
        <v/>
      </c>
      <c r="G109" s="38" t="str">
        <f aca="false">IF('STUDENT SCREENING'!K109="","",'STUDENT SCREENING'!K109)</f>
        <v/>
      </c>
      <c r="H109" s="38" t="str">
        <f aca="false">IF('STUDENT SCREENING'!S109="","",'STUDENT SCREENING'!S109)</f>
        <v/>
      </c>
      <c r="I109" s="38" t="str">
        <f aca="false">IF('STUDENT SCREENING'!T109="","",'STUDENT SCREENING'!T109)</f>
        <v/>
      </c>
      <c r="J109" s="38" t="str">
        <f aca="false">IF('STUDENT SCREENING'!BM109="","",'STUDENT SCREENING'!BM109)</f>
        <v/>
      </c>
      <c r="K109" s="38" t="str">
        <f aca="false">IF('STUDENT SCREENING'!BN109="","",'STUDENT SCREENING'!BN109)</f>
        <v/>
      </c>
      <c r="L109" s="38" t="str">
        <f aca="false">IF('STUDENT SCREENING'!BO109="","",'STUDENT SCREENING'!BO109)</f>
        <v/>
      </c>
      <c r="M109" s="38" t="str">
        <f aca="false">IF('STUDENT SCREENING'!BP109="","",'STUDENT SCREENING'!BP109)</f>
        <v/>
      </c>
      <c r="N109" s="38" t="str">
        <f aca="false">IF('STUDENT SCREENING'!BQ109="","",'STUDENT SCREENING'!BQ109)</f>
        <v/>
      </c>
      <c r="O109" s="38" t="str">
        <f aca="false">IF('STUDENT SCREENING'!BR109="","",'STUDENT SCREENING'!BR109)</f>
        <v/>
      </c>
      <c r="P109" s="32"/>
      <c r="Q109" s="32"/>
      <c r="R109" s="32"/>
      <c r="S109" s="32"/>
      <c r="T109" s="32"/>
      <c r="U109" s="32"/>
      <c r="V109" s="32"/>
      <c r="W109" s="32"/>
      <c r="X109" s="32"/>
    </row>
    <row r="110" customFormat="false" ht="15" hidden="false" customHeight="false" outlineLevel="0" collapsed="false">
      <c r="A110" s="37" t="str">
        <f aca="false">IF('STUDENT SCREENING'!A110="","",'STUDENT SCREENING'!A110)</f>
        <v/>
      </c>
      <c r="B110" s="37" t="str">
        <f aca="false">IF('STUDENT SCREENING'!I110="","",'STUDENT SCREENING'!I110)</f>
        <v/>
      </c>
      <c r="C110" s="37" t="str">
        <f aca="false">IF('STUDENT SCREENING'!F110="","",'STUDENT SCREENING'!F110)</f>
        <v/>
      </c>
      <c r="D110" s="37" t="str">
        <f aca="false">IF('STUDENT SCREENING'!G110="","",'STUDENT SCREENING'!G110)</f>
        <v/>
      </c>
      <c r="E110" s="37" t="str">
        <f aca="false">IF('STUDENT SCREENING'!C110="","",'STUDENT SCREENING'!C110)</f>
        <v/>
      </c>
      <c r="F110" s="37" t="str">
        <f aca="false">IF('STUDENT SCREENING'!J110="","",'STUDENT SCREENING'!J110)</f>
        <v/>
      </c>
      <c r="G110" s="37" t="str">
        <f aca="false">IF('STUDENT SCREENING'!K110="","",'STUDENT SCREENING'!K110)</f>
        <v/>
      </c>
      <c r="H110" s="37" t="str">
        <f aca="false">IF('STUDENT SCREENING'!S110="","",'STUDENT SCREENING'!S110)</f>
        <v/>
      </c>
      <c r="I110" s="37" t="str">
        <f aca="false">IF('STUDENT SCREENING'!T110="","",'STUDENT SCREENING'!T110)</f>
        <v/>
      </c>
      <c r="J110" s="37" t="str">
        <f aca="false">IF('STUDENT SCREENING'!BM110="","",'STUDENT SCREENING'!BM110)</f>
        <v/>
      </c>
      <c r="K110" s="37" t="str">
        <f aca="false">IF('STUDENT SCREENING'!BN110="","",'STUDENT SCREENING'!BN110)</f>
        <v/>
      </c>
      <c r="L110" s="37" t="str">
        <f aca="false">IF('STUDENT SCREENING'!BO110="","",'STUDENT SCREENING'!BO110)</f>
        <v/>
      </c>
      <c r="M110" s="37" t="str">
        <f aca="false">IF('STUDENT SCREENING'!BP110="","",'STUDENT SCREENING'!BP110)</f>
        <v/>
      </c>
      <c r="N110" s="37" t="str">
        <f aca="false">IF('STUDENT SCREENING'!BQ110="","",'STUDENT SCREENING'!BQ110)</f>
        <v/>
      </c>
      <c r="O110" s="37" t="str">
        <f aca="false">IF('STUDENT SCREENING'!BR110="","",'STUDENT SCREENING'!BR110)</f>
        <v/>
      </c>
      <c r="P110" s="28"/>
      <c r="Q110" s="28"/>
      <c r="R110" s="28"/>
      <c r="S110" s="28"/>
      <c r="T110" s="28"/>
      <c r="U110" s="28"/>
      <c r="V110" s="28"/>
      <c r="W110" s="28"/>
      <c r="X110" s="28"/>
    </row>
    <row r="111" customFormat="false" ht="15" hidden="false" customHeight="false" outlineLevel="0" collapsed="false">
      <c r="A111" s="38" t="str">
        <f aca="false">IF('STUDENT SCREENING'!A111="","",'STUDENT SCREENING'!A111)</f>
        <v/>
      </c>
      <c r="B111" s="38" t="str">
        <f aca="false">IF('STUDENT SCREENING'!I111="","",'STUDENT SCREENING'!I111)</f>
        <v/>
      </c>
      <c r="C111" s="38" t="str">
        <f aca="false">IF('STUDENT SCREENING'!F111="","",'STUDENT SCREENING'!F111)</f>
        <v/>
      </c>
      <c r="D111" s="38" t="str">
        <f aca="false">IF('STUDENT SCREENING'!G111="","",'STUDENT SCREENING'!G111)</f>
        <v/>
      </c>
      <c r="E111" s="38" t="str">
        <f aca="false">IF('STUDENT SCREENING'!C111="","",'STUDENT SCREENING'!C111)</f>
        <v/>
      </c>
      <c r="F111" s="38" t="str">
        <f aca="false">IF('STUDENT SCREENING'!J111="","",'STUDENT SCREENING'!J111)</f>
        <v/>
      </c>
      <c r="G111" s="38" t="str">
        <f aca="false">IF('STUDENT SCREENING'!K111="","",'STUDENT SCREENING'!K111)</f>
        <v/>
      </c>
      <c r="H111" s="38" t="str">
        <f aca="false">IF('STUDENT SCREENING'!S111="","",'STUDENT SCREENING'!S111)</f>
        <v/>
      </c>
      <c r="I111" s="38" t="str">
        <f aca="false">IF('STUDENT SCREENING'!T111="","",'STUDENT SCREENING'!T111)</f>
        <v/>
      </c>
      <c r="J111" s="38" t="str">
        <f aca="false">IF('STUDENT SCREENING'!BM111="","",'STUDENT SCREENING'!BM111)</f>
        <v/>
      </c>
      <c r="K111" s="38" t="str">
        <f aca="false">IF('STUDENT SCREENING'!BN111="","",'STUDENT SCREENING'!BN111)</f>
        <v/>
      </c>
      <c r="L111" s="38" t="str">
        <f aca="false">IF('STUDENT SCREENING'!BO111="","",'STUDENT SCREENING'!BO111)</f>
        <v/>
      </c>
      <c r="M111" s="38" t="str">
        <f aca="false">IF('STUDENT SCREENING'!BP111="","",'STUDENT SCREENING'!BP111)</f>
        <v/>
      </c>
      <c r="N111" s="38" t="str">
        <f aca="false">IF('STUDENT SCREENING'!BQ111="","",'STUDENT SCREENING'!BQ111)</f>
        <v/>
      </c>
      <c r="O111" s="38" t="str">
        <f aca="false">IF('STUDENT SCREENING'!BR111="","",'STUDENT SCREENING'!BR111)</f>
        <v/>
      </c>
      <c r="P111" s="32"/>
      <c r="Q111" s="32"/>
      <c r="R111" s="32"/>
      <c r="S111" s="32"/>
      <c r="T111" s="32"/>
      <c r="U111" s="32"/>
      <c r="V111" s="32"/>
      <c r="W111" s="32"/>
      <c r="X111" s="32"/>
    </row>
    <row r="112" customFormat="false" ht="15" hidden="false" customHeight="false" outlineLevel="0" collapsed="false">
      <c r="A112" s="37" t="str">
        <f aca="false">IF('STUDENT SCREENING'!A112="","",'STUDENT SCREENING'!A112)</f>
        <v/>
      </c>
      <c r="B112" s="37" t="str">
        <f aca="false">IF('STUDENT SCREENING'!I112="","",'STUDENT SCREENING'!I112)</f>
        <v/>
      </c>
      <c r="C112" s="37" t="str">
        <f aca="false">IF('STUDENT SCREENING'!F112="","",'STUDENT SCREENING'!F112)</f>
        <v/>
      </c>
      <c r="D112" s="37" t="str">
        <f aca="false">IF('STUDENT SCREENING'!G112="","",'STUDENT SCREENING'!G112)</f>
        <v/>
      </c>
      <c r="E112" s="37" t="str">
        <f aca="false">IF('STUDENT SCREENING'!C112="","",'STUDENT SCREENING'!C112)</f>
        <v/>
      </c>
      <c r="F112" s="37" t="str">
        <f aca="false">IF('STUDENT SCREENING'!J112="","",'STUDENT SCREENING'!J112)</f>
        <v/>
      </c>
      <c r="G112" s="37" t="str">
        <f aca="false">IF('STUDENT SCREENING'!K112="","",'STUDENT SCREENING'!K112)</f>
        <v/>
      </c>
      <c r="H112" s="37" t="str">
        <f aca="false">IF('STUDENT SCREENING'!S112="","",'STUDENT SCREENING'!S112)</f>
        <v/>
      </c>
      <c r="I112" s="37" t="str">
        <f aca="false">IF('STUDENT SCREENING'!T112="","",'STUDENT SCREENING'!T112)</f>
        <v/>
      </c>
      <c r="J112" s="37" t="str">
        <f aca="false">IF('STUDENT SCREENING'!BM112="","",'STUDENT SCREENING'!BM112)</f>
        <v/>
      </c>
      <c r="K112" s="37" t="str">
        <f aca="false">IF('STUDENT SCREENING'!BN112="","",'STUDENT SCREENING'!BN112)</f>
        <v/>
      </c>
      <c r="L112" s="37" t="str">
        <f aca="false">IF('STUDENT SCREENING'!BO112="","",'STUDENT SCREENING'!BO112)</f>
        <v/>
      </c>
      <c r="M112" s="37" t="str">
        <f aca="false">IF('STUDENT SCREENING'!BP112="","",'STUDENT SCREENING'!BP112)</f>
        <v/>
      </c>
      <c r="N112" s="37" t="str">
        <f aca="false">IF('STUDENT SCREENING'!BQ112="","",'STUDENT SCREENING'!BQ112)</f>
        <v/>
      </c>
      <c r="O112" s="37" t="str">
        <f aca="false">IF('STUDENT SCREENING'!BR112="","",'STUDENT SCREENING'!BR112)</f>
        <v/>
      </c>
      <c r="P112" s="28"/>
      <c r="Q112" s="28"/>
      <c r="R112" s="28"/>
      <c r="S112" s="28"/>
      <c r="T112" s="28"/>
      <c r="U112" s="28"/>
      <c r="V112" s="28"/>
      <c r="W112" s="28"/>
      <c r="X112" s="28"/>
    </row>
    <row r="113" customFormat="false" ht="15" hidden="false" customHeight="false" outlineLevel="0" collapsed="false">
      <c r="A113" s="38" t="str">
        <f aca="false">IF('STUDENT SCREENING'!A113="","",'STUDENT SCREENING'!A113)</f>
        <v/>
      </c>
      <c r="B113" s="38" t="str">
        <f aca="false">IF('STUDENT SCREENING'!I113="","",'STUDENT SCREENING'!I113)</f>
        <v/>
      </c>
      <c r="C113" s="38" t="str">
        <f aca="false">IF('STUDENT SCREENING'!F113="","",'STUDENT SCREENING'!F113)</f>
        <v/>
      </c>
      <c r="D113" s="38" t="str">
        <f aca="false">IF('STUDENT SCREENING'!G113="","",'STUDENT SCREENING'!G113)</f>
        <v/>
      </c>
      <c r="E113" s="38" t="str">
        <f aca="false">IF('STUDENT SCREENING'!C113="","",'STUDENT SCREENING'!C113)</f>
        <v/>
      </c>
      <c r="F113" s="38" t="str">
        <f aca="false">IF('STUDENT SCREENING'!J113="","",'STUDENT SCREENING'!J113)</f>
        <v/>
      </c>
      <c r="G113" s="38" t="str">
        <f aca="false">IF('STUDENT SCREENING'!K113="","",'STUDENT SCREENING'!K113)</f>
        <v/>
      </c>
      <c r="H113" s="38" t="str">
        <f aca="false">IF('STUDENT SCREENING'!S113="","",'STUDENT SCREENING'!S113)</f>
        <v/>
      </c>
      <c r="I113" s="38" t="str">
        <f aca="false">IF('STUDENT SCREENING'!T113="","",'STUDENT SCREENING'!T113)</f>
        <v/>
      </c>
      <c r="J113" s="38" t="str">
        <f aca="false">IF('STUDENT SCREENING'!BM113="","",'STUDENT SCREENING'!BM113)</f>
        <v/>
      </c>
      <c r="K113" s="38" t="str">
        <f aca="false">IF('STUDENT SCREENING'!BN113="","",'STUDENT SCREENING'!BN113)</f>
        <v/>
      </c>
      <c r="L113" s="38" t="str">
        <f aca="false">IF('STUDENT SCREENING'!BO113="","",'STUDENT SCREENING'!BO113)</f>
        <v/>
      </c>
      <c r="M113" s="38" t="str">
        <f aca="false">IF('STUDENT SCREENING'!BP113="","",'STUDENT SCREENING'!BP113)</f>
        <v/>
      </c>
      <c r="N113" s="38" t="str">
        <f aca="false">IF('STUDENT SCREENING'!BQ113="","",'STUDENT SCREENING'!BQ113)</f>
        <v/>
      </c>
      <c r="O113" s="38" t="str">
        <f aca="false">IF('STUDENT SCREENING'!BR113="","",'STUDENT SCREENING'!BR113)</f>
        <v/>
      </c>
      <c r="P113" s="32"/>
      <c r="Q113" s="32"/>
      <c r="R113" s="32"/>
      <c r="S113" s="32"/>
      <c r="T113" s="32"/>
      <c r="U113" s="32"/>
      <c r="V113" s="32"/>
      <c r="W113" s="32"/>
      <c r="X113" s="32"/>
    </row>
    <row r="114" customFormat="false" ht="15" hidden="false" customHeight="false" outlineLevel="0" collapsed="false">
      <c r="A114" s="37" t="str">
        <f aca="false">IF('STUDENT SCREENING'!A114="","",'STUDENT SCREENING'!A114)</f>
        <v/>
      </c>
      <c r="B114" s="37" t="str">
        <f aca="false">IF('STUDENT SCREENING'!I114="","",'STUDENT SCREENING'!I114)</f>
        <v/>
      </c>
      <c r="C114" s="37" t="str">
        <f aca="false">IF('STUDENT SCREENING'!F114="","",'STUDENT SCREENING'!F114)</f>
        <v/>
      </c>
      <c r="D114" s="37" t="str">
        <f aca="false">IF('STUDENT SCREENING'!G114="","",'STUDENT SCREENING'!G114)</f>
        <v/>
      </c>
      <c r="E114" s="37" t="str">
        <f aca="false">IF('STUDENT SCREENING'!C114="","",'STUDENT SCREENING'!C114)</f>
        <v/>
      </c>
      <c r="F114" s="37" t="str">
        <f aca="false">IF('STUDENT SCREENING'!J114="","",'STUDENT SCREENING'!J114)</f>
        <v/>
      </c>
      <c r="G114" s="37" t="str">
        <f aca="false">IF('STUDENT SCREENING'!K114="","",'STUDENT SCREENING'!K114)</f>
        <v/>
      </c>
      <c r="H114" s="37" t="str">
        <f aca="false">IF('STUDENT SCREENING'!S114="","",'STUDENT SCREENING'!S114)</f>
        <v/>
      </c>
      <c r="I114" s="37" t="str">
        <f aca="false">IF('STUDENT SCREENING'!T114="","",'STUDENT SCREENING'!T114)</f>
        <v/>
      </c>
      <c r="J114" s="37" t="str">
        <f aca="false">IF('STUDENT SCREENING'!BM114="","",'STUDENT SCREENING'!BM114)</f>
        <v/>
      </c>
      <c r="K114" s="37" t="str">
        <f aca="false">IF('STUDENT SCREENING'!BN114="","",'STUDENT SCREENING'!BN114)</f>
        <v/>
      </c>
      <c r="L114" s="37" t="str">
        <f aca="false">IF('STUDENT SCREENING'!BO114="","",'STUDENT SCREENING'!BO114)</f>
        <v/>
      </c>
      <c r="M114" s="37" t="str">
        <f aca="false">IF('STUDENT SCREENING'!BP114="","",'STUDENT SCREENING'!BP114)</f>
        <v/>
      </c>
      <c r="N114" s="37" t="str">
        <f aca="false">IF('STUDENT SCREENING'!BQ114="","",'STUDENT SCREENING'!BQ114)</f>
        <v/>
      </c>
      <c r="O114" s="37" t="str">
        <f aca="false">IF('STUDENT SCREENING'!BR114="","",'STUDENT SCREENING'!BR114)</f>
        <v/>
      </c>
      <c r="P114" s="28"/>
      <c r="Q114" s="28"/>
      <c r="R114" s="28"/>
      <c r="S114" s="28"/>
      <c r="T114" s="28"/>
      <c r="U114" s="28"/>
      <c r="V114" s="28"/>
      <c r="W114" s="28"/>
      <c r="X114" s="28"/>
    </row>
    <row r="115" customFormat="false" ht="15" hidden="false" customHeight="false" outlineLevel="0" collapsed="false">
      <c r="A115" s="38" t="str">
        <f aca="false">IF('STUDENT SCREENING'!A115="","",'STUDENT SCREENING'!A115)</f>
        <v/>
      </c>
      <c r="B115" s="38" t="str">
        <f aca="false">IF('STUDENT SCREENING'!I115="","",'STUDENT SCREENING'!I115)</f>
        <v/>
      </c>
      <c r="C115" s="38" t="str">
        <f aca="false">IF('STUDENT SCREENING'!F115="","",'STUDENT SCREENING'!F115)</f>
        <v/>
      </c>
      <c r="D115" s="38" t="str">
        <f aca="false">IF('STUDENT SCREENING'!G115="","",'STUDENT SCREENING'!G115)</f>
        <v/>
      </c>
      <c r="E115" s="38" t="str">
        <f aca="false">IF('STUDENT SCREENING'!C115="","",'STUDENT SCREENING'!C115)</f>
        <v/>
      </c>
      <c r="F115" s="38" t="str">
        <f aca="false">IF('STUDENT SCREENING'!J115="","",'STUDENT SCREENING'!J115)</f>
        <v/>
      </c>
      <c r="G115" s="38" t="str">
        <f aca="false">IF('STUDENT SCREENING'!K115="","",'STUDENT SCREENING'!K115)</f>
        <v/>
      </c>
      <c r="H115" s="38" t="str">
        <f aca="false">IF('STUDENT SCREENING'!S115="","",'STUDENT SCREENING'!S115)</f>
        <v/>
      </c>
      <c r="I115" s="38" t="str">
        <f aca="false">IF('STUDENT SCREENING'!T115="","",'STUDENT SCREENING'!T115)</f>
        <v/>
      </c>
      <c r="J115" s="38" t="str">
        <f aca="false">IF('STUDENT SCREENING'!BM115="","",'STUDENT SCREENING'!BM115)</f>
        <v/>
      </c>
      <c r="K115" s="38" t="str">
        <f aca="false">IF('STUDENT SCREENING'!BN115="","",'STUDENT SCREENING'!BN115)</f>
        <v/>
      </c>
      <c r="L115" s="38" t="str">
        <f aca="false">IF('STUDENT SCREENING'!BO115="","",'STUDENT SCREENING'!BO115)</f>
        <v/>
      </c>
      <c r="M115" s="38" t="str">
        <f aca="false">IF('STUDENT SCREENING'!BP115="","",'STUDENT SCREENING'!BP115)</f>
        <v/>
      </c>
      <c r="N115" s="38" t="str">
        <f aca="false">IF('STUDENT SCREENING'!BQ115="","",'STUDENT SCREENING'!BQ115)</f>
        <v/>
      </c>
      <c r="O115" s="38" t="str">
        <f aca="false">IF('STUDENT SCREENING'!BR115="","",'STUDENT SCREENING'!BR115)</f>
        <v/>
      </c>
      <c r="P115" s="32"/>
      <c r="Q115" s="32"/>
      <c r="R115" s="32"/>
      <c r="S115" s="32"/>
      <c r="T115" s="32"/>
      <c r="U115" s="32"/>
      <c r="V115" s="32"/>
      <c r="W115" s="32"/>
      <c r="X115" s="32"/>
    </row>
    <row r="116" customFormat="false" ht="15" hidden="false" customHeight="false" outlineLevel="0" collapsed="false">
      <c r="A116" s="37" t="str">
        <f aca="false">IF('STUDENT SCREENING'!A116="","",'STUDENT SCREENING'!A116)</f>
        <v/>
      </c>
      <c r="B116" s="37" t="str">
        <f aca="false">IF('STUDENT SCREENING'!I116="","",'STUDENT SCREENING'!I116)</f>
        <v/>
      </c>
      <c r="C116" s="37" t="str">
        <f aca="false">IF('STUDENT SCREENING'!F116="","",'STUDENT SCREENING'!F116)</f>
        <v/>
      </c>
      <c r="D116" s="37" t="str">
        <f aca="false">IF('STUDENT SCREENING'!G116="","",'STUDENT SCREENING'!G116)</f>
        <v/>
      </c>
      <c r="E116" s="37" t="str">
        <f aca="false">IF('STUDENT SCREENING'!C116="","",'STUDENT SCREENING'!C116)</f>
        <v/>
      </c>
      <c r="F116" s="37" t="str">
        <f aca="false">IF('STUDENT SCREENING'!J116="","",'STUDENT SCREENING'!J116)</f>
        <v/>
      </c>
      <c r="G116" s="37" t="str">
        <f aca="false">IF('STUDENT SCREENING'!K116="","",'STUDENT SCREENING'!K116)</f>
        <v/>
      </c>
      <c r="H116" s="37" t="str">
        <f aca="false">IF('STUDENT SCREENING'!S116="","",'STUDENT SCREENING'!S116)</f>
        <v/>
      </c>
      <c r="I116" s="37" t="str">
        <f aca="false">IF('STUDENT SCREENING'!T116="","",'STUDENT SCREENING'!T116)</f>
        <v/>
      </c>
      <c r="J116" s="37" t="str">
        <f aca="false">IF('STUDENT SCREENING'!BM116="","",'STUDENT SCREENING'!BM116)</f>
        <v/>
      </c>
      <c r="K116" s="37" t="str">
        <f aca="false">IF('STUDENT SCREENING'!BN116="","",'STUDENT SCREENING'!BN116)</f>
        <v/>
      </c>
      <c r="L116" s="37" t="str">
        <f aca="false">IF('STUDENT SCREENING'!BO116="","",'STUDENT SCREENING'!BO116)</f>
        <v/>
      </c>
      <c r="M116" s="37" t="str">
        <f aca="false">IF('STUDENT SCREENING'!BP116="","",'STUDENT SCREENING'!BP116)</f>
        <v/>
      </c>
      <c r="N116" s="37" t="str">
        <f aca="false">IF('STUDENT SCREENING'!BQ116="","",'STUDENT SCREENING'!BQ116)</f>
        <v/>
      </c>
      <c r="O116" s="37" t="str">
        <f aca="false">IF('STUDENT SCREENING'!BR116="","",'STUDENT SCREENING'!BR116)</f>
        <v/>
      </c>
      <c r="P116" s="28"/>
      <c r="Q116" s="28"/>
      <c r="R116" s="28"/>
      <c r="S116" s="28"/>
      <c r="T116" s="28"/>
      <c r="U116" s="28"/>
      <c r="V116" s="28"/>
      <c r="W116" s="28"/>
      <c r="X116" s="28"/>
    </row>
    <row r="117" customFormat="false" ht="15" hidden="false" customHeight="false" outlineLevel="0" collapsed="false">
      <c r="A117" s="38" t="str">
        <f aca="false">IF('STUDENT SCREENING'!A117="","",'STUDENT SCREENING'!A117)</f>
        <v/>
      </c>
      <c r="B117" s="38" t="str">
        <f aca="false">IF('STUDENT SCREENING'!I117="","",'STUDENT SCREENING'!I117)</f>
        <v/>
      </c>
      <c r="C117" s="38" t="str">
        <f aca="false">IF('STUDENT SCREENING'!F117="","",'STUDENT SCREENING'!F117)</f>
        <v/>
      </c>
      <c r="D117" s="38" t="str">
        <f aca="false">IF('STUDENT SCREENING'!G117="","",'STUDENT SCREENING'!G117)</f>
        <v/>
      </c>
      <c r="E117" s="38" t="str">
        <f aca="false">IF('STUDENT SCREENING'!C117="","",'STUDENT SCREENING'!C117)</f>
        <v/>
      </c>
      <c r="F117" s="38" t="str">
        <f aca="false">IF('STUDENT SCREENING'!J117="","",'STUDENT SCREENING'!J117)</f>
        <v/>
      </c>
      <c r="G117" s="38" t="str">
        <f aca="false">IF('STUDENT SCREENING'!K117="","",'STUDENT SCREENING'!K117)</f>
        <v/>
      </c>
      <c r="H117" s="38" t="str">
        <f aca="false">IF('STUDENT SCREENING'!S117="","",'STUDENT SCREENING'!S117)</f>
        <v/>
      </c>
      <c r="I117" s="38" t="str">
        <f aca="false">IF('STUDENT SCREENING'!T117="","",'STUDENT SCREENING'!T117)</f>
        <v/>
      </c>
      <c r="J117" s="38" t="str">
        <f aca="false">IF('STUDENT SCREENING'!BM117="","",'STUDENT SCREENING'!BM117)</f>
        <v/>
      </c>
      <c r="K117" s="38" t="str">
        <f aca="false">IF('STUDENT SCREENING'!BN117="","",'STUDENT SCREENING'!BN117)</f>
        <v/>
      </c>
      <c r="L117" s="38" t="str">
        <f aca="false">IF('STUDENT SCREENING'!BO117="","",'STUDENT SCREENING'!BO117)</f>
        <v/>
      </c>
      <c r="M117" s="38" t="str">
        <f aca="false">IF('STUDENT SCREENING'!BP117="","",'STUDENT SCREENING'!BP117)</f>
        <v/>
      </c>
      <c r="N117" s="38" t="str">
        <f aca="false">IF('STUDENT SCREENING'!BQ117="","",'STUDENT SCREENING'!BQ117)</f>
        <v/>
      </c>
      <c r="O117" s="38" t="str">
        <f aca="false">IF('STUDENT SCREENING'!BR117="","",'STUDENT SCREENING'!BR117)</f>
        <v/>
      </c>
      <c r="P117" s="32"/>
      <c r="Q117" s="32"/>
      <c r="R117" s="32"/>
      <c r="S117" s="32"/>
      <c r="T117" s="32"/>
      <c r="U117" s="32"/>
      <c r="V117" s="32"/>
      <c r="W117" s="32"/>
      <c r="X117" s="32"/>
    </row>
    <row r="118" customFormat="false" ht="15" hidden="false" customHeight="false" outlineLevel="0" collapsed="false">
      <c r="A118" s="37" t="str">
        <f aca="false">IF('STUDENT SCREENING'!A118="","",'STUDENT SCREENING'!A118)</f>
        <v/>
      </c>
      <c r="B118" s="37" t="str">
        <f aca="false">IF('STUDENT SCREENING'!I118="","",'STUDENT SCREENING'!I118)</f>
        <v/>
      </c>
      <c r="C118" s="37" t="str">
        <f aca="false">IF('STUDENT SCREENING'!F118="","",'STUDENT SCREENING'!F118)</f>
        <v/>
      </c>
      <c r="D118" s="37" t="str">
        <f aca="false">IF('STUDENT SCREENING'!G118="","",'STUDENT SCREENING'!G118)</f>
        <v/>
      </c>
      <c r="E118" s="37" t="str">
        <f aca="false">IF('STUDENT SCREENING'!C118="","",'STUDENT SCREENING'!C118)</f>
        <v/>
      </c>
      <c r="F118" s="37" t="str">
        <f aca="false">IF('STUDENT SCREENING'!J118="","",'STUDENT SCREENING'!J118)</f>
        <v/>
      </c>
      <c r="G118" s="37" t="str">
        <f aca="false">IF('STUDENT SCREENING'!K118="","",'STUDENT SCREENING'!K118)</f>
        <v/>
      </c>
      <c r="H118" s="37" t="str">
        <f aca="false">IF('STUDENT SCREENING'!S118="","",'STUDENT SCREENING'!S118)</f>
        <v/>
      </c>
      <c r="I118" s="37" t="str">
        <f aca="false">IF('STUDENT SCREENING'!T118="","",'STUDENT SCREENING'!T118)</f>
        <v/>
      </c>
      <c r="J118" s="37" t="str">
        <f aca="false">IF('STUDENT SCREENING'!BM118="","",'STUDENT SCREENING'!BM118)</f>
        <v/>
      </c>
      <c r="K118" s="37" t="str">
        <f aca="false">IF('STUDENT SCREENING'!BN118="","",'STUDENT SCREENING'!BN118)</f>
        <v/>
      </c>
      <c r="L118" s="37" t="str">
        <f aca="false">IF('STUDENT SCREENING'!BO118="","",'STUDENT SCREENING'!BO118)</f>
        <v/>
      </c>
      <c r="M118" s="37" t="str">
        <f aca="false">IF('STUDENT SCREENING'!BP118="","",'STUDENT SCREENING'!BP118)</f>
        <v/>
      </c>
      <c r="N118" s="37" t="str">
        <f aca="false">IF('STUDENT SCREENING'!BQ118="","",'STUDENT SCREENING'!BQ118)</f>
        <v/>
      </c>
      <c r="O118" s="37" t="str">
        <f aca="false">IF('STUDENT SCREENING'!BR118="","",'STUDENT SCREENING'!BR118)</f>
        <v/>
      </c>
      <c r="P118" s="28"/>
      <c r="Q118" s="28"/>
      <c r="R118" s="28"/>
      <c r="S118" s="28"/>
      <c r="T118" s="28"/>
      <c r="U118" s="28"/>
      <c r="V118" s="28"/>
      <c r="W118" s="28"/>
      <c r="X118" s="28"/>
    </row>
    <row r="119" customFormat="false" ht="15" hidden="false" customHeight="false" outlineLevel="0" collapsed="false">
      <c r="A119" s="38" t="str">
        <f aca="false">IF('STUDENT SCREENING'!A119="","",'STUDENT SCREENING'!A119)</f>
        <v/>
      </c>
      <c r="B119" s="38" t="str">
        <f aca="false">IF('STUDENT SCREENING'!I119="","",'STUDENT SCREENING'!I119)</f>
        <v/>
      </c>
      <c r="C119" s="38" t="str">
        <f aca="false">IF('STUDENT SCREENING'!F119="","",'STUDENT SCREENING'!F119)</f>
        <v/>
      </c>
      <c r="D119" s="38" t="str">
        <f aca="false">IF('STUDENT SCREENING'!G119="","",'STUDENT SCREENING'!G119)</f>
        <v/>
      </c>
      <c r="E119" s="38" t="str">
        <f aca="false">IF('STUDENT SCREENING'!C119="","",'STUDENT SCREENING'!C119)</f>
        <v/>
      </c>
      <c r="F119" s="38" t="str">
        <f aca="false">IF('STUDENT SCREENING'!J119="","",'STUDENT SCREENING'!J119)</f>
        <v/>
      </c>
      <c r="G119" s="38" t="str">
        <f aca="false">IF('STUDENT SCREENING'!K119="","",'STUDENT SCREENING'!K119)</f>
        <v/>
      </c>
      <c r="H119" s="38" t="str">
        <f aca="false">IF('STUDENT SCREENING'!S119="","",'STUDENT SCREENING'!S119)</f>
        <v/>
      </c>
      <c r="I119" s="38" t="str">
        <f aca="false">IF('STUDENT SCREENING'!T119="","",'STUDENT SCREENING'!T119)</f>
        <v/>
      </c>
      <c r="J119" s="38" t="str">
        <f aca="false">IF('STUDENT SCREENING'!BM119="","",'STUDENT SCREENING'!BM119)</f>
        <v/>
      </c>
      <c r="K119" s="38" t="str">
        <f aca="false">IF('STUDENT SCREENING'!BN119="","",'STUDENT SCREENING'!BN119)</f>
        <v/>
      </c>
      <c r="L119" s="38" t="str">
        <f aca="false">IF('STUDENT SCREENING'!BO119="","",'STUDENT SCREENING'!BO119)</f>
        <v/>
      </c>
      <c r="M119" s="38" t="str">
        <f aca="false">IF('STUDENT SCREENING'!BP119="","",'STUDENT SCREENING'!BP119)</f>
        <v/>
      </c>
      <c r="N119" s="38" t="str">
        <f aca="false">IF('STUDENT SCREENING'!BQ119="","",'STUDENT SCREENING'!BQ119)</f>
        <v/>
      </c>
      <c r="O119" s="38" t="str">
        <f aca="false">IF('STUDENT SCREENING'!BR119="","",'STUDENT SCREENING'!BR119)</f>
        <v/>
      </c>
      <c r="P119" s="32"/>
      <c r="Q119" s="32"/>
      <c r="R119" s="32"/>
      <c r="S119" s="32"/>
      <c r="T119" s="32"/>
      <c r="U119" s="32"/>
      <c r="V119" s="32"/>
      <c r="W119" s="32"/>
      <c r="X119" s="32"/>
    </row>
    <row r="120" customFormat="false" ht="15" hidden="false" customHeight="false" outlineLevel="0" collapsed="false">
      <c r="A120" s="37" t="str">
        <f aca="false">IF('STUDENT SCREENING'!A120="","",'STUDENT SCREENING'!A120)</f>
        <v/>
      </c>
      <c r="B120" s="37" t="str">
        <f aca="false">IF('STUDENT SCREENING'!I120="","",'STUDENT SCREENING'!I120)</f>
        <v/>
      </c>
      <c r="C120" s="37" t="str">
        <f aca="false">IF('STUDENT SCREENING'!F120="","",'STUDENT SCREENING'!F120)</f>
        <v/>
      </c>
      <c r="D120" s="37" t="str">
        <f aca="false">IF('STUDENT SCREENING'!G120="","",'STUDENT SCREENING'!G120)</f>
        <v/>
      </c>
      <c r="E120" s="37" t="str">
        <f aca="false">IF('STUDENT SCREENING'!C120="","",'STUDENT SCREENING'!C120)</f>
        <v/>
      </c>
      <c r="F120" s="37" t="str">
        <f aca="false">IF('STUDENT SCREENING'!J120="","",'STUDENT SCREENING'!J120)</f>
        <v/>
      </c>
      <c r="G120" s="37" t="str">
        <f aca="false">IF('STUDENT SCREENING'!K120="","",'STUDENT SCREENING'!K120)</f>
        <v/>
      </c>
      <c r="H120" s="37" t="str">
        <f aca="false">IF('STUDENT SCREENING'!S120="","",'STUDENT SCREENING'!S120)</f>
        <v/>
      </c>
      <c r="I120" s="37" t="str">
        <f aca="false">IF('STUDENT SCREENING'!T120="","",'STUDENT SCREENING'!T120)</f>
        <v/>
      </c>
      <c r="J120" s="37" t="str">
        <f aca="false">IF('STUDENT SCREENING'!BM120="","",'STUDENT SCREENING'!BM120)</f>
        <v/>
      </c>
      <c r="K120" s="37" t="str">
        <f aca="false">IF('STUDENT SCREENING'!BN120="","",'STUDENT SCREENING'!BN120)</f>
        <v/>
      </c>
      <c r="L120" s="37" t="str">
        <f aca="false">IF('STUDENT SCREENING'!BO120="","",'STUDENT SCREENING'!BO120)</f>
        <v/>
      </c>
      <c r="M120" s="37" t="str">
        <f aca="false">IF('STUDENT SCREENING'!BP120="","",'STUDENT SCREENING'!BP120)</f>
        <v/>
      </c>
      <c r="N120" s="37" t="str">
        <f aca="false">IF('STUDENT SCREENING'!BQ120="","",'STUDENT SCREENING'!BQ120)</f>
        <v/>
      </c>
      <c r="O120" s="37" t="str">
        <f aca="false">IF('STUDENT SCREENING'!BR120="","",'STUDENT SCREENING'!BR120)</f>
        <v/>
      </c>
      <c r="P120" s="28"/>
      <c r="Q120" s="28"/>
      <c r="R120" s="28"/>
      <c r="S120" s="28"/>
      <c r="T120" s="28"/>
      <c r="U120" s="28"/>
      <c r="V120" s="28"/>
      <c r="W120" s="28"/>
      <c r="X120" s="28"/>
    </row>
    <row r="121" customFormat="false" ht="15" hidden="false" customHeight="false" outlineLevel="0" collapsed="false">
      <c r="A121" s="38" t="str">
        <f aca="false">IF('STUDENT SCREENING'!A121="","",'STUDENT SCREENING'!A121)</f>
        <v/>
      </c>
      <c r="B121" s="38" t="str">
        <f aca="false">IF('STUDENT SCREENING'!I121="","",'STUDENT SCREENING'!I121)</f>
        <v/>
      </c>
      <c r="C121" s="38" t="str">
        <f aca="false">IF('STUDENT SCREENING'!F121="","",'STUDENT SCREENING'!F121)</f>
        <v/>
      </c>
      <c r="D121" s="38" t="str">
        <f aca="false">IF('STUDENT SCREENING'!G121="","",'STUDENT SCREENING'!G121)</f>
        <v/>
      </c>
      <c r="E121" s="38" t="str">
        <f aca="false">IF('STUDENT SCREENING'!C121="","",'STUDENT SCREENING'!C121)</f>
        <v/>
      </c>
      <c r="F121" s="38" t="str">
        <f aca="false">IF('STUDENT SCREENING'!J121="","",'STUDENT SCREENING'!J121)</f>
        <v/>
      </c>
      <c r="G121" s="38" t="str">
        <f aca="false">IF('STUDENT SCREENING'!K121="","",'STUDENT SCREENING'!K121)</f>
        <v/>
      </c>
      <c r="H121" s="38" t="str">
        <f aca="false">IF('STUDENT SCREENING'!S121="","",'STUDENT SCREENING'!S121)</f>
        <v/>
      </c>
      <c r="I121" s="38" t="str">
        <f aca="false">IF('STUDENT SCREENING'!T121="","",'STUDENT SCREENING'!T121)</f>
        <v/>
      </c>
      <c r="J121" s="38" t="str">
        <f aca="false">IF('STUDENT SCREENING'!BM121="","",'STUDENT SCREENING'!BM121)</f>
        <v/>
      </c>
      <c r="K121" s="38" t="str">
        <f aca="false">IF('STUDENT SCREENING'!BN121="","",'STUDENT SCREENING'!BN121)</f>
        <v/>
      </c>
      <c r="L121" s="38" t="str">
        <f aca="false">IF('STUDENT SCREENING'!BO121="","",'STUDENT SCREENING'!BO121)</f>
        <v/>
      </c>
      <c r="M121" s="38" t="str">
        <f aca="false">IF('STUDENT SCREENING'!BP121="","",'STUDENT SCREENING'!BP121)</f>
        <v/>
      </c>
      <c r="N121" s="38" t="str">
        <f aca="false">IF('STUDENT SCREENING'!BQ121="","",'STUDENT SCREENING'!BQ121)</f>
        <v/>
      </c>
      <c r="O121" s="38" t="str">
        <f aca="false">IF('STUDENT SCREENING'!BR121="","",'STUDENT SCREENING'!BR121)</f>
        <v/>
      </c>
      <c r="P121" s="32"/>
      <c r="Q121" s="32"/>
      <c r="R121" s="32"/>
      <c r="S121" s="32"/>
      <c r="T121" s="32"/>
      <c r="U121" s="32"/>
      <c r="V121" s="32"/>
      <c r="W121" s="32"/>
      <c r="X121" s="32"/>
    </row>
    <row r="122" customFormat="false" ht="15" hidden="false" customHeight="false" outlineLevel="0" collapsed="false">
      <c r="A122" s="37" t="str">
        <f aca="false">IF('STUDENT SCREENING'!A122="","",'STUDENT SCREENING'!A122)</f>
        <v/>
      </c>
      <c r="B122" s="37" t="str">
        <f aca="false">IF('STUDENT SCREENING'!I122="","",'STUDENT SCREENING'!I122)</f>
        <v/>
      </c>
      <c r="C122" s="37" t="str">
        <f aca="false">IF('STUDENT SCREENING'!F122="","",'STUDENT SCREENING'!F122)</f>
        <v/>
      </c>
      <c r="D122" s="37" t="str">
        <f aca="false">IF('STUDENT SCREENING'!G122="","",'STUDENT SCREENING'!G122)</f>
        <v/>
      </c>
      <c r="E122" s="37" t="str">
        <f aca="false">IF('STUDENT SCREENING'!C122="","",'STUDENT SCREENING'!C122)</f>
        <v/>
      </c>
      <c r="F122" s="37" t="str">
        <f aca="false">IF('STUDENT SCREENING'!J122="","",'STUDENT SCREENING'!J122)</f>
        <v/>
      </c>
      <c r="G122" s="37" t="str">
        <f aca="false">IF('STUDENT SCREENING'!K122="","",'STUDENT SCREENING'!K122)</f>
        <v/>
      </c>
      <c r="H122" s="37" t="str">
        <f aca="false">IF('STUDENT SCREENING'!S122="","",'STUDENT SCREENING'!S122)</f>
        <v/>
      </c>
      <c r="I122" s="37" t="str">
        <f aca="false">IF('STUDENT SCREENING'!T122="","",'STUDENT SCREENING'!T122)</f>
        <v/>
      </c>
      <c r="J122" s="37" t="str">
        <f aca="false">IF('STUDENT SCREENING'!BM122="","",'STUDENT SCREENING'!BM122)</f>
        <v/>
      </c>
      <c r="K122" s="37" t="str">
        <f aca="false">IF('STUDENT SCREENING'!BN122="","",'STUDENT SCREENING'!BN122)</f>
        <v/>
      </c>
      <c r="L122" s="37" t="str">
        <f aca="false">IF('STUDENT SCREENING'!BO122="","",'STUDENT SCREENING'!BO122)</f>
        <v/>
      </c>
      <c r="M122" s="37" t="str">
        <f aca="false">IF('STUDENT SCREENING'!BP122="","",'STUDENT SCREENING'!BP122)</f>
        <v/>
      </c>
      <c r="N122" s="37" t="str">
        <f aca="false">IF('STUDENT SCREENING'!BQ122="","",'STUDENT SCREENING'!BQ122)</f>
        <v/>
      </c>
      <c r="O122" s="37" t="str">
        <f aca="false">IF('STUDENT SCREENING'!BR122="","",'STUDENT SCREENING'!BR122)</f>
        <v/>
      </c>
      <c r="P122" s="28"/>
      <c r="Q122" s="28"/>
      <c r="R122" s="28"/>
      <c r="S122" s="28"/>
      <c r="T122" s="28"/>
      <c r="U122" s="28"/>
      <c r="V122" s="28"/>
      <c r="W122" s="28"/>
      <c r="X122" s="28"/>
    </row>
    <row r="123" customFormat="false" ht="15" hidden="false" customHeight="false" outlineLevel="0" collapsed="false">
      <c r="A123" s="38" t="str">
        <f aca="false">IF('STUDENT SCREENING'!A123="","",'STUDENT SCREENING'!A123)</f>
        <v/>
      </c>
      <c r="B123" s="38" t="str">
        <f aca="false">IF('STUDENT SCREENING'!I123="","",'STUDENT SCREENING'!I123)</f>
        <v/>
      </c>
      <c r="C123" s="38" t="str">
        <f aca="false">IF('STUDENT SCREENING'!F123="","",'STUDENT SCREENING'!F123)</f>
        <v/>
      </c>
      <c r="D123" s="38" t="str">
        <f aca="false">IF('STUDENT SCREENING'!G123="","",'STUDENT SCREENING'!G123)</f>
        <v/>
      </c>
      <c r="E123" s="38" t="str">
        <f aca="false">IF('STUDENT SCREENING'!C123="","",'STUDENT SCREENING'!C123)</f>
        <v/>
      </c>
      <c r="F123" s="38" t="str">
        <f aca="false">IF('STUDENT SCREENING'!J123="","",'STUDENT SCREENING'!J123)</f>
        <v/>
      </c>
      <c r="G123" s="38" t="str">
        <f aca="false">IF('STUDENT SCREENING'!K123="","",'STUDENT SCREENING'!K123)</f>
        <v/>
      </c>
      <c r="H123" s="38" t="str">
        <f aca="false">IF('STUDENT SCREENING'!S123="","",'STUDENT SCREENING'!S123)</f>
        <v/>
      </c>
      <c r="I123" s="38" t="str">
        <f aca="false">IF('STUDENT SCREENING'!T123="","",'STUDENT SCREENING'!T123)</f>
        <v/>
      </c>
      <c r="J123" s="38" t="str">
        <f aca="false">IF('STUDENT SCREENING'!BM123="","",'STUDENT SCREENING'!BM123)</f>
        <v/>
      </c>
      <c r="K123" s="38" t="str">
        <f aca="false">IF('STUDENT SCREENING'!BN123="","",'STUDENT SCREENING'!BN123)</f>
        <v/>
      </c>
      <c r="L123" s="38" t="str">
        <f aca="false">IF('STUDENT SCREENING'!BO123="","",'STUDENT SCREENING'!BO123)</f>
        <v/>
      </c>
      <c r="M123" s="38" t="str">
        <f aca="false">IF('STUDENT SCREENING'!BP123="","",'STUDENT SCREENING'!BP123)</f>
        <v/>
      </c>
      <c r="N123" s="38" t="str">
        <f aca="false">IF('STUDENT SCREENING'!BQ123="","",'STUDENT SCREENING'!BQ123)</f>
        <v/>
      </c>
      <c r="O123" s="38" t="str">
        <f aca="false">IF('STUDENT SCREENING'!BR123="","",'STUDENT SCREENING'!BR123)</f>
        <v/>
      </c>
      <c r="P123" s="32"/>
      <c r="Q123" s="32"/>
      <c r="R123" s="32"/>
      <c r="S123" s="32"/>
      <c r="T123" s="32"/>
      <c r="U123" s="32"/>
      <c r="V123" s="32"/>
      <c r="W123" s="32"/>
      <c r="X123" s="32"/>
    </row>
    <row r="124" customFormat="false" ht="15" hidden="false" customHeight="false" outlineLevel="0" collapsed="false">
      <c r="A124" s="37" t="str">
        <f aca="false">IF('STUDENT SCREENING'!A124="","",'STUDENT SCREENING'!A124)</f>
        <v/>
      </c>
      <c r="B124" s="37" t="str">
        <f aca="false">IF('STUDENT SCREENING'!I124="","",'STUDENT SCREENING'!I124)</f>
        <v/>
      </c>
      <c r="C124" s="37" t="str">
        <f aca="false">IF('STUDENT SCREENING'!F124="","",'STUDENT SCREENING'!F124)</f>
        <v/>
      </c>
      <c r="D124" s="37" t="str">
        <f aca="false">IF('STUDENT SCREENING'!G124="","",'STUDENT SCREENING'!G124)</f>
        <v/>
      </c>
      <c r="E124" s="37" t="str">
        <f aca="false">IF('STUDENT SCREENING'!C124="","",'STUDENT SCREENING'!C124)</f>
        <v/>
      </c>
      <c r="F124" s="37" t="str">
        <f aca="false">IF('STUDENT SCREENING'!J124="","",'STUDENT SCREENING'!J124)</f>
        <v/>
      </c>
      <c r="G124" s="37" t="str">
        <f aca="false">IF('STUDENT SCREENING'!K124="","",'STUDENT SCREENING'!K124)</f>
        <v/>
      </c>
      <c r="H124" s="37" t="str">
        <f aca="false">IF('STUDENT SCREENING'!S124="","",'STUDENT SCREENING'!S124)</f>
        <v/>
      </c>
      <c r="I124" s="37" t="str">
        <f aca="false">IF('STUDENT SCREENING'!T124="","",'STUDENT SCREENING'!T124)</f>
        <v/>
      </c>
      <c r="J124" s="37" t="str">
        <f aca="false">IF('STUDENT SCREENING'!BM124="","",'STUDENT SCREENING'!BM124)</f>
        <v/>
      </c>
      <c r="K124" s="37" t="str">
        <f aca="false">IF('STUDENT SCREENING'!BN124="","",'STUDENT SCREENING'!BN124)</f>
        <v/>
      </c>
      <c r="L124" s="37" t="str">
        <f aca="false">IF('STUDENT SCREENING'!BO124="","",'STUDENT SCREENING'!BO124)</f>
        <v/>
      </c>
      <c r="M124" s="37" t="str">
        <f aca="false">IF('STUDENT SCREENING'!BP124="","",'STUDENT SCREENING'!BP124)</f>
        <v/>
      </c>
      <c r="N124" s="37" t="str">
        <f aca="false">IF('STUDENT SCREENING'!BQ124="","",'STUDENT SCREENING'!BQ124)</f>
        <v/>
      </c>
      <c r="O124" s="37" t="str">
        <f aca="false">IF('STUDENT SCREENING'!BR124="","",'STUDENT SCREENING'!BR124)</f>
        <v/>
      </c>
      <c r="P124" s="28"/>
      <c r="Q124" s="28"/>
      <c r="R124" s="28"/>
      <c r="S124" s="28"/>
      <c r="T124" s="28"/>
      <c r="U124" s="28"/>
      <c r="V124" s="28"/>
      <c r="W124" s="28"/>
      <c r="X124" s="28"/>
    </row>
    <row r="125" customFormat="false" ht="15" hidden="false" customHeight="false" outlineLevel="0" collapsed="false">
      <c r="A125" s="38" t="str">
        <f aca="false">IF('STUDENT SCREENING'!A125="","",'STUDENT SCREENING'!A125)</f>
        <v/>
      </c>
      <c r="B125" s="38" t="str">
        <f aca="false">IF('STUDENT SCREENING'!I125="","",'STUDENT SCREENING'!I125)</f>
        <v/>
      </c>
      <c r="C125" s="38" t="str">
        <f aca="false">IF('STUDENT SCREENING'!F125="","",'STUDENT SCREENING'!F125)</f>
        <v/>
      </c>
      <c r="D125" s="38" t="str">
        <f aca="false">IF('STUDENT SCREENING'!G125="","",'STUDENT SCREENING'!G125)</f>
        <v/>
      </c>
      <c r="E125" s="38" t="str">
        <f aca="false">IF('STUDENT SCREENING'!C125="","",'STUDENT SCREENING'!C125)</f>
        <v/>
      </c>
      <c r="F125" s="38" t="str">
        <f aca="false">IF('STUDENT SCREENING'!J125="","",'STUDENT SCREENING'!J125)</f>
        <v/>
      </c>
      <c r="G125" s="38" t="str">
        <f aca="false">IF('STUDENT SCREENING'!K125="","",'STUDENT SCREENING'!K125)</f>
        <v/>
      </c>
      <c r="H125" s="38" t="str">
        <f aca="false">IF('STUDENT SCREENING'!S125="","",'STUDENT SCREENING'!S125)</f>
        <v/>
      </c>
      <c r="I125" s="38" t="str">
        <f aca="false">IF('STUDENT SCREENING'!T125="","",'STUDENT SCREENING'!T125)</f>
        <v/>
      </c>
      <c r="J125" s="38" t="str">
        <f aca="false">IF('STUDENT SCREENING'!BM125="","",'STUDENT SCREENING'!BM125)</f>
        <v/>
      </c>
      <c r="K125" s="38" t="str">
        <f aca="false">IF('STUDENT SCREENING'!BN125="","",'STUDENT SCREENING'!BN125)</f>
        <v/>
      </c>
      <c r="L125" s="38" t="str">
        <f aca="false">IF('STUDENT SCREENING'!BO125="","",'STUDENT SCREENING'!BO125)</f>
        <v/>
      </c>
      <c r="M125" s="38" t="str">
        <f aca="false">IF('STUDENT SCREENING'!BP125="","",'STUDENT SCREENING'!BP125)</f>
        <v/>
      </c>
      <c r="N125" s="38" t="str">
        <f aca="false">IF('STUDENT SCREENING'!BQ125="","",'STUDENT SCREENING'!BQ125)</f>
        <v/>
      </c>
      <c r="O125" s="38" t="str">
        <f aca="false">IF('STUDENT SCREENING'!BR125="","",'STUDENT SCREENING'!BR125)</f>
        <v/>
      </c>
      <c r="P125" s="32"/>
      <c r="Q125" s="32"/>
      <c r="R125" s="32"/>
      <c r="S125" s="32"/>
      <c r="T125" s="32"/>
      <c r="U125" s="32"/>
      <c r="V125" s="32"/>
      <c r="W125" s="32"/>
      <c r="X125" s="32"/>
    </row>
    <row r="126" customFormat="false" ht="15" hidden="false" customHeight="false" outlineLevel="0" collapsed="false">
      <c r="A126" s="37" t="str">
        <f aca="false">IF('STUDENT SCREENING'!A126="","",'STUDENT SCREENING'!A126)</f>
        <v/>
      </c>
      <c r="B126" s="37" t="str">
        <f aca="false">IF('STUDENT SCREENING'!I126="","",'STUDENT SCREENING'!I126)</f>
        <v/>
      </c>
      <c r="C126" s="37" t="str">
        <f aca="false">IF('STUDENT SCREENING'!F126="","",'STUDENT SCREENING'!F126)</f>
        <v/>
      </c>
      <c r="D126" s="37" t="str">
        <f aca="false">IF('STUDENT SCREENING'!G126="","",'STUDENT SCREENING'!G126)</f>
        <v/>
      </c>
      <c r="E126" s="37" t="str">
        <f aca="false">IF('STUDENT SCREENING'!C126="","",'STUDENT SCREENING'!C126)</f>
        <v/>
      </c>
      <c r="F126" s="37" t="str">
        <f aca="false">IF('STUDENT SCREENING'!J126="","",'STUDENT SCREENING'!J126)</f>
        <v/>
      </c>
      <c r="G126" s="37" t="str">
        <f aca="false">IF('STUDENT SCREENING'!K126="","",'STUDENT SCREENING'!K126)</f>
        <v/>
      </c>
      <c r="H126" s="37" t="str">
        <f aca="false">IF('STUDENT SCREENING'!S126="","",'STUDENT SCREENING'!S126)</f>
        <v/>
      </c>
      <c r="I126" s="37" t="str">
        <f aca="false">IF('STUDENT SCREENING'!T126="","",'STUDENT SCREENING'!T126)</f>
        <v/>
      </c>
      <c r="J126" s="37" t="str">
        <f aca="false">IF('STUDENT SCREENING'!BM126="","",'STUDENT SCREENING'!BM126)</f>
        <v/>
      </c>
      <c r="K126" s="37" t="str">
        <f aca="false">IF('STUDENT SCREENING'!BN126="","",'STUDENT SCREENING'!BN126)</f>
        <v/>
      </c>
      <c r="L126" s="37" t="str">
        <f aca="false">IF('STUDENT SCREENING'!BO126="","",'STUDENT SCREENING'!BO126)</f>
        <v/>
      </c>
      <c r="M126" s="37" t="str">
        <f aca="false">IF('STUDENT SCREENING'!BP126="","",'STUDENT SCREENING'!BP126)</f>
        <v/>
      </c>
      <c r="N126" s="37" t="str">
        <f aca="false">IF('STUDENT SCREENING'!BQ126="","",'STUDENT SCREENING'!BQ126)</f>
        <v/>
      </c>
      <c r="O126" s="37" t="str">
        <f aca="false">IF('STUDENT SCREENING'!BR126="","",'STUDENT SCREENING'!BR126)</f>
        <v/>
      </c>
      <c r="P126" s="28"/>
      <c r="Q126" s="28"/>
      <c r="R126" s="28"/>
      <c r="S126" s="28"/>
      <c r="T126" s="28"/>
      <c r="U126" s="28"/>
      <c r="V126" s="28"/>
      <c r="W126" s="28"/>
      <c r="X126" s="28"/>
    </row>
    <row r="127" customFormat="false" ht="15" hidden="false" customHeight="false" outlineLevel="0" collapsed="false">
      <c r="A127" s="38" t="str">
        <f aca="false">IF('STUDENT SCREENING'!A127="","",'STUDENT SCREENING'!A127)</f>
        <v/>
      </c>
      <c r="B127" s="38" t="str">
        <f aca="false">IF('STUDENT SCREENING'!I127="","",'STUDENT SCREENING'!I127)</f>
        <v/>
      </c>
      <c r="C127" s="38" t="str">
        <f aca="false">IF('STUDENT SCREENING'!F127="","",'STUDENT SCREENING'!F127)</f>
        <v/>
      </c>
      <c r="D127" s="38" t="str">
        <f aca="false">IF('STUDENT SCREENING'!G127="","",'STUDENT SCREENING'!G127)</f>
        <v/>
      </c>
      <c r="E127" s="38" t="str">
        <f aca="false">IF('STUDENT SCREENING'!C127="","",'STUDENT SCREENING'!C127)</f>
        <v/>
      </c>
      <c r="F127" s="38" t="str">
        <f aca="false">IF('STUDENT SCREENING'!J127="","",'STUDENT SCREENING'!J127)</f>
        <v/>
      </c>
      <c r="G127" s="38" t="str">
        <f aca="false">IF('STUDENT SCREENING'!K127="","",'STUDENT SCREENING'!K127)</f>
        <v/>
      </c>
      <c r="H127" s="38" t="str">
        <f aca="false">IF('STUDENT SCREENING'!S127="","",'STUDENT SCREENING'!S127)</f>
        <v/>
      </c>
      <c r="I127" s="38" t="str">
        <f aca="false">IF('STUDENT SCREENING'!T127="","",'STUDENT SCREENING'!T127)</f>
        <v/>
      </c>
      <c r="J127" s="38" t="str">
        <f aca="false">IF('STUDENT SCREENING'!BM127="","",'STUDENT SCREENING'!BM127)</f>
        <v/>
      </c>
      <c r="K127" s="38" t="str">
        <f aca="false">IF('STUDENT SCREENING'!BN127="","",'STUDENT SCREENING'!BN127)</f>
        <v/>
      </c>
      <c r="L127" s="38" t="str">
        <f aca="false">IF('STUDENT SCREENING'!BO127="","",'STUDENT SCREENING'!BO127)</f>
        <v/>
      </c>
      <c r="M127" s="38" t="str">
        <f aca="false">IF('STUDENT SCREENING'!BP127="","",'STUDENT SCREENING'!BP127)</f>
        <v/>
      </c>
      <c r="N127" s="38" t="str">
        <f aca="false">IF('STUDENT SCREENING'!BQ127="","",'STUDENT SCREENING'!BQ127)</f>
        <v/>
      </c>
      <c r="O127" s="38" t="str">
        <f aca="false">IF('STUDENT SCREENING'!BR127="","",'STUDENT SCREENING'!BR127)</f>
        <v/>
      </c>
      <c r="P127" s="32"/>
      <c r="Q127" s="32"/>
      <c r="R127" s="32"/>
      <c r="S127" s="32"/>
      <c r="T127" s="32"/>
      <c r="U127" s="32"/>
      <c r="V127" s="32"/>
      <c r="W127" s="32"/>
      <c r="X127" s="32"/>
    </row>
    <row r="128" customFormat="false" ht="15" hidden="false" customHeight="false" outlineLevel="0" collapsed="false">
      <c r="A128" s="37" t="str">
        <f aca="false">IF('STUDENT SCREENING'!A128="","",'STUDENT SCREENING'!A128)</f>
        <v/>
      </c>
      <c r="B128" s="37" t="str">
        <f aca="false">IF('STUDENT SCREENING'!I128="","",'STUDENT SCREENING'!I128)</f>
        <v/>
      </c>
      <c r="C128" s="37" t="str">
        <f aca="false">IF('STUDENT SCREENING'!F128="","",'STUDENT SCREENING'!F128)</f>
        <v/>
      </c>
      <c r="D128" s="37" t="str">
        <f aca="false">IF('STUDENT SCREENING'!G128="","",'STUDENT SCREENING'!G128)</f>
        <v/>
      </c>
      <c r="E128" s="37" t="str">
        <f aca="false">IF('STUDENT SCREENING'!C128="","",'STUDENT SCREENING'!C128)</f>
        <v/>
      </c>
      <c r="F128" s="37" t="str">
        <f aca="false">IF('STUDENT SCREENING'!J128="","",'STUDENT SCREENING'!J128)</f>
        <v/>
      </c>
      <c r="G128" s="37" t="str">
        <f aca="false">IF('STUDENT SCREENING'!K128="","",'STUDENT SCREENING'!K128)</f>
        <v/>
      </c>
      <c r="H128" s="37" t="str">
        <f aca="false">IF('STUDENT SCREENING'!S128="","",'STUDENT SCREENING'!S128)</f>
        <v/>
      </c>
      <c r="I128" s="37" t="str">
        <f aca="false">IF('STUDENT SCREENING'!T128="","",'STUDENT SCREENING'!T128)</f>
        <v/>
      </c>
      <c r="J128" s="37" t="str">
        <f aca="false">IF('STUDENT SCREENING'!BM128="","",'STUDENT SCREENING'!BM128)</f>
        <v/>
      </c>
      <c r="K128" s="37" t="str">
        <f aca="false">IF('STUDENT SCREENING'!BN128="","",'STUDENT SCREENING'!BN128)</f>
        <v/>
      </c>
      <c r="L128" s="37" t="str">
        <f aca="false">IF('STUDENT SCREENING'!BO128="","",'STUDENT SCREENING'!BO128)</f>
        <v/>
      </c>
      <c r="M128" s="37" t="str">
        <f aca="false">IF('STUDENT SCREENING'!BP128="","",'STUDENT SCREENING'!BP128)</f>
        <v/>
      </c>
      <c r="N128" s="37" t="str">
        <f aca="false">IF('STUDENT SCREENING'!BQ128="","",'STUDENT SCREENING'!BQ128)</f>
        <v/>
      </c>
      <c r="O128" s="37" t="str">
        <f aca="false">IF('STUDENT SCREENING'!BR128="","",'STUDENT SCREENING'!BR128)</f>
        <v/>
      </c>
      <c r="P128" s="28"/>
      <c r="Q128" s="28"/>
      <c r="R128" s="28"/>
      <c r="S128" s="28"/>
      <c r="T128" s="28"/>
      <c r="U128" s="28"/>
      <c r="V128" s="28"/>
      <c r="W128" s="28"/>
      <c r="X128" s="28"/>
    </row>
    <row r="129" customFormat="false" ht="15" hidden="false" customHeight="false" outlineLevel="0" collapsed="false">
      <c r="A129" s="38" t="str">
        <f aca="false">IF('STUDENT SCREENING'!A129="","",'STUDENT SCREENING'!A129)</f>
        <v/>
      </c>
      <c r="B129" s="38" t="str">
        <f aca="false">IF('STUDENT SCREENING'!I129="","",'STUDENT SCREENING'!I129)</f>
        <v/>
      </c>
      <c r="C129" s="38" t="str">
        <f aca="false">IF('STUDENT SCREENING'!F129="","",'STUDENT SCREENING'!F129)</f>
        <v/>
      </c>
      <c r="D129" s="38" t="str">
        <f aca="false">IF('STUDENT SCREENING'!G129="","",'STUDENT SCREENING'!G129)</f>
        <v/>
      </c>
      <c r="E129" s="38" t="str">
        <f aca="false">IF('STUDENT SCREENING'!C129="","",'STUDENT SCREENING'!C129)</f>
        <v/>
      </c>
      <c r="F129" s="38" t="str">
        <f aca="false">IF('STUDENT SCREENING'!J129="","",'STUDENT SCREENING'!J129)</f>
        <v/>
      </c>
      <c r="G129" s="38" t="str">
        <f aca="false">IF('STUDENT SCREENING'!K129="","",'STUDENT SCREENING'!K129)</f>
        <v/>
      </c>
      <c r="H129" s="38" t="str">
        <f aca="false">IF('STUDENT SCREENING'!S129="","",'STUDENT SCREENING'!S129)</f>
        <v/>
      </c>
      <c r="I129" s="38" t="str">
        <f aca="false">IF('STUDENT SCREENING'!T129="","",'STUDENT SCREENING'!T129)</f>
        <v/>
      </c>
      <c r="J129" s="38" t="str">
        <f aca="false">IF('STUDENT SCREENING'!BM129="","",'STUDENT SCREENING'!BM129)</f>
        <v/>
      </c>
      <c r="K129" s="38" t="str">
        <f aca="false">IF('STUDENT SCREENING'!BN129="","",'STUDENT SCREENING'!BN129)</f>
        <v/>
      </c>
      <c r="L129" s="38" t="str">
        <f aca="false">IF('STUDENT SCREENING'!BO129="","",'STUDENT SCREENING'!BO129)</f>
        <v/>
      </c>
      <c r="M129" s="38" t="str">
        <f aca="false">IF('STUDENT SCREENING'!BP129="","",'STUDENT SCREENING'!BP129)</f>
        <v/>
      </c>
      <c r="N129" s="38" t="str">
        <f aca="false">IF('STUDENT SCREENING'!BQ129="","",'STUDENT SCREENING'!BQ129)</f>
        <v/>
      </c>
      <c r="O129" s="38" t="str">
        <f aca="false">IF('STUDENT SCREENING'!BR129="","",'STUDENT SCREENING'!BR129)</f>
        <v/>
      </c>
      <c r="P129" s="32"/>
      <c r="Q129" s="32"/>
      <c r="R129" s="32"/>
      <c r="S129" s="32"/>
      <c r="T129" s="32"/>
      <c r="U129" s="32"/>
      <c r="V129" s="32"/>
      <c r="W129" s="32"/>
      <c r="X129" s="32"/>
    </row>
    <row r="130" customFormat="false" ht="15" hidden="false" customHeight="false" outlineLevel="0" collapsed="false">
      <c r="A130" s="37" t="str">
        <f aca="false">IF('STUDENT SCREENING'!A130="","",'STUDENT SCREENING'!A130)</f>
        <v/>
      </c>
      <c r="B130" s="37" t="str">
        <f aca="false">IF('STUDENT SCREENING'!I130="","",'STUDENT SCREENING'!I130)</f>
        <v/>
      </c>
      <c r="C130" s="37" t="str">
        <f aca="false">IF('STUDENT SCREENING'!F130="","",'STUDENT SCREENING'!F130)</f>
        <v/>
      </c>
      <c r="D130" s="37" t="str">
        <f aca="false">IF('STUDENT SCREENING'!G130="","",'STUDENT SCREENING'!G130)</f>
        <v/>
      </c>
      <c r="E130" s="37" t="str">
        <f aca="false">IF('STUDENT SCREENING'!C130="","",'STUDENT SCREENING'!C130)</f>
        <v/>
      </c>
      <c r="F130" s="37" t="str">
        <f aca="false">IF('STUDENT SCREENING'!J130="","",'STUDENT SCREENING'!J130)</f>
        <v/>
      </c>
      <c r="G130" s="37" t="str">
        <f aca="false">IF('STUDENT SCREENING'!K130="","",'STUDENT SCREENING'!K130)</f>
        <v/>
      </c>
      <c r="H130" s="37" t="str">
        <f aca="false">IF('STUDENT SCREENING'!S130="","",'STUDENT SCREENING'!S130)</f>
        <v/>
      </c>
      <c r="I130" s="37" t="str">
        <f aca="false">IF('STUDENT SCREENING'!T130="","",'STUDENT SCREENING'!T130)</f>
        <v/>
      </c>
      <c r="J130" s="37" t="str">
        <f aca="false">IF('STUDENT SCREENING'!BM130="","",'STUDENT SCREENING'!BM130)</f>
        <v/>
      </c>
      <c r="K130" s="37" t="str">
        <f aca="false">IF('STUDENT SCREENING'!BN130="","",'STUDENT SCREENING'!BN130)</f>
        <v/>
      </c>
      <c r="L130" s="37" t="str">
        <f aca="false">IF('STUDENT SCREENING'!BO130="","",'STUDENT SCREENING'!BO130)</f>
        <v/>
      </c>
      <c r="M130" s="37" t="str">
        <f aca="false">IF('STUDENT SCREENING'!BP130="","",'STUDENT SCREENING'!BP130)</f>
        <v/>
      </c>
      <c r="N130" s="37" t="str">
        <f aca="false">IF('STUDENT SCREENING'!BQ130="","",'STUDENT SCREENING'!BQ130)</f>
        <v/>
      </c>
      <c r="O130" s="37" t="str">
        <f aca="false">IF('STUDENT SCREENING'!BR130="","",'STUDENT SCREENING'!BR130)</f>
        <v/>
      </c>
      <c r="P130" s="28"/>
      <c r="Q130" s="28"/>
      <c r="R130" s="28"/>
      <c r="S130" s="28"/>
      <c r="T130" s="28"/>
      <c r="U130" s="28"/>
      <c r="V130" s="28"/>
      <c r="W130" s="28"/>
      <c r="X130" s="28"/>
    </row>
    <row r="131" customFormat="false" ht="15" hidden="false" customHeight="false" outlineLevel="0" collapsed="false">
      <c r="A131" s="38" t="str">
        <f aca="false">IF('STUDENT SCREENING'!A131="","",'STUDENT SCREENING'!A131)</f>
        <v/>
      </c>
      <c r="B131" s="38" t="str">
        <f aca="false">IF('STUDENT SCREENING'!I131="","",'STUDENT SCREENING'!I131)</f>
        <v/>
      </c>
      <c r="C131" s="38" t="str">
        <f aca="false">IF('STUDENT SCREENING'!F131="","",'STUDENT SCREENING'!F131)</f>
        <v/>
      </c>
      <c r="D131" s="38" t="str">
        <f aca="false">IF('STUDENT SCREENING'!G131="","",'STUDENT SCREENING'!G131)</f>
        <v/>
      </c>
      <c r="E131" s="38" t="str">
        <f aca="false">IF('STUDENT SCREENING'!C131="","",'STUDENT SCREENING'!C131)</f>
        <v/>
      </c>
      <c r="F131" s="38" t="str">
        <f aca="false">IF('STUDENT SCREENING'!J131="","",'STUDENT SCREENING'!J131)</f>
        <v/>
      </c>
      <c r="G131" s="38" t="str">
        <f aca="false">IF('STUDENT SCREENING'!K131="","",'STUDENT SCREENING'!K131)</f>
        <v/>
      </c>
      <c r="H131" s="38" t="str">
        <f aca="false">IF('STUDENT SCREENING'!S131="","",'STUDENT SCREENING'!S131)</f>
        <v/>
      </c>
      <c r="I131" s="38" t="str">
        <f aca="false">IF('STUDENT SCREENING'!T131="","",'STUDENT SCREENING'!T131)</f>
        <v/>
      </c>
      <c r="J131" s="38" t="str">
        <f aca="false">IF('STUDENT SCREENING'!BM131="","",'STUDENT SCREENING'!BM131)</f>
        <v/>
      </c>
      <c r="K131" s="38" t="str">
        <f aca="false">IF('STUDENT SCREENING'!BN131="","",'STUDENT SCREENING'!BN131)</f>
        <v/>
      </c>
      <c r="L131" s="38" t="str">
        <f aca="false">IF('STUDENT SCREENING'!BO131="","",'STUDENT SCREENING'!BO131)</f>
        <v/>
      </c>
      <c r="M131" s="38" t="str">
        <f aca="false">IF('STUDENT SCREENING'!BP131="","",'STUDENT SCREENING'!BP131)</f>
        <v/>
      </c>
      <c r="N131" s="38" t="str">
        <f aca="false">IF('STUDENT SCREENING'!BQ131="","",'STUDENT SCREENING'!BQ131)</f>
        <v/>
      </c>
      <c r="O131" s="38" t="str">
        <f aca="false">IF('STUDENT SCREENING'!BR131="","",'STUDENT SCREENING'!BR131)</f>
        <v/>
      </c>
      <c r="P131" s="32"/>
      <c r="Q131" s="32"/>
      <c r="R131" s="32"/>
      <c r="S131" s="32"/>
      <c r="T131" s="32"/>
      <c r="U131" s="32"/>
      <c r="V131" s="32"/>
      <c r="W131" s="32"/>
      <c r="X131" s="32"/>
    </row>
    <row r="132" customFormat="false" ht="15" hidden="false" customHeight="false" outlineLevel="0" collapsed="false">
      <c r="A132" s="37" t="str">
        <f aca="false">IF('STUDENT SCREENING'!A132="","",'STUDENT SCREENING'!A132)</f>
        <v/>
      </c>
      <c r="B132" s="37" t="str">
        <f aca="false">IF('STUDENT SCREENING'!I132="","",'STUDENT SCREENING'!I132)</f>
        <v/>
      </c>
      <c r="C132" s="37" t="str">
        <f aca="false">IF('STUDENT SCREENING'!F132="","",'STUDENT SCREENING'!F132)</f>
        <v/>
      </c>
      <c r="D132" s="37" t="str">
        <f aca="false">IF('STUDENT SCREENING'!G132="","",'STUDENT SCREENING'!G132)</f>
        <v/>
      </c>
      <c r="E132" s="37" t="str">
        <f aca="false">IF('STUDENT SCREENING'!C132="","",'STUDENT SCREENING'!C132)</f>
        <v/>
      </c>
      <c r="F132" s="37" t="str">
        <f aca="false">IF('STUDENT SCREENING'!J132="","",'STUDENT SCREENING'!J132)</f>
        <v/>
      </c>
      <c r="G132" s="37" t="str">
        <f aca="false">IF('STUDENT SCREENING'!K132="","",'STUDENT SCREENING'!K132)</f>
        <v/>
      </c>
      <c r="H132" s="37" t="str">
        <f aca="false">IF('STUDENT SCREENING'!S132="","",'STUDENT SCREENING'!S132)</f>
        <v/>
      </c>
      <c r="I132" s="37" t="str">
        <f aca="false">IF('STUDENT SCREENING'!T132="","",'STUDENT SCREENING'!T132)</f>
        <v/>
      </c>
      <c r="J132" s="37" t="str">
        <f aca="false">IF('STUDENT SCREENING'!BM132="","",'STUDENT SCREENING'!BM132)</f>
        <v/>
      </c>
      <c r="K132" s="37" t="str">
        <f aca="false">IF('STUDENT SCREENING'!BN132="","",'STUDENT SCREENING'!BN132)</f>
        <v/>
      </c>
      <c r="L132" s="37" t="str">
        <f aca="false">IF('STUDENT SCREENING'!BO132="","",'STUDENT SCREENING'!BO132)</f>
        <v/>
      </c>
      <c r="M132" s="37" t="str">
        <f aca="false">IF('STUDENT SCREENING'!BP132="","",'STUDENT SCREENING'!BP132)</f>
        <v/>
      </c>
      <c r="N132" s="37" t="str">
        <f aca="false">IF('STUDENT SCREENING'!BQ132="","",'STUDENT SCREENING'!BQ132)</f>
        <v/>
      </c>
      <c r="O132" s="37" t="str">
        <f aca="false">IF('STUDENT SCREENING'!BR132="","",'STUDENT SCREENING'!BR132)</f>
        <v/>
      </c>
      <c r="P132" s="28"/>
      <c r="Q132" s="28"/>
      <c r="R132" s="28"/>
      <c r="S132" s="28"/>
      <c r="T132" s="28"/>
      <c r="U132" s="28"/>
      <c r="V132" s="28"/>
      <c r="W132" s="28"/>
      <c r="X132" s="28"/>
    </row>
    <row r="133" customFormat="false" ht="15" hidden="false" customHeight="false" outlineLevel="0" collapsed="false">
      <c r="A133" s="38" t="str">
        <f aca="false">IF('STUDENT SCREENING'!A133="","",'STUDENT SCREENING'!A133)</f>
        <v/>
      </c>
      <c r="B133" s="38" t="str">
        <f aca="false">IF('STUDENT SCREENING'!I133="","",'STUDENT SCREENING'!I133)</f>
        <v/>
      </c>
      <c r="C133" s="38" t="str">
        <f aca="false">IF('STUDENT SCREENING'!F133="","",'STUDENT SCREENING'!F133)</f>
        <v/>
      </c>
      <c r="D133" s="38" t="str">
        <f aca="false">IF('STUDENT SCREENING'!G133="","",'STUDENT SCREENING'!G133)</f>
        <v/>
      </c>
      <c r="E133" s="38" t="str">
        <f aca="false">IF('STUDENT SCREENING'!C133="","",'STUDENT SCREENING'!C133)</f>
        <v/>
      </c>
      <c r="F133" s="38" t="str">
        <f aca="false">IF('STUDENT SCREENING'!J133="","",'STUDENT SCREENING'!J133)</f>
        <v/>
      </c>
      <c r="G133" s="38" t="str">
        <f aca="false">IF('STUDENT SCREENING'!K133="","",'STUDENT SCREENING'!K133)</f>
        <v/>
      </c>
      <c r="H133" s="38" t="str">
        <f aca="false">IF('STUDENT SCREENING'!S133="","",'STUDENT SCREENING'!S133)</f>
        <v/>
      </c>
      <c r="I133" s="38" t="str">
        <f aca="false">IF('STUDENT SCREENING'!T133="","",'STUDENT SCREENING'!T133)</f>
        <v/>
      </c>
      <c r="J133" s="38" t="str">
        <f aca="false">IF('STUDENT SCREENING'!BM133="","",'STUDENT SCREENING'!BM133)</f>
        <v/>
      </c>
      <c r="K133" s="38" t="str">
        <f aca="false">IF('STUDENT SCREENING'!BN133="","",'STUDENT SCREENING'!BN133)</f>
        <v/>
      </c>
      <c r="L133" s="38" t="str">
        <f aca="false">IF('STUDENT SCREENING'!BO133="","",'STUDENT SCREENING'!BO133)</f>
        <v/>
      </c>
      <c r="M133" s="38" t="str">
        <f aca="false">IF('STUDENT SCREENING'!BP133="","",'STUDENT SCREENING'!BP133)</f>
        <v/>
      </c>
      <c r="N133" s="38" t="str">
        <f aca="false">IF('STUDENT SCREENING'!BQ133="","",'STUDENT SCREENING'!BQ133)</f>
        <v/>
      </c>
      <c r="O133" s="38" t="str">
        <f aca="false">IF('STUDENT SCREENING'!BR133="","",'STUDENT SCREENING'!BR133)</f>
        <v/>
      </c>
      <c r="P133" s="32"/>
      <c r="Q133" s="32"/>
      <c r="R133" s="32"/>
      <c r="S133" s="32"/>
      <c r="T133" s="32"/>
      <c r="U133" s="32"/>
      <c r="V133" s="32"/>
      <c r="W133" s="32"/>
      <c r="X133" s="32"/>
    </row>
    <row r="134" customFormat="false" ht="15" hidden="false" customHeight="false" outlineLevel="0" collapsed="false">
      <c r="A134" s="37" t="str">
        <f aca="false">IF('STUDENT SCREENING'!A134="","",'STUDENT SCREENING'!A134)</f>
        <v/>
      </c>
      <c r="B134" s="37" t="str">
        <f aca="false">IF('STUDENT SCREENING'!I134="","",'STUDENT SCREENING'!I134)</f>
        <v/>
      </c>
      <c r="C134" s="37" t="str">
        <f aca="false">IF('STUDENT SCREENING'!F134="","",'STUDENT SCREENING'!F134)</f>
        <v/>
      </c>
      <c r="D134" s="37" t="str">
        <f aca="false">IF('STUDENT SCREENING'!G134="","",'STUDENT SCREENING'!G134)</f>
        <v/>
      </c>
      <c r="E134" s="37" t="str">
        <f aca="false">IF('STUDENT SCREENING'!C134="","",'STUDENT SCREENING'!C134)</f>
        <v/>
      </c>
      <c r="F134" s="37" t="str">
        <f aca="false">IF('STUDENT SCREENING'!J134="","",'STUDENT SCREENING'!J134)</f>
        <v/>
      </c>
      <c r="G134" s="37" t="str">
        <f aca="false">IF('STUDENT SCREENING'!K134="","",'STUDENT SCREENING'!K134)</f>
        <v/>
      </c>
      <c r="H134" s="37" t="str">
        <f aca="false">IF('STUDENT SCREENING'!S134="","",'STUDENT SCREENING'!S134)</f>
        <v/>
      </c>
      <c r="I134" s="37" t="str">
        <f aca="false">IF('STUDENT SCREENING'!T134="","",'STUDENT SCREENING'!T134)</f>
        <v/>
      </c>
      <c r="J134" s="37" t="str">
        <f aca="false">IF('STUDENT SCREENING'!BM134="","",'STUDENT SCREENING'!BM134)</f>
        <v/>
      </c>
      <c r="K134" s="37" t="str">
        <f aca="false">IF('STUDENT SCREENING'!BN134="","",'STUDENT SCREENING'!BN134)</f>
        <v/>
      </c>
      <c r="L134" s="37" t="str">
        <f aca="false">IF('STUDENT SCREENING'!BO134="","",'STUDENT SCREENING'!BO134)</f>
        <v/>
      </c>
      <c r="M134" s="37" t="str">
        <f aca="false">IF('STUDENT SCREENING'!BP134="","",'STUDENT SCREENING'!BP134)</f>
        <v/>
      </c>
      <c r="N134" s="37" t="str">
        <f aca="false">IF('STUDENT SCREENING'!BQ134="","",'STUDENT SCREENING'!BQ134)</f>
        <v/>
      </c>
      <c r="O134" s="37" t="str">
        <f aca="false">IF('STUDENT SCREENING'!BR134="","",'STUDENT SCREENING'!BR134)</f>
        <v/>
      </c>
      <c r="P134" s="28"/>
      <c r="Q134" s="28"/>
      <c r="R134" s="28"/>
      <c r="S134" s="28"/>
      <c r="T134" s="28"/>
      <c r="U134" s="28"/>
      <c r="V134" s="28"/>
      <c r="W134" s="28"/>
      <c r="X134" s="28"/>
    </row>
    <row r="135" customFormat="false" ht="15" hidden="false" customHeight="false" outlineLevel="0" collapsed="false">
      <c r="A135" s="38" t="str">
        <f aca="false">IF('STUDENT SCREENING'!A135="","",'STUDENT SCREENING'!A135)</f>
        <v/>
      </c>
      <c r="B135" s="38" t="str">
        <f aca="false">IF('STUDENT SCREENING'!I135="","",'STUDENT SCREENING'!I135)</f>
        <v/>
      </c>
      <c r="C135" s="38" t="str">
        <f aca="false">IF('STUDENT SCREENING'!F135="","",'STUDENT SCREENING'!F135)</f>
        <v/>
      </c>
      <c r="D135" s="38" t="str">
        <f aca="false">IF('STUDENT SCREENING'!G135="","",'STUDENT SCREENING'!G135)</f>
        <v/>
      </c>
      <c r="E135" s="38" t="str">
        <f aca="false">IF('STUDENT SCREENING'!C135="","",'STUDENT SCREENING'!C135)</f>
        <v/>
      </c>
      <c r="F135" s="38" t="str">
        <f aca="false">IF('STUDENT SCREENING'!J135="","",'STUDENT SCREENING'!J135)</f>
        <v/>
      </c>
      <c r="G135" s="38" t="str">
        <f aca="false">IF('STUDENT SCREENING'!K135="","",'STUDENT SCREENING'!K135)</f>
        <v/>
      </c>
      <c r="H135" s="38" t="str">
        <f aca="false">IF('STUDENT SCREENING'!S135="","",'STUDENT SCREENING'!S135)</f>
        <v/>
      </c>
      <c r="I135" s="38" t="str">
        <f aca="false">IF('STUDENT SCREENING'!T135="","",'STUDENT SCREENING'!T135)</f>
        <v/>
      </c>
      <c r="J135" s="38" t="str">
        <f aca="false">IF('STUDENT SCREENING'!BM135="","",'STUDENT SCREENING'!BM135)</f>
        <v/>
      </c>
      <c r="K135" s="38" t="str">
        <f aca="false">IF('STUDENT SCREENING'!BN135="","",'STUDENT SCREENING'!BN135)</f>
        <v/>
      </c>
      <c r="L135" s="38" t="str">
        <f aca="false">IF('STUDENT SCREENING'!BO135="","",'STUDENT SCREENING'!BO135)</f>
        <v/>
      </c>
      <c r="M135" s="38" t="str">
        <f aca="false">IF('STUDENT SCREENING'!BP135="","",'STUDENT SCREENING'!BP135)</f>
        <v/>
      </c>
      <c r="N135" s="38" t="str">
        <f aca="false">IF('STUDENT SCREENING'!BQ135="","",'STUDENT SCREENING'!BQ135)</f>
        <v/>
      </c>
      <c r="O135" s="38" t="str">
        <f aca="false">IF('STUDENT SCREENING'!BR135="","",'STUDENT SCREENING'!BR135)</f>
        <v/>
      </c>
      <c r="P135" s="32"/>
      <c r="Q135" s="32"/>
      <c r="R135" s="32"/>
      <c r="S135" s="32"/>
      <c r="T135" s="32"/>
      <c r="U135" s="32"/>
      <c r="V135" s="32"/>
      <c r="W135" s="32"/>
      <c r="X135" s="32"/>
    </row>
    <row r="136" customFormat="false" ht="15" hidden="false" customHeight="false" outlineLevel="0" collapsed="false">
      <c r="A136" s="37" t="str">
        <f aca="false">IF('STUDENT SCREENING'!A136="","",'STUDENT SCREENING'!A136)</f>
        <v/>
      </c>
      <c r="B136" s="37" t="str">
        <f aca="false">IF('STUDENT SCREENING'!I136="","",'STUDENT SCREENING'!I136)</f>
        <v/>
      </c>
      <c r="C136" s="37" t="str">
        <f aca="false">IF('STUDENT SCREENING'!F136="","",'STUDENT SCREENING'!F136)</f>
        <v/>
      </c>
      <c r="D136" s="37" t="str">
        <f aca="false">IF('STUDENT SCREENING'!G136="","",'STUDENT SCREENING'!G136)</f>
        <v/>
      </c>
      <c r="E136" s="37" t="str">
        <f aca="false">IF('STUDENT SCREENING'!C136="","",'STUDENT SCREENING'!C136)</f>
        <v/>
      </c>
      <c r="F136" s="37" t="str">
        <f aca="false">IF('STUDENT SCREENING'!J136="","",'STUDENT SCREENING'!J136)</f>
        <v/>
      </c>
      <c r="G136" s="37" t="str">
        <f aca="false">IF('STUDENT SCREENING'!K136="","",'STUDENT SCREENING'!K136)</f>
        <v/>
      </c>
      <c r="H136" s="37" t="str">
        <f aca="false">IF('STUDENT SCREENING'!S136="","",'STUDENT SCREENING'!S136)</f>
        <v/>
      </c>
      <c r="I136" s="37" t="str">
        <f aca="false">IF('STUDENT SCREENING'!T136="","",'STUDENT SCREENING'!T136)</f>
        <v/>
      </c>
      <c r="J136" s="37" t="str">
        <f aca="false">IF('STUDENT SCREENING'!BM136="","",'STUDENT SCREENING'!BM136)</f>
        <v/>
      </c>
      <c r="K136" s="37" t="str">
        <f aca="false">IF('STUDENT SCREENING'!BN136="","",'STUDENT SCREENING'!BN136)</f>
        <v/>
      </c>
      <c r="L136" s="37" t="str">
        <f aca="false">IF('STUDENT SCREENING'!BO136="","",'STUDENT SCREENING'!BO136)</f>
        <v/>
      </c>
      <c r="M136" s="37" t="str">
        <f aca="false">IF('STUDENT SCREENING'!BP136="","",'STUDENT SCREENING'!BP136)</f>
        <v/>
      </c>
      <c r="N136" s="37" t="str">
        <f aca="false">IF('STUDENT SCREENING'!BQ136="","",'STUDENT SCREENING'!BQ136)</f>
        <v/>
      </c>
      <c r="O136" s="37" t="str">
        <f aca="false">IF('STUDENT SCREENING'!BR136="","",'STUDENT SCREENING'!BR136)</f>
        <v/>
      </c>
      <c r="P136" s="28"/>
      <c r="Q136" s="28"/>
      <c r="R136" s="28"/>
      <c r="S136" s="28"/>
      <c r="T136" s="28"/>
      <c r="U136" s="28"/>
      <c r="V136" s="28"/>
      <c r="W136" s="28"/>
      <c r="X136" s="28"/>
    </row>
    <row r="137" customFormat="false" ht="15" hidden="false" customHeight="false" outlineLevel="0" collapsed="false">
      <c r="A137" s="38" t="str">
        <f aca="false">IF('STUDENT SCREENING'!A137="","",'STUDENT SCREENING'!A137)</f>
        <v/>
      </c>
      <c r="B137" s="38" t="str">
        <f aca="false">IF('STUDENT SCREENING'!I137="","",'STUDENT SCREENING'!I137)</f>
        <v/>
      </c>
      <c r="C137" s="38" t="str">
        <f aca="false">IF('STUDENT SCREENING'!F137="","",'STUDENT SCREENING'!F137)</f>
        <v/>
      </c>
      <c r="D137" s="38" t="str">
        <f aca="false">IF('STUDENT SCREENING'!G137="","",'STUDENT SCREENING'!G137)</f>
        <v/>
      </c>
      <c r="E137" s="38" t="str">
        <f aca="false">IF('STUDENT SCREENING'!C137="","",'STUDENT SCREENING'!C137)</f>
        <v/>
      </c>
      <c r="F137" s="38" t="str">
        <f aca="false">IF('STUDENT SCREENING'!J137="","",'STUDENT SCREENING'!J137)</f>
        <v/>
      </c>
      <c r="G137" s="38" t="str">
        <f aca="false">IF('STUDENT SCREENING'!K137="","",'STUDENT SCREENING'!K137)</f>
        <v/>
      </c>
      <c r="H137" s="38" t="str">
        <f aca="false">IF('STUDENT SCREENING'!S137="","",'STUDENT SCREENING'!S137)</f>
        <v/>
      </c>
      <c r="I137" s="38" t="str">
        <f aca="false">IF('STUDENT SCREENING'!T137="","",'STUDENT SCREENING'!T137)</f>
        <v/>
      </c>
      <c r="J137" s="38" t="str">
        <f aca="false">IF('STUDENT SCREENING'!BM137="","",'STUDENT SCREENING'!BM137)</f>
        <v/>
      </c>
      <c r="K137" s="38" t="str">
        <f aca="false">IF('STUDENT SCREENING'!BN137="","",'STUDENT SCREENING'!BN137)</f>
        <v/>
      </c>
      <c r="L137" s="38" t="str">
        <f aca="false">IF('STUDENT SCREENING'!BO137="","",'STUDENT SCREENING'!BO137)</f>
        <v/>
      </c>
      <c r="M137" s="38" t="str">
        <f aca="false">IF('STUDENT SCREENING'!BP137="","",'STUDENT SCREENING'!BP137)</f>
        <v/>
      </c>
      <c r="N137" s="38" t="str">
        <f aca="false">IF('STUDENT SCREENING'!BQ137="","",'STUDENT SCREENING'!BQ137)</f>
        <v/>
      </c>
      <c r="O137" s="38" t="str">
        <f aca="false">IF('STUDENT SCREENING'!BR137="","",'STUDENT SCREENING'!BR137)</f>
        <v/>
      </c>
      <c r="P137" s="32"/>
      <c r="Q137" s="32"/>
      <c r="R137" s="32"/>
      <c r="S137" s="32"/>
      <c r="T137" s="32"/>
      <c r="U137" s="32"/>
      <c r="V137" s="32"/>
      <c r="W137" s="32"/>
      <c r="X137" s="32"/>
    </row>
    <row r="138" customFormat="false" ht="15" hidden="false" customHeight="false" outlineLevel="0" collapsed="false">
      <c r="A138" s="37" t="str">
        <f aca="false">IF('STUDENT SCREENING'!A138="","",'STUDENT SCREENING'!A138)</f>
        <v/>
      </c>
      <c r="B138" s="37" t="str">
        <f aca="false">IF('STUDENT SCREENING'!I138="","",'STUDENT SCREENING'!I138)</f>
        <v/>
      </c>
      <c r="C138" s="37" t="str">
        <f aca="false">IF('STUDENT SCREENING'!F138="","",'STUDENT SCREENING'!F138)</f>
        <v/>
      </c>
      <c r="D138" s="37" t="str">
        <f aca="false">IF('STUDENT SCREENING'!G138="","",'STUDENT SCREENING'!G138)</f>
        <v/>
      </c>
      <c r="E138" s="37" t="str">
        <f aca="false">IF('STUDENT SCREENING'!C138="","",'STUDENT SCREENING'!C138)</f>
        <v/>
      </c>
      <c r="F138" s="37" t="str">
        <f aca="false">IF('STUDENT SCREENING'!J138="","",'STUDENT SCREENING'!J138)</f>
        <v/>
      </c>
      <c r="G138" s="37" t="str">
        <f aca="false">IF('STUDENT SCREENING'!K138="","",'STUDENT SCREENING'!K138)</f>
        <v/>
      </c>
      <c r="H138" s="37" t="str">
        <f aca="false">IF('STUDENT SCREENING'!S138="","",'STUDENT SCREENING'!S138)</f>
        <v/>
      </c>
      <c r="I138" s="37" t="str">
        <f aca="false">IF('STUDENT SCREENING'!T138="","",'STUDENT SCREENING'!T138)</f>
        <v/>
      </c>
      <c r="J138" s="37" t="str">
        <f aca="false">IF('STUDENT SCREENING'!BM138="","",'STUDENT SCREENING'!BM138)</f>
        <v/>
      </c>
      <c r="K138" s="37" t="str">
        <f aca="false">IF('STUDENT SCREENING'!BN138="","",'STUDENT SCREENING'!BN138)</f>
        <v/>
      </c>
      <c r="L138" s="37" t="str">
        <f aca="false">IF('STUDENT SCREENING'!BO138="","",'STUDENT SCREENING'!BO138)</f>
        <v/>
      </c>
      <c r="M138" s="37" t="str">
        <f aca="false">IF('STUDENT SCREENING'!BP138="","",'STUDENT SCREENING'!BP138)</f>
        <v/>
      </c>
      <c r="N138" s="37" t="str">
        <f aca="false">IF('STUDENT SCREENING'!BQ138="","",'STUDENT SCREENING'!BQ138)</f>
        <v/>
      </c>
      <c r="O138" s="37" t="str">
        <f aca="false">IF('STUDENT SCREENING'!BR138="","",'STUDENT SCREENING'!BR138)</f>
        <v/>
      </c>
      <c r="P138" s="28"/>
      <c r="Q138" s="28"/>
      <c r="R138" s="28"/>
      <c r="S138" s="28"/>
      <c r="T138" s="28"/>
      <c r="U138" s="28"/>
      <c r="V138" s="28"/>
      <c r="W138" s="28"/>
      <c r="X138" s="28"/>
    </row>
    <row r="139" customFormat="false" ht="15" hidden="false" customHeight="false" outlineLevel="0" collapsed="false">
      <c r="A139" s="38" t="str">
        <f aca="false">IF('STUDENT SCREENING'!A139="","",'STUDENT SCREENING'!A139)</f>
        <v/>
      </c>
      <c r="B139" s="38" t="str">
        <f aca="false">IF('STUDENT SCREENING'!I139="","",'STUDENT SCREENING'!I139)</f>
        <v/>
      </c>
      <c r="C139" s="38" t="str">
        <f aca="false">IF('STUDENT SCREENING'!F139="","",'STUDENT SCREENING'!F139)</f>
        <v/>
      </c>
      <c r="D139" s="38" t="str">
        <f aca="false">IF('STUDENT SCREENING'!G139="","",'STUDENT SCREENING'!G139)</f>
        <v/>
      </c>
      <c r="E139" s="38" t="str">
        <f aca="false">IF('STUDENT SCREENING'!C139="","",'STUDENT SCREENING'!C139)</f>
        <v/>
      </c>
      <c r="F139" s="38" t="str">
        <f aca="false">IF('STUDENT SCREENING'!J139="","",'STUDENT SCREENING'!J139)</f>
        <v/>
      </c>
      <c r="G139" s="38" t="str">
        <f aca="false">IF('STUDENT SCREENING'!K139="","",'STUDENT SCREENING'!K139)</f>
        <v/>
      </c>
      <c r="H139" s="38" t="str">
        <f aca="false">IF('STUDENT SCREENING'!S139="","",'STUDENT SCREENING'!S139)</f>
        <v/>
      </c>
      <c r="I139" s="38" t="str">
        <f aca="false">IF('STUDENT SCREENING'!T139="","",'STUDENT SCREENING'!T139)</f>
        <v/>
      </c>
      <c r="J139" s="38" t="str">
        <f aca="false">IF('STUDENT SCREENING'!BM139="","",'STUDENT SCREENING'!BM139)</f>
        <v/>
      </c>
      <c r="K139" s="38" t="str">
        <f aca="false">IF('STUDENT SCREENING'!BN139="","",'STUDENT SCREENING'!BN139)</f>
        <v/>
      </c>
      <c r="L139" s="38" t="str">
        <f aca="false">IF('STUDENT SCREENING'!BO139="","",'STUDENT SCREENING'!BO139)</f>
        <v/>
      </c>
      <c r="M139" s="38" t="str">
        <f aca="false">IF('STUDENT SCREENING'!BP139="","",'STUDENT SCREENING'!BP139)</f>
        <v/>
      </c>
      <c r="N139" s="38" t="str">
        <f aca="false">IF('STUDENT SCREENING'!BQ139="","",'STUDENT SCREENING'!BQ139)</f>
        <v/>
      </c>
      <c r="O139" s="38" t="str">
        <f aca="false">IF('STUDENT SCREENING'!BR139="","",'STUDENT SCREENING'!BR139)</f>
        <v/>
      </c>
      <c r="P139" s="32"/>
      <c r="Q139" s="32"/>
      <c r="R139" s="32"/>
      <c r="S139" s="32"/>
      <c r="T139" s="32"/>
      <c r="U139" s="32"/>
      <c r="V139" s="32"/>
      <c r="W139" s="32"/>
      <c r="X139" s="32"/>
    </row>
    <row r="140" customFormat="false" ht="15" hidden="false" customHeight="false" outlineLevel="0" collapsed="false">
      <c r="A140" s="37" t="str">
        <f aca="false">IF('STUDENT SCREENING'!A140="","",'STUDENT SCREENING'!A140)</f>
        <v/>
      </c>
      <c r="B140" s="37" t="str">
        <f aca="false">IF('STUDENT SCREENING'!I140="","",'STUDENT SCREENING'!I140)</f>
        <v/>
      </c>
      <c r="C140" s="37" t="str">
        <f aca="false">IF('STUDENT SCREENING'!F140="","",'STUDENT SCREENING'!F140)</f>
        <v/>
      </c>
      <c r="D140" s="37" t="str">
        <f aca="false">IF('STUDENT SCREENING'!G140="","",'STUDENT SCREENING'!G140)</f>
        <v/>
      </c>
      <c r="E140" s="37" t="str">
        <f aca="false">IF('STUDENT SCREENING'!C140="","",'STUDENT SCREENING'!C140)</f>
        <v/>
      </c>
      <c r="F140" s="37" t="str">
        <f aca="false">IF('STUDENT SCREENING'!J140="","",'STUDENT SCREENING'!J140)</f>
        <v/>
      </c>
      <c r="G140" s="37" t="str">
        <f aca="false">IF('STUDENT SCREENING'!K140="","",'STUDENT SCREENING'!K140)</f>
        <v/>
      </c>
      <c r="H140" s="37" t="str">
        <f aca="false">IF('STUDENT SCREENING'!S140="","",'STUDENT SCREENING'!S140)</f>
        <v/>
      </c>
      <c r="I140" s="37" t="str">
        <f aca="false">IF('STUDENT SCREENING'!T140="","",'STUDENT SCREENING'!T140)</f>
        <v/>
      </c>
      <c r="J140" s="37" t="str">
        <f aca="false">IF('STUDENT SCREENING'!BM140="","",'STUDENT SCREENING'!BM140)</f>
        <v/>
      </c>
      <c r="K140" s="37" t="str">
        <f aca="false">IF('STUDENT SCREENING'!BN140="","",'STUDENT SCREENING'!BN140)</f>
        <v/>
      </c>
      <c r="L140" s="37" t="str">
        <f aca="false">IF('STUDENT SCREENING'!BO140="","",'STUDENT SCREENING'!BO140)</f>
        <v/>
      </c>
      <c r="M140" s="37" t="str">
        <f aca="false">IF('STUDENT SCREENING'!BP140="","",'STUDENT SCREENING'!BP140)</f>
        <v/>
      </c>
      <c r="N140" s="37" t="str">
        <f aca="false">IF('STUDENT SCREENING'!BQ140="","",'STUDENT SCREENING'!BQ140)</f>
        <v/>
      </c>
      <c r="O140" s="37" t="str">
        <f aca="false">IF('STUDENT SCREENING'!BR140="","",'STUDENT SCREENING'!BR140)</f>
        <v/>
      </c>
      <c r="P140" s="28"/>
      <c r="Q140" s="28"/>
      <c r="R140" s="28"/>
      <c r="S140" s="28"/>
      <c r="T140" s="28"/>
      <c r="U140" s="28"/>
      <c r="V140" s="28"/>
      <c r="W140" s="28"/>
      <c r="X140" s="28"/>
    </row>
    <row r="141" customFormat="false" ht="15" hidden="false" customHeight="false" outlineLevel="0" collapsed="false">
      <c r="A141" s="38" t="str">
        <f aca="false">IF('STUDENT SCREENING'!A141="","",'STUDENT SCREENING'!A141)</f>
        <v/>
      </c>
      <c r="B141" s="38" t="str">
        <f aca="false">IF('STUDENT SCREENING'!I141="","",'STUDENT SCREENING'!I141)</f>
        <v/>
      </c>
      <c r="C141" s="38" t="str">
        <f aca="false">IF('STUDENT SCREENING'!F141="","",'STUDENT SCREENING'!F141)</f>
        <v/>
      </c>
      <c r="D141" s="38" t="str">
        <f aca="false">IF('STUDENT SCREENING'!G141="","",'STUDENT SCREENING'!G141)</f>
        <v/>
      </c>
      <c r="E141" s="38" t="str">
        <f aca="false">IF('STUDENT SCREENING'!C141="","",'STUDENT SCREENING'!C141)</f>
        <v/>
      </c>
      <c r="F141" s="38" t="str">
        <f aca="false">IF('STUDENT SCREENING'!J141="","",'STUDENT SCREENING'!J141)</f>
        <v/>
      </c>
      <c r="G141" s="38" t="str">
        <f aca="false">IF('STUDENT SCREENING'!K141="","",'STUDENT SCREENING'!K141)</f>
        <v/>
      </c>
      <c r="H141" s="38" t="str">
        <f aca="false">IF('STUDENT SCREENING'!S141="","",'STUDENT SCREENING'!S141)</f>
        <v/>
      </c>
      <c r="I141" s="38" t="str">
        <f aca="false">IF('STUDENT SCREENING'!T141="","",'STUDENT SCREENING'!T141)</f>
        <v/>
      </c>
      <c r="J141" s="38" t="str">
        <f aca="false">IF('STUDENT SCREENING'!BM141="","",'STUDENT SCREENING'!BM141)</f>
        <v/>
      </c>
      <c r="K141" s="38" t="str">
        <f aca="false">IF('STUDENT SCREENING'!BN141="","",'STUDENT SCREENING'!BN141)</f>
        <v/>
      </c>
      <c r="L141" s="38" t="str">
        <f aca="false">IF('STUDENT SCREENING'!BO141="","",'STUDENT SCREENING'!BO141)</f>
        <v/>
      </c>
      <c r="M141" s="38" t="str">
        <f aca="false">IF('STUDENT SCREENING'!BP141="","",'STUDENT SCREENING'!BP141)</f>
        <v/>
      </c>
      <c r="N141" s="38" t="str">
        <f aca="false">IF('STUDENT SCREENING'!BQ141="","",'STUDENT SCREENING'!BQ141)</f>
        <v/>
      </c>
      <c r="O141" s="38" t="str">
        <f aca="false">IF('STUDENT SCREENING'!BR141="","",'STUDENT SCREENING'!BR141)</f>
        <v/>
      </c>
      <c r="P141" s="32"/>
      <c r="Q141" s="32"/>
      <c r="R141" s="32"/>
      <c r="S141" s="32"/>
      <c r="T141" s="32"/>
      <c r="U141" s="32"/>
      <c r="V141" s="32"/>
      <c r="W141" s="32"/>
      <c r="X141" s="32"/>
    </row>
    <row r="142" customFormat="false" ht="15" hidden="false" customHeight="false" outlineLevel="0" collapsed="false">
      <c r="A142" s="37" t="str">
        <f aca="false">IF('STUDENT SCREENING'!A142="","",'STUDENT SCREENING'!A142)</f>
        <v/>
      </c>
      <c r="B142" s="37" t="str">
        <f aca="false">IF('STUDENT SCREENING'!I142="","",'STUDENT SCREENING'!I142)</f>
        <v/>
      </c>
      <c r="C142" s="37" t="str">
        <f aca="false">IF('STUDENT SCREENING'!F142="","",'STUDENT SCREENING'!F142)</f>
        <v/>
      </c>
      <c r="D142" s="37" t="str">
        <f aca="false">IF('STUDENT SCREENING'!G142="","",'STUDENT SCREENING'!G142)</f>
        <v/>
      </c>
      <c r="E142" s="37" t="str">
        <f aca="false">IF('STUDENT SCREENING'!C142="","",'STUDENT SCREENING'!C142)</f>
        <v/>
      </c>
      <c r="F142" s="37" t="str">
        <f aca="false">IF('STUDENT SCREENING'!J142="","",'STUDENT SCREENING'!J142)</f>
        <v/>
      </c>
      <c r="G142" s="37" t="str">
        <f aca="false">IF('STUDENT SCREENING'!K142="","",'STUDENT SCREENING'!K142)</f>
        <v/>
      </c>
      <c r="H142" s="37" t="str">
        <f aca="false">IF('STUDENT SCREENING'!S142="","",'STUDENT SCREENING'!S142)</f>
        <v/>
      </c>
      <c r="I142" s="37" t="str">
        <f aca="false">IF('STUDENT SCREENING'!T142="","",'STUDENT SCREENING'!T142)</f>
        <v/>
      </c>
      <c r="J142" s="37" t="str">
        <f aca="false">IF('STUDENT SCREENING'!BM142="","",'STUDENT SCREENING'!BM142)</f>
        <v/>
      </c>
      <c r="K142" s="37" t="str">
        <f aca="false">IF('STUDENT SCREENING'!BN142="","",'STUDENT SCREENING'!BN142)</f>
        <v/>
      </c>
      <c r="L142" s="37" t="str">
        <f aca="false">IF('STUDENT SCREENING'!BO142="","",'STUDENT SCREENING'!BO142)</f>
        <v/>
      </c>
      <c r="M142" s="37" t="str">
        <f aca="false">IF('STUDENT SCREENING'!BP142="","",'STUDENT SCREENING'!BP142)</f>
        <v/>
      </c>
      <c r="N142" s="37" t="str">
        <f aca="false">IF('STUDENT SCREENING'!BQ142="","",'STUDENT SCREENING'!BQ142)</f>
        <v/>
      </c>
      <c r="O142" s="37" t="str">
        <f aca="false">IF('STUDENT SCREENING'!BR142="","",'STUDENT SCREENING'!BR142)</f>
        <v/>
      </c>
      <c r="P142" s="28"/>
      <c r="Q142" s="28"/>
      <c r="R142" s="28"/>
      <c r="S142" s="28"/>
      <c r="T142" s="28"/>
      <c r="U142" s="28"/>
      <c r="V142" s="28"/>
      <c r="W142" s="28"/>
      <c r="X142" s="28"/>
    </row>
    <row r="143" customFormat="false" ht="15" hidden="false" customHeight="false" outlineLevel="0" collapsed="false">
      <c r="A143" s="38" t="str">
        <f aca="false">IF('STUDENT SCREENING'!A143="","",'STUDENT SCREENING'!A143)</f>
        <v/>
      </c>
      <c r="B143" s="38" t="str">
        <f aca="false">IF('STUDENT SCREENING'!I143="","",'STUDENT SCREENING'!I143)</f>
        <v/>
      </c>
      <c r="C143" s="38" t="str">
        <f aca="false">IF('STUDENT SCREENING'!F143="","",'STUDENT SCREENING'!F143)</f>
        <v/>
      </c>
      <c r="D143" s="38" t="str">
        <f aca="false">IF('STUDENT SCREENING'!G143="","",'STUDENT SCREENING'!G143)</f>
        <v/>
      </c>
      <c r="E143" s="38" t="str">
        <f aca="false">IF('STUDENT SCREENING'!C143="","",'STUDENT SCREENING'!C143)</f>
        <v/>
      </c>
      <c r="F143" s="38" t="str">
        <f aca="false">IF('STUDENT SCREENING'!J143="","",'STUDENT SCREENING'!J143)</f>
        <v/>
      </c>
      <c r="G143" s="38" t="str">
        <f aca="false">IF('STUDENT SCREENING'!K143="","",'STUDENT SCREENING'!K143)</f>
        <v/>
      </c>
      <c r="H143" s="38" t="str">
        <f aca="false">IF('STUDENT SCREENING'!S143="","",'STUDENT SCREENING'!S143)</f>
        <v/>
      </c>
      <c r="I143" s="38" t="str">
        <f aca="false">IF('STUDENT SCREENING'!T143="","",'STUDENT SCREENING'!T143)</f>
        <v/>
      </c>
      <c r="J143" s="38" t="str">
        <f aca="false">IF('STUDENT SCREENING'!BM143="","",'STUDENT SCREENING'!BM143)</f>
        <v/>
      </c>
      <c r="K143" s="38" t="str">
        <f aca="false">IF('STUDENT SCREENING'!BN143="","",'STUDENT SCREENING'!BN143)</f>
        <v/>
      </c>
      <c r="L143" s="38" t="str">
        <f aca="false">IF('STUDENT SCREENING'!BO143="","",'STUDENT SCREENING'!BO143)</f>
        <v/>
      </c>
      <c r="M143" s="38" t="str">
        <f aca="false">IF('STUDENT SCREENING'!BP143="","",'STUDENT SCREENING'!BP143)</f>
        <v/>
      </c>
      <c r="N143" s="38" t="str">
        <f aca="false">IF('STUDENT SCREENING'!BQ143="","",'STUDENT SCREENING'!BQ143)</f>
        <v/>
      </c>
      <c r="O143" s="38" t="str">
        <f aca="false">IF('STUDENT SCREENING'!BR143="","",'STUDENT SCREENING'!BR143)</f>
        <v/>
      </c>
      <c r="P143" s="32"/>
      <c r="Q143" s="32"/>
      <c r="R143" s="32"/>
      <c r="S143" s="32"/>
      <c r="T143" s="32"/>
      <c r="U143" s="32"/>
      <c r="V143" s="32"/>
      <c r="W143" s="32"/>
      <c r="X143" s="32"/>
    </row>
    <row r="144" customFormat="false" ht="15" hidden="false" customHeight="false" outlineLevel="0" collapsed="false">
      <c r="A144" s="37" t="str">
        <f aca="false">IF('STUDENT SCREENING'!A144="","",'STUDENT SCREENING'!A144)</f>
        <v/>
      </c>
      <c r="B144" s="37" t="str">
        <f aca="false">IF('STUDENT SCREENING'!I144="","",'STUDENT SCREENING'!I144)</f>
        <v/>
      </c>
      <c r="C144" s="37" t="str">
        <f aca="false">IF('STUDENT SCREENING'!F144="","",'STUDENT SCREENING'!F144)</f>
        <v/>
      </c>
      <c r="D144" s="37" t="str">
        <f aca="false">IF('STUDENT SCREENING'!G144="","",'STUDENT SCREENING'!G144)</f>
        <v/>
      </c>
      <c r="E144" s="37" t="str">
        <f aca="false">IF('STUDENT SCREENING'!C144="","",'STUDENT SCREENING'!C144)</f>
        <v/>
      </c>
      <c r="F144" s="37" t="str">
        <f aca="false">IF('STUDENT SCREENING'!J144="","",'STUDENT SCREENING'!J144)</f>
        <v/>
      </c>
      <c r="G144" s="37" t="str">
        <f aca="false">IF('STUDENT SCREENING'!K144="","",'STUDENT SCREENING'!K144)</f>
        <v/>
      </c>
      <c r="H144" s="37" t="str">
        <f aca="false">IF('STUDENT SCREENING'!S144="","",'STUDENT SCREENING'!S144)</f>
        <v/>
      </c>
      <c r="I144" s="37" t="str">
        <f aca="false">IF('STUDENT SCREENING'!T144="","",'STUDENT SCREENING'!T144)</f>
        <v/>
      </c>
      <c r="J144" s="37" t="str">
        <f aca="false">IF('STUDENT SCREENING'!BM144="","",'STUDENT SCREENING'!BM144)</f>
        <v/>
      </c>
      <c r="K144" s="37" t="str">
        <f aca="false">IF('STUDENT SCREENING'!BN144="","",'STUDENT SCREENING'!BN144)</f>
        <v/>
      </c>
      <c r="L144" s="37" t="str">
        <f aca="false">IF('STUDENT SCREENING'!BO144="","",'STUDENT SCREENING'!BO144)</f>
        <v/>
      </c>
      <c r="M144" s="37" t="str">
        <f aca="false">IF('STUDENT SCREENING'!BP144="","",'STUDENT SCREENING'!BP144)</f>
        <v/>
      </c>
      <c r="N144" s="37" t="str">
        <f aca="false">IF('STUDENT SCREENING'!BQ144="","",'STUDENT SCREENING'!BQ144)</f>
        <v/>
      </c>
      <c r="O144" s="37" t="str">
        <f aca="false">IF('STUDENT SCREENING'!BR144="","",'STUDENT SCREENING'!BR144)</f>
        <v/>
      </c>
      <c r="P144" s="28"/>
      <c r="Q144" s="28"/>
      <c r="R144" s="28"/>
      <c r="S144" s="28"/>
      <c r="T144" s="28"/>
      <c r="U144" s="28"/>
      <c r="V144" s="28"/>
      <c r="W144" s="28"/>
      <c r="X144" s="28"/>
    </row>
    <row r="145" customFormat="false" ht="15" hidden="false" customHeight="false" outlineLevel="0" collapsed="false">
      <c r="A145" s="38" t="str">
        <f aca="false">IF('STUDENT SCREENING'!A145="","",'STUDENT SCREENING'!A145)</f>
        <v/>
      </c>
      <c r="B145" s="38" t="str">
        <f aca="false">IF('STUDENT SCREENING'!I145="","",'STUDENT SCREENING'!I145)</f>
        <v/>
      </c>
      <c r="C145" s="38" t="str">
        <f aca="false">IF('STUDENT SCREENING'!F145="","",'STUDENT SCREENING'!F145)</f>
        <v/>
      </c>
      <c r="D145" s="38" t="str">
        <f aca="false">IF('STUDENT SCREENING'!G145="","",'STUDENT SCREENING'!G145)</f>
        <v/>
      </c>
      <c r="E145" s="38" t="str">
        <f aca="false">IF('STUDENT SCREENING'!C145="","",'STUDENT SCREENING'!C145)</f>
        <v/>
      </c>
      <c r="F145" s="38" t="str">
        <f aca="false">IF('STUDENT SCREENING'!J145="","",'STUDENT SCREENING'!J145)</f>
        <v/>
      </c>
      <c r="G145" s="38" t="str">
        <f aca="false">IF('STUDENT SCREENING'!K145="","",'STUDENT SCREENING'!K145)</f>
        <v/>
      </c>
      <c r="H145" s="38" t="str">
        <f aca="false">IF('STUDENT SCREENING'!S145="","",'STUDENT SCREENING'!S145)</f>
        <v/>
      </c>
      <c r="I145" s="38" t="str">
        <f aca="false">IF('STUDENT SCREENING'!T145="","",'STUDENT SCREENING'!T145)</f>
        <v/>
      </c>
      <c r="J145" s="38" t="str">
        <f aca="false">IF('STUDENT SCREENING'!BM145="","",'STUDENT SCREENING'!BM145)</f>
        <v/>
      </c>
      <c r="K145" s="38" t="str">
        <f aca="false">IF('STUDENT SCREENING'!BN145="","",'STUDENT SCREENING'!BN145)</f>
        <v/>
      </c>
      <c r="L145" s="38" t="str">
        <f aca="false">IF('STUDENT SCREENING'!BO145="","",'STUDENT SCREENING'!BO145)</f>
        <v/>
      </c>
      <c r="M145" s="38" t="str">
        <f aca="false">IF('STUDENT SCREENING'!BP145="","",'STUDENT SCREENING'!BP145)</f>
        <v/>
      </c>
      <c r="N145" s="38" t="str">
        <f aca="false">IF('STUDENT SCREENING'!BQ145="","",'STUDENT SCREENING'!BQ145)</f>
        <v/>
      </c>
      <c r="O145" s="38" t="str">
        <f aca="false">IF('STUDENT SCREENING'!BR145="","",'STUDENT SCREENING'!BR145)</f>
        <v/>
      </c>
      <c r="P145" s="32"/>
      <c r="Q145" s="32"/>
      <c r="R145" s="32"/>
      <c r="S145" s="32"/>
      <c r="T145" s="32"/>
      <c r="U145" s="32"/>
      <c r="V145" s="32"/>
      <c r="W145" s="32"/>
      <c r="X145" s="32"/>
    </row>
    <row r="146" customFormat="false" ht="15" hidden="false" customHeight="false" outlineLevel="0" collapsed="false">
      <c r="A146" s="37" t="str">
        <f aca="false">IF('STUDENT SCREENING'!A146="","",'STUDENT SCREENING'!A146)</f>
        <v/>
      </c>
      <c r="B146" s="37" t="str">
        <f aca="false">IF('STUDENT SCREENING'!I146="","",'STUDENT SCREENING'!I146)</f>
        <v/>
      </c>
      <c r="C146" s="37" t="str">
        <f aca="false">IF('STUDENT SCREENING'!F146="","",'STUDENT SCREENING'!F146)</f>
        <v/>
      </c>
      <c r="D146" s="37" t="str">
        <f aca="false">IF('STUDENT SCREENING'!G146="","",'STUDENT SCREENING'!G146)</f>
        <v/>
      </c>
      <c r="E146" s="37" t="str">
        <f aca="false">IF('STUDENT SCREENING'!C146="","",'STUDENT SCREENING'!C146)</f>
        <v/>
      </c>
      <c r="F146" s="37" t="str">
        <f aca="false">IF('STUDENT SCREENING'!J146="","",'STUDENT SCREENING'!J146)</f>
        <v/>
      </c>
      <c r="G146" s="37" t="str">
        <f aca="false">IF('STUDENT SCREENING'!K146="","",'STUDENT SCREENING'!K146)</f>
        <v/>
      </c>
      <c r="H146" s="37" t="str">
        <f aca="false">IF('STUDENT SCREENING'!S146="","",'STUDENT SCREENING'!S146)</f>
        <v/>
      </c>
      <c r="I146" s="37" t="str">
        <f aca="false">IF('STUDENT SCREENING'!T146="","",'STUDENT SCREENING'!T146)</f>
        <v/>
      </c>
      <c r="J146" s="37" t="str">
        <f aca="false">IF('STUDENT SCREENING'!BM146="","",'STUDENT SCREENING'!BM146)</f>
        <v/>
      </c>
      <c r="K146" s="37" t="str">
        <f aca="false">IF('STUDENT SCREENING'!BN146="","",'STUDENT SCREENING'!BN146)</f>
        <v/>
      </c>
      <c r="L146" s="37" t="str">
        <f aca="false">IF('STUDENT SCREENING'!BO146="","",'STUDENT SCREENING'!BO146)</f>
        <v/>
      </c>
      <c r="M146" s="37" t="str">
        <f aca="false">IF('STUDENT SCREENING'!BP146="","",'STUDENT SCREENING'!BP146)</f>
        <v/>
      </c>
      <c r="N146" s="37" t="str">
        <f aca="false">IF('STUDENT SCREENING'!BQ146="","",'STUDENT SCREENING'!BQ146)</f>
        <v/>
      </c>
      <c r="O146" s="37" t="str">
        <f aca="false">IF('STUDENT SCREENING'!BR146="","",'STUDENT SCREENING'!BR146)</f>
        <v/>
      </c>
      <c r="P146" s="28"/>
      <c r="Q146" s="28"/>
      <c r="R146" s="28"/>
      <c r="S146" s="28"/>
      <c r="T146" s="28"/>
      <c r="U146" s="28"/>
      <c r="V146" s="28"/>
      <c r="W146" s="28"/>
      <c r="X146" s="28"/>
    </row>
    <row r="147" customFormat="false" ht="15" hidden="false" customHeight="false" outlineLevel="0" collapsed="false">
      <c r="A147" s="38" t="str">
        <f aca="false">IF('STUDENT SCREENING'!A147="","",'STUDENT SCREENING'!A147)</f>
        <v/>
      </c>
      <c r="B147" s="38" t="str">
        <f aca="false">IF('STUDENT SCREENING'!I147="","",'STUDENT SCREENING'!I147)</f>
        <v/>
      </c>
      <c r="C147" s="38" t="str">
        <f aca="false">IF('STUDENT SCREENING'!F147="","",'STUDENT SCREENING'!F147)</f>
        <v/>
      </c>
      <c r="D147" s="38" t="str">
        <f aca="false">IF('STUDENT SCREENING'!G147="","",'STUDENT SCREENING'!G147)</f>
        <v/>
      </c>
      <c r="E147" s="38" t="str">
        <f aca="false">IF('STUDENT SCREENING'!C147="","",'STUDENT SCREENING'!C147)</f>
        <v/>
      </c>
      <c r="F147" s="38" t="str">
        <f aca="false">IF('STUDENT SCREENING'!J147="","",'STUDENT SCREENING'!J147)</f>
        <v/>
      </c>
      <c r="G147" s="38" t="str">
        <f aca="false">IF('STUDENT SCREENING'!K147="","",'STUDENT SCREENING'!K147)</f>
        <v/>
      </c>
      <c r="H147" s="38" t="str">
        <f aca="false">IF('STUDENT SCREENING'!S147="","",'STUDENT SCREENING'!S147)</f>
        <v/>
      </c>
      <c r="I147" s="38" t="str">
        <f aca="false">IF('STUDENT SCREENING'!T147="","",'STUDENT SCREENING'!T147)</f>
        <v/>
      </c>
      <c r="J147" s="38" t="str">
        <f aca="false">IF('STUDENT SCREENING'!BM147="","",'STUDENT SCREENING'!BM147)</f>
        <v/>
      </c>
      <c r="K147" s="38" t="str">
        <f aca="false">IF('STUDENT SCREENING'!BN147="","",'STUDENT SCREENING'!BN147)</f>
        <v/>
      </c>
      <c r="L147" s="38" t="str">
        <f aca="false">IF('STUDENT SCREENING'!BO147="","",'STUDENT SCREENING'!BO147)</f>
        <v/>
      </c>
      <c r="M147" s="38" t="str">
        <f aca="false">IF('STUDENT SCREENING'!BP147="","",'STUDENT SCREENING'!BP147)</f>
        <v/>
      </c>
      <c r="N147" s="38" t="str">
        <f aca="false">IF('STUDENT SCREENING'!BQ147="","",'STUDENT SCREENING'!BQ147)</f>
        <v/>
      </c>
      <c r="O147" s="38" t="str">
        <f aca="false">IF('STUDENT SCREENING'!BR147="","",'STUDENT SCREENING'!BR147)</f>
        <v/>
      </c>
      <c r="P147" s="32"/>
      <c r="Q147" s="32"/>
      <c r="R147" s="32"/>
      <c r="S147" s="32"/>
      <c r="T147" s="32"/>
      <c r="U147" s="32"/>
      <c r="V147" s="32"/>
      <c r="W147" s="32"/>
      <c r="X147" s="32"/>
    </row>
    <row r="148" customFormat="false" ht="15" hidden="false" customHeight="false" outlineLevel="0" collapsed="false">
      <c r="A148" s="37" t="str">
        <f aca="false">IF('STUDENT SCREENING'!A148="","",'STUDENT SCREENING'!A148)</f>
        <v/>
      </c>
      <c r="B148" s="37" t="str">
        <f aca="false">IF('STUDENT SCREENING'!I148="","",'STUDENT SCREENING'!I148)</f>
        <v/>
      </c>
      <c r="C148" s="37" t="str">
        <f aca="false">IF('STUDENT SCREENING'!F148="","",'STUDENT SCREENING'!F148)</f>
        <v/>
      </c>
      <c r="D148" s="37" t="str">
        <f aca="false">IF('STUDENT SCREENING'!G148="","",'STUDENT SCREENING'!G148)</f>
        <v/>
      </c>
      <c r="E148" s="37" t="str">
        <f aca="false">IF('STUDENT SCREENING'!C148="","",'STUDENT SCREENING'!C148)</f>
        <v/>
      </c>
      <c r="F148" s="37" t="str">
        <f aca="false">IF('STUDENT SCREENING'!J148="","",'STUDENT SCREENING'!J148)</f>
        <v/>
      </c>
      <c r="G148" s="37" t="str">
        <f aca="false">IF('STUDENT SCREENING'!K148="","",'STUDENT SCREENING'!K148)</f>
        <v/>
      </c>
      <c r="H148" s="37" t="str">
        <f aca="false">IF('STUDENT SCREENING'!S148="","",'STUDENT SCREENING'!S148)</f>
        <v/>
      </c>
      <c r="I148" s="37" t="str">
        <f aca="false">IF('STUDENT SCREENING'!T148="","",'STUDENT SCREENING'!T148)</f>
        <v/>
      </c>
      <c r="J148" s="37" t="str">
        <f aca="false">IF('STUDENT SCREENING'!BM148="","",'STUDENT SCREENING'!BM148)</f>
        <v/>
      </c>
      <c r="K148" s="37" t="str">
        <f aca="false">IF('STUDENT SCREENING'!BN148="","",'STUDENT SCREENING'!BN148)</f>
        <v/>
      </c>
      <c r="L148" s="37" t="str">
        <f aca="false">IF('STUDENT SCREENING'!BO148="","",'STUDENT SCREENING'!BO148)</f>
        <v/>
      </c>
      <c r="M148" s="37" t="str">
        <f aca="false">IF('STUDENT SCREENING'!BP148="","",'STUDENT SCREENING'!BP148)</f>
        <v/>
      </c>
      <c r="N148" s="37" t="str">
        <f aca="false">IF('STUDENT SCREENING'!BQ148="","",'STUDENT SCREENING'!BQ148)</f>
        <v/>
      </c>
      <c r="O148" s="37" t="str">
        <f aca="false">IF('STUDENT SCREENING'!BR148="","",'STUDENT SCREENING'!BR148)</f>
        <v/>
      </c>
      <c r="P148" s="28"/>
      <c r="Q148" s="28"/>
      <c r="R148" s="28"/>
      <c r="S148" s="28"/>
      <c r="T148" s="28"/>
      <c r="U148" s="28"/>
      <c r="V148" s="28"/>
      <c r="W148" s="28"/>
      <c r="X148" s="28"/>
    </row>
    <row r="149" customFormat="false" ht="15" hidden="false" customHeight="false" outlineLevel="0" collapsed="false">
      <c r="A149" s="38" t="str">
        <f aca="false">IF('STUDENT SCREENING'!A149="","",'STUDENT SCREENING'!A149)</f>
        <v/>
      </c>
      <c r="B149" s="38" t="str">
        <f aca="false">IF('STUDENT SCREENING'!I149="","",'STUDENT SCREENING'!I149)</f>
        <v/>
      </c>
      <c r="C149" s="38" t="str">
        <f aca="false">IF('STUDENT SCREENING'!F149="","",'STUDENT SCREENING'!F149)</f>
        <v/>
      </c>
      <c r="D149" s="38" t="str">
        <f aca="false">IF('STUDENT SCREENING'!G149="","",'STUDENT SCREENING'!G149)</f>
        <v/>
      </c>
      <c r="E149" s="38" t="str">
        <f aca="false">IF('STUDENT SCREENING'!C149="","",'STUDENT SCREENING'!C149)</f>
        <v/>
      </c>
      <c r="F149" s="38" t="str">
        <f aca="false">IF('STUDENT SCREENING'!J149="","",'STUDENT SCREENING'!J149)</f>
        <v/>
      </c>
      <c r="G149" s="38" t="str">
        <f aca="false">IF('STUDENT SCREENING'!K149="","",'STUDENT SCREENING'!K149)</f>
        <v/>
      </c>
      <c r="H149" s="38" t="str">
        <f aca="false">IF('STUDENT SCREENING'!S149="","",'STUDENT SCREENING'!S149)</f>
        <v/>
      </c>
      <c r="I149" s="38" t="str">
        <f aca="false">IF('STUDENT SCREENING'!T149="","",'STUDENT SCREENING'!T149)</f>
        <v/>
      </c>
      <c r="J149" s="38" t="str">
        <f aca="false">IF('STUDENT SCREENING'!BM149="","",'STUDENT SCREENING'!BM149)</f>
        <v/>
      </c>
      <c r="K149" s="38" t="str">
        <f aca="false">IF('STUDENT SCREENING'!BN149="","",'STUDENT SCREENING'!BN149)</f>
        <v/>
      </c>
      <c r="L149" s="38" t="str">
        <f aca="false">IF('STUDENT SCREENING'!BO149="","",'STUDENT SCREENING'!BO149)</f>
        <v/>
      </c>
      <c r="M149" s="38" t="str">
        <f aca="false">IF('STUDENT SCREENING'!BP149="","",'STUDENT SCREENING'!BP149)</f>
        <v/>
      </c>
      <c r="N149" s="38" t="str">
        <f aca="false">IF('STUDENT SCREENING'!BQ149="","",'STUDENT SCREENING'!BQ149)</f>
        <v/>
      </c>
      <c r="O149" s="38" t="str">
        <f aca="false">IF('STUDENT SCREENING'!BR149="","",'STUDENT SCREENING'!BR149)</f>
        <v/>
      </c>
      <c r="P149" s="32"/>
      <c r="Q149" s="32"/>
      <c r="R149" s="32"/>
      <c r="S149" s="32"/>
      <c r="T149" s="32"/>
      <c r="U149" s="32"/>
      <c r="V149" s="32"/>
      <c r="W149" s="32"/>
      <c r="X149" s="32"/>
    </row>
    <row r="150" customFormat="false" ht="15" hidden="false" customHeight="false" outlineLevel="0" collapsed="false">
      <c r="A150" s="37" t="str">
        <f aca="false">IF('STUDENT SCREENING'!A150="","",'STUDENT SCREENING'!A150)</f>
        <v/>
      </c>
      <c r="B150" s="37" t="str">
        <f aca="false">IF('STUDENT SCREENING'!I150="","",'STUDENT SCREENING'!I150)</f>
        <v/>
      </c>
      <c r="C150" s="37" t="str">
        <f aca="false">IF('STUDENT SCREENING'!F150="","",'STUDENT SCREENING'!F150)</f>
        <v/>
      </c>
      <c r="D150" s="37" t="str">
        <f aca="false">IF('STUDENT SCREENING'!G150="","",'STUDENT SCREENING'!G150)</f>
        <v/>
      </c>
      <c r="E150" s="37" t="str">
        <f aca="false">IF('STUDENT SCREENING'!C150="","",'STUDENT SCREENING'!C150)</f>
        <v/>
      </c>
      <c r="F150" s="37" t="str">
        <f aca="false">IF('STUDENT SCREENING'!J150="","",'STUDENT SCREENING'!J150)</f>
        <v/>
      </c>
      <c r="G150" s="37" t="str">
        <f aca="false">IF('STUDENT SCREENING'!K150="","",'STUDENT SCREENING'!K150)</f>
        <v/>
      </c>
      <c r="H150" s="37" t="str">
        <f aca="false">IF('STUDENT SCREENING'!S150="","",'STUDENT SCREENING'!S150)</f>
        <v/>
      </c>
      <c r="I150" s="37" t="str">
        <f aca="false">IF('STUDENT SCREENING'!T150="","",'STUDENT SCREENING'!T150)</f>
        <v/>
      </c>
      <c r="J150" s="37" t="str">
        <f aca="false">IF('STUDENT SCREENING'!BM150="","",'STUDENT SCREENING'!BM150)</f>
        <v/>
      </c>
      <c r="K150" s="37" t="str">
        <f aca="false">IF('STUDENT SCREENING'!BN150="","",'STUDENT SCREENING'!BN150)</f>
        <v/>
      </c>
      <c r="L150" s="37" t="str">
        <f aca="false">IF('STUDENT SCREENING'!BO150="","",'STUDENT SCREENING'!BO150)</f>
        <v/>
      </c>
      <c r="M150" s="37" t="str">
        <f aca="false">IF('STUDENT SCREENING'!BP150="","",'STUDENT SCREENING'!BP150)</f>
        <v/>
      </c>
      <c r="N150" s="37" t="str">
        <f aca="false">IF('STUDENT SCREENING'!BQ150="","",'STUDENT SCREENING'!BQ150)</f>
        <v/>
      </c>
      <c r="O150" s="37" t="str">
        <f aca="false">IF('STUDENT SCREENING'!BR150="","",'STUDENT SCREENING'!BR150)</f>
        <v/>
      </c>
      <c r="P150" s="28"/>
      <c r="Q150" s="28"/>
      <c r="R150" s="28"/>
      <c r="S150" s="28"/>
      <c r="T150" s="28"/>
      <c r="U150" s="28"/>
      <c r="V150" s="28"/>
      <c r="W150" s="28"/>
      <c r="X150" s="28"/>
    </row>
    <row r="151" customFormat="false" ht="15" hidden="false" customHeight="false" outlineLevel="0" collapsed="false">
      <c r="A151" s="38" t="str">
        <f aca="false">IF('STUDENT SCREENING'!A151="","",'STUDENT SCREENING'!A151)</f>
        <v/>
      </c>
      <c r="B151" s="38" t="str">
        <f aca="false">IF('STUDENT SCREENING'!I151="","",'STUDENT SCREENING'!I151)</f>
        <v/>
      </c>
      <c r="C151" s="38" t="str">
        <f aca="false">IF('STUDENT SCREENING'!F151="","",'STUDENT SCREENING'!F151)</f>
        <v/>
      </c>
      <c r="D151" s="38" t="str">
        <f aca="false">IF('STUDENT SCREENING'!G151="","",'STUDENT SCREENING'!G151)</f>
        <v/>
      </c>
      <c r="E151" s="38" t="str">
        <f aca="false">IF('STUDENT SCREENING'!C151="","",'STUDENT SCREENING'!C151)</f>
        <v/>
      </c>
      <c r="F151" s="38" t="str">
        <f aca="false">IF('STUDENT SCREENING'!J151="","",'STUDENT SCREENING'!J151)</f>
        <v/>
      </c>
      <c r="G151" s="38" t="str">
        <f aca="false">IF('STUDENT SCREENING'!K151="","",'STUDENT SCREENING'!K151)</f>
        <v/>
      </c>
      <c r="H151" s="38" t="str">
        <f aca="false">IF('STUDENT SCREENING'!S151="","",'STUDENT SCREENING'!S151)</f>
        <v/>
      </c>
      <c r="I151" s="38" t="str">
        <f aca="false">IF('STUDENT SCREENING'!T151="","",'STUDENT SCREENING'!T151)</f>
        <v/>
      </c>
      <c r="J151" s="38" t="str">
        <f aca="false">IF('STUDENT SCREENING'!BM151="","",'STUDENT SCREENING'!BM151)</f>
        <v/>
      </c>
      <c r="K151" s="38" t="str">
        <f aca="false">IF('STUDENT SCREENING'!BN151="","",'STUDENT SCREENING'!BN151)</f>
        <v/>
      </c>
      <c r="L151" s="38" t="str">
        <f aca="false">IF('STUDENT SCREENING'!BO151="","",'STUDENT SCREENING'!BO151)</f>
        <v/>
      </c>
      <c r="M151" s="38" t="str">
        <f aca="false">IF('STUDENT SCREENING'!BP151="","",'STUDENT SCREENING'!BP151)</f>
        <v/>
      </c>
      <c r="N151" s="38" t="str">
        <f aca="false">IF('STUDENT SCREENING'!BQ151="","",'STUDENT SCREENING'!BQ151)</f>
        <v/>
      </c>
      <c r="O151" s="38" t="str">
        <f aca="false">IF('STUDENT SCREENING'!BR151="","",'STUDENT SCREENING'!BR151)</f>
        <v/>
      </c>
      <c r="P151" s="32"/>
      <c r="Q151" s="32"/>
      <c r="R151" s="32"/>
      <c r="S151" s="32"/>
      <c r="T151" s="32"/>
      <c r="U151" s="32"/>
      <c r="V151" s="32"/>
      <c r="W151" s="32"/>
      <c r="X151" s="32"/>
    </row>
    <row r="152" customFormat="false" ht="15" hidden="false" customHeight="false" outlineLevel="0" collapsed="false">
      <c r="A152" s="37" t="str">
        <f aca="false">IF('STUDENT SCREENING'!A152="","",'STUDENT SCREENING'!A152)</f>
        <v/>
      </c>
      <c r="B152" s="37" t="str">
        <f aca="false">IF('STUDENT SCREENING'!I152="","",'STUDENT SCREENING'!I152)</f>
        <v/>
      </c>
      <c r="C152" s="37" t="str">
        <f aca="false">IF('STUDENT SCREENING'!F152="","",'STUDENT SCREENING'!F152)</f>
        <v/>
      </c>
      <c r="D152" s="37" t="str">
        <f aca="false">IF('STUDENT SCREENING'!G152="","",'STUDENT SCREENING'!G152)</f>
        <v/>
      </c>
      <c r="E152" s="37" t="str">
        <f aca="false">IF('STUDENT SCREENING'!C152="","",'STUDENT SCREENING'!C152)</f>
        <v/>
      </c>
      <c r="F152" s="37" t="str">
        <f aca="false">IF('STUDENT SCREENING'!J152="","",'STUDENT SCREENING'!J152)</f>
        <v/>
      </c>
      <c r="G152" s="37" t="str">
        <f aca="false">IF('STUDENT SCREENING'!K152="","",'STUDENT SCREENING'!K152)</f>
        <v/>
      </c>
      <c r="H152" s="37" t="str">
        <f aca="false">IF('STUDENT SCREENING'!S152="","",'STUDENT SCREENING'!S152)</f>
        <v/>
      </c>
      <c r="I152" s="37" t="str">
        <f aca="false">IF('STUDENT SCREENING'!T152="","",'STUDENT SCREENING'!T152)</f>
        <v/>
      </c>
      <c r="J152" s="37" t="str">
        <f aca="false">IF('STUDENT SCREENING'!BM152="","",'STUDENT SCREENING'!BM152)</f>
        <v/>
      </c>
      <c r="K152" s="37" t="str">
        <f aca="false">IF('STUDENT SCREENING'!BN152="","",'STUDENT SCREENING'!BN152)</f>
        <v/>
      </c>
      <c r="L152" s="37" t="str">
        <f aca="false">IF('STUDENT SCREENING'!BO152="","",'STUDENT SCREENING'!BO152)</f>
        <v/>
      </c>
      <c r="M152" s="37" t="str">
        <f aca="false">IF('STUDENT SCREENING'!BP152="","",'STUDENT SCREENING'!BP152)</f>
        <v/>
      </c>
      <c r="N152" s="37" t="str">
        <f aca="false">IF('STUDENT SCREENING'!BQ152="","",'STUDENT SCREENING'!BQ152)</f>
        <v/>
      </c>
      <c r="O152" s="37" t="str">
        <f aca="false">IF('STUDENT SCREENING'!BR152="","",'STUDENT SCREENING'!BR152)</f>
        <v/>
      </c>
      <c r="P152" s="28"/>
      <c r="Q152" s="28"/>
      <c r="R152" s="28"/>
      <c r="S152" s="28"/>
      <c r="T152" s="28"/>
      <c r="U152" s="28"/>
      <c r="V152" s="28"/>
      <c r="W152" s="28"/>
      <c r="X152" s="28"/>
    </row>
    <row r="153" customFormat="false" ht="15" hidden="false" customHeight="false" outlineLevel="0" collapsed="false">
      <c r="A153" s="38" t="str">
        <f aca="false">IF('STUDENT SCREENING'!A153="","",'STUDENT SCREENING'!A153)</f>
        <v/>
      </c>
      <c r="B153" s="38" t="str">
        <f aca="false">IF('STUDENT SCREENING'!I153="","",'STUDENT SCREENING'!I153)</f>
        <v/>
      </c>
      <c r="C153" s="38" t="str">
        <f aca="false">IF('STUDENT SCREENING'!F153="","",'STUDENT SCREENING'!F153)</f>
        <v/>
      </c>
      <c r="D153" s="38" t="str">
        <f aca="false">IF('STUDENT SCREENING'!G153="","",'STUDENT SCREENING'!G153)</f>
        <v/>
      </c>
      <c r="E153" s="38" t="str">
        <f aca="false">IF('STUDENT SCREENING'!C153="","",'STUDENT SCREENING'!C153)</f>
        <v/>
      </c>
      <c r="F153" s="38" t="str">
        <f aca="false">IF('STUDENT SCREENING'!J153="","",'STUDENT SCREENING'!J153)</f>
        <v/>
      </c>
      <c r="G153" s="38" t="str">
        <f aca="false">IF('STUDENT SCREENING'!K153="","",'STUDENT SCREENING'!K153)</f>
        <v/>
      </c>
      <c r="H153" s="38" t="str">
        <f aca="false">IF('STUDENT SCREENING'!S153="","",'STUDENT SCREENING'!S153)</f>
        <v/>
      </c>
      <c r="I153" s="38" t="str">
        <f aca="false">IF('STUDENT SCREENING'!T153="","",'STUDENT SCREENING'!T153)</f>
        <v/>
      </c>
      <c r="J153" s="38" t="str">
        <f aca="false">IF('STUDENT SCREENING'!BM153="","",'STUDENT SCREENING'!BM153)</f>
        <v/>
      </c>
      <c r="K153" s="38" t="str">
        <f aca="false">IF('STUDENT SCREENING'!BN153="","",'STUDENT SCREENING'!BN153)</f>
        <v/>
      </c>
      <c r="L153" s="38" t="str">
        <f aca="false">IF('STUDENT SCREENING'!BO153="","",'STUDENT SCREENING'!BO153)</f>
        <v/>
      </c>
      <c r="M153" s="38" t="str">
        <f aca="false">IF('STUDENT SCREENING'!BP153="","",'STUDENT SCREENING'!BP153)</f>
        <v/>
      </c>
      <c r="N153" s="38" t="str">
        <f aca="false">IF('STUDENT SCREENING'!BQ153="","",'STUDENT SCREENING'!BQ153)</f>
        <v/>
      </c>
      <c r="O153" s="38" t="str">
        <f aca="false">IF('STUDENT SCREENING'!BR153="","",'STUDENT SCREENING'!BR153)</f>
        <v/>
      </c>
      <c r="P153" s="32"/>
      <c r="Q153" s="32"/>
      <c r="R153" s="32"/>
      <c r="S153" s="32"/>
      <c r="T153" s="32"/>
      <c r="U153" s="32"/>
      <c r="V153" s="32"/>
      <c r="W153" s="32"/>
      <c r="X153" s="32"/>
    </row>
    <row r="154" customFormat="false" ht="15" hidden="false" customHeight="false" outlineLevel="0" collapsed="false">
      <c r="A154" s="37" t="str">
        <f aca="false">IF('STUDENT SCREENING'!A154="","",'STUDENT SCREENING'!A154)</f>
        <v/>
      </c>
      <c r="B154" s="37" t="str">
        <f aca="false">IF('STUDENT SCREENING'!I154="","",'STUDENT SCREENING'!I154)</f>
        <v/>
      </c>
      <c r="C154" s="37" t="str">
        <f aca="false">IF('STUDENT SCREENING'!F154="","",'STUDENT SCREENING'!F154)</f>
        <v/>
      </c>
      <c r="D154" s="37" t="str">
        <f aca="false">IF('STUDENT SCREENING'!G154="","",'STUDENT SCREENING'!G154)</f>
        <v/>
      </c>
      <c r="E154" s="37" t="str">
        <f aca="false">IF('STUDENT SCREENING'!C154="","",'STUDENT SCREENING'!C154)</f>
        <v/>
      </c>
      <c r="F154" s="37" t="str">
        <f aca="false">IF('STUDENT SCREENING'!J154="","",'STUDENT SCREENING'!J154)</f>
        <v/>
      </c>
      <c r="G154" s="37" t="str">
        <f aca="false">IF('STUDENT SCREENING'!K154="","",'STUDENT SCREENING'!K154)</f>
        <v/>
      </c>
      <c r="H154" s="37" t="str">
        <f aca="false">IF('STUDENT SCREENING'!S154="","",'STUDENT SCREENING'!S154)</f>
        <v/>
      </c>
      <c r="I154" s="37" t="str">
        <f aca="false">IF('STUDENT SCREENING'!T154="","",'STUDENT SCREENING'!T154)</f>
        <v/>
      </c>
      <c r="J154" s="37" t="str">
        <f aca="false">IF('STUDENT SCREENING'!BM154="","",'STUDENT SCREENING'!BM154)</f>
        <v/>
      </c>
      <c r="K154" s="37" t="str">
        <f aca="false">IF('STUDENT SCREENING'!BN154="","",'STUDENT SCREENING'!BN154)</f>
        <v/>
      </c>
      <c r="L154" s="37" t="str">
        <f aca="false">IF('STUDENT SCREENING'!BO154="","",'STUDENT SCREENING'!BO154)</f>
        <v/>
      </c>
      <c r="M154" s="37" t="str">
        <f aca="false">IF('STUDENT SCREENING'!BP154="","",'STUDENT SCREENING'!BP154)</f>
        <v/>
      </c>
      <c r="N154" s="37" t="str">
        <f aca="false">IF('STUDENT SCREENING'!BQ154="","",'STUDENT SCREENING'!BQ154)</f>
        <v/>
      </c>
      <c r="O154" s="37" t="str">
        <f aca="false">IF('STUDENT SCREENING'!BR154="","",'STUDENT SCREENING'!BR154)</f>
        <v/>
      </c>
      <c r="P154" s="28"/>
      <c r="Q154" s="28"/>
      <c r="R154" s="28"/>
      <c r="S154" s="28"/>
      <c r="T154" s="28"/>
      <c r="U154" s="28"/>
      <c r="V154" s="28"/>
      <c r="W154" s="28"/>
      <c r="X154" s="28"/>
    </row>
    <row r="155" customFormat="false" ht="15" hidden="false" customHeight="false" outlineLevel="0" collapsed="false">
      <c r="A155" s="38" t="str">
        <f aca="false">IF('STUDENT SCREENING'!A155="","",'STUDENT SCREENING'!A155)</f>
        <v/>
      </c>
      <c r="B155" s="38" t="str">
        <f aca="false">IF('STUDENT SCREENING'!I155="","",'STUDENT SCREENING'!I155)</f>
        <v/>
      </c>
      <c r="C155" s="38" t="str">
        <f aca="false">IF('STUDENT SCREENING'!F155="","",'STUDENT SCREENING'!F155)</f>
        <v/>
      </c>
      <c r="D155" s="38" t="str">
        <f aca="false">IF('STUDENT SCREENING'!G155="","",'STUDENT SCREENING'!G155)</f>
        <v/>
      </c>
      <c r="E155" s="38" t="str">
        <f aca="false">IF('STUDENT SCREENING'!C155="","",'STUDENT SCREENING'!C155)</f>
        <v/>
      </c>
      <c r="F155" s="38" t="str">
        <f aca="false">IF('STUDENT SCREENING'!J155="","",'STUDENT SCREENING'!J155)</f>
        <v/>
      </c>
      <c r="G155" s="38" t="str">
        <f aca="false">IF('STUDENT SCREENING'!K155="","",'STUDENT SCREENING'!K155)</f>
        <v/>
      </c>
      <c r="H155" s="38" t="str">
        <f aca="false">IF('STUDENT SCREENING'!S155="","",'STUDENT SCREENING'!S155)</f>
        <v/>
      </c>
      <c r="I155" s="38" t="str">
        <f aca="false">IF('STUDENT SCREENING'!T155="","",'STUDENT SCREENING'!T155)</f>
        <v/>
      </c>
      <c r="J155" s="38" t="str">
        <f aca="false">IF('STUDENT SCREENING'!BM155="","",'STUDENT SCREENING'!BM155)</f>
        <v/>
      </c>
      <c r="K155" s="38" t="str">
        <f aca="false">IF('STUDENT SCREENING'!BN155="","",'STUDENT SCREENING'!BN155)</f>
        <v/>
      </c>
      <c r="L155" s="38" t="str">
        <f aca="false">IF('STUDENT SCREENING'!BO155="","",'STUDENT SCREENING'!BO155)</f>
        <v/>
      </c>
      <c r="M155" s="38" t="str">
        <f aca="false">IF('STUDENT SCREENING'!BP155="","",'STUDENT SCREENING'!BP155)</f>
        <v/>
      </c>
      <c r="N155" s="38" t="str">
        <f aca="false">IF('STUDENT SCREENING'!BQ155="","",'STUDENT SCREENING'!BQ155)</f>
        <v/>
      </c>
      <c r="O155" s="38" t="str">
        <f aca="false">IF('STUDENT SCREENING'!BR155="","",'STUDENT SCREENING'!BR155)</f>
        <v/>
      </c>
      <c r="P155" s="32"/>
      <c r="Q155" s="32"/>
      <c r="R155" s="32"/>
      <c r="S155" s="32"/>
      <c r="T155" s="32"/>
      <c r="U155" s="32"/>
      <c r="V155" s="32"/>
      <c r="W155" s="32"/>
      <c r="X155" s="32"/>
    </row>
    <row r="156" customFormat="false" ht="15" hidden="false" customHeight="false" outlineLevel="0" collapsed="false">
      <c r="A156" s="37" t="str">
        <f aca="false">IF('STUDENT SCREENING'!A156="","",'STUDENT SCREENING'!A156)</f>
        <v/>
      </c>
      <c r="B156" s="37" t="str">
        <f aca="false">IF('STUDENT SCREENING'!I156="","",'STUDENT SCREENING'!I156)</f>
        <v/>
      </c>
      <c r="C156" s="37" t="str">
        <f aca="false">IF('STUDENT SCREENING'!F156="","",'STUDENT SCREENING'!F156)</f>
        <v/>
      </c>
      <c r="D156" s="37" t="str">
        <f aca="false">IF('STUDENT SCREENING'!G156="","",'STUDENT SCREENING'!G156)</f>
        <v/>
      </c>
      <c r="E156" s="37" t="str">
        <f aca="false">IF('STUDENT SCREENING'!C156="","",'STUDENT SCREENING'!C156)</f>
        <v/>
      </c>
      <c r="F156" s="37" t="str">
        <f aca="false">IF('STUDENT SCREENING'!J156="","",'STUDENT SCREENING'!J156)</f>
        <v/>
      </c>
      <c r="G156" s="37" t="str">
        <f aca="false">IF('STUDENT SCREENING'!K156="","",'STUDENT SCREENING'!K156)</f>
        <v/>
      </c>
      <c r="H156" s="37" t="str">
        <f aca="false">IF('STUDENT SCREENING'!S156="","",'STUDENT SCREENING'!S156)</f>
        <v/>
      </c>
      <c r="I156" s="37" t="str">
        <f aca="false">IF('STUDENT SCREENING'!T156="","",'STUDENT SCREENING'!T156)</f>
        <v/>
      </c>
      <c r="J156" s="37" t="str">
        <f aca="false">IF('STUDENT SCREENING'!BM156="","",'STUDENT SCREENING'!BM156)</f>
        <v/>
      </c>
      <c r="K156" s="37" t="str">
        <f aca="false">IF('STUDENT SCREENING'!BN156="","",'STUDENT SCREENING'!BN156)</f>
        <v/>
      </c>
      <c r="L156" s="37" t="str">
        <f aca="false">IF('STUDENT SCREENING'!BO156="","",'STUDENT SCREENING'!BO156)</f>
        <v/>
      </c>
      <c r="M156" s="37" t="str">
        <f aca="false">IF('STUDENT SCREENING'!BP156="","",'STUDENT SCREENING'!BP156)</f>
        <v/>
      </c>
      <c r="N156" s="37" t="str">
        <f aca="false">IF('STUDENT SCREENING'!BQ156="","",'STUDENT SCREENING'!BQ156)</f>
        <v/>
      </c>
      <c r="O156" s="37" t="str">
        <f aca="false">IF('STUDENT SCREENING'!BR156="","",'STUDENT SCREENING'!BR156)</f>
        <v/>
      </c>
      <c r="P156" s="28"/>
      <c r="Q156" s="28"/>
      <c r="R156" s="28"/>
      <c r="S156" s="28"/>
      <c r="T156" s="28"/>
      <c r="U156" s="28"/>
      <c r="V156" s="28"/>
      <c r="W156" s="28"/>
      <c r="X156" s="28"/>
    </row>
    <row r="157" customFormat="false" ht="15" hidden="false" customHeight="false" outlineLevel="0" collapsed="false">
      <c r="A157" s="38" t="str">
        <f aca="false">IF('STUDENT SCREENING'!A157="","",'STUDENT SCREENING'!A157)</f>
        <v/>
      </c>
      <c r="B157" s="38" t="str">
        <f aca="false">IF('STUDENT SCREENING'!I157="","",'STUDENT SCREENING'!I157)</f>
        <v/>
      </c>
      <c r="C157" s="38" t="str">
        <f aca="false">IF('STUDENT SCREENING'!F157="","",'STUDENT SCREENING'!F157)</f>
        <v/>
      </c>
      <c r="D157" s="38" t="str">
        <f aca="false">IF('STUDENT SCREENING'!G157="","",'STUDENT SCREENING'!G157)</f>
        <v/>
      </c>
      <c r="E157" s="38" t="str">
        <f aca="false">IF('STUDENT SCREENING'!C157="","",'STUDENT SCREENING'!C157)</f>
        <v/>
      </c>
      <c r="F157" s="38" t="str">
        <f aca="false">IF('STUDENT SCREENING'!J157="","",'STUDENT SCREENING'!J157)</f>
        <v/>
      </c>
      <c r="G157" s="38" t="str">
        <f aca="false">IF('STUDENT SCREENING'!K157="","",'STUDENT SCREENING'!K157)</f>
        <v/>
      </c>
      <c r="H157" s="38" t="str">
        <f aca="false">IF('STUDENT SCREENING'!S157="","",'STUDENT SCREENING'!S157)</f>
        <v/>
      </c>
      <c r="I157" s="38" t="str">
        <f aca="false">IF('STUDENT SCREENING'!T157="","",'STUDENT SCREENING'!T157)</f>
        <v/>
      </c>
      <c r="J157" s="38" t="str">
        <f aca="false">IF('STUDENT SCREENING'!BM157="","",'STUDENT SCREENING'!BM157)</f>
        <v/>
      </c>
      <c r="K157" s="38" t="str">
        <f aca="false">IF('STUDENT SCREENING'!BN157="","",'STUDENT SCREENING'!BN157)</f>
        <v/>
      </c>
      <c r="L157" s="38" t="str">
        <f aca="false">IF('STUDENT SCREENING'!BO157="","",'STUDENT SCREENING'!BO157)</f>
        <v/>
      </c>
      <c r="M157" s="38" t="str">
        <f aca="false">IF('STUDENT SCREENING'!BP157="","",'STUDENT SCREENING'!BP157)</f>
        <v/>
      </c>
      <c r="N157" s="38" t="str">
        <f aca="false">IF('STUDENT SCREENING'!BQ157="","",'STUDENT SCREENING'!BQ157)</f>
        <v/>
      </c>
      <c r="O157" s="38" t="str">
        <f aca="false">IF('STUDENT SCREENING'!BR157="","",'STUDENT SCREENING'!BR157)</f>
        <v/>
      </c>
      <c r="P157" s="32"/>
      <c r="Q157" s="32"/>
      <c r="R157" s="32"/>
      <c r="S157" s="32"/>
      <c r="T157" s="32"/>
      <c r="U157" s="32"/>
      <c r="V157" s="32"/>
      <c r="W157" s="32"/>
      <c r="X157" s="32"/>
    </row>
    <row r="158" customFormat="false" ht="15" hidden="false" customHeight="false" outlineLevel="0" collapsed="false">
      <c r="A158" s="37" t="str">
        <f aca="false">IF('STUDENT SCREENING'!A158="","",'STUDENT SCREENING'!A158)</f>
        <v/>
      </c>
      <c r="B158" s="37" t="str">
        <f aca="false">IF('STUDENT SCREENING'!I158="","",'STUDENT SCREENING'!I158)</f>
        <v/>
      </c>
      <c r="C158" s="37" t="str">
        <f aca="false">IF('STUDENT SCREENING'!F158="","",'STUDENT SCREENING'!F158)</f>
        <v/>
      </c>
      <c r="D158" s="37" t="str">
        <f aca="false">IF('STUDENT SCREENING'!G158="","",'STUDENT SCREENING'!G158)</f>
        <v/>
      </c>
      <c r="E158" s="37" t="str">
        <f aca="false">IF('STUDENT SCREENING'!C158="","",'STUDENT SCREENING'!C158)</f>
        <v/>
      </c>
      <c r="F158" s="37" t="str">
        <f aca="false">IF('STUDENT SCREENING'!J158="","",'STUDENT SCREENING'!J158)</f>
        <v/>
      </c>
      <c r="G158" s="37" t="str">
        <f aca="false">IF('STUDENT SCREENING'!K158="","",'STUDENT SCREENING'!K158)</f>
        <v/>
      </c>
      <c r="H158" s="37" t="str">
        <f aca="false">IF('STUDENT SCREENING'!S158="","",'STUDENT SCREENING'!S158)</f>
        <v/>
      </c>
      <c r="I158" s="37" t="str">
        <f aca="false">IF('STUDENT SCREENING'!T158="","",'STUDENT SCREENING'!T158)</f>
        <v/>
      </c>
      <c r="J158" s="37" t="str">
        <f aca="false">IF('STUDENT SCREENING'!BM158="","",'STUDENT SCREENING'!BM158)</f>
        <v/>
      </c>
      <c r="K158" s="37" t="str">
        <f aca="false">IF('STUDENT SCREENING'!BN158="","",'STUDENT SCREENING'!BN158)</f>
        <v/>
      </c>
      <c r="L158" s="37" t="str">
        <f aca="false">IF('STUDENT SCREENING'!BO158="","",'STUDENT SCREENING'!BO158)</f>
        <v/>
      </c>
      <c r="M158" s="37" t="str">
        <f aca="false">IF('STUDENT SCREENING'!BP158="","",'STUDENT SCREENING'!BP158)</f>
        <v/>
      </c>
      <c r="N158" s="37" t="str">
        <f aca="false">IF('STUDENT SCREENING'!BQ158="","",'STUDENT SCREENING'!BQ158)</f>
        <v/>
      </c>
      <c r="O158" s="37" t="str">
        <f aca="false">IF('STUDENT SCREENING'!BR158="","",'STUDENT SCREENING'!BR158)</f>
        <v/>
      </c>
      <c r="P158" s="28"/>
      <c r="Q158" s="28"/>
      <c r="R158" s="28"/>
      <c r="S158" s="28"/>
      <c r="T158" s="28"/>
      <c r="U158" s="28"/>
      <c r="V158" s="28"/>
      <c r="W158" s="28"/>
      <c r="X158" s="28"/>
    </row>
    <row r="159" customFormat="false" ht="15" hidden="false" customHeight="false" outlineLevel="0" collapsed="false">
      <c r="A159" s="38" t="str">
        <f aca="false">IF('STUDENT SCREENING'!A159="","",'STUDENT SCREENING'!A159)</f>
        <v/>
      </c>
      <c r="B159" s="38" t="str">
        <f aca="false">IF('STUDENT SCREENING'!I159="","",'STUDENT SCREENING'!I159)</f>
        <v/>
      </c>
      <c r="C159" s="38" t="str">
        <f aca="false">IF('STUDENT SCREENING'!F159="","",'STUDENT SCREENING'!F159)</f>
        <v/>
      </c>
      <c r="D159" s="38" t="str">
        <f aca="false">IF('STUDENT SCREENING'!G159="","",'STUDENT SCREENING'!G159)</f>
        <v/>
      </c>
      <c r="E159" s="38" t="str">
        <f aca="false">IF('STUDENT SCREENING'!C159="","",'STUDENT SCREENING'!C159)</f>
        <v/>
      </c>
      <c r="F159" s="38" t="str">
        <f aca="false">IF('STUDENT SCREENING'!J159="","",'STUDENT SCREENING'!J159)</f>
        <v/>
      </c>
      <c r="G159" s="38" t="str">
        <f aca="false">IF('STUDENT SCREENING'!K159="","",'STUDENT SCREENING'!K159)</f>
        <v/>
      </c>
      <c r="H159" s="38" t="str">
        <f aca="false">IF('STUDENT SCREENING'!S159="","",'STUDENT SCREENING'!S159)</f>
        <v/>
      </c>
      <c r="I159" s="38" t="str">
        <f aca="false">IF('STUDENT SCREENING'!T159="","",'STUDENT SCREENING'!T159)</f>
        <v/>
      </c>
      <c r="J159" s="38" t="str">
        <f aca="false">IF('STUDENT SCREENING'!BM159="","",'STUDENT SCREENING'!BM159)</f>
        <v/>
      </c>
      <c r="K159" s="38" t="str">
        <f aca="false">IF('STUDENT SCREENING'!BN159="","",'STUDENT SCREENING'!BN159)</f>
        <v/>
      </c>
      <c r="L159" s="38" t="str">
        <f aca="false">IF('STUDENT SCREENING'!BO159="","",'STUDENT SCREENING'!BO159)</f>
        <v/>
      </c>
      <c r="M159" s="38" t="str">
        <f aca="false">IF('STUDENT SCREENING'!BP159="","",'STUDENT SCREENING'!BP159)</f>
        <v/>
      </c>
      <c r="N159" s="38" t="str">
        <f aca="false">IF('STUDENT SCREENING'!BQ159="","",'STUDENT SCREENING'!BQ159)</f>
        <v/>
      </c>
      <c r="O159" s="38" t="str">
        <f aca="false">IF('STUDENT SCREENING'!BR159="","",'STUDENT SCREENING'!BR159)</f>
        <v/>
      </c>
      <c r="P159" s="32"/>
      <c r="Q159" s="32"/>
      <c r="R159" s="32"/>
      <c r="S159" s="32"/>
      <c r="T159" s="32"/>
      <c r="U159" s="32"/>
      <c r="V159" s="32"/>
      <c r="W159" s="32"/>
      <c r="X159" s="32"/>
    </row>
    <row r="160" customFormat="false" ht="15" hidden="false" customHeight="false" outlineLevel="0" collapsed="false">
      <c r="A160" s="37" t="str">
        <f aca="false">IF('STUDENT SCREENING'!A160="","",'STUDENT SCREENING'!A160)</f>
        <v/>
      </c>
      <c r="B160" s="37" t="str">
        <f aca="false">IF('STUDENT SCREENING'!I160="","",'STUDENT SCREENING'!I160)</f>
        <v/>
      </c>
      <c r="C160" s="37" t="str">
        <f aca="false">IF('STUDENT SCREENING'!F160="","",'STUDENT SCREENING'!F160)</f>
        <v/>
      </c>
      <c r="D160" s="37" t="str">
        <f aca="false">IF('STUDENT SCREENING'!G160="","",'STUDENT SCREENING'!G160)</f>
        <v/>
      </c>
      <c r="E160" s="37" t="str">
        <f aca="false">IF('STUDENT SCREENING'!C160="","",'STUDENT SCREENING'!C160)</f>
        <v/>
      </c>
      <c r="F160" s="37" t="str">
        <f aca="false">IF('STUDENT SCREENING'!J160="","",'STUDENT SCREENING'!J160)</f>
        <v/>
      </c>
      <c r="G160" s="37" t="str">
        <f aca="false">IF('STUDENT SCREENING'!K160="","",'STUDENT SCREENING'!K160)</f>
        <v/>
      </c>
      <c r="H160" s="37" t="str">
        <f aca="false">IF('STUDENT SCREENING'!S160="","",'STUDENT SCREENING'!S160)</f>
        <v/>
      </c>
      <c r="I160" s="37" t="str">
        <f aca="false">IF('STUDENT SCREENING'!T160="","",'STUDENT SCREENING'!T160)</f>
        <v/>
      </c>
      <c r="J160" s="37" t="str">
        <f aca="false">IF('STUDENT SCREENING'!BM160="","",'STUDENT SCREENING'!BM160)</f>
        <v/>
      </c>
      <c r="K160" s="37" t="str">
        <f aca="false">IF('STUDENT SCREENING'!BN160="","",'STUDENT SCREENING'!BN160)</f>
        <v/>
      </c>
      <c r="L160" s="37" t="str">
        <f aca="false">IF('STUDENT SCREENING'!BO160="","",'STUDENT SCREENING'!BO160)</f>
        <v/>
      </c>
      <c r="M160" s="37" t="str">
        <f aca="false">IF('STUDENT SCREENING'!BP160="","",'STUDENT SCREENING'!BP160)</f>
        <v/>
      </c>
      <c r="N160" s="37" t="str">
        <f aca="false">IF('STUDENT SCREENING'!BQ160="","",'STUDENT SCREENING'!BQ160)</f>
        <v/>
      </c>
      <c r="O160" s="37" t="str">
        <f aca="false">IF('STUDENT SCREENING'!BR160="","",'STUDENT SCREENING'!BR160)</f>
        <v/>
      </c>
      <c r="P160" s="28"/>
      <c r="Q160" s="28"/>
      <c r="R160" s="28"/>
      <c r="S160" s="28"/>
      <c r="T160" s="28"/>
      <c r="U160" s="28"/>
      <c r="V160" s="28"/>
      <c r="W160" s="28"/>
      <c r="X160" s="28"/>
    </row>
    <row r="161" customFormat="false" ht="15" hidden="false" customHeight="false" outlineLevel="0" collapsed="false">
      <c r="A161" s="38" t="str">
        <f aca="false">IF('STUDENT SCREENING'!A161="","",'STUDENT SCREENING'!A161)</f>
        <v/>
      </c>
      <c r="B161" s="38" t="str">
        <f aca="false">IF('STUDENT SCREENING'!I161="","",'STUDENT SCREENING'!I161)</f>
        <v/>
      </c>
      <c r="C161" s="38" t="str">
        <f aca="false">IF('STUDENT SCREENING'!F161="","",'STUDENT SCREENING'!F161)</f>
        <v/>
      </c>
      <c r="D161" s="38" t="str">
        <f aca="false">IF('STUDENT SCREENING'!G161="","",'STUDENT SCREENING'!G161)</f>
        <v/>
      </c>
      <c r="E161" s="38" t="str">
        <f aca="false">IF('STUDENT SCREENING'!C161="","",'STUDENT SCREENING'!C161)</f>
        <v/>
      </c>
      <c r="F161" s="38" t="str">
        <f aca="false">IF('STUDENT SCREENING'!J161="","",'STUDENT SCREENING'!J161)</f>
        <v/>
      </c>
      <c r="G161" s="38" t="str">
        <f aca="false">IF('STUDENT SCREENING'!K161="","",'STUDENT SCREENING'!K161)</f>
        <v/>
      </c>
      <c r="H161" s="38" t="str">
        <f aca="false">IF('STUDENT SCREENING'!S161="","",'STUDENT SCREENING'!S161)</f>
        <v/>
      </c>
      <c r="I161" s="38" t="str">
        <f aca="false">IF('STUDENT SCREENING'!T161="","",'STUDENT SCREENING'!T161)</f>
        <v/>
      </c>
      <c r="J161" s="38" t="str">
        <f aca="false">IF('STUDENT SCREENING'!BM161="","",'STUDENT SCREENING'!BM161)</f>
        <v/>
      </c>
      <c r="K161" s="38" t="str">
        <f aca="false">IF('STUDENT SCREENING'!BN161="","",'STUDENT SCREENING'!BN161)</f>
        <v/>
      </c>
      <c r="L161" s="38" t="str">
        <f aca="false">IF('STUDENT SCREENING'!BO161="","",'STUDENT SCREENING'!BO161)</f>
        <v/>
      </c>
      <c r="M161" s="38" t="str">
        <f aca="false">IF('STUDENT SCREENING'!BP161="","",'STUDENT SCREENING'!BP161)</f>
        <v/>
      </c>
      <c r="N161" s="38" t="str">
        <f aca="false">IF('STUDENT SCREENING'!BQ161="","",'STUDENT SCREENING'!BQ161)</f>
        <v/>
      </c>
      <c r="O161" s="38" t="str">
        <f aca="false">IF('STUDENT SCREENING'!BR161="","",'STUDENT SCREENING'!BR161)</f>
        <v/>
      </c>
      <c r="P161" s="32"/>
      <c r="Q161" s="32"/>
      <c r="R161" s="32"/>
      <c r="S161" s="32"/>
      <c r="T161" s="32"/>
      <c r="U161" s="32"/>
      <c r="V161" s="32"/>
      <c r="W161" s="32"/>
      <c r="X161" s="32"/>
    </row>
    <row r="162" customFormat="false" ht="15" hidden="false" customHeight="false" outlineLevel="0" collapsed="false">
      <c r="A162" s="37" t="str">
        <f aca="false">IF('STUDENT SCREENING'!A162="","",'STUDENT SCREENING'!A162)</f>
        <v/>
      </c>
      <c r="B162" s="37" t="str">
        <f aca="false">IF('STUDENT SCREENING'!I162="","",'STUDENT SCREENING'!I162)</f>
        <v/>
      </c>
      <c r="C162" s="37" t="str">
        <f aca="false">IF('STUDENT SCREENING'!F162="","",'STUDENT SCREENING'!F162)</f>
        <v/>
      </c>
      <c r="D162" s="37" t="str">
        <f aca="false">IF('STUDENT SCREENING'!G162="","",'STUDENT SCREENING'!G162)</f>
        <v/>
      </c>
      <c r="E162" s="37" t="str">
        <f aca="false">IF('STUDENT SCREENING'!C162="","",'STUDENT SCREENING'!C162)</f>
        <v/>
      </c>
      <c r="F162" s="37" t="str">
        <f aca="false">IF('STUDENT SCREENING'!J162="","",'STUDENT SCREENING'!J162)</f>
        <v/>
      </c>
      <c r="G162" s="37" t="str">
        <f aca="false">IF('STUDENT SCREENING'!K162="","",'STUDENT SCREENING'!K162)</f>
        <v/>
      </c>
      <c r="H162" s="37" t="str">
        <f aca="false">IF('STUDENT SCREENING'!S162="","",'STUDENT SCREENING'!S162)</f>
        <v/>
      </c>
      <c r="I162" s="37" t="str">
        <f aca="false">IF('STUDENT SCREENING'!T162="","",'STUDENT SCREENING'!T162)</f>
        <v/>
      </c>
      <c r="J162" s="37" t="str">
        <f aca="false">IF('STUDENT SCREENING'!BM162="","",'STUDENT SCREENING'!BM162)</f>
        <v/>
      </c>
      <c r="K162" s="37" t="str">
        <f aca="false">IF('STUDENT SCREENING'!BN162="","",'STUDENT SCREENING'!BN162)</f>
        <v/>
      </c>
      <c r="L162" s="37" t="str">
        <f aca="false">IF('STUDENT SCREENING'!BO162="","",'STUDENT SCREENING'!BO162)</f>
        <v/>
      </c>
      <c r="M162" s="37" t="str">
        <f aca="false">IF('STUDENT SCREENING'!BP162="","",'STUDENT SCREENING'!BP162)</f>
        <v/>
      </c>
      <c r="N162" s="37" t="str">
        <f aca="false">IF('STUDENT SCREENING'!BQ162="","",'STUDENT SCREENING'!BQ162)</f>
        <v/>
      </c>
      <c r="O162" s="37" t="str">
        <f aca="false">IF('STUDENT SCREENING'!BR162="","",'STUDENT SCREENING'!BR162)</f>
        <v/>
      </c>
      <c r="P162" s="28"/>
      <c r="Q162" s="28"/>
      <c r="R162" s="28"/>
      <c r="S162" s="28"/>
      <c r="T162" s="28"/>
      <c r="U162" s="28"/>
      <c r="V162" s="28"/>
      <c r="W162" s="28"/>
      <c r="X162" s="28"/>
    </row>
    <row r="163" customFormat="false" ht="15" hidden="false" customHeight="false" outlineLevel="0" collapsed="false">
      <c r="A163" s="38" t="str">
        <f aca="false">IF('STUDENT SCREENING'!A163="","",'STUDENT SCREENING'!A163)</f>
        <v/>
      </c>
      <c r="B163" s="38" t="str">
        <f aca="false">IF('STUDENT SCREENING'!I163="","",'STUDENT SCREENING'!I163)</f>
        <v/>
      </c>
      <c r="C163" s="38" t="str">
        <f aca="false">IF('STUDENT SCREENING'!F163="","",'STUDENT SCREENING'!F163)</f>
        <v/>
      </c>
      <c r="D163" s="38" t="str">
        <f aca="false">IF('STUDENT SCREENING'!G163="","",'STUDENT SCREENING'!G163)</f>
        <v/>
      </c>
      <c r="E163" s="38" t="str">
        <f aca="false">IF('STUDENT SCREENING'!C163="","",'STUDENT SCREENING'!C163)</f>
        <v/>
      </c>
      <c r="F163" s="38" t="str">
        <f aca="false">IF('STUDENT SCREENING'!J163="","",'STUDENT SCREENING'!J163)</f>
        <v/>
      </c>
      <c r="G163" s="38" t="str">
        <f aca="false">IF('STUDENT SCREENING'!K163="","",'STUDENT SCREENING'!K163)</f>
        <v/>
      </c>
      <c r="H163" s="38" t="str">
        <f aca="false">IF('STUDENT SCREENING'!S163="","",'STUDENT SCREENING'!S163)</f>
        <v/>
      </c>
      <c r="I163" s="38" t="str">
        <f aca="false">IF('STUDENT SCREENING'!T163="","",'STUDENT SCREENING'!T163)</f>
        <v/>
      </c>
      <c r="J163" s="38" t="str">
        <f aca="false">IF('STUDENT SCREENING'!BM163="","",'STUDENT SCREENING'!BM163)</f>
        <v/>
      </c>
      <c r="K163" s="38" t="str">
        <f aca="false">IF('STUDENT SCREENING'!BN163="","",'STUDENT SCREENING'!BN163)</f>
        <v/>
      </c>
      <c r="L163" s="38" t="str">
        <f aca="false">IF('STUDENT SCREENING'!BO163="","",'STUDENT SCREENING'!BO163)</f>
        <v/>
      </c>
      <c r="M163" s="38" t="str">
        <f aca="false">IF('STUDENT SCREENING'!BP163="","",'STUDENT SCREENING'!BP163)</f>
        <v/>
      </c>
      <c r="N163" s="38" t="str">
        <f aca="false">IF('STUDENT SCREENING'!BQ163="","",'STUDENT SCREENING'!BQ163)</f>
        <v/>
      </c>
      <c r="O163" s="38" t="str">
        <f aca="false">IF('STUDENT SCREENING'!BR163="","",'STUDENT SCREENING'!BR163)</f>
        <v/>
      </c>
      <c r="P163" s="32"/>
      <c r="Q163" s="32"/>
      <c r="R163" s="32"/>
      <c r="S163" s="32"/>
      <c r="T163" s="32"/>
      <c r="U163" s="32"/>
      <c r="V163" s="32"/>
      <c r="W163" s="32"/>
      <c r="X163" s="32"/>
    </row>
    <row r="164" customFormat="false" ht="15" hidden="false" customHeight="false" outlineLevel="0" collapsed="false">
      <c r="A164" s="37" t="str">
        <f aca="false">IF('STUDENT SCREENING'!A164="","",'STUDENT SCREENING'!A164)</f>
        <v/>
      </c>
      <c r="B164" s="37" t="str">
        <f aca="false">IF('STUDENT SCREENING'!I164="","",'STUDENT SCREENING'!I164)</f>
        <v/>
      </c>
      <c r="C164" s="37" t="str">
        <f aca="false">IF('STUDENT SCREENING'!F164="","",'STUDENT SCREENING'!F164)</f>
        <v/>
      </c>
      <c r="D164" s="37" t="str">
        <f aca="false">IF('STUDENT SCREENING'!G164="","",'STUDENT SCREENING'!G164)</f>
        <v/>
      </c>
      <c r="E164" s="37" t="str">
        <f aca="false">IF('STUDENT SCREENING'!C164="","",'STUDENT SCREENING'!C164)</f>
        <v/>
      </c>
      <c r="F164" s="37" t="str">
        <f aca="false">IF('STUDENT SCREENING'!J164="","",'STUDENT SCREENING'!J164)</f>
        <v/>
      </c>
      <c r="G164" s="37" t="str">
        <f aca="false">IF('STUDENT SCREENING'!K164="","",'STUDENT SCREENING'!K164)</f>
        <v/>
      </c>
      <c r="H164" s="37" t="str">
        <f aca="false">IF('STUDENT SCREENING'!S164="","",'STUDENT SCREENING'!S164)</f>
        <v/>
      </c>
      <c r="I164" s="37" t="str">
        <f aca="false">IF('STUDENT SCREENING'!T164="","",'STUDENT SCREENING'!T164)</f>
        <v/>
      </c>
      <c r="J164" s="37" t="str">
        <f aca="false">IF('STUDENT SCREENING'!BM164="","",'STUDENT SCREENING'!BM164)</f>
        <v/>
      </c>
      <c r="K164" s="37" t="str">
        <f aca="false">IF('STUDENT SCREENING'!BN164="","",'STUDENT SCREENING'!BN164)</f>
        <v/>
      </c>
      <c r="L164" s="37" t="str">
        <f aca="false">IF('STUDENT SCREENING'!BO164="","",'STUDENT SCREENING'!BO164)</f>
        <v/>
      </c>
      <c r="M164" s="37" t="str">
        <f aca="false">IF('STUDENT SCREENING'!BP164="","",'STUDENT SCREENING'!BP164)</f>
        <v/>
      </c>
      <c r="N164" s="37" t="str">
        <f aca="false">IF('STUDENT SCREENING'!BQ164="","",'STUDENT SCREENING'!BQ164)</f>
        <v/>
      </c>
      <c r="O164" s="37" t="str">
        <f aca="false">IF('STUDENT SCREENING'!BR164="","",'STUDENT SCREENING'!BR164)</f>
        <v/>
      </c>
      <c r="P164" s="28"/>
      <c r="Q164" s="28"/>
      <c r="R164" s="28"/>
      <c r="S164" s="28"/>
      <c r="T164" s="28"/>
      <c r="U164" s="28"/>
      <c r="V164" s="28"/>
      <c r="W164" s="28"/>
      <c r="X164" s="28"/>
    </row>
    <row r="165" customFormat="false" ht="15" hidden="false" customHeight="false" outlineLevel="0" collapsed="false">
      <c r="A165" s="38" t="str">
        <f aca="false">IF('STUDENT SCREENING'!A165="","",'STUDENT SCREENING'!A165)</f>
        <v/>
      </c>
      <c r="B165" s="38" t="str">
        <f aca="false">IF('STUDENT SCREENING'!I165="","",'STUDENT SCREENING'!I165)</f>
        <v/>
      </c>
      <c r="C165" s="38" t="str">
        <f aca="false">IF('STUDENT SCREENING'!F165="","",'STUDENT SCREENING'!F165)</f>
        <v/>
      </c>
      <c r="D165" s="38" t="str">
        <f aca="false">IF('STUDENT SCREENING'!G165="","",'STUDENT SCREENING'!G165)</f>
        <v/>
      </c>
      <c r="E165" s="38" t="str">
        <f aca="false">IF('STUDENT SCREENING'!C165="","",'STUDENT SCREENING'!C165)</f>
        <v/>
      </c>
      <c r="F165" s="38" t="str">
        <f aca="false">IF('STUDENT SCREENING'!J165="","",'STUDENT SCREENING'!J165)</f>
        <v/>
      </c>
      <c r="G165" s="38" t="str">
        <f aca="false">IF('STUDENT SCREENING'!K165="","",'STUDENT SCREENING'!K165)</f>
        <v/>
      </c>
      <c r="H165" s="38" t="str">
        <f aca="false">IF('STUDENT SCREENING'!S165="","",'STUDENT SCREENING'!S165)</f>
        <v/>
      </c>
      <c r="I165" s="38" t="str">
        <f aca="false">IF('STUDENT SCREENING'!T165="","",'STUDENT SCREENING'!T165)</f>
        <v/>
      </c>
      <c r="J165" s="38" t="str">
        <f aca="false">IF('STUDENT SCREENING'!BM165="","",'STUDENT SCREENING'!BM165)</f>
        <v/>
      </c>
      <c r="K165" s="38" t="str">
        <f aca="false">IF('STUDENT SCREENING'!BN165="","",'STUDENT SCREENING'!BN165)</f>
        <v/>
      </c>
      <c r="L165" s="38" t="str">
        <f aca="false">IF('STUDENT SCREENING'!BO165="","",'STUDENT SCREENING'!BO165)</f>
        <v/>
      </c>
      <c r="M165" s="38" t="str">
        <f aca="false">IF('STUDENT SCREENING'!BP165="","",'STUDENT SCREENING'!BP165)</f>
        <v/>
      </c>
      <c r="N165" s="38" t="str">
        <f aca="false">IF('STUDENT SCREENING'!BQ165="","",'STUDENT SCREENING'!BQ165)</f>
        <v/>
      </c>
      <c r="O165" s="38" t="str">
        <f aca="false">IF('STUDENT SCREENING'!BR165="","",'STUDENT SCREENING'!BR165)</f>
        <v/>
      </c>
      <c r="P165" s="32"/>
      <c r="Q165" s="32"/>
      <c r="R165" s="32"/>
      <c r="S165" s="32"/>
      <c r="T165" s="32"/>
      <c r="U165" s="32"/>
      <c r="V165" s="32"/>
      <c r="W165" s="32"/>
      <c r="X165" s="32"/>
    </row>
    <row r="166" customFormat="false" ht="15" hidden="false" customHeight="false" outlineLevel="0" collapsed="false">
      <c r="A166" s="37" t="str">
        <f aca="false">IF('STUDENT SCREENING'!A166="","",'STUDENT SCREENING'!A166)</f>
        <v/>
      </c>
      <c r="B166" s="37" t="str">
        <f aca="false">IF('STUDENT SCREENING'!I166="","",'STUDENT SCREENING'!I166)</f>
        <v/>
      </c>
      <c r="C166" s="37" t="str">
        <f aca="false">IF('STUDENT SCREENING'!F166="","",'STUDENT SCREENING'!F166)</f>
        <v/>
      </c>
      <c r="D166" s="37" t="str">
        <f aca="false">IF('STUDENT SCREENING'!G166="","",'STUDENT SCREENING'!G166)</f>
        <v/>
      </c>
      <c r="E166" s="37" t="str">
        <f aca="false">IF('STUDENT SCREENING'!C166="","",'STUDENT SCREENING'!C166)</f>
        <v/>
      </c>
      <c r="F166" s="37" t="str">
        <f aca="false">IF('STUDENT SCREENING'!J166="","",'STUDENT SCREENING'!J166)</f>
        <v/>
      </c>
      <c r="G166" s="37" t="str">
        <f aca="false">IF('STUDENT SCREENING'!K166="","",'STUDENT SCREENING'!K166)</f>
        <v/>
      </c>
      <c r="H166" s="37" t="str">
        <f aca="false">IF('STUDENT SCREENING'!S166="","",'STUDENT SCREENING'!S166)</f>
        <v/>
      </c>
      <c r="I166" s="37" t="str">
        <f aca="false">IF('STUDENT SCREENING'!T166="","",'STUDENT SCREENING'!T166)</f>
        <v/>
      </c>
      <c r="J166" s="37" t="str">
        <f aca="false">IF('STUDENT SCREENING'!BM166="","",'STUDENT SCREENING'!BM166)</f>
        <v/>
      </c>
      <c r="K166" s="37" t="str">
        <f aca="false">IF('STUDENT SCREENING'!BN166="","",'STUDENT SCREENING'!BN166)</f>
        <v/>
      </c>
      <c r="L166" s="37" t="str">
        <f aca="false">IF('STUDENT SCREENING'!BO166="","",'STUDENT SCREENING'!BO166)</f>
        <v/>
      </c>
      <c r="M166" s="37" t="str">
        <f aca="false">IF('STUDENT SCREENING'!BP166="","",'STUDENT SCREENING'!BP166)</f>
        <v/>
      </c>
      <c r="N166" s="37" t="str">
        <f aca="false">IF('STUDENT SCREENING'!BQ166="","",'STUDENT SCREENING'!BQ166)</f>
        <v/>
      </c>
      <c r="O166" s="37" t="str">
        <f aca="false">IF('STUDENT SCREENING'!BR166="","",'STUDENT SCREENING'!BR166)</f>
        <v/>
      </c>
      <c r="P166" s="28"/>
      <c r="Q166" s="28"/>
      <c r="R166" s="28"/>
      <c r="S166" s="28"/>
      <c r="T166" s="28"/>
      <c r="U166" s="28"/>
      <c r="V166" s="28"/>
      <c r="W166" s="28"/>
      <c r="X166" s="28"/>
    </row>
    <row r="167" customFormat="false" ht="15" hidden="false" customHeight="false" outlineLevel="0" collapsed="false">
      <c r="A167" s="38" t="str">
        <f aca="false">IF('STUDENT SCREENING'!A167="","",'STUDENT SCREENING'!A167)</f>
        <v/>
      </c>
      <c r="B167" s="38" t="str">
        <f aca="false">IF('STUDENT SCREENING'!I167="","",'STUDENT SCREENING'!I167)</f>
        <v/>
      </c>
      <c r="C167" s="38" t="str">
        <f aca="false">IF('STUDENT SCREENING'!F167="","",'STUDENT SCREENING'!F167)</f>
        <v/>
      </c>
      <c r="D167" s="38" t="str">
        <f aca="false">IF('STUDENT SCREENING'!G167="","",'STUDENT SCREENING'!G167)</f>
        <v/>
      </c>
      <c r="E167" s="38" t="str">
        <f aca="false">IF('STUDENT SCREENING'!C167="","",'STUDENT SCREENING'!C167)</f>
        <v/>
      </c>
      <c r="F167" s="38" t="str">
        <f aca="false">IF('STUDENT SCREENING'!J167="","",'STUDENT SCREENING'!J167)</f>
        <v/>
      </c>
      <c r="G167" s="38" t="str">
        <f aca="false">IF('STUDENT SCREENING'!K167="","",'STUDENT SCREENING'!K167)</f>
        <v/>
      </c>
      <c r="H167" s="38" t="str">
        <f aca="false">IF('STUDENT SCREENING'!S167="","",'STUDENT SCREENING'!S167)</f>
        <v/>
      </c>
      <c r="I167" s="38" t="str">
        <f aca="false">IF('STUDENT SCREENING'!T167="","",'STUDENT SCREENING'!T167)</f>
        <v/>
      </c>
      <c r="J167" s="38" t="str">
        <f aca="false">IF('STUDENT SCREENING'!BM167="","",'STUDENT SCREENING'!BM167)</f>
        <v/>
      </c>
      <c r="K167" s="38" t="str">
        <f aca="false">IF('STUDENT SCREENING'!BN167="","",'STUDENT SCREENING'!BN167)</f>
        <v/>
      </c>
      <c r="L167" s="38" t="str">
        <f aca="false">IF('STUDENT SCREENING'!BO167="","",'STUDENT SCREENING'!BO167)</f>
        <v/>
      </c>
      <c r="M167" s="38" t="str">
        <f aca="false">IF('STUDENT SCREENING'!BP167="","",'STUDENT SCREENING'!BP167)</f>
        <v/>
      </c>
      <c r="N167" s="38" t="str">
        <f aca="false">IF('STUDENT SCREENING'!BQ167="","",'STUDENT SCREENING'!BQ167)</f>
        <v/>
      </c>
      <c r="O167" s="38" t="str">
        <f aca="false">IF('STUDENT SCREENING'!BR167="","",'STUDENT SCREENING'!BR167)</f>
        <v/>
      </c>
      <c r="P167" s="32"/>
      <c r="Q167" s="32"/>
      <c r="R167" s="32"/>
      <c r="S167" s="32"/>
      <c r="T167" s="32"/>
      <c r="U167" s="32"/>
      <c r="V167" s="32"/>
      <c r="W167" s="32"/>
      <c r="X167" s="32"/>
    </row>
    <row r="168" customFormat="false" ht="15" hidden="false" customHeight="false" outlineLevel="0" collapsed="false">
      <c r="A168" s="37" t="str">
        <f aca="false">IF('STUDENT SCREENING'!A168="","",'STUDENT SCREENING'!A168)</f>
        <v/>
      </c>
      <c r="B168" s="37" t="str">
        <f aca="false">IF('STUDENT SCREENING'!I168="","",'STUDENT SCREENING'!I168)</f>
        <v/>
      </c>
      <c r="C168" s="37" t="str">
        <f aca="false">IF('STUDENT SCREENING'!F168="","",'STUDENT SCREENING'!F168)</f>
        <v/>
      </c>
      <c r="D168" s="37" t="str">
        <f aca="false">IF('STUDENT SCREENING'!G168="","",'STUDENT SCREENING'!G168)</f>
        <v/>
      </c>
      <c r="E168" s="37" t="str">
        <f aca="false">IF('STUDENT SCREENING'!C168="","",'STUDENT SCREENING'!C168)</f>
        <v/>
      </c>
      <c r="F168" s="37" t="str">
        <f aca="false">IF('STUDENT SCREENING'!J168="","",'STUDENT SCREENING'!J168)</f>
        <v/>
      </c>
      <c r="G168" s="37" t="str">
        <f aca="false">IF('STUDENT SCREENING'!K168="","",'STUDENT SCREENING'!K168)</f>
        <v/>
      </c>
      <c r="H168" s="37" t="str">
        <f aca="false">IF('STUDENT SCREENING'!S168="","",'STUDENT SCREENING'!S168)</f>
        <v/>
      </c>
      <c r="I168" s="37" t="str">
        <f aca="false">IF('STUDENT SCREENING'!T168="","",'STUDENT SCREENING'!T168)</f>
        <v/>
      </c>
      <c r="J168" s="37" t="str">
        <f aca="false">IF('STUDENT SCREENING'!BM168="","",'STUDENT SCREENING'!BM168)</f>
        <v/>
      </c>
      <c r="K168" s="37" t="str">
        <f aca="false">IF('STUDENT SCREENING'!BN168="","",'STUDENT SCREENING'!BN168)</f>
        <v/>
      </c>
      <c r="L168" s="37" t="str">
        <f aca="false">IF('STUDENT SCREENING'!BO168="","",'STUDENT SCREENING'!BO168)</f>
        <v/>
      </c>
      <c r="M168" s="37" t="str">
        <f aca="false">IF('STUDENT SCREENING'!BP168="","",'STUDENT SCREENING'!BP168)</f>
        <v/>
      </c>
      <c r="N168" s="37" t="str">
        <f aca="false">IF('STUDENT SCREENING'!BQ168="","",'STUDENT SCREENING'!BQ168)</f>
        <v/>
      </c>
      <c r="O168" s="37" t="str">
        <f aca="false">IF('STUDENT SCREENING'!BR168="","",'STUDENT SCREENING'!BR168)</f>
        <v/>
      </c>
      <c r="P168" s="28"/>
      <c r="Q168" s="28"/>
      <c r="R168" s="28"/>
      <c r="S168" s="28"/>
      <c r="T168" s="28"/>
      <c r="U168" s="28"/>
      <c r="V168" s="28"/>
      <c r="W168" s="28"/>
      <c r="X168" s="28"/>
    </row>
    <row r="169" customFormat="false" ht="15" hidden="false" customHeight="false" outlineLevel="0" collapsed="false">
      <c r="A169" s="38" t="str">
        <f aca="false">IF('STUDENT SCREENING'!A169="","",'STUDENT SCREENING'!A169)</f>
        <v/>
      </c>
      <c r="B169" s="38" t="str">
        <f aca="false">IF('STUDENT SCREENING'!I169="","",'STUDENT SCREENING'!I169)</f>
        <v/>
      </c>
      <c r="C169" s="38" t="str">
        <f aca="false">IF('STUDENT SCREENING'!F169="","",'STUDENT SCREENING'!F169)</f>
        <v/>
      </c>
      <c r="D169" s="38" t="str">
        <f aca="false">IF('STUDENT SCREENING'!G169="","",'STUDENT SCREENING'!G169)</f>
        <v/>
      </c>
      <c r="E169" s="38" t="str">
        <f aca="false">IF('STUDENT SCREENING'!C169="","",'STUDENT SCREENING'!C169)</f>
        <v/>
      </c>
      <c r="F169" s="38" t="str">
        <f aca="false">IF('STUDENT SCREENING'!J169="","",'STUDENT SCREENING'!J169)</f>
        <v/>
      </c>
      <c r="G169" s="38" t="str">
        <f aca="false">IF('STUDENT SCREENING'!K169="","",'STUDENT SCREENING'!K169)</f>
        <v/>
      </c>
      <c r="H169" s="38" t="str">
        <f aca="false">IF('STUDENT SCREENING'!S169="","",'STUDENT SCREENING'!S169)</f>
        <v/>
      </c>
      <c r="I169" s="38" t="str">
        <f aca="false">IF('STUDENT SCREENING'!T169="","",'STUDENT SCREENING'!T169)</f>
        <v/>
      </c>
      <c r="J169" s="38" t="str">
        <f aca="false">IF('STUDENT SCREENING'!BM169="","",'STUDENT SCREENING'!BM169)</f>
        <v/>
      </c>
      <c r="K169" s="38" t="str">
        <f aca="false">IF('STUDENT SCREENING'!BN169="","",'STUDENT SCREENING'!BN169)</f>
        <v/>
      </c>
      <c r="L169" s="38" t="str">
        <f aca="false">IF('STUDENT SCREENING'!BO169="","",'STUDENT SCREENING'!BO169)</f>
        <v/>
      </c>
      <c r="M169" s="38" t="str">
        <f aca="false">IF('STUDENT SCREENING'!BP169="","",'STUDENT SCREENING'!BP169)</f>
        <v/>
      </c>
      <c r="N169" s="38" t="str">
        <f aca="false">IF('STUDENT SCREENING'!BQ169="","",'STUDENT SCREENING'!BQ169)</f>
        <v/>
      </c>
      <c r="O169" s="38" t="str">
        <f aca="false">IF('STUDENT SCREENING'!BR169="","",'STUDENT SCREENING'!BR169)</f>
        <v/>
      </c>
      <c r="P169" s="32"/>
      <c r="Q169" s="32"/>
      <c r="R169" s="32"/>
      <c r="S169" s="32"/>
      <c r="T169" s="32"/>
      <c r="U169" s="32"/>
      <c r="V169" s="32"/>
      <c r="W169" s="32"/>
      <c r="X169" s="32"/>
    </row>
    <row r="170" customFormat="false" ht="15" hidden="false" customHeight="false" outlineLevel="0" collapsed="false">
      <c r="A170" s="37" t="str">
        <f aca="false">IF('STUDENT SCREENING'!A170="","",'STUDENT SCREENING'!A170)</f>
        <v/>
      </c>
      <c r="B170" s="37" t="str">
        <f aca="false">IF('STUDENT SCREENING'!I170="","",'STUDENT SCREENING'!I170)</f>
        <v/>
      </c>
      <c r="C170" s="37" t="str">
        <f aca="false">IF('STUDENT SCREENING'!F170="","",'STUDENT SCREENING'!F170)</f>
        <v/>
      </c>
      <c r="D170" s="37" t="str">
        <f aca="false">IF('STUDENT SCREENING'!G170="","",'STUDENT SCREENING'!G170)</f>
        <v/>
      </c>
      <c r="E170" s="37" t="str">
        <f aca="false">IF('STUDENT SCREENING'!C170="","",'STUDENT SCREENING'!C170)</f>
        <v/>
      </c>
      <c r="F170" s="37" t="str">
        <f aca="false">IF('STUDENT SCREENING'!J170="","",'STUDENT SCREENING'!J170)</f>
        <v/>
      </c>
      <c r="G170" s="37" t="str">
        <f aca="false">IF('STUDENT SCREENING'!K170="","",'STUDENT SCREENING'!K170)</f>
        <v/>
      </c>
      <c r="H170" s="37" t="str">
        <f aca="false">IF('STUDENT SCREENING'!S170="","",'STUDENT SCREENING'!S170)</f>
        <v/>
      </c>
      <c r="I170" s="37" t="str">
        <f aca="false">IF('STUDENT SCREENING'!T170="","",'STUDENT SCREENING'!T170)</f>
        <v/>
      </c>
      <c r="J170" s="37" t="str">
        <f aca="false">IF('STUDENT SCREENING'!BM170="","",'STUDENT SCREENING'!BM170)</f>
        <v/>
      </c>
      <c r="K170" s="37" t="str">
        <f aca="false">IF('STUDENT SCREENING'!BN170="","",'STUDENT SCREENING'!BN170)</f>
        <v/>
      </c>
      <c r="L170" s="37" t="str">
        <f aca="false">IF('STUDENT SCREENING'!BO170="","",'STUDENT SCREENING'!BO170)</f>
        <v/>
      </c>
      <c r="M170" s="37" t="str">
        <f aca="false">IF('STUDENT SCREENING'!BP170="","",'STUDENT SCREENING'!BP170)</f>
        <v/>
      </c>
      <c r="N170" s="37" t="str">
        <f aca="false">IF('STUDENT SCREENING'!BQ170="","",'STUDENT SCREENING'!BQ170)</f>
        <v/>
      </c>
      <c r="O170" s="37" t="str">
        <f aca="false">IF('STUDENT SCREENING'!BR170="","",'STUDENT SCREENING'!BR170)</f>
        <v/>
      </c>
      <c r="P170" s="28"/>
      <c r="Q170" s="28"/>
      <c r="R170" s="28"/>
      <c r="S170" s="28"/>
      <c r="T170" s="28"/>
      <c r="U170" s="28"/>
      <c r="V170" s="28"/>
      <c r="W170" s="28"/>
      <c r="X170" s="28"/>
    </row>
    <row r="171" customFormat="false" ht="15" hidden="false" customHeight="false" outlineLevel="0" collapsed="false">
      <c r="A171" s="38" t="str">
        <f aca="false">IF('STUDENT SCREENING'!A171="","",'STUDENT SCREENING'!A171)</f>
        <v/>
      </c>
      <c r="B171" s="38" t="str">
        <f aca="false">IF('STUDENT SCREENING'!I171="","",'STUDENT SCREENING'!I171)</f>
        <v/>
      </c>
      <c r="C171" s="38" t="str">
        <f aca="false">IF('STUDENT SCREENING'!F171="","",'STUDENT SCREENING'!F171)</f>
        <v/>
      </c>
      <c r="D171" s="38" t="str">
        <f aca="false">IF('STUDENT SCREENING'!G171="","",'STUDENT SCREENING'!G171)</f>
        <v/>
      </c>
      <c r="E171" s="38" t="str">
        <f aca="false">IF('STUDENT SCREENING'!C171="","",'STUDENT SCREENING'!C171)</f>
        <v/>
      </c>
      <c r="F171" s="38" t="str">
        <f aca="false">IF('STUDENT SCREENING'!J171="","",'STUDENT SCREENING'!J171)</f>
        <v/>
      </c>
      <c r="G171" s="38" t="str">
        <f aca="false">IF('STUDENT SCREENING'!K171="","",'STUDENT SCREENING'!K171)</f>
        <v/>
      </c>
      <c r="H171" s="38" t="str">
        <f aca="false">IF('STUDENT SCREENING'!S171="","",'STUDENT SCREENING'!S171)</f>
        <v/>
      </c>
      <c r="I171" s="38" t="str">
        <f aca="false">IF('STUDENT SCREENING'!T171="","",'STUDENT SCREENING'!T171)</f>
        <v/>
      </c>
      <c r="J171" s="38" t="str">
        <f aca="false">IF('STUDENT SCREENING'!BM171="","",'STUDENT SCREENING'!BM171)</f>
        <v/>
      </c>
      <c r="K171" s="38" t="str">
        <f aca="false">IF('STUDENT SCREENING'!BN171="","",'STUDENT SCREENING'!BN171)</f>
        <v/>
      </c>
      <c r="L171" s="38" t="str">
        <f aca="false">IF('STUDENT SCREENING'!BO171="","",'STUDENT SCREENING'!BO171)</f>
        <v/>
      </c>
      <c r="M171" s="38" t="str">
        <f aca="false">IF('STUDENT SCREENING'!BP171="","",'STUDENT SCREENING'!BP171)</f>
        <v/>
      </c>
      <c r="N171" s="38" t="str">
        <f aca="false">IF('STUDENT SCREENING'!BQ171="","",'STUDENT SCREENING'!BQ171)</f>
        <v/>
      </c>
      <c r="O171" s="38" t="str">
        <f aca="false">IF('STUDENT SCREENING'!BR171="","",'STUDENT SCREENING'!BR171)</f>
        <v/>
      </c>
      <c r="P171" s="32"/>
      <c r="Q171" s="32"/>
      <c r="R171" s="32"/>
      <c r="S171" s="32"/>
      <c r="T171" s="32"/>
      <c r="U171" s="32"/>
      <c r="V171" s="32"/>
      <c r="W171" s="32"/>
      <c r="X171" s="32"/>
    </row>
    <row r="172" customFormat="false" ht="15" hidden="false" customHeight="false" outlineLevel="0" collapsed="false">
      <c r="A172" s="37" t="str">
        <f aca="false">IF('STUDENT SCREENING'!A172="","",'STUDENT SCREENING'!A172)</f>
        <v/>
      </c>
      <c r="B172" s="37" t="str">
        <f aca="false">IF('STUDENT SCREENING'!I172="","",'STUDENT SCREENING'!I172)</f>
        <v/>
      </c>
      <c r="C172" s="37" t="str">
        <f aca="false">IF('STUDENT SCREENING'!F172="","",'STUDENT SCREENING'!F172)</f>
        <v/>
      </c>
      <c r="D172" s="37" t="str">
        <f aca="false">IF('STUDENT SCREENING'!G172="","",'STUDENT SCREENING'!G172)</f>
        <v/>
      </c>
      <c r="E172" s="37" t="str">
        <f aca="false">IF('STUDENT SCREENING'!C172="","",'STUDENT SCREENING'!C172)</f>
        <v/>
      </c>
      <c r="F172" s="37" t="str">
        <f aca="false">IF('STUDENT SCREENING'!J172="","",'STUDENT SCREENING'!J172)</f>
        <v/>
      </c>
      <c r="G172" s="37" t="str">
        <f aca="false">IF('STUDENT SCREENING'!K172="","",'STUDENT SCREENING'!K172)</f>
        <v/>
      </c>
      <c r="H172" s="37" t="str">
        <f aca="false">IF('STUDENT SCREENING'!S172="","",'STUDENT SCREENING'!S172)</f>
        <v/>
      </c>
      <c r="I172" s="37" t="str">
        <f aca="false">IF('STUDENT SCREENING'!T172="","",'STUDENT SCREENING'!T172)</f>
        <v/>
      </c>
      <c r="J172" s="37" t="str">
        <f aca="false">IF('STUDENT SCREENING'!BM172="","",'STUDENT SCREENING'!BM172)</f>
        <v/>
      </c>
      <c r="K172" s="37" t="str">
        <f aca="false">IF('STUDENT SCREENING'!BN172="","",'STUDENT SCREENING'!BN172)</f>
        <v/>
      </c>
      <c r="L172" s="37" t="str">
        <f aca="false">IF('STUDENT SCREENING'!BO172="","",'STUDENT SCREENING'!BO172)</f>
        <v/>
      </c>
      <c r="M172" s="37" t="str">
        <f aca="false">IF('STUDENT SCREENING'!BP172="","",'STUDENT SCREENING'!BP172)</f>
        <v/>
      </c>
      <c r="N172" s="37" t="str">
        <f aca="false">IF('STUDENT SCREENING'!BQ172="","",'STUDENT SCREENING'!BQ172)</f>
        <v/>
      </c>
      <c r="O172" s="37" t="str">
        <f aca="false">IF('STUDENT SCREENING'!BR172="","",'STUDENT SCREENING'!BR172)</f>
        <v/>
      </c>
      <c r="P172" s="28"/>
      <c r="Q172" s="28"/>
      <c r="R172" s="28"/>
      <c r="S172" s="28"/>
      <c r="T172" s="28"/>
      <c r="U172" s="28"/>
      <c r="V172" s="28"/>
      <c r="W172" s="28"/>
      <c r="X172" s="28"/>
    </row>
    <row r="173" customFormat="false" ht="15" hidden="false" customHeight="false" outlineLevel="0" collapsed="false">
      <c r="A173" s="38" t="str">
        <f aca="false">IF('STUDENT SCREENING'!A173="","",'STUDENT SCREENING'!A173)</f>
        <v/>
      </c>
      <c r="B173" s="38" t="str">
        <f aca="false">IF('STUDENT SCREENING'!I173="","",'STUDENT SCREENING'!I173)</f>
        <v/>
      </c>
      <c r="C173" s="38" t="str">
        <f aca="false">IF('STUDENT SCREENING'!F173="","",'STUDENT SCREENING'!F173)</f>
        <v/>
      </c>
      <c r="D173" s="38" t="str">
        <f aca="false">IF('STUDENT SCREENING'!G173="","",'STUDENT SCREENING'!G173)</f>
        <v/>
      </c>
      <c r="E173" s="38" t="str">
        <f aca="false">IF('STUDENT SCREENING'!C173="","",'STUDENT SCREENING'!C173)</f>
        <v/>
      </c>
      <c r="F173" s="38" t="str">
        <f aca="false">IF('STUDENT SCREENING'!J173="","",'STUDENT SCREENING'!J173)</f>
        <v/>
      </c>
      <c r="G173" s="38" t="str">
        <f aca="false">IF('STUDENT SCREENING'!K173="","",'STUDENT SCREENING'!K173)</f>
        <v/>
      </c>
      <c r="H173" s="38" t="str">
        <f aca="false">IF('STUDENT SCREENING'!S173="","",'STUDENT SCREENING'!S173)</f>
        <v/>
      </c>
      <c r="I173" s="38" t="str">
        <f aca="false">IF('STUDENT SCREENING'!T173="","",'STUDENT SCREENING'!T173)</f>
        <v/>
      </c>
      <c r="J173" s="38" t="str">
        <f aca="false">IF('STUDENT SCREENING'!BM173="","",'STUDENT SCREENING'!BM173)</f>
        <v/>
      </c>
      <c r="K173" s="38" t="str">
        <f aca="false">IF('STUDENT SCREENING'!BN173="","",'STUDENT SCREENING'!BN173)</f>
        <v/>
      </c>
      <c r="L173" s="38" t="str">
        <f aca="false">IF('STUDENT SCREENING'!BO173="","",'STUDENT SCREENING'!BO173)</f>
        <v/>
      </c>
      <c r="M173" s="38" t="str">
        <f aca="false">IF('STUDENT SCREENING'!BP173="","",'STUDENT SCREENING'!BP173)</f>
        <v/>
      </c>
      <c r="N173" s="38" t="str">
        <f aca="false">IF('STUDENT SCREENING'!BQ173="","",'STUDENT SCREENING'!BQ173)</f>
        <v/>
      </c>
      <c r="O173" s="38" t="str">
        <f aca="false">IF('STUDENT SCREENING'!BR173="","",'STUDENT SCREENING'!BR173)</f>
        <v/>
      </c>
      <c r="P173" s="32"/>
      <c r="Q173" s="32"/>
      <c r="R173" s="32"/>
      <c r="S173" s="32"/>
      <c r="T173" s="32"/>
      <c r="U173" s="32"/>
      <c r="V173" s="32"/>
      <c r="W173" s="32"/>
      <c r="X173" s="32"/>
    </row>
    <row r="174" customFormat="false" ht="15" hidden="false" customHeight="false" outlineLevel="0" collapsed="false">
      <c r="A174" s="37" t="str">
        <f aca="false">IF('STUDENT SCREENING'!A174="","",'STUDENT SCREENING'!A174)</f>
        <v/>
      </c>
      <c r="B174" s="37" t="str">
        <f aca="false">IF('STUDENT SCREENING'!I174="","",'STUDENT SCREENING'!I174)</f>
        <v/>
      </c>
      <c r="C174" s="37" t="str">
        <f aca="false">IF('STUDENT SCREENING'!F174="","",'STUDENT SCREENING'!F174)</f>
        <v/>
      </c>
      <c r="D174" s="37" t="str">
        <f aca="false">IF('STUDENT SCREENING'!G174="","",'STUDENT SCREENING'!G174)</f>
        <v/>
      </c>
      <c r="E174" s="37" t="str">
        <f aca="false">IF('STUDENT SCREENING'!C174="","",'STUDENT SCREENING'!C174)</f>
        <v/>
      </c>
      <c r="F174" s="37" t="str">
        <f aca="false">IF('STUDENT SCREENING'!J174="","",'STUDENT SCREENING'!J174)</f>
        <v/>
      </c>
      <c r="G174" s="37" t="str">
        <f aca="false">IF('STUDENT SCREENING'!K174="","",'STUDENT SCREENING'!K174)</f>
        <v/>
      </c>
      <c r="H174" s="37" t="str">
        <f aca="false">IF('STUDENT SCREENING'!S174="","",'STUDENT SCREENING'!S174)</f>
        <v/>
      </c>
      <c r="I174" s="37" t="str">
        <f aca="false">IF('STUDENT SCREENING'!T174="","",'STUDENT SCREENING'!T174)</f>
        <v/>
      </c>
      <c r="J174" s="37" t="str">
        <f aca="false">IF('STUDENT SCREENING'!BM174="","",'STUDENT SCREENING'!BM174)</f>
        <v/>
      </c>
      <c r="K174" s="37" t="str">
        <f aca="false">IF('STUDENT SCREENING'!BN174="","",'STUDENT SCREENING'!BN174)</f>
        <v/>
      </c>
      <c r="L174" s="37" t="str">
        <f aca="false">IF('STUDENT SCREENING'!BO174="","",'STUDENT SCREENING'!BO174)</f>
        <v/>
      </c>
      <c r="M174" s="37" t="str">
        <f aca="false">IF('STUDENT SCREENING'!BP174="","",'STUDENT SCREENING'!BP174)</f>
        <v/>
      </c>
      <c r="N174" s="37" t="str">
        <f aca="false">IF('STUDENT SCREENING'!BQ174="","",'STUDENT SCREENING'!BQ174)</f>
        <v/>
      </c>
      <c r="O174" s="37" t="str">
        <f aca="false">IF('STUDENT SCREENING'!BR174="","",'STUDENT SCREENING'!BR174)</f>
        <v/>
      </c>
      <c r="P174" s="28"/>
      <c r="Q174" s="28"/>
      <c r="R174" s="28"/>
      <c r="S174" s="28"/>
      <c r="T174" s="28"/>
      <c r="U174" s="28"/>
      <c r="V174" s="28"/>
      <c r="W174" s="28"/>
      <c r="X174" s="28"/>
    </row>
    <row r="175" customFormat="false" ht="15" hidden="false" customHeight="false" outlineLevel="0" collapsed="false">
      <c r="A175" s="38" t="str">
        <f aca="false">IF('STUDENT SCREENING'!A175="","",'STUDENT SCREENING'!A175)</f>
        <v/>
      </c>
      <c r="B175" s="38" t="str">
        <f aca="false">IF('STUDENT SCREENING'!I175="","",'STUDENT SCREENING'!I175)</f>
        <v/>
      </c>
      <c r="C175" s="38" t="str">
        <f aca="false">IF('STUDENT SCREENING'!F175="","",'STUDENT SCREENING'!F175)</f>
        <v/>
      </c>
      <c r="D175" s="38" t="str">
        <f aca="false">IF('STUDENT SCREENING'!G175="","",'STUDENT SCREENING'!G175)</f>
        <v/>
      </c>
      <c r="E175" s="38" t="str">
        <f aca="false">IF('STUDENT SCREENING'!C175="","",'STUDENT SCREENING'!C175)</f>
        <v/>
      </c>
      <c r="F175" s="38" t="str">
        <f aca="false">IF('STUDENT SCREENING'!J175="","",'STUDENT SCREENING'!J175)</f>
        <v/>
      </c>
      <c r="G175" s="38" t="str">
        <f aca="false">IF('STUDENT SCREENING'!K175="","",'STUDENT SCREENING'!K175)</f>
        <v/>
      </c>
      <c r="H175" s="38" t="str">
        <f aca="false">IF('STUDENT SCREENING'!S175="","",'STUDENT SCREENING'!S175)</f>
        <v/>
      </c>
      <c r="I175" s="38" t="str">
        <f aca="false">IF('STUDENT SCREENING'!T175="","",'STUDENT SCREENING'!T175)</f>
        <v/>
      </c>
      <c r="J175" s="38" t="str">
        <f aca="false">IF('STUDENT SCREENING'!BM175="","",'STUDENT SCREENING'!BM175)</f>
        <v/>
      </c>
      <c r="K175" s="38" t="str">
        <f aca="false">IF('STUDENT SCREENING'!BN175="","",'STUDENT SCREENING'!BN175)</f>
        <v/>
      </c>
      <c r="L175" s="38" t="str">
        <f aca="false">IF('STUDENT SCREENING'!BO175="","",'STUDENT SCREENING'!BO175)</f>
        <v/>
      </c>
      <c r="M175" s="38" t="str">
        <f aca="false">IF('STUDENT SCREENING'!BP175="","",'STUDENT SCREENING'!BP175)</f>
        <v/>
      </c>
      <c r="N175" s="38" t="str">
        <f aca="false">IF('STUDENT SCREENING'!BQ175="","",'STUDENT SCREENING'!BQ175)</f>
        <v/>
      </c>
      <c r="O175" s="38" t="str">
        <f aca="false">IF('STUDENT SCREENING'!BR175="","",'STUDENT SCREENING'!BR175)</f>
        <v/>
      </c>
      <c r="P175" s="32"/>
      <c r="Q175" s="32"/>
      <c r="R175" s="32"/>
      <c r="S175" s="32"/>
      <c r="T175" s="32"/>
      <c r="U175" s="32"/>
      <c r="V175" s="32"/>
      <c r="W175" s="32"/>
      <c r="X175" s="32"/>
    </row>
    <row r="176" customFormat="false" ht="15" hidden="false" customHeight="false" outlineLevel="0" collapsed="false">
      <c r="A176" s="37" t="str">
        <f aca="false">IF('STUDENT SCREENING'!A176="","",'STUDENT SCREENING'!A176)</f>
        <v/>
      </c>
      <c r="B176" s="37" t="str">
        <f aca="false">IF('STUDENT SCREENING'!I176="","",'STUDENT SCREENING'!I176)</f>
        <v/>
      </c>
      <c r="C176" s="37" t="str">
        <f aca="false">IF('STUDENT SCREENING'!F176="","",'STUDENT SCREENING'!F176)</f>
        <v/>
      </c>
      <c r="D176" s="37" t="str">
        <f aca="false">IF('STUDENT SCREENING'!G176="","",'STUDENT SCREENING'!G176)</f>
        <v/>
      </c>
      <c r="E176" s="37" t="str">
        <f aca="false">IF('STUDENT SCREENING'!C176="","",'STUDENT SCREENING'!C176)</f>
        <v/>
      </c>
      <c r="F176" s="37" t="str">
        <f aca="false">IF('STUDENT SCREENING'!J176="","",'STUDENT SCREENING'!J176)</f>
        <v/>
      </c>
      <c r="G176" s="37" t="str">
        <f aca="false">IF('STUDENT SCREENING'!K176="","",'STUDENT SCREENING'!K176)</f>
        <v/>
      </c>
      <c r="H176" s="37" t="str">
        <f aca="false">IF('STUDENT SCREENING'!S176="","",'STUDENT SCREENING'!S176)</f>
        <v/>
      </c>
      <c r="I176" s="37" t="str">
        <f aca="false">IF('STUDENT SCREENING'!T176="","",'STUDENT SCREENING'!T176)</f>
        <v/>
      </c>
      <c r="J176" s="37" t="str">
        <f aca="false">IF('STUDENT SCREENING'!BM176="","",'STUDENT SCREENING'!BM176)</f>
        <v/>
      </c>
      <c r="K176" s="37" t="str">
        <f aca="false">IF('STUDENT SCREENING'!BN176="","",'STUDENT SCREENING'!BN176)</f>
        <v/>
      </c>
      <c r="L176" s="37" t="str">
        <f aca="false">IF('STUDENT SCREENING'!BO176="","",'STUDENT SCREENING'!BO176)</f>
        <v/>
      </c>
      <c r="M176" s="37" t="str">
        <f aca="false">IF('STUDENT SCREENING'!BP176="","",'STUDENT SCREENING'!BP176)</f>
        <v/>
      </c>
      <c r="N176" s="37" t="str">
        <f aca="false">IF('STUDENT SCREENING'!BQ176="","",'STUDENT SCREENING'!BQ176)</f>
        <v/>
      </c>
      <c r="O176" s="37" t="str">
        <f aca="false">IF('STUDENT SCREENING'!BR176="","",'STUDENT SCREENING'!BR176)</f>
        <v/>
      </c>
      <c r="P176" s="28"/>
      <c r="Q176" s="28"/>
      <c r="R176" s="28"/>
      <c r="S176" s="28"/>
      <c r="T176" s="28"/>
      <c r="U176" s="28"/>
      <c r="V176" s="28"/>
      <c r="W176" s="28"/>
      <c r="X176" s="28"/>
    </row>
    <row r="177" customFormat="false" ht="15" hidden="false" customHeight="false" outlineLevel="0" collapsed="false">
      <c r="A177" s="38" t="str">
        <f aca="false">IF('STUDENT SCREENING'!A177="","",'STUDENT SCREENING'!A177)</f>
        <v/>
      </c>
      <c r="B177" s="38" t="str">
        <f aca="false">IF('STUDENT SCREENING'!I177="","",'STUDENT SCREENING'!I177)</f>
        <v/>
      </c>
      <c r="C177" s="38" t="str">
        <f aca="false">IF('STUDENT SCREENING'!F177="","",'STUDENT SCREENING'!F177)</f>
        <v/>
      </c>
      <c r="D177" s="38" t="str">
        <f aca="false">IF('STUDENT SCREENING'!G177="","",'STUDENT SCREENING'!G177)</f>
        <v/>
      </c>
      <c r="E177" s="38" t="str">
        <f aca="false">IF('STUDENT SCREENING'!C177="","",'STUDENT SCREENING'!C177)</f>
        <v/>
      </c>
      <c r="F177" s="38" t="str">
        <f aca="false">IF('STUDENT SCREENING'!J177="","",'STUDENT SCREENING'!J177)</f>
        <v/>
      </c>
      <c r="G177" s="38" t="str">
        <f aca="false">IF('STUDENT SCREENING'!K177="","",'STUDENT SCREENING'!K177)</f>
        <v/>
      </c>
      <c r="H177" s="38" t="str">
        <f aca="false">IF('STUDENT SCREENING'!S177="","",'STUDENT SCREENING'!S177)</f>
        <v/>
      </c>
      <c r="I177" s="38" t="str">
        <f aca="false">IF('STUDENT SCREENING'!T177="","",'STUDENT SCREENING'!T177)</f>
        <v/>
      </c>
      <c r="J177" s="38" t="str">
        <f aca="false">IF('STUDENT SCREENING'!BM177="","",'STUDENT SCREENING'!BM177)</f>
        <v/>
      </c>
      <c r="K177" s="38" t="str">
        <f aca="false">IF('STUDENT SCREENING'!BN177="","",'STUDENT SCREENING'!BN177)</f>
        <v/>
      </c>
      <c r="L177" s="38" t="str">
        <f aca="false">IF('STUDENT SCREENING'!BO177="","",'STUDENT SCREENING'!BO177)</f>
        <v/>
      </c>
      <c r="M177" s="38" t="str">
        <f aca="false">IF('STUDENT SCREENING'!BP177="","",'STUDENT SCREENING'!BP177)</f>
        <v/>
      </c>
      <c r="N177" s="38" t="str">
        <f aca="false">IF('STUDENT SCREENING'!BQ177="","",'STUDENT SCREENING'!BQ177)</f>
        <v/>
      </c>
      <c r="O177" s="38" t="str">
        <f aca="false">IF('STUDENT SCREENING'!BR177="","",'STUDENT SCREENING'!BR177)</f>
        <v/>
      </c>
      <c r="P177" s="32"/>
      <c r="Q177" s="32"/>
      <c r="R177" s="32"/>
      <c r="S177" s="32"/>
      <c r="T177" s="32"/>
      <c r="U177" s="32"/>
      <c r="V177" s="32"/>
      <c r="W177" s="32"/>
      <c r="X177" s="32"/>
    </row>
    <row r="178" customFormat="false" ht="15" hidden="false" customHeight="false" outlineLevel="0" collapsed="false">
      <c r="A178" s="37" t="str">
        <f aca="false">IF('STUDENT SCREENING'!A178="","",'STUDENT SCREENING'!A178)</f>
        <v/>
      </c>
      <c r="B178" s="37" t="str">
        <f aca="false">IF('STUDENT SCREENING'!I178="","",'STUDENT SCREENING'!I178)</f>
        <v/>
      </c>
      <c r="C178" s="37" t="str">
        <f aca="false">IF('STUDENT SCREENING'!F178="","",'STUDENT SCREENING'!F178)</f>
        <v/>
      </c>
      <c r="D178" s="37" t="str">
        <f aca="false">IF('STUDENT SCREENING'!G178="","",'STUDENT SCREENING'!G178)</f>
        <v/>
      </c>
      <c r="E178" s="37" t="str">
        <f aca="false">IF('STUDENT SCREENING'!C178="","",'STUDENT SCREENING'!C178)</f>
        <v/>
      </c>
      <c r="F178" s="37" t="str">
        <f aca="false">IF('STUDENT SCREENING'!J178="","",'STUDENT SCREENING'!J178)</f>
        <v/>
      </c>
      <c r="G178" s="37" t="str">
        <f aca="false">IF('STUDENT SCREENING'!K178="","",'STUDENT SCREENING'!K178)</f>
        <v/>
      </c>
      <c r="H178" s="37" t="str">
        <f aca="false">IF('STUDENT SCREENING'!S178="","",'STUDENT SCREENING'!S178)</f>
        <v/>
      </c>
      <c r="I178" s="37" t="str">
        <f aca="false">IF('STUDENT SCREENING'!T178="","",'STUDENT SCREENING'!T178)</f>
        <v/>
      </c>
      <c r="J178" s="37" t="str">
        <f aca="false">IF('STUDENT SCREENING'!BM178="","",'STUDENT SCREENING'!BM178)</f>
        <v/>
      </c>
      <c r="K178" s="37" t="str">
        <f aca="false">IF('STUDENT SCREENING'!BN178="","",'STUDENT SCREENING'!BN178)</f>
        <v/>
      </c>
      <c r="L178" s="37" t="str">
        <f aca="false">IF('STUDENT SCREENING'!BO178="","",'STUDENT SCREENING'!BO178)</f>
        <v/>
      </c>
      <c r="M178" s="37" t="str">
        <f aca="false">IF('STUDENT SCREENING'!BP178="","",'STUDENT SCREENING'!BP178)</f>
        <v/>
      </c>
      <c r="N178" s="37" t="str">
        <f aca="false">IF('STUDENT SCREENING'!BQ178="","",'STUDENT SCREENING'!BQ178)</f>
        <v/>
      </c>
      <c r="O178" s="37" t="str">
        <f aca="false">IF('STUDENT SCREENING'!BR178="","",'STUDENT SCREENING'!BR178)</f>
        <v/>
      </c>
      <c r="P178" s="28"/>
      <c r="Q178" s="28"/>
      <c r="R178" s="28"/>
      <c r="S178" s="28"/>
      <c r="T178" s="28"/>
      <c r="U178" s="28"/>
      <c r="V178" s="28"/>
      <c r="W178" s="28"/>
      <c r="X178" s="28"/>
    </row>
    <row r="179" customFormat="false" ht="15" hidden="false" customHeight="false" outlineLevel="0" collapsed="false">
      <c r="A179" s="38" t="str">
        <f aca="false">IF('STUDENT SCREENING'!A179="","",'STUDENT SCREENING'!A179)</f>
        <v/>
      </c>
      <c r="B179" s="38" t="str">
        <f aca="false">IF('STUDENT SCREENING'!I179="","",'STUDENT SCREENING'!I179)</f>
        <v/>
      </c>
      <c r="C179" s="38" t="str">
        <f aca="false">IF('STUDENT SCREENING'!F179="","",'STUDENT SCREENING'!F179)</f>
        <v/>
      </c>
      <c r="D179" s="38" t="str">
        <f aca="false">IF('STUDENT SCREENING'!G179="","",'STUDENT SCREENING'!G179)</f>
        <v/>
      </c>
      <c r="E179" s="38" t="str">
        <f aca="false">IF('STUDENT SCREENING'!C179="","",'STUDENT SCREENING'!C179)</f>
        <v/>
      </c>
      <c r="F179" s="38" t="str">
        <f aca="false">IF('STUDENT SCREENING'!J179="","",'STUDENT SCREENING'!J179)</f>
        <v/>
      </c>
      <c r="G179" s="38" t="str">
        <f aca="false">IF('STUDENT SCREENING'!K179="","",'STUDENT SCREENING'!K179)</f>
        <v/>
      </c>
      <c r="H179" s="38" t="str">
        <f aca="false">IF('STUDENT SCREENING'!S179="","",'STUDENT SCREENING'!S179)</f>
        <v/>
      </c>
      <c r="I179" s="38" t="str">
        <f aca="false">IF('STUDENT SCREENING'!T179="","",'STUDENT SCREENING'!T179)</f>
        <v/>
      </c>
      <c r="J179" s="38" t="str">
        <f aca="false">IF('STUDENT SCREENING'!BM179="","",'STUDENT SCREENING'!BM179)</f>
        <v/>
      </c>
      <c r="K179" s="38" t="str">
        <f aca="false">IF('STUDENT SCREENING'!BN179="","",'STUDENT SCREENING'!BN179)</f>
        <v/>
      </c>
      <c r="L179" s="38" t="str">
        <f aca="false">IF('STUDENT SCREENING'!BO179="","",'STUDENT SCREENING'!BO179)</f>
        <v/>
      </c>
      <c r="M179" s="38" t="str">
        <f aca="false">IF('STUDENT SCREENING'!BP179="","",'STUDENT SCREENING'!BP179)</f>
        <v/>
      </c>
      <c r="N179" s="38" t="str">
        <f aca="false">IF('STUDENT SCREENING'!BQ179="","",'STUDENT SCREENING'!BQ179)</f>
        <v/>
      </c>
      <c r="O179" s="38" t="str">
        <f aca="false">IF('STUDENT SCREENING'!BR179="","",'STUDENT SCREENING'!BR179)</f>
        <v/>
      </c>
      <c r="P179" s="32"/>
      <c r="Q179" s="32"/>
      <c r="R179" s="32"/>
      <c r="S179" s="32"/>
      <c r="T179" s="32"/>
      <c r="U179" s="32"/>
      <c r="V179" s="32"/>
      <c r="W179" s="32"/>
      <c r="X179" s="32"/>
    </row>
    <row r="180" customFormat="false" ht="15" hidden="false" customHeight="false" outlineLevel="0" collapsed="false">
      <c r="A180" s="37" t="str">
        <f aca="false">IF('STUDENT SCREENING'!A180="","",'STUDENT SCREENING'!A180)</f>
        <v/>
      </c>
      <c r="B180" s="37" t="str">
        <f aca="false">IF('STUDENT SCREENING'!I180="","",'STUDENT SCREENING'!I180)</f>
        <v/>
      </c>
      <c r="C180" s="37" t="str">
        <f aca="false">IF('STUDENT SCREENING'!F180="","",'STUDENT SCREENING'!F180)</f>
        <v/>
      </c>
      <c r="D180" s="37" t="str">
        <f aca="false">IF('STUDENT SCREENING'!G180="","",'STUDENT SCREENING'!G180)</f>
        <v/>
      </c>
      <c r="E180" s="37" t="str">
        <f aca="false">IF('STUDENT SCREENING'!C180="","",'STUDENT SCREENING'!C180)</f>
        <v/>
      </c>
      <c r="F180" s="37" t="str">
        <f aca="false">IF('STUDENT SCREENING'!J180="","",'STUDENT SCREENING'!J180)</f>
        <v/>
      </c>
      <c r="G180" s="37" t="str">
        <f aca="false">IF('STUDENT SCREENING'!K180="","",'STUDENT SCREENING'!K180)</f>
        <v/>
      </c>
      <c r="H180" s="37" t="str">
        <f aca="false">IF('STUDENT SCREENING'!S180="","",'STUDENT SCREENING'!S180)</f>
        <v/>
      </c>
      <c r="I180" s="37" t="str">
        <f aca="false">IF('STUDENT SCREENING'!T180="","",'STUDENT SCREENING'!T180)</f>
        <v/>
      </c>
      <c r="J180" s="37" t="str">
        <f aca="false">IF('STUDENT SCREENING'!BM180="","",'STUDENT SCREENING'!BM180)</f>
        <v/>
      </c>
      <c r="K180" s="37" t="str">
        <f aca="false">IF('STUDENT SCREENING'!BN180="","",'STUDENT SCREENING'!BN180)</f>
        <v/>
      </c>
      <c r="L180" s="37" t="str">
        <f aca="false">IF('STUDENT SCREENING'!BO180="","",'STUDENT SCREENING'!BO180)</f>
        <v/>
      </c>
      <c r="M180" s="37" t="str">
        <f aca="false">IF('STUDENT SCREENING'!BP180="","",'STUDENT SCREENING'!BP180)</f>
        <v/>
      </c>
      <c r="N180" s="37" t="str">
        <f aca="false">IF('STUDENT SCREENING'!BQ180="","",'STUDENT SCREENING'!BQ180)</f>
        <v/>
      </c>
      <c r="O180" s="37" t="str">
        <f aca="false">IF('STUDENT SCREENING'!BR180="","",'STUDENT SCREENING'!BR180)</f>
        <v/>
      </c>
      <c r="P180" s="28"/>
      <c r="Q180" s="28"/>
      <c r="R180" s="28"/>
      <c r="S180" s="28"/>
      <c r="T180" s="28"/>
      <c r="U180" s="28"/>
      <c r="V180" s="28"/>
      <c r="W180" s="28"/>
      <c r="X180" s="28"/>
    </row>
    <row r="181" customFormat="false" ht="15" hidden="false" customHeight="false" outlineLevel="0" collapsed="false">
      <c r="A181" s="38" t="str">
        <f aca="false">IF('STUDENT SCREENING'!A181="","",'STUDENT SCREENING'!A181)</f>
        <v/>
      </c>
      <c r="B181" s="38" t="str">
        <f aca="false">IF('STUDENT SCREENING'!I181="","",'STUDENT SCREENING'!I181)</f>
        <v/>
      </c>
      <c r="C181" s="38" t="str">
        <f aca="false">IF('STUDENT SCREENING'!F181="","",'STUDENT SCREENING'!F181)</f>
        <v/>
      </c>
      <c r="D181" s="38" t="str">
        <f aca="false">IF('STUDENT SCREENING'!G181="","",'STUDENT SCREENING'!G181)</f>
        <v/>
      </c>
      <c r="E181" s="38" t="str">
        <f aca="false">IF('STUDENT SCREENING'!C181="","",'STUDENT SCREENING'!C181)</f>
        <v/>
      </c>
      <c r="F181" s="38" t="str">
        <f aca="false">IF('STUDENT SCREENING'!J181="","",'STUDENT SCREENING'!J181)</f>
        <v/>
      </c>
      <c r="G181" s="38" t="str">
        <f aca="false">IF('STUDENT SCREENING'!K181="","",'STUDENT SCREENING'!K181)</f>
        <v/>
      </c>
      <c r="H181" s="38" t="str">
        <f aca="false">IF('STUDENT SCREENING'!S181="","",'STUDENT SCREENING'!S181)</f>
        <v/>
      </c>
      <c r="I181" s="38" t="str">
        <f aca="false">IF('STUDENT SCREENING'!T181="","",'STUDENT SCREENING'!T181)</f>
        <v/>
      </c>
      <c r="J181" s="38" t="str">
        <f aca="false">IF('STUDENT SCREENING'!BM181="","",'STUDENT SCREENING'!BM181)</f>
        <v/>
      </c>
      <c r="K181" s="38" t="str">
        <f aca="false">IF('STUDENT SCREENING'!BN181="","",'STUDENT SCREENING'!BN181)</f>
        <v/>
      </c>
      <c r="L181" s="38" t="str">
        <f aca="false">IF('STUDENT SCREENING'!BO181="","",'STUDENT SCREENING'!BO181)</f>
        <v/>
      </c>
      <c r="M181" s="38" t="str">
        <f aca="false">IF('STUDENT SCREENING'!BP181="","",'STUDENT SCREENING'!BP181)</f>
        <v/>
      </c>
      <c r="N181" s="38" t="str">
        <f aca="false">IF('STUDENT SCREENING'!BQ181="","",'STUDENT SCREENING'!BQ181)</f>
        <v/>
      </c>
      <c r="O181" s="38" t="str">
        <f aca="false">IF('STUDENT SCREENING'!BR181="","",'STUDENT SCREENING'!BR181)</f>
        <v/>
      </c>
      <c r="P181" s="32"/>
      <c r="Q181" s="32"/>
      <c r="R181" s="32"/>
      <c r="S181" s="32"/>
      <c r="T181" s="32"/>
      <c r="U181" s="32"/>
      <c r="V181" s="32"/>
      <c r="W181" s="32"/>
      <c r="X181" s="32"/>
    </row>
    <row r="182" customFormat="false" ht="15" hidden="false" customHeight="false" outlineLevel="0" collapsed="false">
      <c r="A182" s="37" t="str">
        <f aca="false">IF('STUDENT SCREENING'!A182="","",'STUDENT SCREENING'!A182)</f>
        <v/>
      </c>
      <c r="B182" s="37" t="str">
        <f aca="false">IF('STUDENT SCREENING'!I182="","",'STUDENT SCREENING'!I182)</f>
        <v/>
      </c>
      <c r="C182" s="37" t="str">
        <f aca="false">IF('STUDENT SCREENING'!F182="","",'STUDENT SCREENING'!F182)</f>
        <v/>
      </c>
      <c r="D182" s="37" t="str">
        <f aca="false">IF('STUDENT SCREENING'!G182="","",'STUDENT SCREENING'!G182)</f>
        <v/>
      </c>
      <c r="E182" s="37" t="str">
        <f aca="false">IF('STUDENT SCREENING'!C182="","",'STUDENT SCREENING'!C182)</f>
        <v/>
      </c>
      <c r="F182" s="37" t="str">
        <f aca="false">IF('STUDENT SCREENING'!J182="","",'STUDENT SCREENING'!J182)</f>
        <v/>
      </c>
      <c r="G182" s="37" t="str">
        <f aca="false">IF('STUDENT SCREENING'!K182="","",'STUDENT SCREENING'!K182)</f>
        <v/>
      </c>
      <c r="H182" s="37" t="str">
        <f aca="false">IF('STUDENT SCREENING'!S182="","",'STUDENT SCREENING'!S182)</f>
        <v/>
      </c>
      <c r="I182" s="37" t="str">
        <f aca="false">IF('STUDENT SCREENING'!T182="","",'STUDENT SCREENING'!T182)</f>
        <v/>
      </c>
      <c r="J182" s="37" t="str">
        <f aca="false">IF('STUDENT SCREENING'!BM182="","",'STUDENT SCREENING'!BM182)</f>
        <v/>
      </c>
      <c r="K182" s="37" t="str">
        <f aca="false">IF('STUDENT SCREENING'!BN182="","",'STUDENT SCREENING'!BN182)</f>
        <v/>
      </c>
      <c r="L182" s="37" t="str">
        <f aca="false">IF('STUDENT SCREENING'!BO182="","",'STUDENT SCREENING'!BO182)</f>
        <v/>
      </c>
      <c r="M182" s="37" t="str">
        <f aca="false">IF('STUDENT SCREENING'!BP182="","",'STUDENT SCREENING'!BP182)</f>
        <v/>
      </c>
      <c r="N182" s="37" t="str">
        <f aca="false">IF('STUDENT SCREENING'!BQ182="","",'STUDENT SCREENING'!BQ182)</f>
        <v/>
      </c>
      <c r="O182" s="37" t="str">
        <f aca="false">IF('STUDENT SCREENING'!BR182="","",'STUDENT SCREENING'!BR182)</f>
        <v/>
      </c>
      <c r="P182" s="28"/>
      <c r="Q182" s="28"/>
      <c r="R182" s="28"/>
      <c r="S182" s="28"/>
      <c r="T182" s="28"/>
      <c r="U182" s="28"/>
      <c r="V182" s="28"/>
      <c r="W182" s="28"/>
      <c r="X182" s="28"/>
    </row>
    <row r="183" customFormat="false" ht="15" hidden="false" customHeight="false" outlineLevel="0" collapsed="false">
      <c r="A183" s="38" t="str">
        <f aca="false">IF('STUDENT SCREENING'!A183="","",'STUDENT SCREENING'!A183)</f>
        <v/>
      </c>
      <c r="B183" s="38" t="str">
        <f aca="false">IF('STUDENT SCREENING'!I183="","",'STUDENT SCREENING'!I183)</f>
        <v/>
      </c>
      <c r="C183" s="38" t="str">
        <f aca="false">IF('STUDENT SCREENING'!F183="","",'STUDENT SCREENING'!F183)</f>
        <v/>
      </c>
      <c r="D183" s="38" t="str">
        <f aca="false">IF('STUDENT SCREENING'!G183="","",'STUDENT SCREENING'!G183)</f>
        <v/>
      </c>
      <c r="E183" s="38" t="str">
        <f aca="false">IF('STUDENT SCREENING'!C183="","",'STUDENT SCREENING'!C183)</f>
        <v/>
      </c>
      <c r="F183" s="38" t="str">
        <f aca="false">IF('STUDENT SCREENING'!J183="","",'STUDENT SCREENING'!J183)</f>
        <v/>
      </c>
      <c r="G183" s="38" t="str">
        <f aca="false">IF('STUDENT SCREENING'!K183="","",'STUDENT SCREENING'!K183)</f>
        <v/>
      </c>
      <c r="H183" s="38" t="str">
        <f aca="false">IF('STUDENT SCREENING'!S183="","",'STUDENT SCREENING'!S183)</f>
        <v/>
      </c>
      <c r="I183" s="38" t="str">
        <f aca="false">IF('STUDENT SCREENING'!T183="","",'STUDENT SCREENING'!T183)</f>
        <v/>
      </c>
      <c r="J183" s="38" t="str">
        <f aca="false">IF('STUDENT SCREENING'!BM183="","",'STUDENT SCREENING'!BM183)</f>
        <v/>
      </c>
      <c r="K183" s="38" t="str">
        <f aca="false">IF('STUDENT SCREENING'!BN183="","",'STUDENT SCREENING'!BN183)</f>
        <v/>
      </c>
      <c r="L183" s="38" t="str">
        <f aca="false">IF('STUDENT SCREENING'!BO183="","",'STUDENT SCREENING'!BO183)</f>
        <v/>
      </c>
      <c r="M183" s="38" t="str">
        <f aca="false">IF('STUDENT SCREENING'!BP183="","",'STUDENT SCREENING'!BP183)</f>
        <v/>
      </c>
      <c r="N183" s="38" t="str">
        <f aca="false">IF('STUDENT SCREENING'!BQ183="","",'STUDENT SCREENING'!BQ183)</f>
        <v/>
      </c>
      <c r="O183" s="38" t="str">
        <f aca="false">IF('STUDENT SCREENING'!BR183="","",'STUDENT SCREENING'!BR183)</f>
        <v/>
      </c>
      <c r="P183" s="32"/>
      <c r="Q183" s="32"/>
      <c r="R183" s="32"/>
      <c r="S183" s="32"/>
      <c r="T183" s="32"/>
      <c r="U183" s="32"/>
      <c r="V183" s="32"/>
      <c r="W183" s="32"/>
      <c r="X183" s="32"/>
    </row>
    <row r="184" customFormat="false" ht="15" hidden="false" customHeight="false" outlineLevel="0" collapsed="false">
      <c r="A184" s="37" t="str">
        <f aca="false">IF('STUDENT SCREENING'!A184="","",'STUDENT SCREENING'!A184)</f>
        <v/>
      </c>
      <c r="B184" s="37" t="str">
        <f aca="false">IF('STUDENT SCREENING'!I184="","",'STUDENT SCREENING'!I184)</f>
        <v/>
      </c>
      <c r="C184" s="37" t="str">
        <f aca="false">IF('STUDENT SCREENING'!F184="","",'STUDENT SCREENING'!F184)</f>
        <v/>
      </c>
      <c r="D184" s="37" t="str">
        <f aca="false">IF('STUDENT SCREENING'!G184="","",'STUDENT SCREENING'!G184)</f>
        <v/>
      </c>
      <c r="E184" s="37" t="str">
        <f aca="false">IF('STUDENT SCREENING'!C184="","",'STUDENT SCREENING'!C184)</f>
        <v/>
      </c>
      <c r="F184" s="37" t="str">
        <f aca="false">IF('STUDENT SCREENING'!J184="","",'STUDENT SCREENING'!J184)</f>
        <v/>
      </c>
      <c r="G184" s="37" t="str">
        <f aca="false">IF('STUDENT SCREENING'!K184="","",'STUDENT SCREENING'!K184)</f>
        <v/>
      </c>
      <c r="H184" s="37" t="str">
        <f aca="false">IF('STUDENT SCREENING'!S184="","",'STUDENT SCREENING'!S184)</f>
        <v/>
      </c>
      <c r="I184" s="37" t="str">
        <f aca="false">IF('STUDENT SCREENING'!T184="","",'STUDENT SCREENING'!T184)</f>
        <v/>
      </c>
      <c r="J184" s="37" t="str">
        <f aca="false">IF('STUDENT SCREENING'!BM184="","",'STUDENT SCREENING'!BM184)</f>
        <v/>
      </c>
      <c r="K184" s="37" t="str">
        <f aca="false">IF('STUDENT SCREENING'!BN184="","",'STUDENT SCREENING'!BN184)</f>
        <v/>
      </c>
      <c r="L184" s="37" t="str">
        <f aca="false">IF('STUDENT SCREENING'!BO184="","",'STUDENT SCREENING'!BO184)</f>
        <v/>
      </c>
      <c r="M184" s="37" t="str">
        <f aca="false">IF('STUDENT SCREENING'!BP184="","",'STUDENT SCREENING'!BP184)</f>
        <v/>
      </c>
      <c r="N184" s="37" t="str">
        <f aca="false">IF('STUDENT SCREENING'!BQ184="","",'STUDENT SCREENING'!BQ184)</f>
        <v/>
      </c>
      <c r="O184" s="37" t="str">
        <f aca="false">IF('STUDENT SCREENING'!BR184="","",'STUDENT SCREENING'!BR184)</f>
        <v/>
      </c>
      <c r="P184" s="28"/>
      <c r="Q184" s="28"/>
      <c r="R184" s="28"/>
      <c r="S184" s="28"/>
      <c r="T184" s="28"/>
      <c r="U184" s="28"/>
      <c r="V184" s="28"/>
      <c r="W184" s="28"/>
      <c r="X184" s="28"/>
    </row>
    <row r="185" customFormat="false" ht="15" hidden="false" customHeight="false" outlineLevel="0" collapsed="false">
      <c r="A185" s="38" t="str">
        <f aca="false">IF('STUDENT SCREENING'!A185="","",'STUDENT SCREENING'!A185)</f>
        <v/>
      </c>
      <c r="B185" s="38" t="str">
        <f aca="false">IF('STUDENT SCREENING'!I185="","",'STUDENT SCREENING'!I185)</f>
        <v/>
      </c>
      <c r="C185" s="38" t="str">
        <f aca="false">IF('STUDENT SCREENING'!F185="","",'STUDENT SCREENING'!F185)</f>
        <v/>
      </c>
      <c r="D185" s="38" t="str">
        <f aca="false">IF('STUDENT SCREENING'!G185="","",'STUDENT SCREENING'!G185)</f>
        <v/>
      </c>
      <c r="E185" s="38" t="str">
        <f aca="false">IF('STUDENT SCREENING'!C185="","",'STUDENT SCREENING'!C185)</f>
        <v/>
      </c>
      <c r="F185" s="38" t="str">
        <f aca="false">IF('STUDENT SCREENING'!J185="","",'STUDENT SCREENING'!J185)</f>
        <v/>
      </c>
      <c r="G185" s="38" t="str">
        <f aca="false">IF('STUDENT SCREENING'!K185="","",'STUDENT SCREENING'!K185)</f>
        <v/>
      </c>
      <c r="H185" s="38" t="str">
        <f aca="false">IF('STUDENT SCREENING'!S185="","",'STUDENT SCREENING'!S185)</f>
        <v/>
      </c>
      <c r="I185" s="38" t="str">
        <f aca="false">IF('STUDENT SCREENING'!T185="","",'STUDENT SCREENING'!T185)</f>
        <v/>
      </c>
      <c r="J185" s="38" t="str">
        <f aca="false">IF('STUDENT SCREENING'!BM185="","",'STUDENT SCREENING'!BM185)</f>
        <v/>
      </c>
      <c r="K185" s="38" t="str">
        <f aca="false">IF('STUDENT SCREENING'!BN185="","",'STUDENT SCREENING'!BN185)</f>
        <v/>
      </c>
      <c r="L185" s="38" t="str">
        <f aca="false">IF('STUDENT SCREENING'!BO185="","",'STUDENT SCREENING'!BO185)</f>
        <v/>
      </c>
      <c r="M185" s="38" t="str">
        <f aca="false">IF('STUDENT SCREENING'!BP185="","",'STUDENT SCREENING'!BP185)</f>
        <v/>
      </c>
      <c r="N185" s="38" t="str">
        <f aca="false">IF('STUDENT SCREENING'!BQ185="","",'STUDENT SCREENING'!BQ185)</f>
        <v/>
      </c>
      <c r="O185" s="38" t="str">
        <f aca="false">IF('STUDENT SCREENING'!BR185="","",'STUDENT SCREENING'!BR185)</f>
        <v/>
      </c>
      <c r="P185" s="32"/>
      <c r="Q185" s="32"/>
      <c r="R185" s="32"/>
      <c r="S185" s="32"/>
      <c r="T185" s="32"/>
      <c r="U185" s="32"/>
      <c r="V185" s="32"/>
      <c r="W185" s="32"/>
      <c r="X185" s="32"/>
    </row>
    <row r="186" customFormat="false" ht="15" hidden="false" customHeight="false" outlineLevel="0" collapsed="false">
      <c r="A186" s="37" t="str">
        <f aca="false">IF('STUDENT SCREENING'!A186="","",'STUDENT SCREENING'!A186)</f>
        <v/>
      </c>
      <c r="B186" s="37" t="str">
        <f aca="false">IF('STUDENT SCREENING'!I186="","",'STUDENT SCREENING'!I186)</f>
        <v/>
      </c>
      <c r="C186" s="37" t="str">
        <f aca="false">IF('STUDENT SCREENING'!F186="","",'STUDENT SCREENING'!F186)</f>
        <v/>
      </c>
      <c r="D186" s="37" t="str">
        <f aca="false">IF('STUDENT SCREENING'!G186="","",'STUDENT SCREENING'!G186)</f>
        <v/>
      </c>
      <c r="E186" s="37" t="str">
        <f aca="false">IF('STUDENT SCREENING'!C186="","",'STUDENT SCREENING'!C186)</f>
        <v/>
      </c>
      <c r="F186" s="37" t="str">
        <f aca="false">IF('STUDENT SCREENING'!J186="","",'STUDENT SCREENING'!J186)</f>
        <v/>
      </c>
      <c r="G186" s="37" t="str">
        <f aca="false">IF('STUDENT SCREENING'!K186="","",'STUDENT SCREENING'!K186)</f>
        <v/>
      </c>
      <c r="H186" s="37" t="str">
        <f aca="false">IF('STUDENT SCREENING'!S186="","",'STUDENT SCREENING'!S186)</f>
        <v/>
      </c>
      <c r="I186" s="37" t="str">
        <f aca="false">IF('STUDENT SCREENING'!T186="","",'STUDENT SCREENING'!T186)</f>
        <v/>
      </c>
      <c r="J186" s="37" t="str">
        <f aca="false">IF('STUDENT SCREENING'!BM186="","",'STUDENT SCREENING'!BM186)</f>
        <v/>
      </c>
      <c r="K186" s="37" t="str">
        <f aca="false">IF('STUDENT SCREENING'!BN186="","",'STUDENT SCREENING'!BN186)</f>
        <v/>
      </c>
      <c r="L186" s="37" t="str">
        <f aca="false">IF('STUDENT SCREENING'!BO186="","",'STUDENT SCREENING'!BO186)</f>
        <v/>
      </c>
      <c r="M186" s="37" t="str">
        <f aca="false">IF('STUDENT SCREENING'!BP186="","",'STUDENT SCREENING'!BP186)</f>
        <v/>
      </c>
      <c r="N186" s="37" t="str">
        <f aca="false">IF('STUDENT SCREENING'!BQ186="","",'STUDENT SCREENING'!BQ186)</f>
        <v/>
      </c>
      <c r="O186" s="37" t="str">
        <f aca="false">IF('STUDENT SCREENING'!BR186="","",'STUDENT SCREENING'!BR186)</f>
        <v/>
      </c>
      <c r="P186" s="28"/>
      <c r="Q186" s="28"/>
      <c r="R186" s="28"/>
      <c r="S186" s="28"/>
      <c r="T186" s="28"/>
      <c r="U186" s="28"/>
      <c r="V186" s="28"/>
      <c r="W186" s="28"/>
      <c r="X186" s="28"/>
    </row>
    <row r="187" customFormat="false" ht="15" hidden="false" customHeight="false" outlineLevel="0" collapsed="false">
      <c r="A187" s="38" t="str">
        <f aca="false">IF('STUDENT SCREENING'!A187="","",'STUDENT SCREENING'!A187)</f>
        <v/>
      </c>
      <c r="B187" s="38" t="str">
        <f aca="false">IF('STUDENT SCREENING'!I187="","",'STUDENT SCREENING'!I187)</f>
        <v/>
      </c>
      <c r="C187" s="38" t="str">
        <f aca="false">IF('STUDENT SCREENING'!F187="","",'STUDENT SCREENING'!F187)</f>
        <v/>
      </c>
      <c r="D187" s="38" t="str">
        <f aca="false">IF('STUDENT SCREENING'!G187="","",'STUDENT SCREENING'!G187)</f>
        <v/>
      </c>
      <c r="E187" s="38" t="str">
        <f aca="false">IF('STUDENT SCREENING'!C187="","",'STUDENT SCREENING'!C187)</f>
        <v/>
      </c>
      <c r="F187" s="38" t="str">
        <f aca="false">IF('STUDENT SCREENING'!J187="","",'STUDENT SCREENING'!J187)</f>
        <v/>
      </c>
      <c r="G187" s="38" t="str">
        <f aca="false">IF('STUDENT SCREENING'!K187="","",'STUDENT SCREENING'!K187)</f>
        <v/>
      </c>
      <c r="H187" s="38" t="str">
        <f aca="false">IF('STUDENT SCREENING'!S187="","",'STUDENT SCREENING'!S187)</f>
        <v/>
      </c>
      <c r="I187" s="38" t="str">
        <f aca="false">IF('STUDENT SCREENING'!T187="","",'STUDENT SCREENING'!T187)</f>
        <v/>
      </c>
      <c r="J187" s="38" t="str">
        <f aca="false">IF('STUDENT SCREENING'!BM187="","",'STUDENT SCREENING'!BM187)</f>
        <v/>
      </c>
      <c r="K187" s="38" t="str">
        <f aca="false">IF('STUDENT SCREENING'!BN187="","",'STUDENT SCREENING'!BN187)</f>
        <v/>
      </c>
      <c r="L187" s="38" t="str">
        <f aca="false">IF('STUDENT SCREENING'!BO187="","",'STUDENT SCREENING'!BO187)</f>
        <v/>
      </c>
      <c r="M187" s="38" t="str">
        <f aca="false">IF('STUDENT SCREENING'!BP187="","",'STUDENT SCREENING'!BP187)</f>
        <v/>
      </c>
      <c r="N187" s="38" t="str">
        <f aca="false">IF('STUDENT SCREENING'!BQ187="","",'STUDENT SCREENING'!BQ187)</f>
        <v/>
      </c>
      <c r="O187" s="38" t="str">
        <f aca="false">IF('STUDENT SCREENING'!BR187="","",'STUDENT SCREENING'!BR187)</f>
        <v/>
      </c>
      <c r="P187" s="32"/>
      <c r="Q187" s="32"/>
      <c r="R187" s="32"/>
      <c r="S187" s="32"/>
      <c r="T187" s="32"/>
      <c r="U187" s="32"/>
      <c r="V187" s="32"/>
      <c r="W187" s="32"/>
      <c r="X187" s="32"/>
    </row>
    <row r="188" customFormat="false" ht="15" hidden="false" customHeight="false" outlineLevel="0" collapsed="false">
      <c r="A188" s="37" t="str">
        <f aca="false">IF('STUDENT SCREENING'!A188="","",'STUDENT SCREENING'!A188)</f>
        <v/>
      </c>
      <c r="B188" s="37" t="str">
        <f aca="false">IF('STUDENT SCREENING'!I188="","",'STUDENT SCREENING'!I188)</f>
        <v/>
      </c>
      <c r="C188" s="37" t="str">
        <f aca="false">IF('STUDENT SCREENING'!F188="","",'STUDENT SCREENING'!F188)</f>
        <v/>
      </c>
      <c r="D188" s="37" t="str">
        <f aca="false">IF('STUDENT SCREENING'!G188="","",'STUDENT SCREENING'!G188)</f>
        <v/>
      </c>
      <c r="E188" s="37" t="str">
        <f aca="false">IF('STUDENT SCREENING'!C188="","",'STUDENT SCREENING'!C188)</f>
        <v/>
      </c>
      <c r="F188" s="37" t="str">
        <f aca="false">IF('STUDENT SCREENING'!J188="","",'STUDENT SCREENING'!J188)</f>
        <v/>
      </c>
      <c r="G188" s="37" t="str">
        <f aca="false">IF('STUDENT SCREENING'!K188="","",'STUDENT SCREENING'!K188)</f>
        <v/>
      </c>
      <c r="H188" s="37" t="str">
        <f aca="false">IF('STUDENT SCREENING'!S188="","",'STUDENT SCREENING'!S188)</f>
        <v/>
      </c>
      <c r="I188" s="37" t="str">
        <f aca="false">IF('STUDENT SCREENING'!T188="","",'STUDENT SCREENING'!T188)</f>
        <v/>
      </c>
      <c r="J188" s="37" t="str">
        <f aca="false">IF('STUDENT SCREENING'!BM188="","",'STUDENT SCREENING'!BM188)</f>
        <v/>
      </c>
      <c r="K188" s="37" t="str">
        <f aca="false">IF('STUDENT SCREENING'!BN188="","",'STUDENT SCREENING'!BN188)</f>
        <v/>
      </c>
      <c r="L188" s="37" t="str">
        <f aca="false">IF('STUDENT SCREENING'!BO188="","",'STUDENT SCREENING'!BO188)</f>
        <v/>
      </c>
      <c r="M188" s="37" t="str">
        <f aca="false">IF('STUDENT SCREENING'!BP188="","",'STUDENT SCREENING'!BP188)</f>
        <v/>
      </c>
      <c r="N188" s="37" t="str">
        <f aca="false">IF('STUDENT SCREENING'!BQ188="","",'STUDENT SCREENING'!BQ188)</f>
        <v/>
      </c>
      <c r="O188" s="37" t="str">
        <f aca="false">IF('STUDENT SCREENING'!BR188="","",'STUDENT SCREENING'!BR188)</f>
        <v/>
      </c>
      <c r="P188" s="28"/>
      <c r="Q188" s="28"/>
      <c r="R188" s="28"/>
      <c r="S188" s="28"/>
      <c r="T188" s="28"/>
      <c r="U188" s="28"/>
      <c r="V188" s="28"/>
      <c r="W188" s="28"/>
      <c r="X188" s="28"/>
    </row>
    <row r="189" customFormat="false" ht="15" hidden="false" customHeight="false" outlineLevel="0" collapsed="false">
      <c r="A189" s="38" t="str">
        <f aca="false">IF('STUDENT SCREENING'!A189="","",'STUDENT SCREENING'!A189)</f>
        <v/>
      </c>
      <c r="B189" s="38" t="str">
        <f aca="false">IF('STUDENT SCREENING'!I189="","",'STUDENT SCREENING'!I189)</f>
        <v/>
      </c>
      <c r="C189" s="38" t="str">
        <f aca="false">IF('STUDENT SCREENING'!F189="","",'STUDENT SCREENING'!F189)</f>
        <v/>
      </c>
      <c r="D189" s="38" t="str">
        <f aca="false">IF('STUDENT SCREENING'!G189="","",'STUDENT SCREENING'!G189)</f>
        <v/>
      </c>
      <c r="E189" s="38" t="str">
        <f aca="false">IF('STUDENT SCREENING'!C189="","",'STUDENT SCREENING'!C189)</f>
        <v/>
      </c>
      <c r="F189" s="38" t="str">
        <f aca="false">IF('STUDENT SCREENING'!J189="","",'STUDENT SCREENING'!J189)</f>
        <v/>
      </c>
      <c r="G189" s="38" t="str">
        <f aca="false">IF('STUDENT SCREENING'!K189="","",'STUDENT SCREENING'!K189)</f>
        <v/>
      </c>
      <c r="H189" s="38" t="str">
        <f aca="false">IF('STUDENT SCREENING'!S189="","",'STUDENT SCREENING'!S189)</f>
        <v/>
      </c>
      <c r="I189" s="38" t="str">
        <f aca="false">IF('STUDENT SCREENING'!T189="","",'STUDENT SCREENING'!T189)</f>
        <v/>
      </c>
      <c r="J189" s="38" t="str">
        <f aca="false">IF('STUDENT SCREENING'!BM189="","",'STUDENT SCREENING'!BM189)</f>
        <v/>
      </c>
      <c r="K189" s="38" t="str">
        <f aca="false">IF('STUDENT SCREENING'!BN189="","",'STUDENT SCREENING'!BN189)</f>
        <v/>
      </c>
      <c r="L189" s="38" t="str">
        <f aca="false">IF('STUDENT SCREENING'!BO189="","",'STUDENT SCREENING'!BO189)</f>
        <v/>
      </c>
      <c r="M189" s="38" t="str">
        <f aca="false">IF('STUDENT SCREENING'!BP189="","",'STUDENT SCREENING'!BP189)</f>
        <v/>
      </c>
      <c r="N189" s="38" t="str">
        <f aca="false">IF('STUDENT SCREENING'!BQ189="","",'STUDENT SCREENING'!BQ189)</f>
        <v/>
      </c>
      <c r="O189" s="38" t="str">
        <f aca="false">IF('STUDENT SCREENING'!BR189="","",'STUDENT SCREENING'!BR189)</f>
        <v/>
      </c>
      <c r="P189" s="32"/>
      <c r="Q189" s="32"/>
      <c r="R189" s="32"/>
      <c r="S189" s="32"/>
      <c r="T189" s="32"/>
      <c r="U189" s="32"/>
      <c r="V189" s="32"/>
      <c r="W189" s="32"/>
      <c r="X189" s="32"/>
    </row>
    <row r="190" customFormat="false" ht="15" hidden="false" customHeight="false" outlineLevel="0" collapsed="false">
      <c r="A190" s="37" t="str">
        <f aca="false">IF('STUDENT SCREENING'!A190="","",'STUDENT SCREENING'!A190)</f>
        <v/>
      </c>
      <c r="B190" s="37" t="str">
        <f aca="false">IF('STUDENT SCREENING'!I190="","",'STUDENT SCREENING'!I190)</f>
        <v/>
      </c>
      <c r="C190" s="37" t="str">
        <f aca="false">IF('STUDENT SCREENING'!F190="","",'STUDENT SCREENING'!F190)</f>
        <v/>
      </c>
      <c r="D190" s="37" t="str">
        <f aca="false">IF('STUDENT SCREENING'!G190="","",'STUDENT SCREENING'!G190)</f>
        <v/>
      </c>
      <c r="E190" s="37" t="str">
        <f aca="false">IF('STUDENT SCREENING'!C190="","",'STUDENT SCREENING'!C190)</f>
        <v/>
      </c>
      <c r="F190" s="37" t="str">
        <f aca="false">IF('STUDENT SCREENING'!J190="","",'STUDENT SCREENING'!J190)</f>
        <v/>
      </c>
      <c r="G190" s="37" t="str">
        <f aca="false">IF('STUDENT SCREENING'!K190="","",'STUDENT SCREENING'!K190)</f>
        <v/>
      </c>
      <c r="H190" s="37" t="str">
        <f aca="false">IF('STUDENT SCREENING'!S190="","",'STUDENT SCREENING'!S190)</f>
        <v/>
      </c>
      <c r="I190" s="37" t="str">
        <f aca="false">IF('STUDENT SCREENING'!T190="","",'STUDENT SCREENING'!T190)</f>
        <v/>
      </c>
      <c r="J190" s="37" t="str">
        <f aca="false">IF('STUDENT SCREENING'!BM190="","",'STUDENT SCREENING'!BM190)</f>
        <v/>
      </c>
      <c r="K190" s="37" t="str">
        <f aca="false">IF('STUDENT SCREENING'!BN190="","",'STUDENT SCREENING'!BN190)</f>
        <v/>
      </c>
      <c r="L190" s="37" t="str">
        <f aca="false">IF('STUDENT SCREENING'!BO190="","",'STUDENT SCREENING'!BO190)</f>
        <v/>
      </c>
      <c r="M190" s="37" t="str">
        <f aca="false">IF('STUDENT SCREENING'!BP190="","",'STUDENT SCREENING'!BP190)</f>
        <v/>
      </c>
      <c r="N190" s="37" t="str">
        <f aca="false">IF('STUDENT SCREENING'!BQ190="","",'STUDENT SCREENING'!BQ190)</f>
        <v/>
      </c>
      <c r="O190" s="37" t="str">
        <f aca="false">IF('STUDENT SCREENING'!BR190="","",'STUDENT SCREENING'!BR190)</f>
        <v/>
      </c>
      <c r="P190" s="28"/>
      <c r="Q190" s="28"/>
      <c r="R190" s="28"/>
      <c r="S190" s="28"/>
      <c r="T190" s="28"/>
      <c r="U190" s="28"/>
      <c r="V190" s="28"/>
      <c r="W190" s="28"/>
      <c r="X190" s="28"/>
    </row>
    <row r="191" customFormat="false" ht="15" hidden="false" customHeight="false" outlineLevel="0" collapsed="false">
      <c r="A191" s="38" t="str">
        <f aca="false">IF('STUDENT SCREENING'!A191="","",'STUDENT SCREENING'!A191)</f>
        <v/>
      </c>
      <c r="B191" s="38" t="str">
        <f aca="false">IF('STUDENT SCREENING'!I191="","",'STUDENT SCREENING'!I191)</f>
        <v/>
      </c>
      <c r="C191" s="38" t="str">
        <f aca="false">IF('STUDENT SCREENING'!F191="","",'STUDENT SCREENING'!F191)</f>
        <v/>
      </c>
      <c r="D191" s="38" t="str">
        <f aca="false">IF('STUDENT SCREENING'!G191="","",'STUDENT SCREENING'!G191)</f>
        <v/>
      </c>
      <c r="E191" s="38" t="str">
        <f aca="false">IF('STUDENT SCREENING'!C191="","",'STUDENT SCREENING'!C191)</f>
        <v/>
      </c>
      <c r="F191" s="38" t="str">
        <f aca="false">IF('STUDENT SCREENING'!J191="","",'STUDENT SCREENING'!J191)</f>
        <v/>
      </c>
      <c r="G191" s="38" t="str">
        <f aca="false">IF('STUDENT SCREENING'!K191="","",'STUDENT SCREENING'!K191)</f>
        <v/>
      </c>
      <c r="H191" s="38" t="str">
        <f aca="false">IF('STUDENT SCREENING'!S191="","",'STUDENT SCREENING'!S191)</f>
        <v/>
      </c>
      <c r="I191" s="38" t="str">
        <f aca="false">IF('STUDENT SCREENING'!T191="","",'STUDENT SCREENING'!T191)</f>
        <v/>
      </c>
      <c r="J191" s="38" t="str">
        <f aca="false">IF('STUDENT SCREENING'!BM191="","",'STUDENT SCREENING'!BM191)</f>
        <v/>
      </c>
      <c r="K191" s="38" t="str">
        <f aca="false">IF('STUDENT SCREENING'!BN191="","",'STUDENT SCREENING'!BN191)</f>
        <v/>
      </c>
      <c r="L191" s="38" t="str">
        <f aca="false">IF('STUDENT SCREENING'!BO191="","",'STUDENT SCREENING'!BO191)</f>
        <v/>
      </c>
      <c r="M191" s="38" t="str">
        <f aca="false">IF('STUDENT SCREENING'!BP191="","",'STUDENT SCREENING'!BP191)</f>
        <v/>
      </c>
      <c r="N191" s="38" t="str">
        <f aca="false">IF('STUDENT SCREENING'!BQ191="","",'STUDENT SCREENING'!BQ191)</f>
        <v/>
      </c>
      <c r="O191" s="38" t="str">
        <f aca="false">IF('STUDENT SCREENING'!BR191="","",'STUDENT SCREENING'!BR191)</f>
        <v/>
      </c>
      <c r="P191" s="32"/>
      <c r="Q191" s="32"/>
      <c r="R191" s="32"/>
      <c r="S191" s="32"/>
      <c r="T191" s="32"/>
      <c r="U191" s="32"/>
      <c r="V191" s="32"/>
      <c r="W191" s="32"/>
      <c r="X191" s="32"/>
    </row>
    <row r="192" customFormat="false" ht="15" hidden="false" customHeight="false" outlineLevel="0" collapsed="false">
      <c r="A192" s="37" t="str">
        <f aca="false">IF('STUDENT SCREENING'!A192="","",'STUDENT SCREENING'!A192)</f>
        <v/>
      </c>
      <c r="B192" s="37" t="str">
        <f aca="false">IF('STUDENT SCREENING'!I192="","",'STUDENT SCREENING'!I192)</f>
        <v/>
      </c>
      <c r="C192" s="37" t="str">
        <f aca="false">IF('STUDENT SCREENING'!F192="","",'STUDENT SCREENING'!F192)</f>
        <v/>
      </c>
      <c r="D192" s="37" t="str">
        <f aca="false">IF('STUDENT SCREENING'!G192="","",'STUDENT SCREENING'!G192)</f>
        <v/>
      </c>
      <c r="E192" s="37" t="str">
        <f aca="false">IF('STUDENT SCREENING'!C192="","",'STUDENT SCREENING'!C192)</f>
        <v/>
      </c>
      <c r="F192" s="37" t="str">
        <f aca="false">IF('STUDENT SCREENING'!J192="","",'STUDENT SCREENING'!J192)</f>
        <v/>
      </c>
      <c r="G192" s="37" t="str">
        <f aca="false">IF('STUDENT SCREENING'!K192="","",'STUDENT SCREENING'!K192)</f>
        <v/>
      </c>
      <c r="H192" s="37" t="str">
        <f aca="false">IF('STUDENT SCREENING'!S192="","",'STUDENT SCREENING'!S192)</f>
        <v/>
      </c>
      <c r="I192" s="37" t="str">
        <f aca="false">IF('STUDENT SCREENING'!T192="","",'STUDENT SCREENING'!T192)</f>
        <v/>
      </c>
      <c r="J192" s="37" t="str">
        <f aca="false">IF('STUDENT SCREENING'!BM192="","",'STUDENT SCREENING'!BM192)</f>
        <v/>
      </c>
      <c r="K192" s="37" t="str">
        <f aca="false">IF('STUDENT SCREENING'!BN192="","",'STUDENT SCREENING'!BN192)</f>
        <v/>
      </c>
      <c r="L192" s="37" t="str">
        <f aca="false">IF('STUDENT SCREENING'!BO192="","",'STUDENT SCREENING'!BO192)</f>
        <v/>
      </c>
      <c r="M192" s="37" t="str">
        <f aca="false">IF('STUDENT SCREENING'!BP192="","",'STUDENT SCREENING'!BP192)</f>
        <v/>
      </c>
      <c r="N192" s="37" t="str">
        <f aca="false">IF('STUDENT SCREENING'!BQ192="","",'STUDENT SCREENING'!BQ192)</f>
        <v/>
      </c>
      <c r="O192" s="37" t="str">
        <f aca="false">IF('STUDENT SCREENING'!BR192="","",'STUDENT SCREENING'!BR192)</f>
        <v/>
      </c>
      <c r="P192" s="28"/>
      <c r="Q192" s="28"/>
      <c r="R192" s="28"/>
      <c r="S192" s="28"/>
      <c r="T192" s="28"/>
      <c r="U192" s="28"/>
      <c r="V192" s="28"/>
      <c r="W192" s="28"/>
      <c r="X192" s="28"/>
    </row>
    <row r="193" customFormat="false" ht="15" hidden="false" customHeight="false" outlineLevel="0" collapsed="false">
      <c r="A193" s="38" t="str">
        <f aca="false">IF('STUDENT SCREENING'!A193="","",'STUDENT SCREENING'!A193)</f>
        <v/>
      </c>
      <c r="B193" s="38" t="str">
        <f aca="false">IF('STUDENT SCREENING'!I193="","",'STUDENT SCREENING'!I193)</f>
        <v/>
      </c>
      <c r="C193" s="38" t="str">
        <f aca="false">IF('STUDENT SCREENING'!F193="","",'STUDENT SCREENING'!F193)</f>
        <v/>
      </c>
      <c r="D193" s="38" t="str">
        <f aca="false">IF('STUDENT SCREENING'!G193="","",'STUDENT SCREENING'!G193)</f>
        <v/>
      </c>
      <c r="E193" s="38" t="str">
        <f aca="false">IF('STUDENT SCREENING'!C193="","",'STUDENT SCREENING'!C193)</f>
        <v/>
      </c>
      <c r="F193" s="38" t="str">
        <f aca="false">IF('STUDENT SCREENING'!J193="","",'STUDENT SCREENING'!J193)</f>
        <v/>
      </c>
      <c r="G193" s="38" t="str">
        <f aca="false">IF('STUDENT SCREENING'!K193="","",'STUDENT SCREENING'!K193)</f>
        <v/>
      </c>
      <c r="H193" s="38" t="str">
        <f aca="false">IF('STUDENT SCREENING'!S193="","",'STUDENT SCREENING'!S193)</f>
        <v/>
      </c>
      <c r="I193" s="38" t="str">
        <f aca="false">IF('STUDENT SCREENING'!T193="","",'STUDENT SCREENING'!T193)</f>
        <v/>
      </c>
      <c r="J193" s="38" t="str">
        <f aca="false">IF('STUDENT SCREENING'!BM193="","",'STUDENT SCREENING'!BM193)</f>
        <v/>
      </c>
      <c r="K193" s="38" t="str">
        <f aca="false">IF('STUDENT SCREENING'!BN193="","",'STUDENT SCREENING'!BN193)</f>
        <v/>
      </c>
      <c r="L193" s="38" t="str">
        <f aca="false">IF('STUDENT SCREENING'!BO193="","",'STUDENT SCREENING'!BO193)</f>
        <v/>
      </c>
      <c r="M193" s="38" t="str">
        <f aca="false">IF('STUDENT SCREENING'!BP193="","",'STUDENT SCREENING'!BP193)</f>
        <v/>
      </c>
      <c r="N193" s="38" t="str">
        <f aca="false">IF('STUDENT SCREENING'!BQ193="","",'STUDENT SCREENING'!BQ193)</f>
        <v/>
      </c>
      <c r="O193" s="38" t="str">
        <f aca="false">IF('STUDENT SCREENING'!BR193="","",'STUDENT SCREENING'!BR193)</f>
        <v/>
      </c>
      <c r="P193" s="32"/>
      <c r="Q193" s="32"/>
      <c r="R193" s="32"/>
      <c r="S193" s="32"/>
      <c r="T193" s="32"/>
      <c r="U193" s="32"/>
      <c r="V193" s="32"/>
      <c r="W193" s="32"/>
      <c r="X193" s="32"/>
    </row>
    <row r="194" customFormat="false" ht="15" hidden="false" customHeight="false" outlineLevel="0" collapsed="false">
      <c r="A194" s="37" t="str">
        <f aca="false">IF('STUDENT SCREENING'!A194="","",'STUDENT SCREENING'!A194)</f>
        <v/>
      </c>
      <c r="B194" s="37" t="str">
        <f aca="false">IF('STUDENT SCREENING'!I194="","",'STUDENT SCREENING'!I194)</f>
        <v/>
      </c>
      <c r="C194" s="37" t="str">
        <f aca="false">IF('STUDENT SCREENING'!F194="","",'STUDENT SCREENING'!F194)</f>
        <v/>
      </c>
      <c r="D194" s="37" t="str">
        <f aca="false">IF('STUDENT SCREENING'!G194="","",'STUDENT SCREENING'!G194)</f>
        <v/>
      </c>
      <c r="E194" s="37" t="str">
        <f aca="false">IF('STUDENT SCREENING'!C194="","",'STUDENT SCREENING'!C194)</f>
        <v/>
      </c>
      <c r="F194" s="37" t="str">
        <f aca="false">IF('STUDENT SCREENING'!J194="","",'STUDENT SCREENING'!J194)</f>
        <v/>
      </c>
      <c r="G194" s="37" t="str">
        <f aca="false">IF('STUDENT SCREENING'!K194="","",'STUDENT SCREENING'!K194)</f>
        <v/>
      </c>
      <c r="H194" s="37" t="str">
        <f aca="false">IF('STUDENT SCREENING'!S194="","",'STUDENT SCREENING'!S194)</f>
        <v/>
      </c>
      <c r="I194" s="37" t="str">
        <f aca="false">IF('STUDENT SCREENING'!T194="","",'STUDENT SCREENING'!T194)</f>
        <v/>
      </c>
      <c r="J194" s="37" t="str">
        <f aca="false">IF('STUDENT SCREENING'!BM194="","",'STUDENT SCREENING'!BM194)</f>
        <v/>
      </c>
      <c r="K194" s="37" t="str">
        <f aca="false">IF('STUDENT SCREENING'!BN194="","",'STUDENT SCREENING'!BN194)</f>
        <v/>
      </c>
      <c r="L194" s="37" t="str">
        <f aca="false">IF('STUDENT SCREENING'!BO194="","",'STUDENT SCREENING'!BO194)</f>
        <v/>
      </c>
      <c r="M194" s="37" t="str">
        <f aca="false">IF('STUDENT SCREENING'!BP194="","",'STUDENT SCREENING'!BP194)</f>
        <v/>
      </c>
      <c r="N194" s="37" t="str">
        <f aca="false">IF('STUDENT SCREENING'!BQ194="","",'STUDENT SCREENING'!BQ194)</f>
        <v/>
      </c>
      <c r="O194" s="37" t="str">
        <f aca="false">IF('STUDENT SCREENING'!BR194="","",'STUDENT SCREENING'!BR194)</f>
        <v/>
      </c>
      <c r="P194" s="28"/>
      <c r="Q194" s="28"/>
      <c r="R194" s="28"/>
      <c r="S194" s="28"/>
      <c r="T194" s="28"/>
      <c r="U194" s="28"/>
      <c r="V194" s="28"/>
      <c r="W194" s="28"/>
      <c r="X194" s="28"/>
    </row>
    <row r="195" customFormat="false" ht="15" hidden="false" customHeight="false" outlineLevel="0" collapsed="false">
      <c r="A195" s="38" t="str">
        <f aca="false">IF('STUDENT SCREENING'!A195="","",'STUDENT SCREENING'!A195)</f>
        <v/>
      </c>
      <c r="B195" s="38" t="str">
        <f aca="false">IF('STUDENT SCREENING'!I195="","",'STUDENT SCREENING'!I195)</f>
        <v/>
      </c>
      <c r="C195" s="38" t="str">
        <f aca="false">IF('STUDENT SCREENING'!F195="","",'STUDENT SCREENING'!F195)</f>
        <v/>
      </c>
      <c r="D195" s="38" t="str">
        <f aca="false">IF('STUDENT SCREENING'!G195="","",'STUDENT SCREENING'!G195)</f>
        <v/>
      </c>
      <c r="E195" s="38" t="str">
        <f aca="false">IF('STUDENT SCREENING'!C195="","",'STUDENT SCREENING'!C195)</f>
        <v/>
      </c>
      <c r="F195" s="38" t="str">
        <f aca="false">IF('STUDENT SCREENING'!J195="","",'STUDENT SCREENING'!J195)</f>
        <v/>
      </c>
      <c r="G195" s="38" t="str">
        <f aca="false">IF('STUDENT SCREENING'!K195="","",'STUDENT SCREENING'!K195)</f>
        <v/>
      </c>
      <c r="H195" s="38" t="str">
        <f aca="false">IF('STUDENT SCREENING'!S195="","",'STUDENT SCREENING'!S195)</f>
        <v/>
      </c>
      <c r="I195" s="38" t="str">
        <f aca="false">IF('STUDENT SCREENING'!T195="","",'STUDENT SCREENING'!T195)</f>
        <v/>
      </c>
      <c r="J195" s="38" t="str">
        <f aca="false">IF('STUDENT SCREENING'!BM195="","",'STUDENT SCREENING'!BM195)</f>
        <v/>
      </c>
      <c r="K195" s="38" t="str">
        <f aca="false">IF('STUDENT SCREENING'!BN195="","",'STUDENT SCREENING'!BN195)</f>
        <v/>
      </c>
      <c r="L195" s="38" t="str">
        <f aca="false">IF('STUDENT SCREENING'!BO195="","",'STUDENT SCREENING'!BO195)</f>
        <v/>
      </c>
      <c r="M195" s="38" t="str">
        <f aca="false">IF('STUDENT SCREENING'!BP195="","",'STUDENT SCREENING'!BP195)</f>
        <v/>
      </c>
      <c r="N195" s="38" t="str">
        <f aca="false">IF('STUDENT SCREENING'!BQ195="","",'STUDENT SCREENING'!BQ195)</f>
        <v/>
      </c>
      <c r="O195" s="38" t="str">
        <f aca="false">IF('STUDENT SCREENING'!BR195="","",'STUDENT SCREENING'!BR195)</f>
        <v/>
      </c>
      <c r="P195" s="32"/>
      <c r="Q195" s="32"/>
      <c r="R195" s="32"/>
      <c r="S195" s="32"/>
      <c r="T195" s="32"/>
      <c r="U195" s="32"/>
      <c r="V195" s="32"/>
      <c r="W195" s="32"/>
      <c r="X195" s="32"/>
    </row>
    <row r="196" customFormat="false" ht="15" hidden="false" customHeight="false" outlineLevel="0" collapsed="false">
      <c r="A196" s="37" t="str">
        <f aca="false">IF('STUDENT SCREENING'!A196="","",'STUDENT SCREENING'!A196)</f>
        <v/>
      </c>
      <c r="B196" s="37" t="str">
        <f aca="false">IF('STUDENT SCREENING'!I196="","",'STUDENT SCREENING'!I196)</f>
        <v/>
      </c>
      <c r="C196" s="37" t="str">
        <f aca="false">IF('STUDENT SCREENING'!F196="","",'STUDENT SCREENING'!F196)</f>
        <v/>
      </c>
      <c r="D196" s="37" t="str">
        <f aca="false">IF('STUDENT SCREENING'!G196="","",'STUDENT SCREENING'!G196)</f>
        <v/>
      </c>
      <c r="E196" s="37" t="str">
        <f aca="false">IF('STUDENT SCREENING'!C196="","",'STUDENT SCREENING'!C196)</f>
        <v/>
      </c>
      <c r="F196" s="37" t="str">
        <f aca="false">IF('STUDENT SCREENING'!J196="","",'STUDENT SCREENING'!J196)</f>
        <v/>
      </c>
      <c r="G196" s="37" t="str">
        <f aca="false">IF('STUDENT SCREENING'!K196="","",'STUDENT SCREENING'!K196)</f>
        <v/>
      </c>
      <c r="H196" s="37" t="str">
        <f aca="false">IF('STUDENT SCREENING'!S196="","",'STUDENT SCREENING'!S196)</f>
        <v/>
      </c>
      <c r="I196" s="37" t="str">
        <f aca="false">IF('STUDENT SCREENING'!T196="","",'STUDENT SCREENING'!T196)</f>
        <v/>
      </c>
      <c r="J196" s="37" t="str">
        <f aca="false">IF('STUDENT SCREENING'!BM196="","",'STUDENT SCREENING'!BM196)</f>
        <v/>
      </c>
      <c r="K196" s="37" t="str">
        <f aca="false">IF('STUDENT SCREENING'!BN196="","",'STUDENT SCREENING'!BN196)</f>
        <v/>
      </c>
      <c r="L196" s="37" t="str">
        <f aca="false">IF('STUDENT SCREENING'!BO196="","",'STUDENT SCREENING'!BO196)</f>
        <v/>
      </c>
      <c r="M196" s="37" t="str">
        <f aca="false">IF('STUDENT SCREENING'!BP196="","",'STUDENT SCREENING'!BP196)</f>
        <v/>
      </c>
      <c r="N196" s="37" t="str">
        <f aca="false">IF('STUDENT SCREENING'!BQ196="","",'STUDENT SCREENING'!BQ196)</f>
        <v/>
      </c>
      <c r="O196" s="37" t="str">
        <f aca="false">IF('STUDENT SCREENING'!BR196="","",'STUDENT SCREENING'!BR196)</f>
        <v/>
      </c>
      <c r="P196" s="28"/>
      <c r="Q196" s="28"/>
      <c r="R196" s="28"/>
      <c r="S196" s="28"/>
      <c r="T196" s="28"/>
      <c r="U196" s="28"/>
      <c r="V196" s="28"/>
      <c r="W196" s="28"/>
      <c r="X196" s="28"/>
    </row>
    <row r="197" customFormat="false" ht="15" hidden="false" customHeight="false" outlineLevel="0" collapsed="false">
      <c r="A197" s="38" t="str">
        <f aca="false">IF('STUDENT SCREENING'!A197="","",'STUDENT SCREENING'!A197)</f>
        <v/>
      </c>
      <c r="B197" s="38" t="str">
        <f aca="false">IF('STUDENT SCREENING'!I197="","",'STUDENT SCREENING'!I197)</f>
        <v/>
      </c>
      <c r="C197" s="38" t="str">
        <f aca="false">IF('STUDENT SCREENING'!F197="","",'STUDENT SCREENING'!F197)</f>
        <v/>
      </c>
      <c r="D197" s="38" t="str">
        <f aca="false">IF('STUDENT SCREENING'!G197="","",'STUDENT SCREENING'!G197)</f>
        <v/>
      </c>
      <c r="E197" s="38" t="str">
        <f aca="false">IF('STUDENT SCREENING'!C197="","",'STUDENT SCREENING'!C197)</f>
        <v/>
      </c>
      <c r="F197" s="38" t="str">
        <f aca="false">IF('STUDENT SCREENING'!J197="","",'STUDENT SCREENING'!J197)</f>
        <v/>
      </c>
      <c r="G197" s="38" t="str">
        <f aca="false">IF('STUDENT SCREENING'!K197="","",'STUDENT SCREENING'!K197)</f>
        <v/>
      </c>
      <c r="H197" s="38" t="str">
        <f aca="false">IF('STUDENT SCREENING'!S197="","",'STUDENT SCREENING'!S197)</f>
        <v/>
      </c>
      <c r="I197" s="38" t="str">
        <f aca="false">IF('STUDENT SCREENING'!T197="","",'STUDENT SCREENING'!T197)</f>
        <v/>
      </c>
      <c r="J197" s="38" t="str">
        <f aca="false">IF('STUDENT SCREENING'!BM197="","",'STUDENT SCREENING'!BM197)</f>
        <v/>
      </c>
      <c r="K197" s="38" t="str">
        <f aca="false">IF('STUDENT SCREENING'!BN197="","",'STUDENT SCREENING'!BN197)</f>
        <v/>
      </c>
      <c r="L197" s="38" t="str">
        <f aca="false">IF('STUDENT SCREENING'!BO197="","",'STUDENT SCREENING'!BO197)</f>
        <v/>
      </c>
      <c r="M197" s="38" t="str">
        <f aca="false">IF('STUDENT SCREENING'!BP197="","",'STUDENT SCREENING'!BP197)</f>
        <v/>
      </c>
      <c r="N197" s="38" t="str">
        <f aca="false">IF('STUDENT SCREENING'!BQ197="","",'STUDENT SCREENING'!BQ197)</f>
        <v/>
      </c>
      <c r="O197" s="38" t="str">
        <f aca="false">IF('STUDENT SCREENING'!BR197="","",'STUDENT SCREENING'!BR197)</f>
        <v/>
      </c>
      <c r="P197" s="32"/>
      <c r="Q197" s="32"/>
      <c r="R197" s="32"/>
      <c r="S197" s="32"/>
      <c r="T197" s="32"/>
      <c r="U197" s="32"/>
      <c r="V197" s="32"/>
      <c r="W197" s="32"/>
      <c r="X197" s="32"/>
    </row>
    <row r="198" customFormat="false" ht="15" hidden="false" customHeight="false" outlineLevel="0" collapsed="false">
      <c r="A198" s="37" t="str">
        <f aca="false">IF('STUDENT SCREENING'!A198="","",'STUDENT SCREENING'!A198)</f>
        <v/>
      </c>
      <c r="B198" s="37" t="str">
        <f aca="false">IF('STUDENT SCREENING'!I198="","",'STUDENT SCREENING'!I198)</f>
        <v/>
      </c>
      <c r="C198" s="37" t="str">
        <f aca="false">IF('STUDENT SCREENING'!F198="","",'STUDENT SCREENING'!F198)</f>
        <v/>
      </c>
      <c r="D198" s="37" t="str">
        <f aca="false">IF('STUDENT SCREENING'!G198="","",'STUDENT SCREENING'!G198)</f>
        <v/>
      </c>
      <c r="E198" s="37" t="str">
        <f aca="false">IF('STUDENT SCREENING'!C198="","",'STUDENT SCREENING'!C198)</f>
        <v/>
      </c>
      <c r="F198" s="37" t="str">
        <f aca="false">IF('STUDENT SCREENING'!J198="","",'STUDENT SCREENING'!J198)</f>
        <v/>
      </c>
      <c r="G198" s="37" t="str">
        <f aca="false">IF('STUDENT SCREENING'!K198="","",'STUDENT SCREENING'!K198)</f>
        <v/>
      </c>
      <c r="H198" s="37" t="str">
        <f aca="false">IF('STUDENT SCREENING'!S198="","",'STUDENT SCREENING'!S198)</f>
        <v/>
      </c>
      <c r="I198" s="37" t="str">
        <f aca="false">IF('STUDENT SCREENING'!T198="","",'STUDENT SCREENING'!T198)</f>
        <v/>
      </c>
      <c r="J198" s="37" t="str">
        <f aca="false">IF('STUDENT SCREENING'!BM198="","",'STUDENT SCREENING'!BM198)</f>
        <v/>
      </c>
      <c r="K198" s="37" t="str">
        <f aca="false">IF('STUDENT SCREENING'!BN198="","",'STUDENT SCREENING'!BN198)</f>
        <v/>
      </c>
      <c r="L198" s="37" t="str">
        <f aca="false">IF('STUDENT SCREENING'!BO198="","",'STUDENT SCREENING'!BO198)</f>
        <v/>
      </c>
      <c r="M198" s="37" t="str">
        <f aca="false">IF('STUDENT SCREENING'!BP198="","",'STUDENT SCREENING'!BP198)</f>
        <v/>
      </c>
      <c r="N198" s="37" t="str">
        <f aca="false">IF('STUDENT SCREENING'!BQ198="","",'STUDENT SCREENING'!BQ198)</f>
        <v/>
      </c>
      <c r="O198" s="37" t="str">
        <f aca="false">IF('STUDENT SCREENING'!BR198="","",'STUDENT SCREENING'!BR198)</f>
        <v/>
      </c>
      <c r="P198" s="28"/>
      <c r="Q198" s="28"/>
      <c r="R198" s="28"/>
      <c r="S198" s="28"/>
      <c r="T198" s="28"/>
      <c r="U198" s="28"/>
      <c r="V198" s="28"/>
      <c r="W198" s="28"/>
      <c r="X198" s="28"/>
    </row>
    <row r="199" customFormat="false" ht="15" hidden="false" customHeight="false" outlineLevel="0" collapsed="false">
      <c r="A199" s="38" t="str">
        <f aca="false">IF('STUDENT SCREENING'!A199="","",'STUDENT SCREENING'!A199)</f>
        <v/>
      </c>
      <c r="B199" s="38" t="str">
        <f aca="false">IF('STUDENT SCREENING'!I199="","",'STUDENT SCREENING'!I199)</f>
        <v/>
      </c>
      <c r="C199" s="38" t="str">
        <f aca="false">IF('STUDENT SCREENING'!F199="","",'STUDENT SCREENING'!F199)</f>
        <v/>
      </c>
      <c r="D199" s="38" t="str">
        <f aca="false">IF('STUDENT SCREENING'!G199="","",'STUDENT SCREENING'!G199)</f>
        <v/>
      </c>
      <c r="E199" s="38" t="str">
        <f aca="false">IF('STUDENT SCREENING'!C199="","",'STUDENT SCREENING'!C199)</f>
        <v/>
      </c>
      <c r="F199" s="38" t="str">
        <f aca="false">IF('STUDENT SCREENING'!J199="","",'STUDENT SCREENING'!J199)</f>
        <v/>
      </c>
      <c r="G199" s="38" t="str">
        <f aca="false">IF('STUDENT SCREENING'!K199="","",'STUDENT SCREENING'!K199)</f>
        <v/>
      </c>
      <c r="H199" s="38" t="str">
        <f aca="false">IF('STUDENT SCREENING'!S199="","",'STUDENT SCREENING'!S199)</f>
        <v/>
      </c>
      <c r="I199" s="38" t="str">
        <f aca="false">IF('STUDENT SCREENING'!T199="","",'STUDENT SCREENING'!T199)</f>
        <v/>
      </c>
      <c r="J199" s="38" t="str">
        <f aca="false">IF('STUDENT SCREENING'!BM199="","",'STUDENT SCREENING'!BM199)</f>
        <v/>
      </c>
      <c r="K199" s="38" t="str">
        <f aca="false">IF('STUDENT SCREENING'!BN199="","",'STUDENT SCREENING'!BN199)</f>
        <v/>
      </c>
      <c r="L199" s="38" t="str">
        <f aca="false">IF('STUDENT SCREENING'!BO199="","",'STUDENT SCREENING'!BO199)</f>
        <v/>
      </c>
      <c r="M199" s="38" t="str">
        <f aca="false">IF('STUDENT SCREENING'!BP199="","",'STUDENT SCREENING'!BP199)</f>
        <v/>
      </c>
      <c r="N199" s="38" t="str">
        <f aca="false">IF('STUDENT SCREENING'!BQ199="","",'STUDENT SCREENING'!BQ199)</f>
        <v/>
      </c>
      <c r="O199" s="38" t="str">
        <f aca="false">IF('STUDENT SCREENING'!BR199="","",'STUDENT SCREENING'!BR199)</f>
        <v/>
      </c>
      <c r="P199" s="32"/>
      <c r="Q199" s="32"/>
      <c r="R199" s="32"/>
      <c r="S199" s="32"/>
      <c r="T199" s="32"/>
      <c r="U199" s="32"/>
      <c r="V199" s="32"/>
      <c r="W199" s="32"/>
      <c r="X199" s="32"/>
    </row>
    <row r="200" customFormat="false" ht="15" hidden="false" customHeight="false" outlineLevel="0" collapsed="false">
      <c r="A200" s="37" t="str">
        <f aca="false">IF('STUDENT SCREENING'!A200="","",'STUDENT SCREENING'!A200)</f>
        <v/>
      </c>
      <c r="B200" s="37" t="str">
        <f aca="false">IF('STUDENT SCREENING'!I200="","",'STUDENT SCREENING'!I200)</f>
        <v/>
      </c>
      <c r="C200" s="37" t="str">
        <f aca="false">IF('STUDENT SCREENING'!F200="","",'STUDENT SCREENING'!F200)</f>
        <v/>
      </c>
      <c r="D200" s="37" t="str">
        <f aca="false">IF('STUDENT SCREENING'!G200="","",'STUDENT SCREENING'!G200)</f>
        <v/>
      </c>
      <c r="E200" s="37" t="str">
        <f aca="false">IF('STUDENT SCREENING'!C200="","",'STUDENT SCREENING'!C200)</f>
        <v/>
      </c>
      <c r="F200" s="37" t="str">
        <f aca="false">IF('STUDENT SCREENING'!J200="","",'STUDENT SCREENING'!J200)</f>
        <v/>
      </c>
      <c r="G200" s="37" t="str">
        <f aca="false">IF('STUDENT SCREENING'!K200="","",'STUDENT SCREENING'!K200)</f>
        <v/>
      </c>
      <c r="H200" s="37" t="str">
        <f aca="false">IF('STUDENT SCREENING'!S200="","",'STUDENT SCREENING'!S200)</f>
        <v/>
      </c>
      <c r="I200" s="37" t="str">
        <f aca="false">IF('STUDENT SCREENING'!T200="","",'STUDENT SCREENING'!T200)</f>
        <v/>
      </c>
      <c r="J200" s="37" t="str">
        <f aca="false">IF('STUDENT SCREENING'!BM200="","",'STUDENT SCREENING'!BM200)</f>
        <v/>
      </c>
      <c r="K200" s="37" t="str">
        <f aca="false">IF('STUDENT SCREENING'!BN200="","",'STUDENT SCREENING'!BN200)</f>
        <v/>
      </c>
      <c r="L200" s="37" t="str">
        <f aca="false">IF('STUDENT SCREENING'!BO200="","",'STUDENT SCREENING'!BO200)</f>
        <v/>
      </c>
      <c r="M200" s="37" t="str">
        <f aca="false">IF('STUDENT SCREENING'!BP200="","",'STUDENT SCREENING'!BP200)</f>
        <v/>
      </c>
      <c r="N200" s="37" t="str">
        <f aca="false">IF('STUDENT SCREENING'!BQ200="","",'STUDENT SCREENING'!BQ200)</f>
        <v/>
      </c>
      <c r="O200" s="37" t="str">
        <f aca="false">IF('STUDENT SCREENING'!BR200="","",'STUDENT SCREENING'!BR200)</f>
        <v/>
      </c>
      <c r="P200" s="28"/>
      <c r="Q200" s="28"/>
      <c r="R200" s="28"/>
      <c r="S200" s="28"/>
      <c r="T200" s="28"/>
      <c r="U200" s="28"/>
      <c r="V200" s="28"/>
      <c r="W200" s="28"/>
      <c r="X200" s="28"/>
    </row>
    <row r="201" customFormat="false" ht="15" hidden="false" customHeight="false" outlineLevel="0" collapsed="false">
      <c r="A201" s="38" t="str">
        <f aca="false">IF('STUDENT SCREENING'!A201="","",'STUDENT SCREENING'!A201)</f>
        <v/>
      </c>
      <c r="B201" s="38" t="str">
        <f aca="false">IF('STUDENT SCREENING'!I201="","",'STUDENT SCREENING'!I201)</f>
        <v/>
      </c>
      <c r="C201" s="38" t="str">
        <f aca="false">IF('STUDENT SCREENING'!F201="","",'STUDENT SCREENING'!F201)</f>
        <v/>
      </c>
      <c r="D201" s="38" t="str">
        <f aca="false">IF('STUDENT SCREENING'!G201="","",'STUDENT SCREENING'!G201)</f>
        <v/>
      </c>
      <c r="E201" s="38" t="str">
        <f aca="false">IF('STUDENT SCREENING'!C201="","",'STUDENT SCREENING'!C201)</f>
        <v/>
      </c>
      <c r="F201" s="38" t="str">
        <f aca="false">IF('STUDENT SCREENING'!J201="","",'STUDENT SCREENING'!J201)</f>
        <v/>
      </c>
      <c r="G201" s="38" t="str">
        <f aca="false">IF('STUDENT SCREENING'!K201="","",'STUDENT SCREENING'!K201)</f>
        <v/>
      </c>
      <c r="H201" s="38" t="str">
        <f aca="false">IF('STUDENT SCREENING'!S201="","",'STUDENT SCREENING'!S201)</f>
        <v/>
      </c>
      <c r="I201" s="38" t="str">
        <f aca="false">IF('STUDENT SCREENING'!T201="","",'STUDENT SCREENING'!T201)</f>
        <v/>
      </c>
      <c r="J201" s="38" t="str">
        <f aca="false">IF('STUDENT SCREENING'!BM201="","",'STUDENT SCREENING'!BM201)</f>
        <v/>
      </c>
      <c r="K201" s="38" t="str">
        <f aca="false">IF('STUDENT SCREENING'!BN201="","",'STUDENT SCREENING'!BN201)</f>
        <v/>
      </c>
      <c r="L201" s="38" t="str">
        <f aca="false">IF('STUDENT SCREENING'!BO201="","",'STUDENT SCREENING'!BO201)</f>
        <v/>
      </c>
      <c r="M201" s="38" t="str">
        <f aca="false">IF('STUDENT SCREENING'!BP201="","",'STUDENT SCREENING'!BP201)</f>
        <v/>
      </c>
      <c r="N201" s="38" t="str">
        <f aca="false">IF('STUDENT SCREENING'!BQ201="","",'STUDENT SCREENING'!BQ201)</f>
        <v/>
      </c>
      <c r="O201" s="38" t="str">
        <f aca="false">IF('STUDENT SCREENING'!BR201="","",'STUDENT SCREENING'!BR201)</f>
        <v/>
      </c>
      <c r="P201" s="32"/>
      <c r="Q201" s="32"/>
      <c r="R201" s="32"/>
      <c r="S201" s="32"/>
      <c r="T201" s="32"/>
      <c r="U201" s="32"/>
      <c r="V201" s="32"/>
      <c r="W201" s="32"/>
      <c r="X201" s="32"/>
    </row>
    <row r="202" customFormat="false" ht="15" hidden="false" customHeight="false" outlineLevel="0" collapsed="false">
      <c r="A202" s="37" t="str">
        <f aca="false">IF('STUDENT SCREENING'!A202="","",'STUDENT SCREENING'!A202)</f>
        <v/>
      </c>
      <c r="B202" s="37" t="str">
        <f aca="false">IF('STUDENT SCREENING'!I202="","",'STUDENT SCREENING'!I202)</f>
        <v/>
      </c>
      <c r="C202" s="37" t="str">
        <f aca="false">IF('STUDENT SCREENING'!F202="","",'STUDENT SCREENING'!F202)</f>
        <v/>
      </c>
      <c r="D202" s="37" t="str">
        <f aca="false">IF('STUDENT SCREENING'!G202="","",'STUDENT SCREENING'!G202)</f>
        <v/>
      </c>
      <c r="E202" s="37" t="str">
        <f aca="false">IF('STUDENT SCREENING'!C202="","",'STUDENT SCREENING'!C202)</f>
        <v/>
      </c>
      <c r="F202" s="37" t="str">
        <f aca="false">IF('STUDENT SCREENING'!J202="","",'STUDENT SCREENING'!J202)</f>
        <v/>
      </c>
      <c r="G202" s="37" t="str">
        <f aca="false">IF('STUDENT SCREENING'!K202="","",'STUDENT SCREENING'!K202)</f>
        <v/>
      </c>
      <c r="H202" s="37" t="str">
        <f aca="false">IF('STUDENT SCREENING'!S202="","",'STUDENT SCREENING'!S202)</f>
        <v/>
      </c>
      <c r="I202" s="37" t="str">
        <f aca="false">IF('STUDENT SCREENING'!T202="","",'STUDENT SCREENING'!T202)</f>
        <v/>
      </c>
      <c r="J202" s="37" t="str">
        <f aca="false">IF('STUDENT SCREENING'!BM202="","",'STUDENT SCREENING'!BM202)</f>
        <v/>
      </c>
      <c r="K202" s="37" t="str">
        <f aca="false">IF('STUDENT SCREENING'!BN202="","",'STUDENT SCREENING'!BN202)</f>
        <v/>
      </c>
      <c r="L202" s="37" t="str">
        <f aca="false">IF('STUDENT SCREENING'!BO202="","",'STUDENT SCREENING'!BO202)</f>
        <v/>
      </c>
      <c r="M202" s="37" t="str">
        <f aca="false">IF('STUDENT SCREENING'!BP202="","",'STUDENT SCREENING'!BP202)</f>
        <v/>
      </c>
      <c r="N202" s="37" t="str">
        <f aca="false">IF('STUDENT SCREENING'!BQ202="","",'STUDENT SCREENING'!BQ202)</f>
        <v/>
      </c>
      <c r="O202" s="37" t="str">
        <f aca="false">IF('STUDENT SCREENING'!BR202="","",'STUDENT SCREENING'!BR202)</f>
        <v/>
      </c>
      <c r="P202" s="28"/>
      <c r="Q202" s="28"/>
      <c r="R202" s="28"/>
      <c r="S202" s="28"/>
      <c r="T202" s="28"/>
      <c r="U202" s="28"/>
      <c r="V202" s="28"/>
      <c r="W202" s="28"/>
      <c r="X202" s="28"/>
    </row>
    <row r="203" customFormat="false" ht="15" hidden="false" customHeight="false" outlineLevel="0" collapsed="false">
      <c r="A203" s="38" t="str">
        <f aca="false">IF('STUDENT SCREENING'!A203="","",'STUDENT SCREENING'!A203)</f>
        <v/>
      </c>
      <c r="B203" s="38" t="str">
        <f aca="false">IF('STUDENT SCREENING'!I203="","",'STUDENT SCREENING'!I203)</f>
        <v/>
      </c>
      <c r="C203" s="38" t="str">
        <f aca="false">IF('STUDENT SCREENING'!F203="","",'STUDENT SCREENING'!F203)</f>
        <v/>
      </c>
      <c r="D203" s="38" t="str">
        <f aca="false">IF('STUDENT SCREENING'!G203="","",'STUDENT SCREENING'!G203)</f>
        <v/>
      </c>
      <c r="E203" s="38" t="str">
        <f aca="false">IF('STUDENT SCREENING'!C203="","",'STUDENT SCREENING'!C203)</f>
        <v/>
      </c>
      <c r="F203" s="38" t="str">
        <f aca="false">IF('STUDENT SCREENING'!J203="","",'STUDENT SCREENING'!J203)</f>
        <v/>
      </c>
      <c r="G203" s="38" t="str">
        <f aca="false">IF('STUDENT SCREENING'!K203="","",'STUDENT SCREENING'!K203)</f>
        <v/>
      </c>
      <c r="H203" s="38" t="str">
        <f aca="false">IF('STUDENT SCREENING'!S203="","",'STUDENT SCREENING'!S203)</f>
        <v/>
      </c>
      <c r="I203" s="38" t="str">
        <f aca="false">IF('STUDENT SCREENING'!T203="","",'STUDENT SCREENING'!T203)</f>
        <v/>
      </c>
      <c r="J203" s="38" t="str">
        <f aca="false">IF('STUDENT SCREENING'!BM203="","",'STUDENT SCREENING'!BM203)</f>
        <v/>
      </c>
      <c r="K203" s="38" t="str">
        <f aca="false">IF('STUDENT SCREENING'!BN203="","",'STUDENT SCREENING'!BN203)</f>
        <v/>
      </c>
      <c r="L203" s="38" t="str">
        <f aca="false">IF('STUDENT SCREENING'!BO203="","",'STUDENT SCREENING'!BO203)</f>
        <v/>
      </c>
      <c r="M203" s="38" t="str">
        <f aca="false">IF('STUDENT SCREENING'!BP203="","",'STUDENT SCREENING'!BP203)</f>
        <v/>
      </c>
      <c r="N203" s="38" t="str">
        <f aca="false">IF('STUDENT SCREENING'!BQ203="","",'STUDENT SCREENING'!BQ203)</f>
        <v/>
      </c>
      <c r="O203" s="38" t="str">
        <f aca="false">IF('STUDENT SCREENING'!BR203="","",'STUDENT SCREENING'!BR203)</f>
        <v/>
      </c>
      <c r="P203" s="32"/>
      <c r="Q203" s="32"/>
      <c r="R203" s="32"/>
      <c r="S203" s="32"/>
      <c r="T203" s="32"/>
      <c r="U203" s="32"/>
      <c r="V203" s="32"/>
      <c r="W203" s="32"/>
      <c r="X203" s="32"/>
    </row>
    <row r="204" customFormat="false" ht="15" hidden="false" customHeight="false" outlineLevel="0" collapsed="false">
      <c r="A204" s="37" t="str">
        <f aca="false">IF('STUDENT SCREENING'!A204="","",'STUDENT SCREENING'!A204)</f>
        <v/>
      </c>
      <c r="B204" s="37" t="str">
        <f aca="false">IF('STUDENT SCREENING'!I204="","",'STUDENT SCREENING'!I204)</f>
        <v/>
      </c>
      <c r="C204" s="37" t="str">
        <f aca="false">IF('STUDENT SCREENING'!F204="","",'STUDENT SCREENING'!F204)</f>
        <v/>
      </c>
      <c r="D204" s="37" t="str">
        <f aca="false">IF('STUDENT SCREENING'!G204="","",'STUDENT SCREENING'!G204)</f>
        <v/>
      </c>
      <c r="E204" s="37" t="str">
        <f aca="false">IF('STUDENT SCREENING'!C204="","",'STUDENT SCREENING'!C204)</f>
        <v/>
      </c>
      <c r="F204" s="37" t="str">
        <f aca="false">IF('STUDENT SCREENING'!J204="","",'STUDENT SCREENING'!J204)</f>
        <v/>
      </c>
      <c r="G204" s="37" t="str">
        <f aca="false">IF('STUDENT SCREENING'!K204="","",'STUDENT SCREENING'!K204)</f>
        <v/>
      </c>
      <c r="H204" s="37" t="str">
        <f aca="false">IF('STUDENT SCREENING'!S204="","",'STUDENT SCREENING'!S204)</f>
        <v/>
      </c>
      <c r="I204" s="37" t="str">
        <f aca="false">IF('STUDENT SCREENING'!T204="","",'STUDENT SCREENING'!T204)</f>
        <v/>
      </c>
      <c r="J204" s="37" t="str">
        <f aca="false">IF('STUDENT SCREENING'!BM204="","",'STUDENT SCREENING'!BM204)</f>
        <v/>
      </c>
      <c r="K204" s="37" t="str">
        <f aca="false">IF('STUDENT SCREENING'!BN204="","",'STUDENT SCREENING'!BN204)</f>
        <v/>
      </c>
      <c r="L204" s="37" t="str">
        <f aca="false">IF('STUDENT SCREENING'!BO204="","",'STUDENT SCREENING'!BO204)</f>
        <v/>
      </c>
      <c r="M204" s="37" t="str">
        <f aca="false">IF('STUDENT SCREENING'!BP204="","",'STUDENT SCREENING'!BP204)</f>
        <v/>
      </c>
      <c r="N204" s="37" t="str">
        <f aca="false">IF('STUDENT SCREENING'!BQ204="","",'STUDENT SCREENING'!BQ204)</f>
        <v/>
      </c>
      <c r="O204" s="37" t="str">
        <f aca="false">IF('STUDENT SCREENING'!BR204="","",'STUDENT SCREENING'!BR204)</f>
        <v/>
      </c>
      <c r="P204" s="28"/>
      <c r="Q204" s="28"/>
      <c r="R204" s="28"/>
      <c r="S204" s="28"/>
      <c r="T204" s="28"/>
      <c r="U204" s="28"/>
      <c r="V204" s="28"/>
      <c r="W204" s="28"/>
      <c r="X204" s="28"/>
    </row>
    <row r="205" customFormat="false" ht="15" hidden="false" customHeight="false" outlineLevel="0" collapsed="false">
      <c r="A205" s="38" t="str">
        <f aca="false">IF('STUDENT SCREENING'!A205="","",'STUDENT SCREENING'!A205)</f>
        <v/>
      </c>
      <c r="B205" s="38" t="str">
        <f aca="false">IF('STUDENT SCREENING'!I205="","",'STUDENT SCREENING'!I205)</f>
        <v/>
      </c>
      <c r="C205" s="38" t="str">
        <f aca="false">IF('STUDENT SCREENING'!F205="","",'STUDENT SCREENING'!F205)</f>
        <v/>
      </c>
      <c r="D205" s="38" t="str">
        <f aca="false">IF('STUDENT SCREENING'!G205="","",'STUDENT SCREENING'!G205)</f>
        <v/>
      </c>
      <c r="E205" s="38" t="str">
        <f aca="false">IF('STUDENT SCREENING'!C205="","",'STUDENT SCREENING'!C205)</f>
        <v/>
      </c>
      <c r="F205" s="38" t="str">
        <f aca="false">IF('STUDENT SCREENING'!J205="","",'STUDENT SCREENING'!J205)</f>
        <v/>
      </c>
      <c r="G205" s="38" t="str">
        <f aca="false">IF('STUDENT SCREENING'!K205="","",'STUDENT SCREENING'!K205)</f>
        <v/>
      </c>
      <c r="H205" s="38" t="str">
        <f aca="false">IF('STUDENT SCREENING'!S205="","",'STUDENT SCREENING'!S205)</f>
        <v/>
      </c>
      <c r="I205" s="38" t="str">
        <f aca="false">IF('STUDENT SCREENING'!T205="","",'STUDENT SCREENING'!T205)</f>
        <v/>
      </c>
      <c r="J205" s="38" t="str">
        <f aca="false">IF('STUDENT SCREENING'!BM205="","",'STUDENT SCREENING'!BM205)</f>
        <v/>
      </c>
      <c r="K205" s="38" t="str">
        <f aca="false">IF('STUDENT SCREENING'!BN205="","",'STUDENT SCREENING'!BN205)</f>
        <v/>
      </c>
      <c r="L205" s="38" t="str">
        <f aca="false">IF('STUDENT SCREENING'!BO205="","",'STUDENT SCREENING'!BO205)</f>
        <v/>
      </c>
      <c r="M205" s="38" t="str">
        <f aca="false">IF('STUDENT SCREENING'!BP205="","",'STUDENT SCREENING'!BP205)</f>
        <v/>
      </c>
      <c r="N205" s="38" t="str">
        <f aca="false">IF('STUDENT SCREENING'!BQ205="","",'STUDENT SCREENING'!BQ205)</f>
        <v/>
      </c>
      <c r="O205" s="38" t="str">
        <f aca="false">IF('STUDENT SCREENING'!BR205="","",'STUDENT SCREENING'!BR205)</f>
        <v/>
      </c>
      <c r="P205" s="32"/>
      <c r="Q205" s="32"/>
      <c r="R205" s="32"/>
      <c r="S205" s="32"/>
      <c r="T205" s="32"/>
      <c r="U205" s="32"/>
      <c r="V205" s="32"/>
      <c r="W205" s="32"/>
      <c r="X205" s="32"/>
    </row>
    <row r="206" customFormat="false" ht="15" hidden="false" customHeight="false" outlineLevel="0" collapsed="false">
      <c r="A206" s="37" t="str">
        <f aca="false">IF('STUDENT SCREENING'!A206="","",'STUDENT SCREENING'!A206)</f>
        <v/>
      </c>
      <c r="B206" s="37" t="str">
        <f aca="false">IF('STUDENT SCREENING'!I206="","",'STUDENT SCREENING'!I206)</f>
        <v/>
      </c>
      <c r="C206" s="37" t="str">
        <f aca="false">IF('STUDENT SCREENING'!F206="","",'STUDENT SCREENING'!F206)</f>
        <v/>
      </c>
      <c r="D206" s="37" t="str">
        <f aca="false">IF('STUDENT SCREENING'!G206="","",'STUDENT SCREENING'!G206)</f>
        <v/>
      </c>
      <c r="E206" s="37" t="str">
        <f aca="false">IF('STUDENT SCREENING'!C206="","",'STUDENT SCREENING'!C206)</f>
        <v/>
      </c>
      <c r="F206" s="37" t="str">
        <f aca="false">IF('STUDENT SCREENING'!J206="","",'STUDENT SCREENING'!J206)</f>
        <v/>
      </c>
      <c r="G206" s="37" t="str">
        <f aca="false">IF('STUDENT SCREENING'!K206="","",'STUDENT SCREENING'!K206)</f>
        <v/>
      </c>
      <c r="H206" s="37" t="str">
        <f aca="false">IF('STUDENT SCREENING'!S206="","",'STUDENT SCREENING'!S206)</f>
        <v/>
      </c>
      <c r="I206" s="37" t="str">
        <f aca="false">IF('STUDENT SCREENING'!T206="","",'STUDENT SCREENING'!T206)</f>
        <v/>
      </c>
      <c r="J206" s="37" t="str">
        <f aca="false">IF('STUDENT SCREENING'!BM206="","",'STUDENT SCREENING'!BM206)</f>
        <v/>
      </c>
      <c r="K206" s="37" t="str">
        <f aca="false">IF('STUDENT SCREENING'!BN206="","",'STUDENT SCREENING'!BN206)</f>
        <v/>
      </c>
      <c r="L206" s="37" t="str">
        <f aca="false">IF('STUDENT SCREENING'!BO206="","",'STUDENT SCREENING'!BO206)</f>
        <v/>
      </c>
      <c r="M206" s="37" t="str">
        <f aca="false">IF('STUDENT SCREENING'!BP206="","",'STUDENT SCREENING'!BP206)</f>
        <v/>
      </c>
      <c r="N206" s="37" t="str">
        <f aca="false">IF('STUDENT SCREENING'!BQ206="","",'STUDENT SCREENING'!BQ206)</f>
        <v/>
      </c>
      <c r="O206" s="37" t="str">
        <f aca="false">IF('STUDENT SCREENING'!BR206="","",'STUDENT SCREENING'!BR206)</f>
        <v/>
      </c>
      <c r="P206" s="28"/>
      <c r="Q206" s="28"/>
      <c r="R206" s="28"/>
      <c r="S206" s="28"/>
      <c r="T206" s="28"/>
      <c r="U206" s="28"/>
      <c r="V206" s="28"/>
      <c r="W206" s="28"/>
      <c r="X206" s="28"/>
    </row>
    <row r="207" customFormat="false" ht="15" hidden="false" customHeight="false" outlineLevel="0" collapsed="false">
      <c r="A207" s="38" t="str">
        <f aca="false">IF('STUDENT SCREENING'!A207="","",'STUDENT SCREENING'!A207)</f>
        <v/>
      </c>
      <c r="B207" s="38" t="str">
        <f aca="false">IF('STUDENT SCREENING'!I207="","",'STUDENT SCREENING'!I207)</f>
        <v/>
      </c>
      <c r="C207" s="38" t="str">
        <f aca="false">IF('STUDENT SCREENING'!F207="","",'STUDENT SCREENING'!F207)</f>
        <v/>
      </c>
      <c r="D207" s="38" t="str">
        <f aca="false">IF('STUDENT SCREENING'!G207="","",'STUDENT SCREENING'!G207)</f>
        <v/>
      </c>
      <c r="E207" s="38" t="str">
        <f aca="false">IF('STUDENT SCREENING'!C207="","",'STUDENT SCREENING'!C207)</f>
        <v/>
      </c>
      <c r="F207" s="38" t="str">
        <f aca="false">IF('STUDENT SCREENING'!J207="","",'STUDENT SCREENING'!J207)</f>
        <v/>
      </c>
      <c r="G207" s="38" t="str">
        <f aca="false">IF('STUDENT SCREENING'!K207="","",'STUDENT SCREENING'!K207)</f>
        <v/>
      </c>
      <c r="H207" s="38" t="str">
        <f aca="false">IF('STUDENT SCREENING'!S207="","",'STUDENT SCREENING'!S207)</f>
        <v/>
      </c>
      <c r="I207" s="38" t="str">
        <f aca="false">IF('STUDENT SCREENING'!T207="","",'STUDENT SCREENING'!T207)</f>
        <v/>
      </c>
      <c r="J207" s="38" t="str">
        <f aca="false">IF('STUDENT SCREENING'!BM207="","",'STUDENT SCREENING'!BM207)</f>
        <v/>
      </c>
      <c r="K207" s="38" t="str">
        <f aca="false">IF('STUDENT SCREENING'!BN207="","",'STUDENT SCREENING'!BN207)</f>
        <v/>
      </c>
      <c r="L207" s="38" t="str">
        <f aca="false">IF('STUDENT SCREENING'!BO207="","",'STUDENT SCREENING'!BO207)</f>
        <v/>
      </c>
      <c r="M207" s="38" t="str">
        <f aca="false">IF('STUDENT SCREENING'!BP207="","",'STUDENT SCREENING'!BP207)</f>
        <v/>
      </c>
      <c r="N207" s="38" t="str">
        <f aca="false">IF('STUDENT SCREENING'!BQ207="","",'STUDENT SCREENING'!BQ207)</f>
        <v/>
      </c>
      <c r="O207" s="38" t="str">
        <f aca="false">IF('STUDENT SCREENING'!BR207="","",'STUDENT SCREENING'!BR207)</f>
        <v/>
      </c>
      <c r="P207" s="32"/>
      <c r="Q207" s="32"/>
      <c r="R207" s="32"/>
      <c r="S207" s="32"/>
      <c r="T207" s="32"/>
      <c r="U207" s="32"/>
      <c r="V207" s="32"/>
      <c r="W207" s="32"/>
      <c r="X207" s="32"/>
    </row>
    <row r="208" customFormat="false" ht="15" hidden="false" customHeight="false" outlineLevel="0" collapsed="false">
      <c r="A208" s="37" t="str">
        <f aca="false">IF('STUDENT SCREENING'!A208="","",'STUDENT SCREENING'!A208)</f>
        <v/>
      </c>
      <c r="B208" s="37" t="str">
        <f aca="false">IF('STUDENT SCREENING'!I208="","",'STUDENT SCREENING'!I208)</f>
        <v/>
      </c>
      <c r="C208" s="37" t="str">
        <f aca="false">IF('STUDENT SCREENING'!F208="","",'STUDENT SCREENING'!F208)</f>
        <v/>
      </c>
      <c r="D208" s="37" t="str">
        <f aca="false">IF('STUDENT SCREENING'!G208="","",'STUDENT SCREENING'!G208)</f>
        <v/>
      </c>
      <c r="E208" s="37" t="str">
        <f aca="false">IF('STUDENT SCREENING'!C208="","",'STUDENT SCREENING'!C208)</f>
        <v/>
      </c>
      <c r="F208" s="37" t="str">
        <f aca="false">IF('STUDENT SCREENING'!J208="","",'STUDENT SCREENING'!J208)</f>
        <v/>
      </c>
      <c r="G208" s="37" t="str">
        <f aca="false">IF('STUDENT SCREENING'!K208="","",'STUDENT SCREENING'!K208)</f>
        <v/>
      </c>
      <c r="H208" s="37" t="str">
        <f aca="false">IF('STUDENT SCREENING'!S208="","",'STUDENT SCREENING'!S208)</f>
        <v/>
      </c>
      <c r="I208" s="37" t="str">
        <f aca="false">IF('STUDENT SCREENING'!T208="","",'STUDENT SCREENING'!T208)</f>
        <v/>
      </c>
      <c r="J208" s="37" t="str">
        <f aca="false">IF('STUDENT SCREENING'!BM208="","",'STUDENT SCREENING'!BM208)</f>
        <v/>
      </c>
      <c r="K208" s="37" t="str">
        <f aca="false">IF('STUDENT SCREENING'!BN208="","",'STUDENT SCREENING'!BN208)</f>
        <v/>
      </c>
      <c r="L208" s="37" t="str">
        <f aca="false">IF('STUDENT SCREENING'!BO208="","",'STUDENT SCREENING'!BO208)</f>
        <v/>
      </c>
      <c r="M208" s="37" t="str">
        <f aca="false">IF('STUDENT SCREENING'!BP208="","",'STUDENT SCREENING'!BP208)</f>
        <v/>
      </c>
      <c r="N208" s="37" t="str">
        <f aca="false">IF('STUDENT SCREENING'!BQ208="","",'STUDENT SCREENING'!BQ208)</f>
        <v/>
      </c>
      <c r="O208" s="37" t="str">
        <f aca="false">IF('STUDENT SCREENING'!BR208="","",'STUDENT SCREENING'!BR208)</f>
        <v/>
      </c>
      <c r="P208" s="28"/>
      <c r="Q208" s="28"/>
      <c r="R208" s="28"/>
      <c r="S208" s="28"/>
      <c r="T208" s="28"/>
      <c r="U208" s="28"/>
      <c r="V208" s="28"/>
      <c r="W208" s="28"/>
      <c r="X208" s="28"/>
    </row>
    <row r="209" customFormat="false" ht="15" hidden="false" customHeight="false" outlineLevel="0" collapsed="false">
      <c r="A209" s="38" t="str">
        <f aca="false">IF('STUDENT SCREENING'!A209="","",'STUDENT SCREENING'!A209)</f>
        <v/>
      </c>
      <c r="B209" s="38" t="str">
        <f aca="false">IF('STUDENT SCREENING'!I209="","",'STUDENT SCREENING'!I209)</f>
        <v/>
      </c>
      <c r="C209" s="38" t="str">
        <f aca="false">IF('STUDENT SCREENING'!F209="","",'STUDENT SCREENING'!F209)</f>
        <v/>
      </c>
      <c r="D209" s="38" t="str">
        <f aca="false">IF('STUDENT SCREENING'!G209="","",'STUDENT SCREENING'!G209)</f>
        <v/>
      </c>
      <c r="E209" s="38" t="str">
        <f aca="false">IF('STUDENT SCREENING'!C209="","",'STUDENT SCREENING'!C209)</f>
        <v/>
      </c>
      <c r="F209" s="38" t="str">
        <f aca="false">IF('STUDENT SCREENING'!J209="","",'STUDENT SCREENING'!J209)</f>
        <v/>
      </c>
      <c r="G209" s="38" t="str">
        <f aca="false">IF('STUDENT SCREENING'!K209="","",'STUDENT SCREENING'!K209)</f>
        <v/>
      </c>
      <c r="H209" s="38" t="str">
        <f aca="false">IF('STUDENT SCREENING'!S209="","",'STUDENT SCREENING'!S209)</f>
        <v/>
      </c>
      <c r="I209" s="38" t="str">
        <f aca="false">IF('STUDENT SCREENING'!T209="","",'STUDENT SCREENING'!T209)</f>
        <v/>
      </c>
      <c r="J209" s="38" t="str">
        <f aca="false">IF('STUDENT SCREENING'!BM209="","",'STUDENT SCREENING'!BM209)</f>
        <v/>
      </c>
      <c r="K209" s="38" t="str">
        <f aca="false">IF('STUDENT SCREENING'!BN209="","",'STUDENT SCREENING'!BN209)</f>
        <v/>
      </c>
      <c r="L209" s="38" t="str">
        <f aca="false">IF('STUDENT SCREENING'!BO209="","",'STUDENT SCREENING'!BO209)</f>
        <v/>
      </c>
      <c r="M209" s="38" t="str">
        <f aca="false">IF('STUDENT SCREENING'!BP209="","",'STUDENT SCREENING'!BP209)</f>
        <v/>
      </c>
      <c r="N209" s="38" t="str">
        <f aca="false">IF('STUDENT SCREENING'!BQ209="","",'STUDENT SCREENING'!BQ209)</f>
        <v/>
      </c>
      <c r="O209" s="38" t="str">
        <f aca="false">IF('STUDENT SCREENING'!BR209="","",'STUDENT SCREENING'!BR209)</f>
        <v/>
      </c>
      <c r="P209" s="32"/>
      <c r="Q209" s="32"/>
      <c r="R209" s="32"/>
      <c r="S209" s="32"/>
      <c r="T209" s="32"/>
      <c r="U209" s="32"/>
      <c r="V209" s="32"/>
      <c r="W209" s="32"/>
      <c r="X209" s="32"/>
    </row>
    <row r="210" customFormat="false" ht="15" hidden="false" customHeight="false" outlineLevel="0" collapsed="false">
      <c r="A210" s="37" t="str">
        <f aca="false">IF('STUDENT SCREENING'!A210="","",'STUDENT SCREENING'!A210)</f>
        <v/>
      </c>
      <c r="B210" s="37" t="str">
        <f aca="false">IF('STUDENT SCREENING'!I210="","",'STUDENT SCREENING'!I210)</f>
        <v/>
      </c>
      <c r="C210" s="37" t="str">
        <f aca="false">IF('STUDENT SCREENING'!F210="","",'STUDENT SCREENING'!F210)</f>
        <v/>
      </c>
      <c r="D210" s="37" t="str">
        <f aca="false">IF('STUDENT SCREENING'!G210="","",'STUDENT SCREENING'!G210)</f>
        <v/>
      </c>
      <c r="E210" s="37" t="str">
        <f aca="false">IF('STUDENT SCREENING'!C210="","",'STUDENT SCREENING'!C210)</f>
        <v/>
      </c>
      <c r="F210" s="37" t="str">
        <f aca="false">IF('STUDENT SCREENING'!J210="","",'STUDENT SCREENING'!J210)</f>
        <v/>
      </c>
      <c r="G210" s="37" t="str">
        <f aca="false">IF('STUDENT SCREENING'!K210="","",'STUDENT SCREENING'!K210)</f>
        <v/>
      </c>
      <c r="H210" s="37" t="str">
        <f aca="false">IF('STUDENT SCREENING'!S210="","",'STUDENT SCREENING'!S210)</f>
        <v/>
      </c>
      <c r="I210" s="37" t="str">
        <f aca="false">IF('STUDENT SCREENING'!T210="","",'STUDENT SCREENING'!T210)</f>
        <v/>
      </c>
      <c r="J210" s="37" t="str">
        <f aca="false">IF('STUDENT SCREENING'!BM210="","",'STUDENT SCREENING'!BM210)</f>
        <v/>
      </c>
      <c r="K210" s="37" t="str">
        <f aca="false">IF('STUDENT SCREENING'!BN210="","",'STUDENT SCREENING'!BN210)</f>
        <v/>
      </c>
      <c r="L210" s="37" t="str">
        <f aca="false">IF('STUDENT SCREENING'!BO210="","",'STUDENT SCREENING'!BO210)</f>
        <v/>
      </c>
      <c r="M210" s="37" t="str">
        <f aca="false">IF('STUDENT SCREENING'!BP210="","",'STUDENT SCREENING'!BP210)</f>
        <v/>
      </c>
      <c r="N210" s="37" t="str">
        <f aca="false">IF('STUDENT SCREENING'!BQ210="","",'STUDENT SCREENING'!BQ210)</f>
        <v/>
      </c>
      <c r="O210" s="37" t="str">
        <f aca="false">IF('STUDENT SCREENING'!BR210="","",'STUDENT SCREENING'!BR210)</f>
        <v/>
      </c>
      <c r="P210" s="28"/>
      <c r="Q210" s="28"/>
      <c r="R210" s="28"/>
      <c r="S210" s="28"/>
      <c r="T210" s="28"/>
      <c r="U210" s="28"/>
      <c r="V210" s="28"/>
      <c r="W210" s="28"/>
      <c r="X210" s="28"/>
    </row>
    <row r="211" customFormat="false" ht="15" hidden="false" customHeight="false" outlineLevel="0" collapsed="false">
      <c r="A211" s="38" t="str">
        <f aca="false">IF('STUDENT SCREENING'!A211="","",'STUDENT SCREENING'!A211)</f>
        <v/>
      </c>
      <c r="B211" s="38" t="str">
        <f aca="false">IF('STUDENT SCREENING'!I211="","",'STUDENT SCREENING'!I211)</f>
        <v/>
      </c>
      <c r="C211" s="38" t="str">
        <f aca="false">IF('STUDENT SCREENING'!F211="","",'STUDENT SCREENING'!F211)</f>
        <v/>
      </c>
      <c r="D211" s="38" t="str">
        <f aca="false">IF('STUDENT SCREENING'!G211="","",'STUDENT SCREENING'!G211)</f>
        <v/>
      </c>
      <c r="E211" s="38" t="str">
        <f aca="false">IF('STUDENT SCREENING'!C211="","",'STUDENT SCREENING'!C211)</f>
        <v/>
      </c>
      <c r="F211" s="38" t="str">
        <f aca="false">IF('STUDENT SCREENING'!J211="","",'STUDENT SCREENING'!J211)</f>
        <v/>
      </c>
      <c r="G211" s="38" t="str">
        <f aca="false">IF('STUDENT SCREENING'!K211="","",'STUDENT SCREENING'!K211)</f>
        <v/>
      </c>
      <c r="H211" s="38" t="str">
        <f aca="false">IF('STUDENT SCREENING'!S211="","",'STUDENT SCREENING'!S211)</f>
        <v/>
      </c>
      <c r="I211" s="38" t="str">
        <f aca="false">IF('STUDENT SCREENING'!T211="","",'STUDENT SCREENING'!T211)</f>
        <v/>
      </c>
      <c r="J211" s="38" t="str">
        <f aca="false">IF('STUDENT SCREENING'!BM211="","",'STUDENT SCREENING'!BM211)</f>
        <v/>
      </c>
      <c r="K211" s="38" t="str">
        <f aca="false">IF('STUDENT SCREENING'!BN211="","",'STUDENT SCREENING'!BN211)</f>
        <v/>
      </c>
      <c r="L211" s="38" t="str">
        <f aca="false">IF('STUDENT SCREENING'!BO211="","",'STUDENT SCREENING'!BO211)</f>
        <v/>
      </c>
      <c r="M211" s="38" t="str">
        <f aca="false">IF('STUDENT SCREENING'!BP211="","",'STUDENT SCREENING'!BP211)</f>
        <v/>
      </c>
      <c r="N211" s="38" t="str">
        <f aca="false">IF('STUDENT SCREENING'!BQ211="","",'STUDENT SCREENING'!BQ211)</f>
        <v/>
      </c>
      <c r="O211" s="38" t="str">
        <f aca="false">IF('STUDENT SCREENING'!BR211="","",'STUDENT SCREENING'!BR211)</f>
        <v/>
      </c>
      <c r="P211" s="32"/>
      <c r="Q211" s="32"/>
      <c r="R211" s="32"/>
      <c r="S211" s="32"/>
      <c r="T211" s="32"/>
      <c r="U211" s="32"/>
      <c r="V211" s="32"/>
      <c r="W211" s="32"/>
      <c r="X211" s="32"/>
    </row>
    <row r="212" customFormat="false" ht="15" hidden="false" customHeight="false" outlineLevel="0" collapsed="false">
      <c r="A212" s="37" t="str">
        <f aca="false">IF('STUDENT SCREENING'!A212="","",'STUDENT SCREENING'!A212)</f>
        <v/>
      </c>
      <c r="B212" s="37" t="str">
        <f aca="false">IF('STUDENT SCREENING'!I212="","",'STUDENT SCREENING'!I212)</f>
        <v/>
      </c>
      <c r="C212" s="37" t="str">
        <f aca="false">IF('STUDENT SCREENING'!F212="","",'STUDENT SCREENING'!F212)</f>
        <v/>
      </c>
      <c r="D212" s="37" t="str">
        <f aca="false">IF('STUDENT SCREENING'!G212="","",'STUDENT SCREENING'!G212)</f>
        <v/>
      </c>
      <c r="E212" s="37" t="str">
        <f aca="false">IF('STUDENT SCREENING'!C212="","",'STUDENT SCREENING'!C212)</f>
        <v/>
      </c>
      <c r="F212" s="37" t="str">
        <f aca="false">IF('STUDENT SCREENING'!J212="","",'STUDENT SCREENING'!J212)</f>
        <v/>
      </c>
      <c r="G212" s="37" t="str">
        <f aca="false">IF('STUDENT SCREENING'!K212="","",'STUDENT SCREENING'!K212)</f>
        <v/>
      </c>
      <c r="H212" s="37" t="str">
        <f aca="false">IF('STUDENT SCREENING'!S212="","",'STUDENT SCREENING'!S212)</f>
        <v/>
      </c>
      <c r="I212" s="37" t="str">
        <f aca="false">IF('STUDENT SCREENING'!T212="","",'STUDENT SCREENING'!T212)</f>
        <v/>
      </c>
      <c r="J212" s="37" t="str">
        <f aca="false">IF('STUDENT SCREENING'!BM212="","",'STUDENT SCREENING'!BM212)</f>
        <v/>
      </c>
      <c r="K212" s="37" t="str">
        <f aca="false">IF('STUDENT SCREENING'!BN212="","",'STUDENT SCREENING'!BN212)</f>
        <v/>
      </c>
      <c r="L212" s="37" t="str">
        <f aca="false">IF('STUDENT SCREENING'!BO212="","",'STUDENT SCREENING'!BO212)</f>
        <v/>
      </c>
      <c r="M212" s="37" t="str">
        <f aca="false">IF('STUDENT SCREENING'!BP212="","",'STUDENT SCREENING'!BP212)</f>
        <v/>
      </c>
      <c r="N212" s="37" t="str">
        <f aca="false">IF('STUDENT SCREENING'!BQ212="","",'STUDENT SCREENING'!BQ212)</f>
        <v/>
      </c>
      <c r="O212" s="37" t="str">
        <f aca="false">IF('STUDENT SCREENING'!BR212="","",'STUDENT SCREENING'!BR212)</f>
        <v/>
      </c>
      <c r="P212" s="28"/>
      <c r="Q212" s="28"/>
      <c r="R212" s="28"/>
      <c r="S212" s="28"/>
      <c r="T212" s="28"/>
      <c r="U212" s="28"/>
      <c r="V212" s="28"/>
      <c r="W212" s="28"/>
      <c r="X212" s="28"/>
    </row>
    <row r="213" customFormat="false" ht="15" hidden="false" customHeight="false" outlineLevel="0" collapsed="false">
      <c r="A213" s="38" t="str">
        <f aca="false">IF('STUDENT SCREENING'!A213="","",'STUDENT SCREENING'!A213)</f>
        <v/>
      </c>
      <c r="B213" s="38" t="str">
        <f aca="false">IF('STUDENT SCREENING'!I213="","",'STUDENT SCREENING'!I213)</f>
        <v/>
      </c>
      <c r="C213" s="38" t="str">
        <f aca="false">IF('STUDENT SCREENING'!F213="","",'STUDENT SCREENING'!F213)</f>
        <v/>
      </c>
      <c r="D213" s="38" t="str">
        <f aca="false">IF('STUDENT SCREENING'!G213="","",'STUDENT SCREENING'!G213)</f>
        <v/>
      </c>
      <c r="E213" s="38" t="str">
        <f aca="false">IF('STUDENT SCREENING'!C213="","",'STUDENT SCREENING'!C213)</f>
        <v/>
      </c>
      <c r="F213" s="38" t="str">
        <f aca="false">IF('STUDENT SCREENING'!J213="","",'STUDENT SCREENING'!J213)</f>
        <v/>
      </c>
      <c r="G213" s="38" t="str">
        <f aca="false">IF('STUDENT SCREENING'!K213="","",'STUDENT SCREENING'!K213)</f>
        <v/>
      </c>
      <c r="H213" s="38" t="str">
        <f aca="false">IF('STUDENT SCREENING'!S213="","",'STUDENT SCREENING'!S213)</f>
        <v/>
      </c>
      <c r="I213" s="38" t="str">
        <f aca="false">IF('STUDENT SCREENING'!T213="","",'STUDENT SCREENING'!T213)</f>
        <v/>
      </c>
      <c r="J213" s="38" t="str">
        <f aca="false">IF('STUDENT SCREENING'!BM213="","",'STUDENT SCREENING'!BM213)</f>
        <v/>
      </c>
      <c r="K213" s="38" t="str">
        <f aca="false">IF('STUDENT SCREENING'!BN213="","",'STUDENT SCREENING'!BN213)</f>
        <v/>
      </c>
      <c r="L213" s="38" t="str">
        <f aca="false">IF('STUDENT SCREENING'!BO213="","",'STUDENT SCREENING'!BO213)</f>
        <v/>
      </c>
      <c r="M213" s="38" t="str">
        <f aca="false">IF('STUDENT SCREENING'!BP213="","",'STUDENT SCREENING'!BP213)</f>
        <v/>
      </c>
      <c r="N213" s="38" t="str">
        <f aca="false">IF('STUDENT SCREENING'!BQ213="","",'STUDENT SCREENING'!BQ213)</f>
        <v/>
      </c>
      <c r="O213" s="38" t="str">
        <f aca="false">IF('STUDENT SCREENING'!BR213="","",'STUDENT SCREENING'!BR213)</f>
        <v/>
      </c>
      <c r="P213" s="32"/>
      <c r="Q213" s="32"/>
      <c r="R213" s="32"/>
      <c r="S213" s="32"/>
      <c r="T213" s="32"/>
      <c r="U213" s="32"/>
      <c r="V213" s="32"/>
      <c r="W213" s="32"/>
      <c r="X213" s="32"/>
    </row>
    <row r="214" customFormat="false" ht="15" hidden="false" customHeight="false" outlineLevel="0" collapsed="false">
      <c r="A214" s="37" t="str">
        <f aca="false">IF('STUDENT SCREENING'!A214="","",'STUDENT SCREENING'!A214)</f>
        <v/>
      </c>
      <c r="B214" s="37" t="str">
        <f aca="false">IF('STUDENT SCREENING'!I214="","",'STUDENT SCREENING'!I214)</f>
        <v/>
      </c>
      <c r="C214" s="37" t="str">
        <f aca="false">IF('STUDENT SCREENING'!F214="","",'STUDENT SCREENING'!F214)</f>
        <v/>
      </c>
      <c r="D214" s="37" t="str">
        <f aca="false">IF('STUDENT SCREENING'!G214="","",'STUDENT SCREENING'!G214)</f>
        <v/>
      </c>
      <c r="E214" s="37" t="str">
        <f aca="false">IF('STUDENT SCREENING'!C214="","",'STUDENT SCREENING'!C214)</f>
        <v/>
      </c>
      <c r="F214" s="37" t="str">
        <f aca="false">IF('STUDENT SCREENING'!J214="","",'STUDENT SCREENING'!J214)</f>
        <v/>
      </c>
      <c r="G214" s="37" t="str">
        <f aca="false">IF('STUDENT SCREENING'!K214="","",'STUDENT SCREENING'!K214)</f>
        <v/>
      </c>
      <c r="H214" s="37" t="str">
        <f aca="false">IF('STUDENT SCREENING'!S214="","",'STUDENT SCREENING'!S214)</f>
        <v/>
      </c>
      <c r="I214" s="37" t="str">
        <f aca="false">IF('STUDENT SCREENING'!T214="","",'STUDENT SCREENING'!T214)</f>
        <v/>
      </c>
      <c r="J214" s="37" t="str">
        <f aca="false">IF('STUDENT SCREENING'!BM214="","",'STUDENT SCREENING'!BM214)</f>
        <v/>
      </c>
      <c r="K214" s="37" t="str">
        <f aca="false">IF('STUDENT SCREENING'!BN214="","",'STUDENT SCREENING'!BN214)</f>
        <v/>
      </c>
      <c r="L214" s="37" t="str">
        <f aca="false">IF('STUDENT SCREENING'!BO214="","",'STUDENT SCREENING'!BO214)</f>
        <v/>
      </c>
      <c r="M214" s="37" t="str">
        <f aca="false">IF('STUDENT SCREENING'!BP214="","",'STUDENT SCREENING'!BP214)</f>
        <v/>
      </c>
      <c r="N214" s="37" t="str">
        <f aca="false">IF('STUDENT SCREENING'!BQ214="","",'STUDENT SCREENING'!BQ214)</f>
        <v/>
      </c>
      <c r="O214" s="37" t="str">
        <f aca="false">IF('STUDENT SCREENING'!BR214="","",'STUDENT SCREENING'!BR214)</f>
        <v/>
      </c>
      <c r="P214" s="28"/>
      <c r="Q214" s="28"/>
      <c r="R214" s="28"/>
      <c r="S214" s="28"/>
      <c r="T214" s="28"/>
      <c r="U214" s="28"/>
      <c r="V214" s="28"/>
      <c r="W214" s="28"/>
      <c r="X214" s="28"/>
    </row>
    <row r="215" customFormat="false" ht="15" hidden="false" customHeight="false" outlineLevel="0" collapsed="false">
      <c r="A215" s="38" t="str">
        <f aca="false">IF('STUDENT SCREENING'!A215="","",'STUDENT SCREENING'!A215)</f>
        <v/>
      </c>
      <c r="B215" s="38" t="str">
        <f aca="false">IF('STUDENT SCREENING'!I215="","",'STUDENT SCREENING'!I215)</f>
        <v/>
      </c>
      <c r="C215" s="38" t="str">
        <f aca="false">IF('STUDENT SCREENING'!F215="","",'STUDENT SCREENING'!F215)</f>
        <v/>
      </c>
      <c r="D215" s="38" t="str">
        <f aca="false">IF('STUDENT SCREENING'!G215="","",'STUDENT SCREENING'!G215)</f>
        <v/>
      </c>
      <c r="E215" s="38" t="str">
        <f aca="false">IF('STUDENT SCREENING'!C215="","",'STUDENT SCREENING'!C215)</f>
        <v/>
      </c>
      <c r="F215" s="38" t="str">
        <f aca="false">IF('STUDENT SCREENING'!J215="","",'STUDENT SCREENING'!J215)</f>
        <v/>
      </c>
      <c r="G215" s="38" t="str">
        <f aca="false">IF('STUDENT SCREENING'!K215="","",'STUDENT SCREENING'!K215)</f>
        <v/>
      </c>
      <c r="H215" s="38" t="str">
        <f aca="false">IF('STUDENT SCREENING'!S215="","",'STUDENT SCREENING'!S215)</f>
        <v/>
      </c>
      <c r="I215" s="38" t="str">
        <f aca="false">IF('STUDENT SCREENING'!T215="","",'STUDENT SCREENING'!T215)</f>
        <v/>
      </c>
      <c r="J215" s="38" t="str">
        <f aca="false">IF('STUDENT SCREENING'!BM215="","",'STUDENT SCREENING'!BM215)</f>
        <v/>
      </c>
      <c r="K215" s="38" t="str">
        <f aca="false">IF('STUDENT SCREENING'!BN215="","",'STUDENT SCREENING'!BN215)</f>
        <v/>
      </c>
      <c r="L215" s="38" t="str">
        <f aca="false">IF('STUDENT SCREENING'!BO215="","",'STUDENT SCREENING'!BO215)</f>
        <v/>
      </c>
      <c r="M215" s="38" t="str">
        <f aca="false">IF('STUDENT SCREENING'!BP215="","",'STUDENT SCREENING'!BP215)</f>
        <v/>
      </c>
      <c r="N215" s="38" t="str">
        <f aca="false">IF('STUDENT SCREENING'!BQ215="","",'STUDENT SCREENING'!BQ215)</f>
        <v/>
      </c>
      <c r="O215" s="38" t="str">
        <f aca="false">IF('STUDENT SCREENING'!BR215="","",'STUDENT SCREENING'!BR215)</f>
        <v/>
      </c>
      <c r="P215" s="32"/>
      <c r="Q215" s="32"/>
      <c r="R215" s="32"/>
      <c r="S215" s="32"/>
      <c r="T215" s="32"/>
      <c r="U215" s="32"/>
      <c r="V215" s="32"/>
      <c r="W215" s="32"/>
      <c r="X215" s="32"/>
    </row>
    <row r="216" customFormat="false" ht="15" hidden="false" customHeight="false" outlineLevel="0" collapsed="false">
      <c r="A216" s="37" t="str">
        <f aca="false">IF('STUDENT SCREENING'!A216="","",'STUDENT SCREENING'!A216)</f>
        <v/>
      </c>
      <c r="B216" s="37" t="str">
        <f aca="false">IF('STUDENT SCREENING'!I216="","",'STUDENT SCREENING'!I216)</f>
        <v/>
      </c>
      <c r="C216" s="37" t="str">
        <f aca="false">IF('STUDENT SCREENING'!F216="","",'STUDENT SCREENING'!F216)</f>
        <v/>
      </c>
      <c r="D216" s="37" t="str">
        <f aca="false">IF('STUDENT SCREENING'!G216="","",'STUDENT SCREENING'!G216)</f>
        <v/>
      </c>
      <c r="E216" s="37" t="str">
        <f aca="false">IF('STUDENT SCREENING'!C216="","",'STUDENT SCREENING'!C216)</f>
        <v/>
      </c>
      <c r="F216" s="37" t="str">
        <f aca="false">IF('STUDENT SCREENING'!J216="","",'STUDENT SCREENING'!J216)</f>
        <v/>
      </c>
      <c r="G216" s="37" t="str">
        <f aca="false">IF('STUDENT SCREENING'!K216="","",'STUDENT SCREENING'!K216)</f>
        <v/>
      </c>
      <c r="H216" s="37" t="str">
        <f aca="false">IF('STUDENT SCREENING'!S216="","",'STUDENT SCREENING'!S216)</f>
        <v/>
      </c>
      <c r="I216" s="37" t="str">
        <f aca="false">IF('STUDENT SCREENING'!T216="","",'STUDENT SCREENING'!T216)</f>
        <v/>
      </c>
      <c r="J216" s="37" t="str">
        <f aca="false">IF('STUDENT SCREENING'!BM216="","",'STUDENT SCREENING'!BM216)</f>
        <v/>
      </c>
      <c r="K216" s="37" t="str">
        <f aca="false">IF('STUDENT SCREENING'!BN216="","",'STUDENT SCREENING'!BN216)</f>
        <v/>
      </c>
      <c r="L216" s="37" t="str">
        <f aca="false">IF('STUDENT SCREENING'!BO216="","",'STUDENT SCREENING'!BO216)</f>
        <v/>
      </c>
      <c r="M216" s="37" t="str">
        <f aca="false">IF('STUDENT SCREENING'!BP216="","",'STUDENT SCREENING'!BP216)</f>
        <v/>
      </c>
      <c r="N216" s="37" t="str">
        <f aca="false">IF('STUDENT SCREENING'!BQ216="","",'STUDENT SCREENING'!BQ216)</f>
        <v/>
      </c>
      <c r="O216" s="37" t="str">
        <f aca="false">IF('STUDENT SCREENING'!BR216="","",'STUDENT SCREENING'!BR216)</f>
        <v/>
      </c>
      <c r="P216" s="28"/>
      <c r="Q216" s="28"/>
      <c r="R216" s="28"/>
      <c r="S216" s="28"/>
      <c r="T216" s="28"/>
      <c r="U216" s="28"/>
      <c r="V216" s="28"/>
      <c r="W216" s="28"/>
      <c r="X216" s="28"/>
    </row>
    <row r="217" customFormat="false" ht="15" hidden="false" customHeight="false" outlineLevel="0" collapsed="false">
      <c r="A217" s="38" t="str">
        <f aca="false">IF('STUDENT SCREENING'!A217="","",'STUDENT SCREENING'!A217)</f>
        <v/>
      </c>
      <c r="B217" s="38" t="str">
        <f aca="false">IF('STUDENT SCREENING'!I217="","",'STUDENT SCREENING'!I217)</f>
        <v/>
      </c>
      <c r="C217" s="38" t="str">
        <f aca="false">IF('STUDENT SCREENING'!F217="","",'STUDENT SCREENING'!F217)</f>
        <v/>
      </c>
      <c r="D217" s="38" t="str">
        <f aca="false">IF('STUDENT SCREENING'!G217="","",'STUDENT SCREENING'!G217)</f>
        <v/>
      </c>
      <c r="E217" s="38" t="str">
        <f aca="false">IF('STUDENT SCREENING'!C217="","",'STUDENT SCREENING'!C217)</f>
        <v/>
      </c>
      <c r="F217" s="38" t="str">
        <f aca="false">IF('STUDENT SCREENING'!J217="","",'STUDENT SCREENING'!J217)</f>
        <v/>
      </c>
      <c r="G217" s="38" t="str">
        <f aca="false">IF('STUDENT SCREENING'!K217="","",'STUDENT SCREENING'!K217)</f>
        <v/>
      </c>
      <c r="H217" s="38" t="str">
        <f aca="false">IF('STUDENT SCREENING'!S217="","",'STUDENT SCREENING'!S217)</f>
        <v/>
      </c>
      <c r="I217" s="38" t="str">
        <f aca="false">IF('STUDENT SCREENING'!T217="","",'STUDENT SCREENING'!T217)</f>
        <v/>
      </c>
      <c r="J217" s="38" t="str">
        <f aca="false">IF('STUDENT SCREENING'!BM217="","",'STUDENT SCREENING'!BM217)</f>
        <v/>
      </c>
      <c r="K217" s="38" t="str">
        <f aca="false">IF('STUDENT SCREENING'!BN217="","",'STUDENT SCREENING'!BN217)</f>
        <v/>
      </c>
      <c r="L217" s="38" t="str">
        <f aca="false">IF('STUDENT SCREENING'!BO217="","",'STUDENT SCREENING'!BO217)</f>
        <v/>
      </c>
      <c r="M217" s="38" t="str">
        <f aca="false">IF('STUDENT SCREENING'!BP217="","",'STUDENT SCREENING'!BP217)</f>
        <v/>
      </c>
      <c r="N217" s="38" t="str">
        <f aca="false">IF('STUDENT SCREENING'!BQ217="","",'STUDENT SCREENING'!BQ217)</f>
        <v/>
      </c>
      <c r="O217" s="38" t="str">
        <f aca="false">IF('STUDENT SCREENING'!BR217="","",'STUDENT SCREENING'!BR217)</f>
        <v/>
      </c>
      <c r="P217" s="32"/>
      <c r="Q217" s="32"/>
      <c r="R217" s="32"/>
      <c r="S217" s="32"/>
      <c r="T217" s="32"/>
      <c r="U217" s="32"/>
      <c r="V217" s="32"/>
      <c r="W217" s="32"/>
      <c r="X217" s="32"/>
    </row>
    <row r="218" customFormat="false" ht="15" hidden="false" customHeight="false" outlineLevel="0" collapsed="false">
      <c r="A218" s="37" t="str">
        <f aca="false">IF('STUDENT SCREENING'!A218="","",'STUDENT SCREENING'!A218)</f>
        <v/>
      </c>
      <c r="B218" s="37" t="str">
        <f aca="false">IF('STUDENT SCREENING'!I218="","",'STUDENT SCREENING'!I218)</f>
        <v/>
      </c>
      <c r="C218" s="37" t="str">
        <f aca="false">IF('STUDENT SCREENING'!F218="","",'STUDENT SCREENING'!F218)</f>
        <v/>
      </c>
      <c r="D218" s="37" t="str">
        <f aca="false">IF('STUDENT SCREENING'!G218="","",'STUDENT SCREENING'!G218)</f>
        <v/>
      </c>
      <c r="E218" s="37" t="str">
        <f aca="false">IF('STUDENT SCREENING'!C218="","",'STUDENT SCREENING'!C218)</f>
        <v/>
      </c>
      <c r="F218" s="37" t="str">
        <f aca="false">IF('STUDENT SCREENING'!J218="","",'STUDENT SCREENING'!J218)</f>
        <v/>
      </c>
      <c r="G218" s="37" t="str">
        <f aca="false">IF('STUDENT SCREENING'!K218="","",'STUDENT SCREENING'!K218)</f>
        <v/>
      </c>
      <c r="H218" s="37" t="str">
        <f aca="false">IF('STUDENT SCREENING'!S218="","",'STUDENT SCREENING'!S218)</f>
        <v/>
      </c>
      <c r="I218" s="37" t="str">
        <f aca="false">IF('STUDENT SCREENING'!T218="","",'STUDENT SCREENING'!T218)</f>
        <v/>
      </c>
      <c r="J218" s="37" t="str">
        <f aca="false">IF('STUDENT SCREENING'!BM218="","",'STUDENT SCREENING'!BM218)</f>
        <v/>
      </c>
      <c r="K218" s="37" t="str">
        <f aca="false">IF('STUDENT SCREENING'!BN218="","",'STUDENT SCREENING'!BN218)</f>
        <v/>
      </c>
      <c r="L218" s="37" t="str">
        <f aca="false">IF('STUDENT SCREENING'!BO218="","",'STUDENT SCREENING'!BO218)</f>
        <v/>
      </c>
      <c r="M218" s="37" t="str">
        <f aca="false">IF('STUDENT SCREENING'!BP218="","",'STUDENT SCREENING'!BP218)</f>
        <v/>
      </c>
      <c r="N218" s="37" t="str">
        <f aca="false">IF('STUDENT SCREENING'!BQ218="","",'STUDENT SCREENING'!BQ218)</f>
        <v/>
      </c>
      <c r="O218" s="37" t="str">
        <f aca="false">IF('STUDENT SCREENING'!BR218="","",'STUDENT SCREENING'!BR218)</f>
        <v/>
      </c>
      <c r="P218" s="28"/>
      <c r="Q218" s="28"/>
      <c r="R218" s="28"/>
      <c r="S218" s="28"/>
      <c r="T218" s="28"/>
      <c r="U218" s="28"/>
      <c r="V218" s="28"/>
      <c r="W218" s="28"/>
      <c r="X218" s="28"/>
    </row>
    <row r="219" customFormat="false" ht="15" hidden="false" customHeight="false" outlineLevel="0" collapsed="false">
      <c r="A219" s="38" t="str">
        <f aca="false">IF('STUDENT SCREENING'!A219="","",'STUDENT SCREENING'!A219)</f>
        <v/>
      </c>
      <c r="B219" s="38" t="str">
        <f aca="false">IF('STUDENT SCREENING'!I219="","",'STUDENT SCREENING'!I219)</f>
        <v/>
      </c>
      <c r="C219" s="38" t="str">
        <f aca="false">IF('STUDENT SCREENING'!F219="","",'STUDENT SCREENING'!F219)</f>
        <v/>
      </c>
      <c r="D219" s="38" t="str">
        <f aca="false">IF('STUDENT SCREENING'!G219="","",'STUDENT SCREENING'!G219)</f>
        <v/>
      </c>
      <c r="E219" s="38" t="str">
        <f aca="false">IF('STUDENT SCREENING'!C219="","",'STUDENT SCREENING'!C219)</f>
        <v/>
      </c>
      <c r="F219" s="38" t="str">
        <f aca="false">IF('STUDENT SCREENING'!J219="","",'STUDENT SCREENING'!J219)</f>
        <v/>
      </c>
      <c r="G219" s="38" t="str">
        <f aca="false">IF('STUDENT SCREENING'!K219="","",'STUDENT SCREENING'!K219)</f>
        <v/>
      </c>
      <c r="H219" s="38" t="str">
        <f aca="false">IF('STUDENT SCREENING'!S219="","",'STUDENT SCREENING'!S219)</f>
        <v/>
      </c>
      <c r="I219" s="38" t="str">
        <f aca="false">IF('STUDENT SCREENING'!T219="","",'STUDENT SCREENING'!T219)</f>
        <v/>
      </c>
      <c r="J219" s="38" t="str">
        <f aca="false">IF('STUDENT SCREENING'!BM219="","",'STUDENT SCREENING'!BM219)</f>
        <v/>
      </c>
      <c r="K219" s="38" t="str">
        <f aca="false">IF('STUDENT SCREENING'!BN219="","",'STUDENT SCREENING'!BN219)</f>
        <v/>
      </c>
      <c r="L219" s="38" t="str">
        <f aca="false">IF('STUDENT SCREENING'!BO219="","",'STUDENT SCREENING'!BO219)</f>
        <v/>
      </c>
      <c r="M219" s="38" t="str">
        <f aca="false">IF('STUDENT SCREENING'!BP219="","",'STUDENT SCREENING'!BP219)</f>
        <v/>
      </c>
      <c r="N219" s="38" t="str">
        <f aca="false">IF('STUDENT SCREENING'!BQ219="","",'STUDENT SCREENING'!BQ219)</f>
        <v/>
      </c>
      <c r="O219" s="38" t="str">
        <f aca="false">IF('STUDENT SCREENING'!BR219="","",'STUDENT SCREENING'!BR219)</f>
        <v/>
      </c>
      <c r="P219" s="32"/>
      <c r="Q219" s="32"/>
      <c r="R219" s="32"/>
      <c r="S219" s="32"/>
      <c r="T219" s="32"/>
      <c r="U219" s="32"/>
      <c r="V219" s="32"/>
      <c r="W219" s="32"/>
      <c r="X219" s="32"/>
    </row>
    <row r="220" customFormat="false" ht="15" hidden="false" customHeight="false" outlineLevel="0" collapsed="false">
      <c r="A220" s="37" t="str">
        <f aca="false">IF('STUDENT SCREENING'!A220="","",'STUDENT SCREENING'!A220)</f>
        <v/>
      </c>
      <c r="B220" s="37" t="str">
        <f aca="false">IF('STUDENT SCREENING'!I220="","",'STUDENT SCREENING'!I220)</f>
        <v/>
      </c>
      <c r="C220" s="37" t="str">
        <f aca="false">IF('STUDENT SCREENING'!F220="","",'STUDENT SCREENING'!F220)</f>
        <v/>
      </c>
      <c r="D220" s="37" t="str">
        <f aca="false">IF('STUDENT SCREENING'!G220="","",'STUDENT SCREENING'!G220)</f>
        <v/>
      </c>
      <c r="E220" s="37" t="str">
        <f aca="false">IF('STUDENT SCREENING'!C220="","",'STUDENT SCREENING'!C220)</f>
        <v/>
      </c>
      <c r="F220" s="37" t="str">
        <f aca="false">IF('STUDENT SCREENING'!J220="","",'STUDENT SCREENING'!J220)</f>
        <v/>
      </c>
      <c r="G220" s="37" t="str">
        <f aca="false">IF('STUDENT SCREENING'!K220="","",'STUDENT SCREENING'!K220)</f>
        <v/>
      </c>
      <c r="H220" s="37" t="str">
        <f aca="false">IF('STUDENT SCREENING'!S220="","",'STUDENT SCREENING'!S220)</f>
        <v/>
      </c>
      <c r="I220" s="37" t="str">
        <f aca="false">IF('STUDENT SCREENING'!T220="","",'STUDENT SCREENING'!T220)</f>
        <v/>
      </c>
      <c r="J220" s="37" t="str">
        <f aca="false">IF('STUDENT SCREENING'!BM220="","",'STUDENT SCREENING'!BM220)</f>
        <v/>
      </c>
      <c r="K220" s="37" t="str">
        <f aca="false">IF('STUDENT SCREENING'!BN220="","",'STUDENT SCREENING'!BN220)</f>
        <v/>
      </c>
      <c r="L220" s="37" t="str">
        <f aca="false">IF('STUDENT SCREENING'!BO220="","",'STUDENT SCREENING'!BO220)</f>
        <v/>
      </c>
      <c r="M220" s="37" t="str">
        <f aca="false">IF('STUDENT SCREENING'!BP220="","",'STUDENT SCREENING'!BP220)</f>
        <v/>
      </c>
      <c r="N220" s="37" t="str">
        <f aca="false">IF('STUDENT SCREENING'!BQ220="","",'STUDENT SCREENING'!BQ220)</f>
        <v/>
      </c>
      <c r="O220" s="37" t="str">
        <f aca="false">IF('STUDENT SCREENING'!BR220="","",'STUDENT SCREENING'!BR220)</f>
        <v/>
      </c>
      <c r="P220" s="28"/>
      <c r="Q220" s="28"/>
      <c r="R220" s="28"/>
      <c r="S220" s="28"/>
      <c r="T220" s="28"/>
      <c r="U220" s="28"/>
      <c r="V220" s="28"/>
      <c r="W220" s="28"/>
      <c r="X220" s="28"/>
    </row>
    <row r="221" customFormat="false" ht="15" hidden="false" customHeight="false" outlineLevel="0" collapsed="false">
      <c r="A221" s="38" t="str">
        <f aca="false">IF('STUDENT SCREENING'!A221="","",'STUDENT SCREENING'!A221)</f>
        <v/>
      </c>
      <c r="B221" s="38" t="str">
        <f aca="false">IF('STUDENT SCREENING'!I221="","",'STUDENT SCREENING'!I221)</f>
        <v/>
      </c>
      <c r="C221" s="38" t="str">
        <f aca="false">IF('STUDENT SCREENING'!F221="","",'STUDENT SCREENING'!F221)</f>
        <v/>
      </c>
      <c r="D221" s="38" t="str">
        <f aca="false">IF('STUDENT SCREENING'!G221="","",'STUDENT SCREENING'!G221)</f>
        <v/>
      </c>
      <c r="E221" s="38" t="str">
        <f aca="false">IF('STUDENT SCREENING'!C221="","",'STUDENT SCREENING'!C221)</f>
        <v/>
      </c>
      <c r="F221" s="38" t="str">
        <f aca="false">IF('STUDENT SCREENING'!J221="","",'STUDENT SCREENING'!J221)</f>
        <v/>
      </c>
      <c r="G221" s="38" t="str">
        <f aca="false">IF('STUDENT SCREENING'!K221="","",'STUDENT SCREENING'!K221)</f>
        <v/>
      </c>
      <c r="H221" s="38" t="str">
        <f aca="false">IF('STUDENT SCREENING'!S221="","",'STUDENT SCREENING'!S221)</f>
        <v/>
      </c>
      <c r="I221" s="38" t="str">
        <f aca="false">IF('STUDENT SCREENING'!T221="","",'STUDENT SCREENING'!T221)</f>
        <v/>
      </c>
      <c r="J221" s="38" t="str">
        <f aca="false">IF('STUDENT SCREENING'!BM221="","",'STUDENT SCREENING'!BM221)</f>
        <v/>
      </c>
      <c r="K221" s="38" t="str">
        <f aca="false">IF('STUDENT SCREENING'!BN221="","",'STUDENT SCREENING'!BN221)</f>
        <v/>
      </c>
      <c r="L221" s="38" t="str">
        <f aca="false">IF('STUDENT SCREENING'!BO221="","",'STUDENT SCREENING'!BO221)</f>
        <v/>
      </c>
      <c r="M221" s="38" t="str">
        <f aca="false">IF('STUDENT SCREENING'!BP221="","",'STUDENT SCREENING'!BP221)</f>
        <v/>
      </c>
      <c r="N221" s="38" t="str">
        <f aca="false">IF('STUDENT SCREENING'!BQ221="","",'STUDENT SCREENING'!BQ221)</f>
        <v/>
      </c>
      <c r="O221" s="38" t="str">
        <f aca="false">IF('STUDENT SCREENING'!BR221="","",'STUDENT SCREENING'!BR221)</f>
        <v/>
      </c>
      <c r="P221" s="32"/>
      <c r="Q221" s="32"/>
      <c r="R221" s="32"/>
      <c r="S221" s="32"/>
      <c r="T221" s="32"/>
      <c r="U221" s="32"/>
      <c r="V221" s="32"/>
      <c r="W221" s="32"/>
      <c r="X221" s="32"/>
    </row>
    <row r="222" customFormat="false" ht="15" hidden="false" customHeight="false" outlineLevel="0" collapsed="false">
      <c r="A222" s="37" t="str">
        <f aca="false">IF('STUDENT SCREENING'!A222="","",'STUDENT SCREENING'!A222)</f>
        <v/>
      </c>
      <c r="B222" s="37" t="str">
        <f aca="false">IF('STUDENT SCREENING'!I222="","",'STUDENT SCREENING'!I222)</f>
        <v/>
      </c>
      <c r="C222" s="37" t="str">
        <f aca="false">IF('STUDENT SCREENING'!F222="","",'STUDENT SCREENING'!F222)</f>
        <v/>
      </c>
      <c r="D222" s="37" t="str">
        <f aca="false">IF('STUDENT SCREENING'!G222="","",'STUDENT SCREENING'!G222)</f>
        <v/>
      </c>
      <c r="E222" s="37" t="str">
        <f aca="false">IF('STUDENT SCREENING'!C222="","",'STUDENT SCREENING'!C222)</f>
        <v/>
      </c>
      <c r="F222" s="37" t="str">
        <f aca="false">IF('STUDENT SCREENING'!J222="","",'STUDENT SCREENING'!J222)</f>
        <v/>
      </c>
      <c r="G222" s="37" t="str">
        <f aca="false">IF('STUDENT SCREENING'!K222="","",'STUDENT SCREENING'!K222)</f>
        <v/>
      </c>
      <c r="H222" s="37" t="str">
        <f aca="false">IF('STUDENT SCREENING'!S222="","",'STUDENT SCREENING'!S222)</f>
        <v/>
      </c>
      <c r="I222" s="37" t="str">
        <f aca="false">IF('STUDENT SCREENING'!T222="","",'STUDENT SCREENING'!T222)</f>
        <v/>
      </c>
      <c r="J222" s="37" t="str">
        <f aca="false">IF('STUDENT SCREENING'!BM222="","",'STUDENT SCREENING'!BM222)</f>
        <v/>
      </c>
      <c r="K222" s="37" t="str">
        <f aca="false">IF('STUDENT SCREENING'!BN222="","",'STUDENT SCREENING'!BN222)</f>
        <v/>
      </c>
      <c r="L222" s="37" t="str">
        <f aca="false">IF('STUDENT SCREENING'!BO222="","",'STUDENT SCREENING'!BO222)</f>
        <v/>
      </c>
      <c r="M222" s="37" t="str">
        <f aca="false">IF('STUDENT SCREENING'!BP222="","",'STUDENT SCREENING'!BP222)</f>
        <v/>
      </c>
      <c r="N222" s="37" t="str">
        <f aca="false">IF('STUDENT SCREENING'!BQ222="","",'STUDENT SCREENING'!BQ222)</f>
        <v/>
      </c>
      <c r="O222" s="37" t="str">
        <f aca="false">IF('STUDENT SCREENING'!BR222="","",'STUDENT SCREENING'!BR222)</f>
        <v/>
      </c>
      <c r="P222" s="28"/>
      <c r="Q222" s="28"/>
      <c r="R222" s="28"/>
      <c r="S222" s="28"/>
      <c r="T222" s="28"/>
      <c r="U222" s="28"/>
      <c r="V222" s="28"/>
      <c r="W222" s="28"/>
      <c r="X222" s="28"/>
    </row>
    <row r="223" customFormat="false" ht="15" hidden="false" customHeight="false" outlineLevel="0" collapsed="false">
      <c r="A223" s="38" t="str">
        <f aca="false">IF('STUDENT SCREENING'!A223="","",'STUDENT SCREENING'!A223)</f>
        <v/>
      </c>
      <c r="B223" s="38" t="str">
        <f aca="false">IF('STUDENT SCREENING'!I223="","",'STUDENT SCREENING'!I223)</f>
        <v/>
      </c>
      <c r="C223" s="38" t="str">
        <f aca="false">IF('STUDENT SCREENING'!F223="","",'STUDENT SCREENING'!F223)</f>
        <v/>
      </c>
      <c r="D223" s="38" t="str">
        <f aca="false">IF('STUDENT SCREENING'!G223="","",'STUDENT SCREENING'!G223)</f>
        <v/>
      </c>
      <c r="E223" s="38" t="str">
        <f aca="false">IF('STUDENT SCREENING'!C223="","",'STUDENT SCREENING'!C223)</f>
        <v/>
      </c>
      <c r="F223" s="38" t="str">
        <f aca="false">IF('STUDENT SCREENING'!J223="","",'STUDENT SCREENING'!J223)</f>
        <v/>
      </c>
      <c r="G223" s="38" t="str">
        <f aca="false">IF('STUDENT SCREENING'!K223="","",'STUDENT SCREENING'!K223)</f>
        <v/>
      </c>
      <c r="H223" s="38" t="str">
        <f aca="false">IF('STUDENT SCREENING'!S223="","",'STUDENT SCREENING'!S223)</f>
        <v/>
      </c>
      <c r="I223" s="38" t="str">
        <f aca="false">IF('STUDENT SCREENING'!T223="","",'STUDENT SCREENING'!T223)</f>
        <v/>
      </c>
      <c r="J223" s="38" t="str">
        <f aca="false">IF('STUDENT SCREENING'!BM223="","",'STUDENT SCREENING'!BM223)</f>
        <v/>
      </c>
      <c r="K223" s="38" t="str">
        <f aca="false">IF('STUDENT SCREENING'!BN223="","",'STUDENT SCREENING'!BN223)</f>
        <v/>
      </c>
      <c r="L223" s="38" t="str">
        <f aca="false">IF('STUDENT SCREENING'!BO223="","",'STUDENT SCREENING'!BO223)</f>
        <v/>
      </c>
      <c r="M223" s="38" t="str">
        <f aca="false">IF('STUDENT SCREENING'!BP223="","",'STUDENT SCREENING'!BP223)</f>
        <v/>
      </c>
      <c r="N223" s="38" t="str">
        <f aca="false">IF('STUDENT SCREENING'!BQ223="","",'STUDENT SCREENING'!BQ223)</f>
        <v/>
      </c>
      <c r="O223" s="38" t="str">
        <f aca="false">IF('STUDENT SCREENING'!BR223="","",'STUDENT SCREENING'!BR223)</f>
        <v/>
      </c>
      <c r="P223" s="32"/>
      <c r="Q223" s="32"/>
      <c r="R223" s="32"/>
      <c r="S223" s="32"/>
      <c r="T223" s="32"/>
      <c r="U223" s="32"/>
      <c r="V223" s="32"/>
      <c r="W223" s="32"/>
      <c r="X223" s="32"/>
    </row>
    <row r="224" customFormat="false" ht="15" hidden="false" customHeight="false" outlineLevel="0" collapsed="false">
      <c r="A224" s="37" t="str">
        <f aca="false">IF('STUDENT SCREENING'!A224="","",'STUDENT SCREENING'!A224)</f>
        <v/>
      </c>
      <c r="B224" s="37" t="str">
        <f aca="false">IF('STUDENT SCREENING'!I224="","",'STUDENT SCREENING'!I224)</f>
        <v/>
      </c>
      <c r="C224" s="37" t="str">
        <f aca="false">IF('STUDENT SCREENING'!F224="","",'STUDENT SCREENING'!F224)</f>
        <v/>
      </c>
      <c r="D224" s="37" t="str">
        <f aca="false">IF('STUDENT SCREENING'!G224="","",'STUDENT SCREENING'!G224)</f>
        <v/>
      </c>
      <c r="E224" s="37" t="str">
        <f aca="false">IF('STUDENT SCREENING'!C224="","",'STUDENT SCREENING'!C224)</f>
        <v/>
      </c>
      <c r="F224" s="37" t="str">
        <f aca="false">IF('STUDENT SCREENING'!J224="","",'STUDENT SCREENING'!J224)</f>
        <v/>
      </c>
      <c r="G224" s="37" t="str">
        <f aca="false">IF('STUDENT SCREENING'!K224="","",'STUDENT SCREENING'!K224)</f>
        <v/>
      </c>
      <c r="H224" s="37" t="str">
        <f aca="false">IF('STUDENT SCREENING'!S224="","",'STUDENT SCREENING'!S224)</f>
        <v/>
      </c>
      <c r="I224" s="37" t="str">
        <f aca="false">IF('STUDENT SCREENING'!T224="","",'STUDENT SCREENING'!T224)</f>
        <v/>
      </c>
      <c r="J224" s="37" t="str">
        <f aca="false">IF('STUDENT SCREENING'!BM224="","",'STUDENT SCREENING'!BM224)</f>
        <v/>
      </c>
      <c r="K224" s="37" t="str">
        <f aca="false">IF('STUDENT SCREENING'!BN224="","",'STUDENT SCREENING'!BN224)</f>
        <v/>
      </c>
      <c r="L224" s="37" t="str">
        <f aca="false">IF('STUDENT SCREENING'!BO224="","",'STUDENT SCREENING'!BO224)</f>
        <v/>
      </c>
      <c r="M224" s="37" t="str">
        <f aca="false">IF('STUDENT SCREENING'!BP224="","",'STUDENT SCREENING'!BP224)</f>
        <v/>
      </c>
      <c r="N224" s="37" t="str">
        <f aca="false">IF('STUDENT SCREENING'!BQ224="","",'STUDENT SCREENING'!BQ224)</f>
        <v/>
      </c>
      <c r="O224" s="37" t="str">
        <f aca="false">IF('STUDENT SCREENING'!BR224="","",'STUDENT SCREENING'!BR224)</f>
        <v/>
      </c>
      <c r="P224" s="28"/>
      <c r="Q224" s="28"/>
      <c r="R224" s="28"/>
      <c r="S224" s="28"/>
      <c r="T224" s="28"/>
      <c r="U224" s="28"/>
      <c r="V224" s="28"/>
      <c r="W224" s="28"/>
      <c r="X224" s="28"/>
    </row>
    <row r="225" customFormat="false" ht="15" hidden="false" customHeight="false" outlineLevel="0" collapsed="false">
      <c r="A225" s="38" t="str">
        <f aca="false">IF('STUDENT SCREENING'!A225="","",'STUDENT SCREENING'!A225)</f>
        <v/>
      </c>
      <c r="B225" s="38" t="str">
        <f aca="false">IF('STUDENT SCREENING'!I225="","",'STUDENT SCREENING'!I225)</f>
        <v/>
      </c>
      <c r="C225" s="38" t="str">
        <f aca="false">IF('STUDENT SCREENING'!F225="","",'STUDENT SCREENING'!F225)</f>
        <v/>
      </c>
      <c r="D225" s="38" t="str">
        <f aca="false">IF('STUDENT SCREENING'!G225="","",'STUDENT SCREENING'!G225)</f>
        <v/>
      </c>
      <c r="E225" s="38" t="str">
        <f aca="false">IF('STUDENT SCREENING'!C225="","",'STUDENT SCREENING'!C225)</f>
        <v/>
      </c>
      <c r="F225" s="38" t="str">
        <f aca="false">IF('STUDENT SCREENING'!J225="","",'STUDENT SCREENING'!J225)</f>
        <v/>
      </c>
      <c r="G225" s="38" t="str">
        <f aca="false">IF('STUDENT SCREENING'!K225="","",'STUDENT SCREENING'!K225)</f>
        <v/>
      </c>
      <c r="H225" s="38" t="str">
        <f aca="false">IF('STUDENT SCREENING'!S225="","",'STUDENT SCREENING'!S225)</f>
        <v/>
      </c>
      <c r="I225" s="38" t="str">
        <f aca="false">IF('STUDENT SCREENING'!T225="","",'STUDENT SCREENING'!T225)</f>
        <v/>
      </c>
      <c r="J225" s="38" t="str">
        <f aca="false">IF('STUDENT SCREENING'!BM225="","",'STUDENT SCREENING'!BM225)</f>
        <v/>
      </c>
      <c r="K225" s="38" t="str">
        <f aca="false">IF('STUDENT SCREENING'!BN225="","",'STUDENT SCREENING'!BN225)</f>
        <v/>
      </c>
      <c r="L225" s="38" t="str">
        <f aca="false">IF('STUDENT SCREENING'!BO225="","",'STUDENT SCREENING'!BO225)</f>
        <v/>
      </c>
      <c r="M225" s="38" t="str">
        <f aca="false">IF('STUDENT SCREENING'!BP225="","",'STUDENT SCREENING'!BP225)</f>
        <v/>
      </c>
      <c r="N225" s="38" t="str">
        <f aca="false">IF('STUDENT SCREENING'!BQ225="","",'STUDENT SCREENING'!BQ225)</f>
        <v/>
      </c>
      <c r="O225" s="38" t="str">
        <f aca="false">IF('STUDENT SCREENING'!BR225="","",'STUDENT SCREENING'!BR225)</f>
        <v/>
      </c>
      <c r="P225" s="32"/>
      <c r="Q225" s="32"/>
      <c r="R225" s="32"/>
      <c r="S225" s="32"/>
      <c r="T225" s="32"/>
      <c r="U225" s="32"/>
      <c r="V225" s="32"/>
      <c r="W225" s="32"/>
      <c r="X225" s="32"/>
    </row>
    <row r="226" customFormat="false" ht="15" hidden="false" customHeight="false" outlineLevel="0" collapsed="false">
      <c r="A226" s="37" t="str">
        <f aca="false">IF('STUDENT SCREENING'!A226="","",'STUDENT SCREENING'!A226)</f>
        <v/>
      </c>
      <c r="B226" s="37" t="str">
        <f aca="false">IF('STUDENT SCREENING'!I226="","",'STUDENT SCREENING'!I226)</f>
        <v/>
      </c>
      <c r="C226" s="37" t="str">
        <f aca="false">IF('STUDENT SCREENING'!F226="","",'STUDENT SCREENING'!F226)</f>
        <v/>
      </c>
      <c r="D226" s="37" t="str">
        <f aca="false">IF('STUDENT SCREENING'!G226="","",'STUDENT SCREENING'!G226)</f>
        <v/>
      </c>
      <c r="E226" s="37" t="str">
        <f aca="false">IF('STUDENT SCREENING'!C226="","",'STUDENT SCREENING'!C226)</f>
        <v/>
      </c>
      <c r="F226" s="37" t="str">
        <f aca="false">IF('STUDENT SCREENING'!J226="","",'STUDENT SCREENING'!J226)</f>
        <v/>
      </c>
      <c r="G226" s="37" t="str">
        <f aca="false">IF('STUDENT SCREENING'!K226="","",'STUDENT SCREENING'!K226)</f>
        <v/>
      </c>
      <c r="H226" s="37" t="str">
        <f aca="false">IF('STUDENT SCREENING'!S226="","",'STUDENT SCREENING'!S226)</f>
        <v/>
      </c>
      <c r="I226" s="37" t="str">
        <f aca="false">IF('STUDENT SCREENING'!T226="","",'STUDENT SCREENING'!T226)</f>
        <v/>
      </c>
      <c r="J226" s="37" t="str">
        <f aca="false">IF('STUDENT SCREENING'!BM226="","",'STUDENT SCREENING'!BM226)</f>
        <v/>
      </c>
      <c r="K226" s="37" t="str">
        <f aca="false">IF('STUDENT SCREENING'!BN226="","",'STUDENT SCREENING'!BN226)</f>
        <v/>
      </c>
      <c r="L226" s="37" t="str">
        <f aca="false">IF('STUDENT SCREENING'!BO226="","",'STUDENT SCREENING'!BO226)</f>
        <v/>
      </c>
      <c r="M226" s="37" t="str">
        <f aca="false">IF('STUDENT SCREENING'!BP226="","",'STUDENT SCREENING'!BP226)</f>
        <v/>
      </c>
      <c r="N226" s="37" t="str">
        <f aca="false">IF('STUDENT SCREENING'!BQ226="","",'STUDENT SCREENING'!BQ226)</f>
        <v/>
      </c>
      <c r="O226" s="37" t="str">
        <f aca="false">IF('STUDENT SCREENING'!BR226="","",'STUDENT SCREENING'!BR226)</f>
        <v/>
      </c>
      <c r="P226" s="28"/>
      <c r="Q226" s="28"/>
      <c r="R226" s="28"/>
      <c r="S226" s="28"/>
      <c r="T226" s="28"/>
      <c r="U226" s="28"/>
      <c r="V226" s="28"/>
      <c r="W226" s="28"/>
      <c r="X226" s="28"/>
    </row>
    <row r="227" customFormat="false" ht="15" hidden="false" customHeight="false" outlineLevel="0" collapsed="false">
      <c r="A227" s="38" t="str">
        <f aca="false">IF('STUDENT SCREENING'!A227="","",'STUDENT SCREENING'!A227)</f>
        <v/>
      </c>
      <c r="B227" s="38" t="str">
        <f aca="false">IF('STUDENT SCREENING'!I227="","",'STUDENT SCREENING'!I227)</f>
        <v/>
      </c>
      <c r="C227" s="38" t="str">
        <f aca="false">IF('STUDENT SCREENING'!F227="","",'STUDENT SCREENING'!F227)</f>
        <v/>
      </c>
      <c r="D227" s="38" t="str">
        <f aca="false">IF('STUDENT SCREENING'!G227="","",'STUDENT SCREENING'!G227)</f>
        <v/>
      </c>
      <c r="E227" s="38" t="str">
        <f aca="false">IF('STUDENT SCREENING'!C227="","",'STUDENT SCREENING'!C227)</f>
        <v/>
      </c>
      <c r="F227" s="38" t="str">
        <f aca="false">IF('STUDENT SCREENING'!J227="","",'STUDENT SCREENING'!J227)</f>
        <v/>
      </c>
      <c r="G227" s="38" t="str">
        <f aca="false">IF('STUDENT SCREENING'!K227="","",'STUDENT SCREENING'!K227)</f>
        <v/>
      </c>
      <c r="H227" s="38" t="str">
        <f aca="false">IF('STUDENT SCREENING'!S227="","",'STUDENT SCREENING'!S227)</f>
        <v/>
      </c>
      <c r="I227" s="38" t="str">
        <f aca="false">IF('STUDENT SCREENING'!T227="","",'STUDENT SCREENING'!T227)</f>
        <v/>
      </c>
      <c r="J227" s="38" t="str">
        <f aca="false">IF('STUDENT SCREENING'!BM227="","",'STUDENT SCREENING'!BM227)</f>
        <v/>
      </c>
      <c r="K227" s="38" t="str">
        <f aca="false">IF('STUDENT SCREENING'!BN227="","",'STUDENT SCREENING'!BN227)</f>
        <v/>
      </c>
      <c r="L227" s="38" t="str">
        <f aca="false">IF('STUDENT SCREENING'!BO227="","",'STUDENT SCREENING'!BO227)</f>
        <v/>
      </c>
      <c r="M227" s="38" t="str">
        <f aca="false">IF('STUDENT SCREENING'!BP227="","",'STUDENT SCREENING'!BP227)</f>
        <v/>
      </c>
      <c r="N227" s="38" t="str">
        <f aca="false">IF('STUDENT SCREENING'!BQ227="","",'STUDENT SCREENING'!BQ227)</f>
        <v/>
      </c>
      <c r="O227" s="38" t="str">
        <f aca="false">IF('STUDENT SCREENING'!BR227="","",'STUDENT SCREENING'!BR227)</f>
        <v/>
      </c>
      <c r="P227" s="32"/>
      <c r="Q227" s="32"/>
      <c r="R227" s="32"/>
      <c r="S227" s="32"/>
      <c r="T227" s="32"/>
      <c r="U227" s="32"/>
      <c r="V227" s="32"/>
      <c r="W227" s="32"/>
      <c r="X227" s="32"/>
    </row>
    <row r="228" customFormat="false" ht="15" hidden="false" customHeight="false" outlineLevel="0" collapsed="false">
      <c r="A228" s="37" t="str">
        <f aca="false">IF('STUDENT SCREENING'!A228="","",'STUDENT SCREENING'!A228)</f>
        <v/>
      </c>
      <c r="B228" s="37" t="str">
        <f aca="false">IF('STUDENT SCREENING'!I228="","",'STUDENT SCREENING'!I228)</f>
        <v/>
      </c>
      <c r="C228" s="37" t="str">
        <f aca="false">IF('STUDENT SCREENING'!F228="","",'STUDENT SCREENING'!F228)</f>
        <v/>
      </c>
      <c r="D228" s="37" t="str">
        <f aca="false">IF('STUDENT SCREENING'!G228="","",'STUDENT SCREENING'!G228)</f>
        <v/>
      </c>
      <c r="E228" s="37" t="str">
        <f aca="false">IF('STUDENT SCREENING'!C228="","",'STUDENT SCREENING'!C228)</f>
        <v/>
      </c>
      <c r="F228" s="37" t="str">
        <f aca="false">IF('STUDENT SCREENING'!J228="","",'STUDENT SCREENING'!J228)</f>
        <v/>
      </c>
      <c r="G228" s="37" t="str">
        <f aca="false">IF('STUDENT SCREENING'!K228="","",'STUDENT SCREENING'!K228)</f>
        <v/>
      </c>
      <c r="H228" s="37" t="str">
        <f aca="false">IF('STUDENT SCREENING'!S228="","",'STUDENT SCREENING'!S228)</f>
        <v/>
      </c>
      <c r="I228" s="37" t="str">
        <f aca="false">IF('STUDENT SCREENING'!T228="","",'STUDENT SCREENING'!T228)</f>
        <v/>
      </c>
      <c r="J228" s="37" t="str">
        <f aca="false">IF('STUDENT SCREENING'!BM228="","",'STUDENT SCREENING'!BM228)</f>
        <v/>
      </c>
      <c r="K228" s="37" t="str">
        <f aca="false">IF('STUDENT SCREENING'!BN228="","",'STUDENT SCREENING'!BN228)</f>
        <v/>
      </c>
      <c r="L228" s="37" t="str">
        <f aca="false">IF('STUDENT SCREENING'!BO228="","",'STUDENT SCREENING'!BO228)</f>
        <v/>
      </c>
      <c r="M228" s="37" t="str">
        <f aca="false">IF('STUDENT SCREENING'!BP228="","",'STUDENT SCREENING'!BP228)</f>
        <v/>
      </c>
      <c r="N228" s="37" t="str">
        <f aca="false">IF('STUDENT SCREENING'!BQ228="","",'STUDENT SCREENING'!BQ228)</f>
        <v/>
      </c>
      <c r="O228" s="37" t="str">
        <f aca="false">IF('STUDENT SCREENING'!BR228="","",'STUDENT SCREENING'!BR228)</f>
        <v/>
      </c>
      <c r="P228" s="28"/>
      <c r="Q228" s="28"/>
      <c r="R228" s="28"/>
      <c r="S228" s="28"/>
      <c r="T228" s="28"/>
      <c r="U228" s="28"/>
      <c r="V228" s="28"/>
      <c r="W228" s="28"/>
      <c r="X228" s="28"/>
    </row>
    <row r="229" customFormat="false" ht="15" hidden="false" customHeight="false" outlineLevel="0" collapsed="false">
      <c r="A229" s="38" t="str">
        <f aca="false">IF('STUDENT SCREENING'!A229="","",'STUDENT SCREENING'!A229)</f>
        <v/>
      </c>
      <c r="B229" s="38" t="str">
        <f aca="false">IF('STUDENT SCREENING'!I229="","",'STUDENT SCREENING'!I229)</f>
        <v/>
      </c>
      <c r="C229" s="38" t="str">
        <f aca="false">IF('STUDENT SCREENING'!F229="","",'STUDENT SCREENING'!F229)</f>
        <v/>
      </c>
      <c r="D229" s="38" t="str">
        <f aca="false">IF('STUDENT SCREENING'!G229="","",'STUDENT SCREENING'!G229)</f>
        <v/>
      </c>
      <c r="E229" s="38" t="str">
        <f aca="false">IF('STUDENT SCREENING'!C229="","",'STUDENT SCREENING'!C229)</f>
        <v/>
      </c>
      <c r="F229" s="38" t="str">
        <f aca="false">IF('STUDENT SCREENING'!J229="","",'STUDENT SCREENING'!J229)</f>
        <v/>
      </c>
      <c r="G229" s="38" t="str">
        <f aca="false">IF('STUDENT SCREENING'!K229="","",'STUDENT SCREENING'!K229)</f>
        <v/>
      </c>
      <c r="H229" s="38" t="str">
        <f aca="false">IF('STUDENT SCREENING'!S229="","",'STUDENT SCREENING'!S229)</f>
        <v/>
      </c>
      <c r="I229" s="38" t="str">
        <f aca="false">IF('STUDENT SCREENING'!T229="","",'STUDENT SCREENING'!T229)</f>
        <v/>
      </c>
      <c r="J229" s="38" t="str">
        <f aca="false">IF('STUDENT SCREENING'!BM229="","",'STUDENT SCREENING'!BM229)</f>
        <v/>
      </c>
      <c r="K229" s="38" t="str">
        <f aca="false">IF('STUDENT SCREENING'!BN229="","",'STUDENT SCREENING'!BN229)</f>
        <v/>
      </c>
      <c r="L229" s="38" t="str">
        <f aca="false">IF('STUDENT SCREENING'!BO229="","",'STUDENT SCREENING'!BO229)</f>
        <v/>
      </c>
      <c r="M229" s="38" t="str">
        <f aca="false">IF('STUDENT SCREENING'!BP229="","",'STUDENT SCREENING'!BP229)</f>
        <v/>
      </c>
      <c r="N229" s="38" t="str">
        <f aca="false">IF('STUDENT SCREENING'!BQ229="","",'STUDENT SCREENING'!BQ229)</f>
        <v/>
      </c>
      <c r="O229" s="38" t="str">
        <f aca="false">IF('STUDENT SCREENING'!BR229="","",'STUDENT SCREENING'!BR229)</f>
        <v/>
      </c>
      <c r="P229" s="32"/>
      <c r="Q229" s="32"/>
      <c r="R229" s="32"/>
      <c r="S229" s="32"/>
      <c r="T229" s="32"/>
      <c r="U229" s="32"/>
      <c r="V229" s="32"/>
      <c r="W229" s="32"/>
      <c r="X229" s="32"/>
    </row>
    <row r="230" customFormat="false" ht="15" hidden="false" customHeight="false" outlineLevel="0" collapsed="false">
      <c r="A230" s="37" t="str">
        <f aca="false">IF('STUDENT SCREENING'!A230="","",'STUDENT SCREENING'!A230)</f>
        <v/>
      </c>
      <c r="B230" s="37" t="str">
        <f aca="false">IF('STUDENT SCREENING'!I230="","",'STUDENT SCREENING'!I230)</f>
        <v/>
      </c>
      <c r="C230" s="37" t="str">
        <f aca="false">IF('STUDENT SCREENING'!F230="","",'STUDENT SCREENING'!F230)</f>
        <v/>
      </c>
      <c r="D230" s="37" t="str">
        <f aca="false">IF('STUDENT SCREENING'!G230="","",'STUDENT SCREENING'!G230)</f>
        <v/>
      </c>
      <c r="E230" s="37" t="str">
        <f aca="false">IF('STUDENT SCREENING'!C230="","",'STUDENT SCREENING'!C230)</f>
        <v/>
      </c>
      <c r="F230" s="37" t="str">
        <f aca="false">IF('STUDENT SCREENING'!J230="","",'STUDENT SCREENING'!J230)</f>
        <v/>
      </c>
      <c r="G230" s="37" t="str">
        <f aca="false">IF('STUDENT SCREENING'!K230="","",'STUDENT SCREENING'!K230)</f>
        <v/>
      </c>
      <c r="H230" s="37" t="str">
        <f aca="false">IF('STUDENT SCREENING'!S230="","",'STUDENT SCREENING'!S230)</f>
        <v/>
      </c>
      <c r="I230" s="37" t="str">
        <f aca="false">IF('STUDENT SCREENING'!T230="","",'STUDENT SCREENING'!T230)</f>
        <v/>
      </c>
      <c r="J230" s="37" t="str">
        <f aca="false">IF('STUDENT SCREENING'!BM230="","",'STUDENT SCREENING'!BM230)</f>
        <v/>
      </c>
      <c r="K230" s="37" t="str">
        <f aca="false">IF('STUDENT SCREENING'!BN230="","",'STUDENT SCREENING'!BN230)</f>
        <v/>
      </c>
      <c r="L230" s="37" t="str">
        <f aca="false">IF('STUDENT SCREENING'!BO230="","",'STUDENT SCREENING'!BO230)</f>
        <v/>
      </c>
      <c r="M230" s="37" t="str">
        <f aca="false">IF('STUDENT SCREENING'!BP230="","",'STUDENT SCREENING'!BP230)</f>
        <v/>
      </c>
      <c r="N230" s="37" t="str">
        <f aca="false">IF('STUDENT SCREENING'!BQ230="","",'STUDENT SCREENING'!BQ230)</f>
        <v/>
      </c>
      <c r="O230" s="37" t="str">
        <f aca="false">IF('STUDENT SCREENING'!BR230="","",'STUDENT SCREENING'!BR230)</f>
        <v/>
      </c>
      <c r="P230" s="28"/>
      <c r="Q230" s="28"/>
      <c r="R230" s="28"/>
      <c r="S230" s="28"/>
      <c r="T230" s="28"/>
      <c r="U230" s="28"/>
      <c r="V230" s="28"/>
      <c r="W230" s="28"/>
      <c r="X230" s="28"/>
    </row>
    <row r="231" customFormat="false" ht="15" hidden="false" customHeight="false" outlineLevel="0" collapsed="false">
      <c r="A231" s="38" t="str">
        <f aca="false">IF('STUDENT SCREENING'!A231="","",'STUDENT SCREENING'!A231)</f>
        <v/>
      </c>
      <c r="B231" s="38" t="str">
        <f aca="false">IF('STUDENT SCREENING'!I231="","",'STUDENT SCREENING'!I231)</f>
        <v/>
      </c>
      <c r="C231" s="38" t="str">
        <f aca="false">IF('STUDENT SCREENING'!F231="","",'STUDENT SCREENING'!F231)</f>
        <v/>
      </c>
      <c r="D231" s="38" t="str">
        <f aca="false">IF('STUDENT SCREENING'!G231="","",'STUDENT SCREENING'!G231)</f>
        <v/>
      </c>
      <c r="E231" s="38" t="str">
        <f aca="false">IF('STUDENT SCREENING'!C231="","",'STUDENT SCREENING'!C231)</f>
        <v/>
      </c>
      <c r="F231" s="38" t="str">
        <f aca="false">IF('STUDENT SCREENING'!J231="","",'STUDENT SCREENING'!J231)</f>
        <v/>
      </c>
      <c r="G231" s="38" t="str">
        <f aca="false">IF('STUDENT SCREENING'!K231="","",'STUDENT SCREENING'!K231)</f>
        <v/>
      </c>
      <c r="H231" s="38" t="str">
        <f aca="false">IF('STUDENT SCREENING'!S231="","",'STUDENT SCREENING'!S231)</f>
        <v/>
      </c>
      <c r="I231" s="38" t="str">
        <f aca="false">IF('STUDENT SCREENING'!T231="","",'STUDENT SCREENING'!T231)</f>
        <v/>
      </c>
      <c r="J231" s="38" t="str">
        <f aca="false">IF('STUDENT SCREENING'!BM231="","",'STUDENT SCREENING'!BM231)</f>
        <v/>
      </c>
      <c r="K231" s="38" t="str">
        <f aca="false">IF('STUDENT SCREENING'!BN231="","",'STUDENT SCREENING'!BN231)</f>
        <v/>
      </c>
      <c r="L231" s="38" t="str">
        <f aca="false">IF('STUDENT SCREENING'!BO231="","",'STUDENT SCREENING'!BO231)</f>
        <v/>
      </c>
      <c r="M231" s="38" t="str">
        <f aca="false">IF('STUDENT SCREENING'!BP231="","",'STUDENT SCREENING'!BP231)</f>
        <v/>
      </c>
      <c r="N231" s="38" t="str">
        <f aca="false">IF('STUDENT SCREENING'!BQ231="","",'STUDENT SCREENING'!BQ231)</f>
        <v/>
      </c>
      <c r="O231" s="38" t="str">
        <f aca="false">IF('STUDENT SCREENING'!BR231="","",'STUDENT SCREENING'!BR231)</f>
        <v/>
      </c>
      <c r="P231" s="32"/>
      <c r="Q231" s="32"/>
      <c r="R231" s="32"/>
      <c r="S231" s="32"/>
      <c r="T231" s="32"/>
      <c r="U231" s="32"/>
      <c r="V231" s="32"/>
      <c r="W231" s="32"/>
      <c r="X231" s="32"/>
    </row>
    <row r="232" customFormat="false" ht="15" hidden="false" customHeight="false" outlineLevel="0" collapsed="false">
      <c r="A232" s="37" t="str">
        <f aca="false">IF('STUDENT SCREENING'!A232="","",'STUDENT SCREENING'!A232)</f>
        <v/>
      </c>
      <c r="B232" s="37" t="str">
        <f aca="false">IF('STUDENT SCREENING'!I232="","",'STUDENT SCREENING'!I232)</f>
        <v/>
      </c>
      <c r="C232" s="37" t="str">
        <f aca="false">IF('STUDENT SCREENING'!F232="","",'STUDENT SCREENING'!F232)</f>
        <v/>
      </c>
      <c r="D232" s="37" t="str">
        <f aca="false">IF('STUDENT SCREENING'!G232="","",'STUDENT SCREENING'!G232)</f>
        <v/>
      </c>
      <c r="E232" s="37" t="str">
        <f aca="false">IF('STUDENT SCREENING'!C232="","",'STUDENT SCREENING'!C232)</f>
        <v/>
      </c>
      <c r="F232" s="37" t="str">
        <f aca="false">IF('STUDENT SCREENING'!J232="","",'STUDENT SCREENING'!J232)</f>
        <v/>
      </c>
      <c r="G232" s="37" t="str">
        <f aca="false">IF('STUDENT SCREENING'!K232="","",'STUDENT SCREENING'!K232)</f>
        <v/>
      </c>
      <c r="H232" s="37" t="str">
        <f aca="false">IF('STUDENT SCREENING'!S232="","",'STUDENT SCREENING'!S232)</f>
        <v/>
      </c>
      <c r="I232" s="37" t="str">
        <f aca="false">IF('STUDENT SCREENING'!T232="","",'STUDENT SCREENING'!T232)</f>
        <v/>
      </c>
      <c r="J232" s="37" t="str">
        <f aca="false">IF('STUDENT SCREENING'!BM232="","",'STUDENT SCREENING'!BM232)</f>
        <v/>
      </c>
      <c r="K232" s="37" t="str">
        <f aca="false">IF('STUDENT SCREENING'!BN232="","",'STUDENT SCREENING'!BN232)</f>
        <v/>
      </c>
      <c r="L232" s="37" t="str">
        <f aca="false">IF('STUDENT SCREENING'!BO232="","",'STUDENT SCREENING'!BO232)</f>
        <v/>
      </c>
      <c r="M232" s="37" t="str">
        <f aca="false">IF('STUDENT SCREENING'!BP232="","",'STUDENT SCREENING'!BP232)</f>
        <v/>
      </c>
      <c r="N232" s="37" t="str">
        <f aca="false">IF('STUDENT SCREENING'!BQ232="","",'STUDENT SCREENING'!BQ232)</f>
        <v/>
      </c>
      <c r="O232" s="37" t="str">
        <f aca="false">IF('STUDENT SCREENING'!BR232="","",'STUDENT SCREENING'!BR232)</f>
        <v/>
      </c>
      <c r="P232" s="28"/>
      <c r="Q232" s="28"/>
      <c r="R232" s="28"/>
      <c r="S232" s="28"/>
      <c r="T232" s="28"/>
      <c r="U232" s="28"/>
      <c r="V232" s="28"/>
      <c r="W232" s="28"/>
      <c r="X232" s="28"/>
    </row>
    <row r="233" customFormat="false" ht="15" hidden="false" customHeight="false" outlineLevel="0" collapsed="false">
      <c r="A233" s="38" t="str">
        <f aca="false">IF('STUDENT SCREENING'!A233="","",'STUDENT SCREENING'!A233)</f>
        <v/>
      </c>
      <c r="B233" s="38" t="str">
        <f aca="false">IF('STUDENT SCREENING'!I233="","",'STUDENT SCREENING'!I233)</f>
        <v/>
      </c>
      <c r="C233" s="38" t="str">
        <f aca="false">IF('STUDENT SCREENING'!F233="","",'STUDENT SCREENING'!F233)</f>
        <v/>
      </c>
      <c r="D233" s="38" t="str">
        <f aca="false">IF('STUDENT SCREENING'!G233="","",'STUDENT SCREENING'!G233)</f>
        <v/>
      </c>
      <c r="E233" s="38" t="str">
        <f aca="false">IF('STUDENT SCREENING'!C233="","",'STUDENT SCREENING'!C233)</f>
        <v/>
      </c>
      <c r="F233" s="38" t="str">
        <f aca="false">IF('STUDENT SCREENING'!J233="","",'STUDENT SCREENING'!J233)</f>
        <v/>
      </c>
      <c r="G233" s="38" t="str">
        <f aca="false">IF('STUDENT SCREENING'!K233="","",'STUDENT SCREENING'!K233)</f>
        <v/>
      </c>
      <c r="H233" s="38" t="str">
        <f aca="false">IF('STUDENT SCREENING'!S233="","",'STUDENT SCREENING'!S233)</f>
        <v/>
      </c>
      <c r="I233" s="38" t="str">
        <f aca="false">IF('STUDENT SCREENING'!T233="","",'STUDENT SCREENING'!T233)</f>
        <v/>
      </c>
      <c r="J233" s="38" t="str">
        <f aca="false">IF('STUDENT SCREENING'!BM233="","",'STUDENT SCREENING'!BM233)</f>
        <v/>
      </c>
      <c r="K233" s="38" t="str">
        <f aca="false">IF('STUDENT SCREENING'!BN233="","",'STUDENT SCREENING'!BN233)</f>
        <v/>
      </c>
      <c r="L233" s="38" t="str">
        <f aca="false">IF('STUDENT SCREENING'!BO233="","",'STUDENT SCREENING'!BO233)</f>
        <v/>
      </c>
      <c r="M233" s="38" t="str">
        <f aca="false">IF('STUDENT SCREENING'!BP233="","",'STUDENT SCREENING'!BP233)</f>
        <v/>
      </c>
      <c r="N233" s="38" t="str">
        <f aca="false">IF('STUDENT SCREENING'!BQ233="","",'STUDENT SCREENING'!BQ233)</f>
        <v/>
      </c>
      <c r="O233" s="38" t="str">
        <f aca="false">IF('STUDENT SCREENING'!BR233="","",'STUDENT SCREENING'!BR233)</f>
        <v/>
      </c>
      <c r="P233" s="32"/>
      <c r="Q233" s="32"/>
      <c r="R233" s="32"/>
      <c r="S233" s="32"/>
      <c r="T233" s="32"/>
      <c r="U233" s="32"/>
      <c r="V233" s="32"/>
      <c r="W233" s="32"/>
      <c r="X233" s="32"/>
    </row>
    <row r="234" customFormat="false" ht="15" hidden="false" customHeight="false" outlineLevel="0" collapsed="false">
      <c r="A234" s="37" t="str">
        <f aca="false">IF('STUDENT SCREENING'!A234="","",'STUDENT SCREENING'!A234)</f>
        <v/>
      </c>
      <c r="B234" s="37" t="str">
        <f aca="false">IF('STUDENT SCREENING'!I234="","",'STUDENT SCREENING'!I234)</f>
        <v/>
      </c>
      <c r="C234" s="37" t="str">
        <f aca="false">IF('STUDENT SCREENING'!F234="","",'STUDENT SCREENING'!F234)</f>
        <v/>
      </c>
      <c r="D234" s="37" t="str">
        <f aca="false">IF('STUDENT SCREENING'!G234="","",'STUDENT SCREENING'!G234)</f>
        <v/>
      </c>
      <c r="E234" s="37" t="str">
        <f aca="false">IF('STUDENT SCREENING'!C234="","",'STUDENT SCREENING'!C234)</f>
        <v/>
      </c>
      <c r="F234" s="37" t="str">
        <f aca="false">IF('STUDENT SCREENING'!J234="","",'STUDENT SCREENING'!J234)</f>
        <v/>
      </c>
      <c r="G234" s="37" t="str">
        <f aca="false">IF('STUDENT SCREENING'!K234="","",'STUDENT SCREENING'!K234)</f>
        <v/>
      </c>
      <c r="H234" s="37" t="str">
        <f aca="false">IF('STUDENT SCREENING'!S234="","",'STUDENT SCREENING'!S234)</f>
        <v/>
      </c>
      <c r="I234" s="37" t="str">
        <f aca="false">IF('STUDENT SCREENING'!T234="","",'STUDENT SCREENING'!T234)</f>
        <v/>
      </c>
      <c r="J234" s="37" t="str">
        <f aca="false">IF('STUDENT SCREENING'!BM234="","",'STUDENT SCREENING'!BM234)</f>
        <v/>
      </c>
      <c r="K234" s="37" t="str">
        <f aca="false">IF('STUDENT SCREENING'!BN234="","",'STUDENT SCREENING'!BN234)</f>
        <v/>
      </c>
      <c r="L234" s="37" t="str">
        <f aca="false">IF('STUDENT SCREENING'!BO234="","",'STUDENT SCREENING'!BO234)</f>
        <v/>
      </c>
      <c r="M234" s="37" t="str">
        <f aca="false">IF('STUDENT SCREENING'!BP234="","",'STUDENT SCREENING'!BP234)</f>
        <v/>
      </c>
      <c r="N234" s="37" t="str">
        <f aca="false">IF('STUDENT SCREENING'!BQ234="","",'STUDENT SCREENING'!BQ234)</f>
        <v/>
      </c>
      <c r="O234" s="37" t="str">
        <f aca="false">IF('STUDENT SCREENING'!BR234="","",'STUDENT SCREENING'!BR234)</f>
        <v/>
      </c>
      <c r="P234" s="28"/>
      <c r="Q234" s="28"/>
      <c r="R234" s="28"/>
      <c r="S234" s="28"/>
      <c r="T234" s="28"/>
      <c r="U234" s="28"/>
      <c r="V234" s="28"/>
      <c r="W234" s="28"/>
      <c r="X234" s="28"/>
    </row>
    <row r="235" customFormat="false" ht="15" hidden="false" customHeight="false" outlineLevel="0" collapsed="false">
      <c r="A235" s="38" t="str">
        <f aca="false">IF('STUDENT SCREENING'!A235="","",'STUDENT SCREENING'!A235)</f>
        <v/>
      </c>
      <c r="B235" s="38" t="str">
        <f aca="false">IF('STUDENT SCREENING'!I235="","",'STUDENT SCREENING'!I235)</f>
        <v/>
      </c>
      <c r="C235" s="38" t="str">
        <f aca="false">IF('STUDENT SCREENING'!F235="","",'STUDENT SCREENING'!F235)</f>
        <v/>
      </c>
      <c r="D235" s="38" t="str">
        <f aca="false">IF('STUDENT SCREENING'!G235="","",'STUDENT SCREENING'!G235)</f>
        <v/>
      </c>
      <c r="E235" s="38" t="str">
        <f aca="false">IF('STUDENT SCREENING'!C235="","",'STUDENT SCREENING'!C235)</f>
        <v/>
      </c>
      <c r="F235" s="38" t="str">
        <f aca="false">IF('STUDENT SCREENING'!J235="","",'STUDENT SCREENING'!J235)</f>
        <v/>
      </c>
      <c r="G235" s="38" t="str">
        <f aca="false">IF('STUDENT SCREENING'!K235="","",'STUDENT SCREENING'!K235)</f>
        <v/>
      </c>
      <c r="H235" s="38" t="str">
        <f aca="false">IF('STUDENT SCREENING'!S235="","",'STUDENT SCREENING'!S235)</f>
        <v/>
      </c>
      <c r="I235" s="38" t="str">
        <f aca="false">IF('STUDENT SCREENING'!T235="","",'STUDENT SCREENING'!T235)</f>
        <v/>
      </c>
      <c r="J235" s="38" t="str">
        <f aca="false">IF('STUDENT SCREENING'!BM235="","",'STUDENT SCREENING'!BM235)</f>
        <v/>
      </c>
      <c r="K235" s="38" t="str">
        <f aca="false">IF('STUDENT SCREENING'!BN235="","",'STUDENT SCREENING'!BN235)</f>
        <v/>
      </c>
      <c r="L235" s="38" t="str">
        <f aca="false">IF('STUDENT SCREENING'!BO235="","",'STUDENT SCREENING'!BO235)</f>
        <v/>
      </c>
      <c r="M235" s="38" t="str">
        <f aca="false">IF('STUDENT SCREENING'!BP235="","",'STUDENT SCREENING'!BP235)</f>
        <v/>
      </c>
      <c r="N235" s="38" t="str">
        <f aca="false">IF('STUDENT SCREENING'!BQ235="","",'STUDENT SCREENING'!BQ235)</f>
        <v/>
      </c>
      <c r="O235" s="38" t="str">
        <f aca="false">IF('STUDENT SCREENING'!BR235="","",'STUDENT SCREENING'!BR235)</f>
        <v/>
      </c>
      <c r="P235" s="32"/>
      <c r="Q235" s="32"/>
      <c r="R235" s="32"/>
      <c r="S235" s="32"/>
      <c r="T235" s="32"/>
      <c r="U235" s="32"/>
      <c r="V235" s="32"/>
      <c r="W235" s="32"/>
      <c r="X235" s="32"/>
    </row>
    <row r="236" customFormat="false" ht="15" hidden="false" customHeight="false" outlineLevel="0" collapsed="false">
      <c r="A236" s="37" t="str">
        <f aca="false">IF('STUDENT SCREENING'!A236="","",'STUDENT SCREENING'!A236)</f>
        <v/>
      </c>
      <c r="B236" s="37" t="str">
        <f aca="false">IF('STUDENT SCREENING'!I236="","",'STUDENT SCREENING'!I236)</f>
        <v/>
      </c>
      <c r="C236" s="37" t="str">
        <f aca="false">IF('STUDENT SCREENING'!F236="","",'STUDENT SCREENING'!F236)</f>
        <v/>
      </c>
      <c r="D236" s="37" t="str">
        <f aca="false">IF('STUDENT SCREENING'!G236="","",'STUDENT SCREENING'!G236)</f>
        <v/>
      </c>
      <c r="E236" s="37" t="str">
        <f aca="false">IF('STUDENT SCREENING'!C236="","",'STUDENT SCREENING'!C236)</f>
        <v/>
      </c>
      <c r="F236" s="37" t="str">
        <f aca="false">IF('STUDENT SCREENING'!J236="","",'STUDENT SCREENING'!J236)</f>
        <v/>
      </c>
      <c r="G236" s="37" t="str">
        <f aca="false">IF('STUDENT SCREENING'!K236="","",'STUDENT SCREENING'!K236)</f>
        <v/>
      </c>
      <c r="H236" s="37" t="str">
        <f aca="false">IF('STUDENT SCREENING'!S236="","",'STUDENT SCREENING'!S236)</f>
        <v/>
      </c>
      <c r="I236" s="37" t="str">
        <f aca="false">IF('STUDENT SCREENING'!T236="","",'STUDENT SCREENING'!T236)</f>
        <v/>
      </c>
      <c r="J236" s="37" t="str">
        <f aca="false">IF('STUDENT SCREENING'!BM236="","",'STUDENT SCREENING'!BM236)</f>
        <v/>
      </c>
      <c r="K236" s="37" t="str">
        <f aca="false">IF('STUDENT SCREENING'!BN236="","",'STUDENT SCREENING'!BN236)</f>
        <v/>
      </c>
      <c r="L236" s="37" t="str">
        <f aca="false">IF('STUDENT SCREENING'!BO236="","",'STUDENT SCREENING'!BO236)</f>
        <v/>
      </c>
      <c r="M236" s="37" t="str">
        <f aca="false">IF('STUDENT SCREENING'!BP236="","",'STUDENT SCREENING'!BP236)</f>
        <v/>
      </c>
      <c r="N236" s="37" t="str">
        <f aca="false">IF('STUDENT SCREENING'!BQ236="","",'STUDENT SCREENING'!BQ236)</f>
        <v/>
      </c>
      <c r="O236" s="37" t="str">
        <f aca="false">IF('STUDENT SCREENING'!BR236="","",'STUDENT SCREENING'!BR236)</f>
        <v/>
      </c>
      <c r="P236" s="28"/>
      <c r="Q236" s="28"/>
      <c r="R236" s="28"/>
      <c r="S236" s="28"/>
      <c r="T236" s="28"/>
      <c r="U236" s="28"/>
      <c r="V236" s="28"/>
      <c r="W236" s="28"/>
      <c r="X236" s="28"/>
    </row>
    <row r="237" customFormat="false" ht="15" hidden="false" customHeight="false" outlineLevel="0" collapsed="false">
      <c r="A237" s="38" t="str">
        <f aca="false">IF('STUDENT SCREENING'!A237="","",'STUDENT SCREENING'!A237)</f>
        <v/>
      </c>
      <c r="B237" s="38" t="str">
        <f aca="false">IF('STUDENT SCREENING'!I237="","",'STUDENT SCREENING'!I237)</f>
        <v/>
      </c>
      <c r="C237" s="38" t="str">
        <f aca="false">IF('STUDENT SCREENING'!F237="","",'STUDENT SCREENING'!F237)</f>
        <v/>
      </c>
      <c r="D237" s="38" t="str">
        <f aca="false">IF('STUDENT SCREENING'!G237="","",'STUDENT SCREENING'!G237)</f>
        <v/>
      </c>
      <c r="E237" s="38" t="str">
        <f aca="false">IF('STUDENT SCREENING'!C237="","",'STUDENT SCREENING'!C237)</f>
        <v/>
      </c>
      <c r="F237" s="38" t="str">
        <f aca="false">IF('STUDENT SCREENING'!J237="","",'STUDENT SCREENING'!J237)</f>
        <v/>
      </c>
      <c r="G237" s="38" t="str">
        <f aca="false">IF('STUDENT SCREENING'!K237="","",'STUDENT SCREENING'!K237)</f>
        <v/>
      </c>
      <c r="H237" s="38" t="str">
        <f aca="false">IF('STUDENT SCREENING'!S237="","",'STUDENT SCREENING'!S237)</f>
        <v/>
      </c>
      <c r="I237" s="38" t="str">
        <f aca="false">IF('STUDENT SCREENING'!T237="","",'STUDENT SCREENING'!T237)</f>
        <v/>
      </c>
      <c r="J237" s="38" t="str">
        <f aca="false">IF('STUDENT SCREENING'!BM237="","",'STUDENT SCREENING'!BM237)</f>
        <v/>
      </c>
      <c r="K237" s="38" t="str">
        <f aca="false">IF('STUDENT SCREENING'!BN237="","",'STUDENT SCREENING'!BN237)</f>
        <v/>
      </c>
      <c r="L237" s="38" t="str">
        <f aca="false">IF('STUDENT SCREENING'!BO237="","",'STUDENT SCREENING'!BO237)</f>
        <v/>
      </c>
      <c r="M237" s="38" t="str">
        <f aca="false">IF('STUDENT SCREENING'!BP237="","",'STUDENT SCREENING'!BP237)</f>
        <v/>
      </c>
      <c r="N237" s="38" t="str">
        <f aca="false">IF('STUDENT SCREENING'!BQ237="","",'STUDENT SCREENING'!BQ237)</f>
        <v/>
      </c>
      <c r="O237" s="38" t="str">
        <f aca="false">IF('STUDENT SCREENING'!BR237="","",'STUDENT SCREENING'!BR237)</f>
        <v/>
      </c>
      <c r="P237" s="32"/>
      <c r="Q237" s="32"/>
      <c r="R237" s="32"/>
      <c r="S237" s="32"/>
      <c r="T237" s="32"/>
      <c r="U237" s="32"/>
      <c r="V237" s="32"/>
      <c r="W237" s="32"/>
      <c r="X237" s="32"/>
    </row>
    <row r="238" customFormat="false" ht="15" hidden="false" customHeight="false" outlineLevel="0" collapsed="false">
      <c r="A238" s="37" t="str">
        <f aca="false">IF('STUDENT SCREENING'!A238="","",'STUDENT SCREENING'!A238)</f>
        <v/>
      </c>
      <c r="B238" s="37" t="str">
        <f aca="false">IF('STUDENT SCREENING'!I238="","",'STUDENT SCREENING'!I238)</f>
        <v/>
      </c>
      <c r="C238" s="37" t="str">
        <f aca="false">IF('STUDENT SCREENING'!F238="","",'STUDENT SCREENING'!F238)</f>
        <v/>
      </c>
      <c r="D238" s="37" t="str">
        <f aca="false">IF('STUDENT SCREENING'!G238="","",'STUDENT SCREENING'!G238)</f>
        <v/>
      </c>
      <c r="E238" s="37" t="str">
        <f aca="false">IF('STUDENT SCREENING'!C238="","",'STUDENT SCREENING'!C238)</f>
        <v/>
      </c>
      <c r="F238" s="37" t="str">
        <f aca="false">IF('STUDENT SCREENING'!J238="","",'STUDENT SCREENING'!J238)</f>
        <v/>
      </c>
      <c r="G238" s="37" t="str">
        <f aca="false">IF('STUDENT SCREENING'!K238="","",'STUDENT SCREENING'!K238)</f>
        <v/>
      </c>
      <c r="H238" s="37" t="str">
        <f aca="false">IF('STUDENT SCREENING'!S238="","",'STUDENT SCREENING'!S238)</f>
        <v/>
      </c>
      <c r="I238" s="37" t="str">
        <f aca="false">IF('STUDENT SCREENING'!T238="","",'STUDENT SCREENING'!T238)</f>
        <v/>
      </c>
      <c r="J238" s="37" t="str">
        <f aca="false">IF('STUDENT SCREENING'!BM238="","",'STUDENT SCREENING'!BM238)</f>
        <v/>
      </c>
      <c r="K238" s="37" t="str">
        <f aca="false">IF('STUDENT SCREENING'!BN238="","",'STUDENT SCREENING'!BN238)</f>
        <v/>
      </c>
      <c r="L238" s="37" t="str">
        <f aca="false">IF('STUDENT SCREENING'!BO238="","",'STUDENT SCREENING'!BO238)</f>
        <v/>
      </c>
      <c r="M238" s="37" t="str">
        <f aca="false">IF('STUDENT SCREENING'!BP238="","",'STUDENT SCREENING'!BP238)</f>
        <v/>
      </c>
      <c r="N238" s="37" t="str">
        <f aca="false">IF('STUDENT SCREENING'!BQ238="","",'STUDENT SCREENING'!BQ238)</f>
        <v/>
      </c>
      <c r="O238" s="37" t="str">
        <f aca="false">IF('STUDENT SCREENING'!BR238="","",'STUDENT SCREENING'!BR238)</f>
        <v/>
      </c>
      <c r="P238" s="28"/>
      <c r="Q238" s="28"/>
      <c r="R238" s="28"/>
      <c r="S238" s="28"/>
      <c r="T238" s="28"/>
      <c r="U238" s="28"/>
      <c r="V238" s="28"/>
      <c r="W238" s="28"/>
      <c r="X238" s="28"/>
    </row>
    <row r="239" customFormat="false" ht="15" hidden="false" customHeight="false" outlineLevel="0" collapsed="false">
      <c r="A239" s="38" t="str">
        <f aca="false">IF('STUDENT SCREENING'!A239="","",'STUDENT SCREENING'!A239)</f>
        <v/>
      </c>
      <c r="B239" s="38" t="str">
        <f aca="false">IF('STUDENT SCREENING'!I239="","",'STUDENT SCREENING'!I239)</f>
        <v/>
      </c>
      <c r="C239" s="38" t="str">
        <f aca="false">IF('STUDENT SCREENING'!F239="","",'STUDENT SCREENING'!F239)</f>
        <v/>
      </c>
      <c r="D239" s="38" t="str">
        <f aca="false">IF('STUDENT SCREENING'!G239="","",'STUDENT SCREENING'!G239)</f>
        <v/>
      </c>
      <c r="E239" s="38" t="str">
        <f aca="false">IF('STUDENT SCREENING'!C239="","",'STUDENT SCREENING'!C239)</f>
        <v/>
      </c>
      <c r="F239" s="38" t="str">
        <f aca="false">IF('STUDENT SCREENING'!J239="","",'STUDENT SCREENING'!J239)</f>
        <v/>
      </c>
      <c r="G239" s="38" t="str">
        <f aca="false">IF('STUDENT SCREENING'!K239="","",'STUDENT SCREENING'!K239)</f>
        <v/>
      </c>
      <c r="H239" s="38" t="str">
        <f aca="false">IF('STUDENT SCREENING'!S239="","",'STUDENT SCREENING'!S239)</f>
        <v/>
      </c>
      <c r="I239" s="38" t="str">
        <f aca="false">IF('STUDENT SCREENING'!T239="","",'STUDENT SCREENING'!T239)</f>
        <v/>
      </c>
      <c r="J239" s="38" t="str">
        <f aca="false">IF('STUDENT SCREENING'!BM239="","",'STUDENT SCREENING'!BM239)</f>
        <v/>
      </c>
      <c r="K239" s="38" t="str">
        <f aca="false">IF('STUDENT SCREENING'!BN239="","",'STUDENT SCREENING'!BN239)</f>
        <v/>
      </c>
      <c r="L239" s="38" t="str">
        <f aca="false">IF('STUDENT SCREENING'!BO239="","",'STUDENT SCREENING'!BO239)</f>
        <v/>
      </c>
      <c r="M239" s="38" t="str">
        <f aca="false">IF('STUDENT SCREENING'!BP239="","",'STUDENT SCREENING'!BP239)</f>
        <v/>
      </c>
      <c r="N239" s="38" t="str">
        <f aca="false">IF('STUDENT SCREENING'!BQ239="","",'STUDENT SCREENING'!BQ239)</f>
        <v/>
      </c>
      <c r="O239" s="38" t="str">
        <f aca="false">IF('STUDENT SCREENING'!BR239="","",'STUDENT SCREENING'!BR239)</f>
        <v/>
      </c>
      <c r="P239" s="32"/>
      <c r="Q239" s="32"/>
      <c r="R239" s="32"/>
      <c r="S239" s="32"/>
      <c r="T239" s="32"/>
      <c r="U239" s="32"/>
      <c r="V239" s="32"/>
      <c r="W239" s="32"/>
      <c r="X239" s="32"/>
    </row>
    <row r="240" customFormat="false" ht="15" hidden="false" customHeight="false" outlineLevel="0" collapsed="false">
      <c r="A240" s="37" t="str">
        <f aca="false">IF('STUDENT SCREENING'!A240="","",'STUDENT SCREENING'!A240)</f>
        <v/>
      </c>
      <c r="B240" s="37" t="str">
        <f aca="false">IF('STUDENT SCREENING'!I240="","",'STUDENT SCREENING'!I240)</f>
        <v/>
      </c>
      <c r="C240" s="37" t="str">
        <f aca="false">IF('STUDENT SCREENING'!F240="","",'STUDENT SCREENING'!F240)</f>
        <v/>
      </c>
      <c r="D240" s="37" t="str">
        <f aca="false">IF('STUDENT SCREENING'!G240="","",'STUDENT SCREENING'!G240)</f>
        <v/>
      </c>
      <c r="E240" s="37" t="str">
        <f aca="false">IF('STUDENT SCREENING'!C240="","",'STUDENT SCREENING'!C240)</f>
        <v/>
      </c>
      <c r="F240" s="37" t="str">
        <f aca="false">IF('STUDENT SCREENING'!J240="","",'STUDENT SCREENING'!J240)</f>
        <v/>
      </c>
      <c r="G240" s="37" t="str">
        <f aca="false">IF('STUDENT SCREENING'!K240="","",'STUDENT SCREENING'!K240)</f>
        <v/>
      </c>
      <c r="H240" s="37" t="str">
        <f aca="false">IF('STUDENT SCREENING'!S240="","",'STUDENT SCREENING'!S240)</f>
        <v/>
      </c>
      <c r="I240" s="37" t="str">
        <f aca="false">IF('STUDENT SCREENING'!T240="","",'STUDENT SCREENING'!T240)</f>
        <v/>
      </c>
      <c r="J240" s="37" t="str">
        <f aca="false">IF('STUDENT SCREENING'!BM240="","",'STUDENT SCREENING'!BM240)</f>
        <v/>
      </c>
      <c r="K240" s="37" t="str">
        <f aca="false">IF('STUDENT SCREENING'!BN240="","",'STUDENT SCREENING'!BN240)</f>
        <v/>
      </c>
      <c r="L240" s="37" t="str">
        <f aca="false">IF('STUDENT SCREENING'!BO240="","",'STUDENT SCREENING'!BO240)</f>
        <v/>
      </c>
      <c r="M240" s="37" t="str">
        <f aca="false">IF('STUDENT SCREENING'!BP240="","",'STUDENT SCREENING'!BP240)</f>
        <v/>
      </c>
      <c r="N240" s="37" t="str">
        <f aca="false">IF('STUDENT SCREENING'!BQ240="","",'STUDENT SCREENING'!BQ240)</f>
        <v/>
      </c>
      <c r="O240" s="37" t="str">
        <f aca="false">IF('STUDENT SCREENING'!BR240="","",'STUDENT SCREENING'!BR240)</f>
        <v/>
      </c>
      <c r="P240" s="28"/>
      <c r="Q240" s="28"/>
      <c r="R240" s="28"/>
      <c r="S240" s="28"/>
      <c r="T240" s="28"/>
      <c r="U240" s="28"/>
      <c r="V240" s="28"/>
      <c r="W240" s="28"/>
      <c r="X240" s="28"/>
    </row>
    <row r="241" customFormat="false" ht="15" hidden="false" customHeight="false" outlineLevel="0" collapsed="false">
      <c r="A241" s="38" t="str">
        <f aca="false">IF('STUDENT SCREENING'!A241="","",'STUDENT SCREENING'!A241)</f>
        <v/>
      </c>
      <c r="B241" s="38" t="str">
        <f aca="false">IF('STUDENT SCREENING'!I241="","",'STUDENT SCREENING'!I241)</f>
        <v/>
      </c>
      <c r="C241" s="38" t="str">
        <f aca="false">IF('STUDENT SCREENING'!F241="","",'STUDENT SCREENING'!F241)</f>
        <v/>
      </c>
      <c r="D241" s="38" t="str">
        <f aca="false">IF('STUDENT SCREENING'!G241="","",'STUDENT SCREENING'!G241)</f>
        <v/>
      </c>
      <c r="E241" s="38" t="str">
        <f aca="false">IF('STUDENT SCREENING'!C241="","",'STUDENT SCREENING'!C241)</f>
        <v/>
      </c>
      <c r="F241" s="38" t="str">
        <f aca="false">IF('STUDENT SCREENING'!J241="","",'STUDENT SCREENING'!J241)</f>
        <v/>
      </c>
      <c r="G241" s="38" t="str">
        <f aca="false">IF('STUDENT SCREENING'!K241="","",'STUDENT SCREENING'!K241)</f>
        <v/>
      </c>
      <c r="H241" s="38" t="str">
        <f aca="false">IF('STUDENT SCREENING'!S241="","",'STUDENT SCREENING'!S241)</f>
        <v/>
      </c>
      <c r="I241" s="38" t="str">
        <f aca="false">IF('STUDENT SCREENING'!T241="","",'STUDENT SCREENING'!T241)</f>
        <v/>
      </c>
      <c r="J241" s="38" t="str">
        <f aca="false">IF('STUDENT SCREENING'!BM241="","",'STUDENT SCREENING'!BM241)</f>
        <v/>
      </c>
      <c r="K241" s="38" t="str">
        <f aca="false">IF('STUDENT SCREENING'!BN241="","",'STUDENT SCREENING'!BN241)</f>
        <v/>
      </c>
      <c r="L241" s="38" t="str">
        <f aca="false">IF('STUDENT SCREENING'!BO241="","",'STUDENT SCREENING'!BO241)</f>
        <v/>
      </c>
      <c r="M241" s="38" t="str">
        <f aca="false">IF('STUDENT SCREENING'!BP241="","",'STUDENT SCREENING'!BP241)</f>
        <v/>
      </c>
      <c r="N241" s="38" t="str">
        <f aca="false">IF('STUDENT SCREENING'!BQ241="","",'STUDENT SCREENING'!BQ241)</f>
        <v/>
      </c>
      <c r="O241" s="38" t="str">
        <f aca="false">IF('STUDENT SCREENING'!BR241="","",'STUDENT SCREENING'!BR241)</f>
        <v/>
      </c>
      <c r="P241" s="32"/>
      <c r="Q241" s="32"/>
      <c r="R241" s="32"/>
      <c r="S241" s="32"/>
      <c r="T241" s="32"/>
      <c r="U241" s="32"/>
      <c r="V241" s="32"/>
      <c r="W241" s="32"/>
      <c r="X241" s="32"/>
    </row>
    <row r="242" customFormat="false" ht="15" hidden="false" customHeight="false" outlineLevel="0" collapsed="false">
      <c r="A242" s="37" t="str">
        <f aca="false">IF('STUDENT SCREENING'!A242="","",'STUDENT SCREENING'!A242)</f>
        <v/>
      </c>
      <c r="B242" s="37" t="str">
        <f aca="false">IF('STUDENT SCREENING'!I242="","",'STUDENT SCREENING'!I242)</f>
        <v/>
      </c>
      <c r="C242" s="37" t="str">
        <f aca="false">IF('STUDENT SCREENING'!F242="","",'STUDENT SCREENING'!F242)</f>
        <v/>
      </c>
      <c r="D242" s="37" t="str">
        <f aca="false">IF('STUDENT SCREENING'!G242="","",'STUDENT SCREENING'!G242)</f>
        <v/>
      </c>
      <c r="E242" s="37" t="str">
        <f aca="false">IF('STUDENT SCREENING'!C242="","",'STUDENT SCREENING'!C242)</f>
        <v/>
      </c>
      <c r="F242" s="37" t="str">
        <f aca="false">IF('STUDENT SCREENING'!J242="","",'STUDENT SCREENING'!J242)</f>
        <v/>
      </c>
      <c r="G242" s="37" t="str">
        <f aca="false">IF('STUDENT SCREENING'!K242="","",'STUDENT SCREENING'!K242)</f>
        <v/>
      </c>
      <c r="H242" s="37" t="str">
        <f aca="false">IF('STUDENT SCREENING'!S242="","",'STUDENT SCREENING'!S242)</f>
        <v/>
      </c>
      <c r="I242" s="37" t="str">
        <f aca="false">IF('STUDENT SCREENING'!T242="","",'STUDENT SCREENING'!T242)</f>
        <v/>
      </c>
      <c r="J242" s="37" t="str">
        <f aca="false">IF('STUDENT SCREENING'!BM242="","",'STUDENT SCREENING'!BM242)</f>
        <v/>
      </c>
      <c r="K242" s="37" t="str">
        <f aca="false">IF('STUDENT SCREENING'!BN242="","",'STUDENT SCREENING'!BN242)</f>
        <v/>
      </c>
      <c r="L242" s="37" t="str">
        <f aca="false">IF('STUDENT SCREENING'!BO242="","",'STUDENT SCREENING'!BO242)</f>
        <v/>
      </c>
      <c r="M242" s="37" t="str">
        <f aca="false">IF('STUDENT SCREENING'!BP242="","",'STUDENT SCREENING'!BP242)</f>
        <v/>
      </c>
      <c r="N242" s="37" t="str">
        <f aca="false">IF('STUDENT SCREENING'!BQ242="","",'STUDENT SCREENING'!BQ242)</f>
        <v/>
      </c>
      <c r="O242" s="37" t="str">
        <f aca="false">IF('STUDENT SCREENING'!BR242="","",'STUDENT SCREENING'!BR242)</f>
        <v/>
      </c>
      <c r="P242" s="28"/>
      <c r="Q242" s="28"/>
      <c r="R242" s="28"/>
      <c r="S242" s="28"/>
      <c r="T242" s="28"/>
      <c r="U242" s="28"/>
      <c r="V242" s="28"/>
      <c r="W242" s="28"/>
      <c r="X242" s="28"/>
    </row>
    <row r="243" customFormat="false" ht="15" hidden="false" customHeight="false" outlineLevel="0" collapsed="false">
      <c r="A243" s="38" t="str">
        <f aca="false">IF('STUDENT SCREENING'!A243="","",'STUDENT SCREENING'!A243)</f>
        <v/>
      </c>
      <c r="B243" s="38" t="str">
        <f aca="false">IF('STUDENT SCREENING'!I243="","",'STUDENT SCREENING'!I243)</f>
        <v/>
      </c>
      <c r="C243" s="38" t="str">
        <f aca="false">IF('STUDENT SCREENING'!F243="","",'STUDENT SCREENING'!F243)</f>
        <v/>
      </c>
      <c r="D243" s="38" t="str">
        <f aca="false">IF('STUDENT SCREENING'!G243="","",'STUDENT SCREENING'!G243)</f>
        <v/>
      </c>
      <c r="E243" s="38" t="str">
        <f aca="false">IF('STUDENT SCREENING'!C243="","",'STUDENT SCREENING'!C243)</f>
        <v/>
      </c>
      <c r="F243" s="38" t="str">
        <f aca="false">IF('STUDENT SCREENING'!J243="","",'STUDENT SCREENING'!J243)</f>
        <v/>
      </c>
      <c r="G243" s="38" t="str">
        <f aca="false">IF('STUDENT SCREENING'!K243="","",'STUDENT SCREENING'!K243)</f>
        <v/>
      </c>
      <c r="H243" s="38" t="str">
        <f aca="false">IF('STUDENT SCREENING'!S243="","",'STUDENT SCREENING'!S243)</f>
        <v/>
      </c>
      <c r="I243" s="38" t="str">
        <f aca="false">IF('STUDENT SCREENING'!T243="","",'STUDENT SCREENING'!T243)</f>
        <v/>
      </c>
      <c r="J243" s="38" t="str">
        <f aca="false">IF('STUDENT SCREENING'!BM243="","",'STUDENT SCREENING'!BM243)</f>
        <v/>
      </c>
      <c r="K243" s="38" t="str">
        <f aca="false">IF('STUDENT SCREENING'!BN243="","",'STUDENT SCREENING'!BN243)</f>
        <v/>
      </c>
      <c r="L243" s="38" t="str">
        <f aca="false">IF('STUDENT SCREENING'!BO243="","",'STUDENT SCREENING'!BO243)</f>
        <v/>
      </c>
      <c r="M243" s="38" t="str">
        <f aca="false">IF('STUDENT SCREENING'!BP243="","",'STUDENT SCREENING'!BP243)</f>
        <v/>
      </c>
      <c r="N243" s="38" t="str">
        <f aca="false">IF('STUDENT SCREENING'!BQ243="","",'STUDENT SCREENING'!BQ243)</f>
        <v/>
      </c>
      <c r="O243" s="38" t="str">
        <f aca="false">IF('STUDENT SCREENING'!BR243="","",'STUDENT SCREENING'!BR243)</f>
        <v/>
      </c>
      <c r="P243" s="32"/>
      <c r="Q243" s="32"/>
      <c r="R243" s="32"/>
      <c r="S243" s="32"/>
      <c r="T243" s="32"/>
      <c r="U243" s="32"/>
      <c r="V243" s="32"/>
      <c r="W243" s="32"/>
      <c r="X243" s="32"/>
    </row>
    <row r="244" customFormat="false" ht="15" hidden="false" customHeight="false" outlineLevel="0" collapsed="false">
      <c r="A244" s="37" t="str">
        <f aca="false">IF('STUDENT SCREENING'!A244="","",'STUDENT SCREENING'!A244)</f>
        <v/>
      </c>
      <c r="B244" s="37" t="str">
        <f aca="false">IF('STUDENT SCREENING'!I244="","",'STUDENT SCREENING'!I244)</f>
        <v/>
      </c>
      <c r="C244" s="37" t="str">
        <f aca="false">IF('STUDENT SCREENING'!F244="","",'STUDENT SCREENING'!F244)</f>
        <v/>
      </c>
      <c r="D244" s="37" t="str">
        <f aca="false">IF('STUDENT SCREENING'!G244="","",'STUDENT SCREENING'!G244)</f>
        <v/>
      </c>
      <c r="E244" s="37" t="str">
        <f aca="false">IF('STUDENT SCREENING'!C244="","",'STUDENT SCREENING'!C244)</f>
        <v/>
      </c>
      <c r="F244" s="37" t="str">
        <f aca="false">IF('STUDENT SCREENING'!J244="","",'STUDENT SCREENING'!J244)</f>
        <v/>
      </c>
      <c r="G244" s="37" t="str">
        <f aca="false">IF('STUDENT SCREENING'!K244="","",'STUDENT SCREENING'!K244)</f>
        <v/>
      </c>
      <c r="H244" s="37" t="str">
        <f aca="false">IF('STUDENT SCREENING'!S244="","",'STUDENT SCREENING'!S244)</f>
        <v/>
      </c>
      <c r="I244" s="37" t="str">
        <f aca="false">IF('STUDENT SCREENING'!T244="","",'STUDENT SCREENING'!T244)</f>
        <v/>
      </c>
      <c r="J244" s="37" t="str">
        <f aca="false">IF('STUDENT SCREENING'!BM244="","",'STUDENT SCREENING'!BM244)</f>
        <v/>
      </c>
      <c r="K244" s="37" t="str">
        <f aca="false">IF('STUDENT SCREENING'!BN244="","",'STUDENT SCREENING'!BN244)</f>
        <v/>
      </c>
      <c r="L244" s="37" t="str">
        <f aca="false">IF('STUDENT SCREENING'!BO244="","",'STUDENT SCREENING'!BO244)</f>
        <v/>
      </c>
      <c r="M244" s="37" t="str">
        <f aca="false">IF('STUDENT SCREENING'!BP244="","",'STUDENT SCREENING'!BP244)</f>
        <v/>
      </c>
      <c r="N244" s="37" t="str">
        <f aca="false">IF('STUDENT SCREENING'!BQ244="","",'STUDENT SCREENING'!BQ244)</f>
        <v/>
      </c>
      <c r="O244" s="37" t="str">
        <f aca="false">IF('STUDENT SCREENING'!BR244="","",'STUDENT SCREENING'!BR244)</f>
        <v/>
      </c>
      <c r="P244" s="28"/>
      <c r="Q244" s="28"/>
      <c r="R244" s="28"/>
      <c r="S244" s="28"/>
      <c r="T244" s="28"/>
      <c r="U244" s="28"/>
      <c r="V244" s="28"/>
      <c r="W244" s="28"/>
      <c r="X244" s="28"/>
    </row>
    <row r="245" customFormat="false" ht="15" hidden="false" customHeight="false" outlineLevel="0" collapsed="false">
      <c r="A245" s="38" t="str">
        <f aca="false">IF('STUDENT SCREENING'!A245="","",'STUDENT SCREENING'!A245)</f>
        <v/>
      </c>
      <c r="B245" s="38" t="str">
        <f aca="false">IF('STUDENT SCREENING'!I245="","",'STUDENT SCREENING'!I245)</f>
        <v/>
      </c>
      <c r="C245" s="38" t="str">
        <f aca="false">IF('STUDENT SCREENING'!F245="","",'STUDENT SCREENING'!F245)</f>
        <v/>
      </c>
      <c r="D245" s="38" t="str">
        <f aca="false">IF('STUDENT SCREENING'!G245="","",'STUDENT SCREENING'!G245)</f>
        <v/>
      </c>
      <c r="E245" s="38" t="str">
        <f aca="false">IF('STUDENT SCREENING'!C245="","",'STUDENT SCREENING'!C245)</f>
        <v/>
      </c>
      <c r="F245" s="38" t="str">
        <f aca="false">IF('STUDENT SCREENING'!J245="","",'STUDENT SCREENING'!J245)</f>
        <v/>
      </c>
      <c r="G245" s="38" t="str">
        <f aca="false">IF('STUDENT SCREENING'!K245="","",'STUDENT SCREENING'!K245)</f>
        <v/>
      </c>
      <c r="H245" s="38" t="str">
        <f aca="false">IF('STUDENT SCREENING'!S245="","",'STUDENT SCREENING'!S245)</f>
        <v/>
      </c>
      <c r="I245" s="38" t="str">
        <f aca="false">IF('STUDENT SCREENING'!T245="","",'STUDENT SCREENING'!T245)</f>
        <v/>
      </c>
      <c r="J245" s="38" t="str">
        <f aca="false">IF('STUDENT SCREENING'!BM245="","",'STUDENT SCREENING'!BM245)</f>
        <v/>
      </c>
      <c r="K245" s="38" t="str">
        <f aca="false">IF('STUDENT SCREENING'!BN245="","",'STUDENT SCREENING'!BN245)</f>
        <v/>
      </c>
      <c r="L245" s="38" t="str">
        <f aca="false">IF('STUDENT SCREENING'!BO245="","",'STUDENT SCREENING'!BO245)</f>
        <v/>
      </c>
      <c r="M245" s="38" t="str">
        <f aca="false">IF('STUDENT SCREENING'!BP245="","",'STUDENT SCREENING'!BP245)</f>
        <v/>
      </c>
      <c r="N245" s="38" t="str">
        <f aca="false">IF('STUDENT SCREENING'!BQ245="","",'STUDENT SCREENING'!BQ245)</f>
        <v/>
      </c>
      <c r="O245" s="38" t="str">
        <f aca="false">IF('STUDENT SCREENING'!BR245="","",'STUDENT SCREENING'!BR245)</f>
        <v/>
      </c>
      <c r="P245" s="32"/>
      <c r="Q245" s="32"/>
      <c r="R245" s="32"/>
      <c r="S245" s="32"/>
      <c r="T245" s="32"/>
      <c r="U245" s="32"/>
      <c r="V245" s="32"/>
      <c r="W245" s="32"/>
      <c r="X245" s="32"/>
    </row>
    <row r="246" customFormat="false" ht="15" hidden="false" customHeight="false" outlineLevel="0" collapsed="false">
      <c r="A246" s="37" t="str">
        <f aca="false">IF('STUDENT SCREENING'!A246="","",'STUDENT SCREENING'!A246)</f>
        <v/>
      </c>
      <c r="B246" s="37" t="str">
        <f aca="false">IF('STUDENT SCREENING'!I246="","",'STUDENT SCREENING'!I246)</f>
        <v/>
      </c>
      <c r="C246" s="37" t="str">
        <f aca="false">IF('STUDENT SCREENING'!F246="","",'STUDENT SCREENING'!F246)</f>
        <v/>
      </c>
      <c r="D246" s="37" t="str">
        <f aca="false">IF('STUDENT SCREENING'!G246="","",'STUDENT SCREENING'!G246)</f>
        <v/>
      </c>
      <c r="E246" s="37" t="str">
        <f aca="false">IF('STUDENT SCREENING'!C246="","",'STUDENT SCREENING'!C246)</f>
        <v/>
      </c>
      <c r="F246" s="37" t="str">
        <f aca="false">IF('STUDENT SCREENING'!J246="","",'STUDENT SCREENING'!J246)</f>
        <v/>
      </c>
      <c r="G246" s="37" t="str">
        <f aca="false">IF('STUDENT SCREENING'!K246="","",'STUDENT SCREENING'!K246)</f>
        <v/>
      </c>
      <c r="H246" s="37" t="str">
        <f aca="false">IF('STUDENT SCREENING'!S246="","",'STUDENT SCREENING'!S246)</f>
        <v/>
      </c>
      <c r="I246" s="37" t="str">
        <f aca="false">IF('STUDENT SCREENING'!T246="","",'STUDENT SCREENING'!T246)</f>
        <v/>
      </c>
      <c r="J246" s="37" t="str">
        <f aca="false">IF('STUDENT SCREENING'!BM246="","",'STUDENT SCREENING'!BM246)</f>
        <v/>
      </c>
      <c r="K246" s="37" t="str">
        <f aca="false">IF('STUDENT SCREENING'!BN246="","",'STUDENT SCREENING'!BN246)</f>
        <v/>
      </c>
      <c r="L246" s="37" t="str">
        <f aca="false">IF('STUDENT SCREENING'!BO246="","",'STUDENT SCREENING'!BO246)</f>
        <v/>
      </c>
      <c r="M246" s="37" t="str">
        <f aca="false">IF('STUDENT SCREENING'!BP246="","",'STUDENT SCREENING'!BP246)</f>
        <v/>
      </c>
      <c r="N246" s="37" t="str">
        <f aca="false">IF('STUDENT SCREENING'!BQ246="","",'STUDENT SCREENING'!BQ246)</f>
        <v/>
      </c>
      <c r="O246" s="37" t="str">
        <f aca="false">IF('STUDENT SCREENING'!BR246="","",'STUDENT SCREENING'!BR246)</f>
        <v/>
      </c>
      <c r="P246" s="28"/>
      <c r="Q246" s="28"/>
      <c r="R246" s="28"/>
      <c r="S246" s="28"/>
      <c r="T246" s="28"/>
      <c r="U246" s="28"/>
      <c r="V246" s="28"/>
      <c r="W246" s="28"/>
      <c r="X246" s="28"/>
    </row>
    <row r="247" customFormat="false" ht="15" hidden="false" customHeight="false" outlineLevel="0" collapsed="false">
      <c r="A247" s="38" t="str">
        <f aca="false">IF('STUDENT SCREENING'!A247="","",'STUDENT SCREENING'!A247)</f>
        <v/>
      </c>
      <c r="B247" s="38" t="str">
        <f aca="false">IF('STUDENT SCREENING'!I247="","",'STUDENT SCREENING'!I247)</f>
        <v/>
      </c>
      <c r="C247" s="38" t="str">
        <f aca="false">IF('STUDENT SCREENING'!F247="","",'STUDENT SCREENING'!F247)</f>
        <v/>
      </c>
      <c r="D247" s="38" t="str">
        <f aca="false">IF('STUDENT SCREENING'!G247="","",'STUDENT SCREENING'!G247)</f>
        <v/>
      </c>
      <c r="E247" s="38" t="str">
        <f aca="false">IF('STUDENT SCREENING'!C247="","",'STUDENT SCREENING'!C247)</f>
        <v/>
      </c>
      <c r="F247" s="38" t="str">
        <f aca="false">IF('STUDENT SCREENING'!J247="","",'STUDENT SCREENING'!J247)</f>
        <v/>
      </c>
      <c r="G247" s="38" t="str">
        <f aca="false">IF('STUDENT SCREENING'!K247="","",'STUDENT SCREENING'!K247)</f>
        <v/>
      </c>
      <c r="H247" s="38" t="str">
        <f aca="false">IF('STUDENT SCREENING'!S247="","",'STUDENT SCREENING'!S247)</f>
        <v/>
      </c>
      <c r="I247" s="38" t="str">
        <f aca="false">IF('STUDENT SCREENING'!T247="","",'STUDENT SCREENING'!T247)</f>
        <v/>
      </c>
      <c r="J247" s="38" t="str">
        <f aca="false">IF('STUDENT SCREENING'!BM247="","",'STUDENT SCREENING'!BM247)</f>
        <v/>
      </c>
      <c r="K247" s="38" t="str">
        <f aca="false">IF('STUDENT SCREENING'!BN247="","",'STUDENT SCREENING'!BN247)</f>
        <v/>
      </c>
      <c r="L247" s="38" t="str">
        <f aca="false">IF('STUDENT SCREENING'!BO247="","",'STUDENT SCREENING'!BO247)</f>
        <v/>
      </c>
      <c r="M247" s="38" t="str">
        <f aca="false">IF('STUDENT SCREENING'!BP247="","",'STUDENT SCREENING'!BP247)</f>
        <v/>
      </c>
      <c r="N247" s="38" t="str">
        <f aca="false">IF('STUDENT SCREENING'!BQ247="","",'STUDENT SCREENING'!BQ247)</f>
        <v/>
      </c>
      <c r="O247" s="38" t="str">
        <f aca="false">IF('STUDENT SCREENING'!BR247="","",'STUDENT SCREENING'!BR247)</f>
        <v/>
      </c>
      <c r="P247" s="32"/>
      <c r="Q247" s="32"/>
      <c r="R247" s="32"/>
      <c r="S247" s="32"/>
      <c r="T247" s="32"/>
      <c r="U247" s="32"/>
      <c r="V247" s="32"/>
      <c r="W247" s="32"/>
      <c r="X247" s="32"/>
    </row>
    <row r="248" customFormat="false" ht="15" hidden="false" customHeight="false" outlineLevel="0" collapsed="false">
      <c r="A248" s="37" t="str">
        <f aca="false">IF('STUDENT SCREENING'!A248="","",'STUDENT SCREENING'!A248)</f>
        <v/>
      </c>
      <c r="B248" s="37" t="str">
        <f aca="false">IF('STUDENT SCREENING'!I248="","",'STUDENT SCREENING'!I248)</f>
        <v/>
      </c>
      <c r="C248" s="37" t="str">
        <f aca="false">IF('STUDENT SCREENING'!F248="","",'STUDENT SCREENING'!F248)</f>
        <v/>
      </c>
      <c r="D248" s="37" t="str">
        <f aca="false">IF('STUDENT SCREENING'!G248="","",'STUDENT SCREENING'!G248)</f>
        <v/>
      </c>
      <c r="E248" s="37" t="str">
        <f aca="false">IF('STUDENT SCREENING'!C248="","",'STUDENT SCREENING'!C248)</f>
        <v/>
      </c>
      <c r="F248" s="37" t="str">
        <f aca="false">IF('STUDENT SCREENING'!J248="","",'STUDENT SCREENING'!J248)</f>
        <v/>
      </c>
      <c r="G248" s="37" t="str">
        <f aca="false">IF('STUDENT SCREENING'!K248="","",'STUDENT SCREENING'!K248)</f>
        <v/>
      </c>
      <c r="H248" s="37" t="str">
        <f aca="false">IF('STUDENT SCREENING'!S248="","",'STUDENT SCREENING'!S248)</f>
        <v/>
      </c>
      <c r="I248" s="37" t="str">
        <f aca="false">IF('STUDENT SCREENING'!T248="","",'STUDENT SCREENING'!T248)</f>
        <v/>
      </c>
      <c r="J248" s="37" t="str">
        <f aca="false">IF('STUDENT SCREENING'!BM248="","",'STUDENT SCREENING'!BM248)</f>
        <v/>
      </c>
      <c r="K248" s="37" t="str">
        <f aca="false">IF('STUDENT SCREENING'!BN248="","",'STUDENT SCREENING'!BN248)</f>
        <v/>
      </c>
      <c r="L248" s="37" t="str">
        <f aca="false">IF('STUDENT SCREENING'!BO248="","",'STUDENT SCREENING'!BO248)</f>
        <v/>
      </c>
      <c r="M248" s="37" t="str">
        <f aca="false">IF('STUDENT SCREENING'!BP248="","",'STUDENT SCREENING'!BP248)</f>
        <v/>
      </c>
      <c r="N248" s="37" t="str">
        <f aca="false">IF('STUDENT SCREENING'!BQ248="","",'STUDENT SCREENING'!BQ248)</f>
        <v/>
      </c>
      <c r="O248" s="37" t="str">
        <f aca="false">IF('STUDENT SCREENING'!BR248="","",'STUDENT SCREENING'!BR248)</f>
        <v/>
      </c>
      <c r="P248" s="28"/>
      <c r="Q248" s="28"/>
      <c r="R248" s="28"/>
      <c r="S248" s="28"/>
      <c r="T248" s="28"/>
      <c r="U248" s="28"/>
      <c r="V248" s="28"/>
      <c r="W248" s="28"/>
      <c r="X248" s="28"/>
    </row>
    <row r="249" customFormat="false" ht="15" hidden="false" customHeight="false" outlineLevel="0" collapsed="false">
      <c r="A249" s="38" t="str">
        <f aca="false">IF('STUDENT SCREENING'!A249="","",'STUDENT SCREENING'!A249)</f>
        <v/>
      </c>
      <c r="B249" s="38" t="str">
        <f aca="false">IF('STUDENT SCREENING'!I249="","",'STUDENT SCREENING'!I249)</f>
        <v/>
      </c>
      <c r="C249" s="38" t="str">
        <f aca="false">IF('STUDENT SCREENING'!F249="","",'STUDENT SCREENING'!F249)</f>
        <v/>
      </c>
      <c r="D249" s="38" t="str">
        <f aca="false">IF('STUDENT SCREENING'!G249="","",'STUDENT SCREENING'!G249)</f>
        <v/>
      </c>
      <c r="E249" s="38" t="str">
        <f aca="false">IF('STUDENT SCREENING'!C249="","",'STUDENT SCREENING'!C249)</f>
        <v/>
      </c>
      <c r="F249" s="38" t="str">
        <f aca="false">IF('STUDENT SCREENING'!J249="","",'STUDENT SCREENING'!J249)</f>
        <v/>
      </c>
      <c r="G249" s="38" t="str">
        <f aca="false">IF('STUDENT SCREENING'!K249="","",'STUDENT SCREENING'!K249)</f>
        <v/>
      </c>
      <c r="H249" s="38" t="str">
        <f aca="false">IF('STUDENT SCREENING'!S249="","",'STUDENT SCREENING'!S249)</f>
        <v/>
      </c>
      <c r="I249" s="38" t="str">
        <f aca="false">IF('STUDENT SCREENING'!T249="","",'STUDENT SCREENING'!T249)</f>
        <v/>
      </c>
      <c r="J249" s="38" t="str">
        <f aca="false">IF('STUDENT SCREENING'!BM249="","",'STUDENT SCREENING'!BM249)</f>
        <v/>
      </c>
      <c r="K249" s="38" t="str">
        <f aca="false">IF('STUDENT SCREENING'!BN249="","",'STUDENT SCREENING'!BN249)</f>
        <v/>
      </c>
      <c r="L249" s="38" t="str">
        <f aca="false">IF('STUDENT SCREENING'!BO249="","",'STUDENT SCREENING'!BO249)</f>
        <v/>
      </c>
      <c r="M249" s="38" t="str">
        <f aca="false">IF('STUDENT SCREENING'!BP249="","",'STUDENT SCREENING'!BP249)</f>
        <v/>
      </c>
      <c r="N249" s="38" t="str">
        <f aca="false">IF('STUDENT SCREENING'!BQ249="","",'STUDENT SCREENING'!BQ249)</f>
        <v/>
      </c>
      <c r="O249" s="38" t="str">
        <f aca="false">IF('STUDENT SCREENING'!BR249="","",'STUDENT SCREENING'!BR249)</f>
        <v/>
      </c>
      <c r="P249" s="32"/>
      <c r="Q249" s="32"/>
      <c r="R249" s="32"/>
      <c r="S249" s="32"/>
      <c r="T249" s="32"/>
      <c r="U249" s="32"/>
      <c r="V249" s="32"/>
      <c r="W249" s="32"/>
      <c r="X249" s="32"/>
    </row>
    <row r="250" customFormat="false" ht="15" hidden="false" customHeight="false" outlineLevel="0" collapsed="false">
      <c r="A250" s="37" t="str">
        <f aca="false">IF('STUDENT SCREENING'!A250="","",'STUDENT SCREENING'!A250)</f>
        <v/>
      </c>
      <c r="B250" s="37" t="str">
        <f aca="false">IF('STUDENT SCREENING'!I250="","",'STUDENT SCREENING'!I250)</f>
        <v/>
      </c>
      <c r="C250" s="37" t="str">
        <f aca="false">IF('STUDENT SCREENING'!F250="","",'STUDENT SCREENING'!F250)</f>
        <v/>
      </c>
      <c r="D250" s="37" t="str">
        <f aca="false">IF('STUDENT SCREENING'!G250="","",'STUDENT SCREENING'!G250)</f>
        <v/>
      </c>
      <c r="E250" s="37" t="str">
        <f aca="false">IF('STUDENT SCREENING'!C250="","",'STUDENT SCREENING'!C250)</f>
        <v/>
      </c>
      <c r="F250" s="37" t="str">
        <f aca="false">IF('STUDENT SCREENING'!J250="","",'STUDENT SCREENING'!J250)</f>
        <v/>
      </c>
      <c r="G250" s="37" t="str">
        <f aca="false">IF('STUDENT SCREENING'!K250="","",'STUDENT SCREENING'!K250)</f>
        <v/>
      </c>
      <c r="H250" s="37" t="str">
        <f aca="false">IF('STUDENT SCREENING'!S250="","",'STUDENT SCREENING'!S250)</f>
        <v/>
      </c>
      <c r="I250" s="37" t="str">
        <f aca="false">IF('STUDENT SCREENING'!T250="","",'STUDENT SCREENING'!T250)</f>
        <v/>
      </c>
      <c r="J250" s="37" t="str">
        <f aca="false">IF('STUDENT SCREENING'!BM250="","",'STUDENT SCREENING'!BM250)</f>
        <v/>
      </c>
      <c r="K250" s="37" t="str">
        <f aca="false">IF('STUDENT SCREENING'!BN250="","",'STUDENT SCREENING'!BN250)</f>
        <v/>
      </c>
      <c r="L250" s="37" t="str">
        <f aca="false">IF('STUDENT SCREENING'!BO250="","",'STUDENT SCREENING'!BO250)</f>
        <v/>
      </c>
      <c r="M250" s="37" t="str">
        <f aca="false">IF('STUDENT SCREENING'!BP250="","",'STUDENT SCREENING'!BP250)</f>
        <v/>
      </c>
      <c r="N250" s="37" t="str">
        <f aca="false">IF('STUDENT SCREENING'!BQ250="","",'STUDENT SCREENING'!BQ250)</f>
        <v/>
      </c>
      <c r="O250" s="37" t="str">
        <f aca="false">IF('STUDENT SCREENING'!BR250="","",'STUDENT SCREENING'!BR250)</f>
        <v/>
      </c>
      <c r="P250" s="28"/>
      <c r="Q250" s="28"/>
      <c r="R250" s="28"/>
      <c r="S250" s="28"/>
      <c r="T250" s="28"/>
      <c r="U250" s="28"/>
      <c r="V250" s="28"/>
      <c r="W250" s="28"/>
      <c r="X250" s="28"/>
    </row>
    <row r="251" customFormat="false" ht="15" hidden="false" customHeight="false" outlineLevel="0" collapsed="false">
      <c r="A251" s="38" t="str">
        <f aca="false">IF('STUDENT SCREENING'!A251="","",'STUDENT SCREENING'!A251)</f>
        <v/>
      </c>
      <c r="B251" s="38" t="str">
        <f aca="false">IF('STUDENT SCREENING'!I251="","",'STUDENT SCREENING'!I251)</f>
        <v/>
      </c>
      <c r="C251" s="38" t="str">
        <f aca="false">IF('STUDENT SCREENING'!F251="","",'STUDENT SCREENING'!F251)</f>
        <v/>
      </c>
      <c r="D251" s="38" t="str">
        <f aca="false">IF('STUDENT SCREENING'!G251="","",'STUDENT SCREENING'!G251)</f>
        <v/>
      </c>
      <c r="E251" s="38" t="str">
        <f aca="false">IF('STUDENT SCREENING'!C251="","",'STUDENT SCREENING'!C251)</f>
        <v/>
      </c>
      <c r="F251" s="38" t="str">
        <f aca="false">IF('STUDENT SCREENING'!J251="","",'STUDENT SCREENING'!J251)</f>
        <v/>
      </c>
      <c r="G251" s="38" t="str">
        <f aca="false">IF('STUDENT SCREENING'!K251="","",'STUDENT SCREENING'!K251)</f>
        <v/>
      </c>
      <c r="H251" s="38" t="str">
        <f aca="false">IF('STUDENT SCREENING'!S251="","",'STUDENT SCREENING'!S251)</f>
        <v/>
      </c>
      <c r="I251" s="38" t="str">
        <f aca="false">IF('STUDENT SCREENING'!T251="","",'STUDENT SCREENING'!T251)</f>
        <v/>
      </c>
      <c r="J251" s="38" t="str">
        <f aca="false">IF('STUDENT SCREENING'!BM251="","",'STUDENT SCREENING'!BM251)</f>
        <v/>
      </c>
      <c r="K251" s="38" t="str">
        <f aca="false">IF('STUDENT SCREENING'!BN251="","",'STUDENT SCREENING'!BN251)</f>
        <v/>
      </c>
      <c r="L251" s="38" t="str">
        <f aca="false">IF('STUDENT SCREENING'!BO251="","",'STUDENT SCREENING'!BO251)</f>
        <v/>
      </c>
      <c r="M251" s="38" t="str">
        <f aca="false">IF('STUDENT SCREENING'!BP251="","",'STUDENT SCREENING'!BP251)</f>
        <v/>
      </c>
      <c r="N251" s="38" t="str">
        <f aca="false">IF('STUDENT SCREENING'!BQ251="","",'STUDENT SCREENING'!BQ251)</f>
        <v/>
      </c>
      <c r="O251" s="38" t="str">
        <f aca="false">IF('STUDENT SCREENING'!BR251="","",'STUDENT SCREENING'!BR251)</f>
        <v/>
      </c>
      <c r="P251" s="32"/>
      <c r="Q251" s="32"/>
      <c r="R251" s="32"/>
      <c r="S251" s="32"/>
      <c r="T251" s="32"/>
      <c r="U251" s="32"/>
      <c r="V251" s="32"/>
      <c r="W251" s="32"/>
      <c r="X251" s="32"/>
    </row>
    <row r="252" customFormat="false" ht="15" hidden="false" customHeight="false" outlineLevel="0" collapsed="false">
      <c r="A252" s="37" t="str">
        <f aca="false">IF('STUDENT SCREENING'!A252="","",'STUDENT SCREENING'!A252)</f>
        <v/>
      </c>
      <c r="B252" s="37" t="str">
        <f aca="false">IF('STUDENT SCREENING'!I252="","",'STUDENT SCREENING'!I252)</f>
        <v/>
      </c>
      <c r="C252" s="37" t="str">
        <f aca="false">IF('STUDENT SCREENING'!F252="","",'STUDENT SCREENING'!F252)</f>
        <v/>
      </c>
      <c r="D252" s="37" t="str">
        <f aca="false">IF('STUDENT SCREENING'!G252="","",'STUDENT SCREENING'!G252)</f>
        <v/>
      </c>
      <c r="E252" s="37" t="str">
        <f aca="false">IF('STUDENT SCREENING'!C252="","",'STUDENT SCREENING'!C252)</f>
        <v/>
      </c>
      <c r="F252" s="37" t="str">
        <f aca="false">IF('STUDENT SCREENING'!J252="","",'STUDENT SCREENING'!J252)</f>
        <v/>
      </c>
      <c r="G252" s="37" t="str">
        <f aca="false">IF('STUDENT SCREENING'!K252="","",'STUDENT SCREENING'!K252)</f>
        <v/>
      </c>
      <c r="H252" s="37" t="str">
        <f aca="false">IF('STUDENT SCREENING'!S252="","",'STUDENT SCREENING'!S252)</f>
        <v/>
      </c>
      <c r="I252" s="37" t="str">
        <f aca="false">IF('STUDENT SCREENING'!T252="","",'STUDENT SCREENING'!T252)</f>
        <v/>
      </c>
      <c r="J252" s="37" t="str">
        <f aca="false">IF('STUDENT SCREENING'!BM252="","",'STUDENT SCREENING'!BM252)</f>
        <v/>
      </c>
      <c r="K252" s="37" t="str">
        <f aca="false">IF('STUDENT SCREENING'!BN252="","",'STUDENT SCREENING'!BN252)</f>
        <v/>
      </c>
      <c r="L252" s="37" t="str">
        <f aca="false">IF('STUDENT SCREENING'!BO252="","",'STUDENT SCREENING'!BO252)</f>
        <v/>
      </c>
      <c r="M252" s="37" t="str">
        <f aca="false">IF('STUDENT SCREENING'!BP252="","",'STUDENT SCREENING'!BP252)</f>
        <v/>
      </c>
      <c r="N252" s="37" t="str">
        <f aca="false">IF('STUDENT SCREENING'!BQ252="","",'STUDENT SCREENING'!BQ252)</f>
        <v/>
      </c>
      <c r="O252" s="37" t="str">
        <f aca="false">IF('STUDENT SCREENING'!BR252="","",'STUDENT SCREENING'!BR252)</f>
        <v/>
      </c>
      <c r="P252" s="28"/>
      <c r="Q252" s="28"/>
      <c r="R252" s="28"/>
      <c r="S252" s="28"/>
      <c r="T252" s="28"/>
      <c r="U252" s="28"/>
      <c r="V252" s="28"/>
      <c r="W252" s="28"/>
      <c r="X252" s="28"/>
    </row>
    <row r="253" customFormat="false" ht="15" hidden="false" customHeight="false" outlineLevel="0" collapsed="false">
      <c r="A253" s="38" t="str">
        <f aca="false">IF('STUDENT SCREENING'!A253="","",'STUDENT SCREENING'!A253)</f>
        <v/>
      </c>
      <c r="B253" s="38" t="str">
        <f aca="false">IF('STUDENT SCREENING'!I253="","",'STUDENT SCREENING'!I253)</f>
        <v/>
      </c>
      <c r="C253" s="38" t="str">
        <f aca="false">IF('STUDENT SCREENING'!F253="","",'STUDENT SCREENING'!F253)</f>
        <v/>
      </c>
      <c r="D253" s="38" t="str">
        <f aca="false">IF('STUDENT SCREENING'!G253="","",'STUDENT SCREENING'!G253)</f>
        <v/>
      </c>
      <c r="E253" s="38" t="str">
        <f aca="false">IF('STUDENT SCREENING'!C253="","",'STUDENT SCREENING'!C253)</f>
        <v/>
      </c>
      <c r="F253" s="38" t="str">
        <f aca="false">IF('STUDENT SCREENING'!J253="","",'STUDENT SCREENING'!J253)</f>
        <v/>
      </c>
      <c r="G253" s="38" t="str">
        <f aca="false">IF('STUDENT SCREENING'!K253="","",'STUDENT SCREENING'!K253)</f>
        <v/>
      </c>
      <c r="H253" s="38" t="str">
        <f aca="false">IF('STUDENT SCREENING'!S253="","",'STUDENT SCREENING'!S253)</f>
        <v/>
      </c>
      <c r="I253" s="38" t="str">
        <f aca="false">IF('STUDENT SCREENING'!T253="","",'STUDENT SCREENING'!T253)</f>
        <v/>
      </c>
      <c r="J253" s="38" t="str">
        <f aca="false">IF('STUDENT SCREENING'!BM253="","",'STUDENT SCREENING'!BM253)</f>
        <v/>
      </c>
      <c r="K253" s="38" t="str">
        <f aca="false">IF('STUDENT SCREENING'!BN253="","",'STUDENT SCREENING'!BN253)</f>
        <v/>
      </c>
      <c r="L253" s="38" t="str">
        <f aca="false">IF('STUDENT SCREENING'!BO253="","",'STUDENT SCREENING'!BO253)</f>
        <v/>
      </c>
      <c r="M253" s="38" t="str">
        <f aca="false">IF('STUDENT SCREENING'!BP253="","",'STUDENT SCREENING'!BP253)</f>
        <v/>
      </c>
      <c r="N253" s="38" t="str">
        <f aca="false">IF('STUDENT SCREENING'!BQ253="","",'STUDENT SCREENING'!BQ253)</f>
        <v/>
      </c>
      <c r="O253" s="38" t="str">
        <f aca="false">IF('STUDENT SCREENING'!BR253="","",'STUDENT SCREENING'!BR253)</f>
        <v/>
      </c>
      <c r="P253" s="32"/>
      <c r="Q253" s="32"/>
      <c r="R253" s="32"/>
      <c r="S253" s="32"/>
      <c r="T253" s="32"/>
      <c r="U253" s="32"/>
      <c r="V253" s="32"/>
      <c r="W253" s="32"/>
      <c r="X253" s="32"/>
    </row>
    <row r="254" customFormat="false" ht="15" hidden="false" customHeight="false" outlineLevel="0" collapsed="false">
      <c r="A254" s="37" t="str">
        <f aca="false">IF('STUDENT SCREENING'!A254="","",'STUDENT SCREENING'!A254)</f>
        <v/>
      </c>
      <c r="B254" s="37" t="str">
        <f aca="false">IF('STUDENT SCREENING'!I254="","",'STUDENT SCREENING'!I254)</f>
        <v/>
      </c>
      <c r="C254" s="37" t="str">
        <f aca="false">IF('STUDENT SCREENING'!F254="","",'STUDENT SCREENING'!F254)</f>
        <v/>
      </c>
      <c r="D254" s="37" t="str">
        <f aca="false">IF('STUDENT SCREENING'!G254="","",'STUDENT SCREENING'!G254)</f>
        <v/>
      </c>
      <c r="E254" s="37" t="str">
        <f aca="false">IF('STUDENT SCREENING'!C254="","",'STUDENT SCREENING'!C254)</f>
        <v/>
      </c>
      <c r="F254" s="37" t="str">
        <f aca="false">IF('STUDENT SCREENING'!J254="","",'STUDENT SCREENING'!J254)</f>
        <v/>
      </c>
      <c r="G254" s="37" t="str">
        <f aca="false">IF('STUDENT SCREENING'!K254="","",'STUDENT SCREENING'!K254)</f>
        <v/>
      </c>
      <c r="H254" s="37" t="str">
        <f aca="false">IF('STUDENT SCREENING'!S254="","",'STUDENT SCREENING'!S254)</f>
        <v/>
      </c>
      <c r="I254" s="37" t="str">
        <f aca="false">IF('STUDENT SCREENING'!T254="","",'STUDENT SCREENING'!T254)</f>
        <v/>
      </c>
      <c r="J254" s="37" t="str">
        <f aca="false">IF('STUDENT SCREENING'!BM254="","",'STUDENT SCREENING'!BM254)</f>
        <v/>
      </c>
      <c r="K254" s="37" t="str">
        <f aca="false">IF('STUDENT SCREENING'!BN254="","",'STUDENT SCREENING'!BN254)</f>
        <v/>
      </c>
      <c r="L254" s="37" t="str">
        <f aca="false">IF('STUDENT SCREENING'!BO254="","",'STUDENT SCREENING'!BO254)</f>
        <v/>
      </c>
      <c r="M254" s="37" t="str">
        <f aca="false">IF('STUDENT SCREENING'!BP254="","",'STUDENT SCREENING'!BP254)</f>
        <v/>
      </c>
      <c r="N254" s="37" t="str">
        <f aca="false">IF('STUDENT SCREENING'!BQ254="","",'STUDENT SCREENING'!BQ254)</f>
        <v/>
      </c>
      <c r="O254" s="37" t="str">
        <f aca="false">IF('STUDENT SCREENING'!BR254="","",'STUDENT SCREENING'!BR254)</f>
        <v/>
      </c>
      <c r="P254" s="28"/>
      <c r="Q254" s="28"/>
      <c r="R254" s="28"/>
      <c r="S254" s="28"/>
      <c r="T254" s="28"/>
      <c r="U254" s="28"/>
      <c r="V254" s="28"/>
      <c r="W254" s="28"/>
      <c r="X254" s="28"/>
    </row>
    <row r="255" customFormat="false" ht="15" hidden="false" customHeight="false" outlineLevel="0" collapsed="false">
      <c r="A255" s="38" t="str">
        <f aca="false">IF('STUDENT SCREENING'!A255="","",'STUDENT SCREENING'!A255)</f>
        <v/>
      </c>
      <c r="B255" s="38" t="str">
        <f aca="false">IF('STUDENT SCREENING'!I255="","",'STUDENT SCREENING'!I255)</f>
        <v/>
      </c>
      <c r="C255" s="38" t="str">
        <f aca="false">IF('STUDENT SCREENING'!F255="","",'STUDENT SCREENING'!F255)</f>
        <v/>
      </c>
      <c r="D255" s="38" t="str">
        <f aca="false">IF('STUDENT SCREENING'!G255="","",'STUDENT SCREENING'!G255)</f>
        <v/>
      </c>
      <c r="E255" s="38" t="str">
        <f aca="false">IF('STUDENT SCREENING'!C255="","",'STUDENT SCREENING'!C255)</f>
        <v/>
      </c>
      <c r="F255" s="38" t="str">
        <f aca="false">IF('STUDENT SCREENING'!J255="","",'STUDENT SCREENING'!J255)</f>
        <v/>
      </c>
      <c r="G255" s="38" t="str">
        <f aca="false">IF('STUDENT SCREENING'!K255="","",'STUDENT SCREENING'!K255)</f>
        <v/>
      </c>
      <c r="H255" s="38" t="str">
        <f aca="false">IF('STUDENT SCREENING'!S255="","",'STUDENT SCREENING'!S255)</f>
        <v/>
      </c>
      <c r="I255" s="38" t="str">
        <f aca="false">IF('STUDENT SCREENING'!T255="","",'STUDENT SCREENING'!T255)</f>
        <v/>
      </c>
      <c r="J255" s="38" t="str">
        <f aca="false">IF('STUDENT SCREENING'!BM255="","",'STUDENT SCREENING'!BM255)</f>
        <v/>
      </c>
      <c r="K255" s="38" t="str">
        <f aca="false">IF('STUDENT SCREENING'!BN255="","",'STUDENT SCREENING'!BN255)</f>
        <v/>
      </c>
      <c r="L255" s="38" t="str">
        <f aca="false">IF('STUDENT SCREENING'!BO255="","",'STUDENT SCREENING'!BO255)</f>
        <v/>
      </c>
      <c r="M255" s="38" t="str">
        <f aca="false">IF('STUDENT SCREENING'!BP255="","",'STUDENT SCREENING'!BP255)</f>
        <v/>
      </c>
      <c r="N255" s="38" t="str">
        <f aca="false">IF('STUDENT SCREENING'!BQ255="","",'STUDENT SCREENING'!BQ255)</f>
        <v/>
      </c>
      <c r="O255" s="38" t="str">
        <f aca="false">IF('STUDENT SCREENING'!BR255="","",'STUDENT SCREENING'!BR255)</f>
        <v/>
      </c>
      <c r="P255" s="32"/>
      <c r="Q255" s="32"/>
      <c r="R255" s="32"/>
      <c r="S255" s="32"/>
      <c r="T255" s="32"/>
      <c r="U255" s="32"/>
      <c r="V255" s="32"/>
      <c r="W255" s="32"/>
      <c r="X255" s="32"/>
    </row>
    <row r="256" customFormat="false" ht="15" hidden="false" customHeight="false" outlineLevel="0" collapsed="false">
      <c r="A256" s="37" t="str">
        <f aca="false">IF('STUDENT SCREENING'!A256="","",'STUDENT SCREENING'!A256)</f>
        <v/>
      </c>
      <c r="B256" s="37" t="str">
        <f aca="false">IF('STUDENT SCREENING'!I256="","",'STUDENT SCREENING'!I256)</f>
        <v/>
      </c>
      <c r="C256" s="37" t="str">
        <f aca="false">IF('STUDENT SCREENING'!F256="","",'STUDENT SCREENING'!F256)</f>
        <v/>
      </c>
      <c r="D256" s="37" t="str">
        <f aca="false">IF('STUDENT SCREENING'!G256="","",'STUDENT SCREENING'!G256)</f>
        <v/>
      </c>
      <c r="E256" s="37" t="str">
        <f aca="false">IF('STUDENT SCREENING'!C256="","",'STUDENT SCREENING'!C256)</f>
        <v/>
      </c>
      <c r="F256" s="37" t="str">
        <f aca="false">IF('STUDENT SCREENING'!J256="","",'STUDENT SCREENING'!J256)</f>
        <v/>
      </c>
      <c r="G256" s="37" t="str">
        <f aca="false">IF('STUDENT SCREENING'!K256="","",'STUDENT SCREENING'!K256)</f>
        <v/>
      </c>
      <c r="H256" s="37" t="str">
        <f aca="false">IF('STUDENT SCREENING'!S256="","",'STUDENT SCREENING'!S256)</f>
        <v/>
      </c>
      <c r="I256" s="37" t="str">
        <f aca="false">IF('STUDENT SCREENING'!T256="","",'STUDENT SCREENING'!T256)</f>
        <v/>
      </c>
      <c r="J256" s="37" t="str">
        <f aca="false">IF('STUDENT SCREENING'!BM256="","",'STUDENT SCREENING'!BM256)</f>
        <v/>
      </c>
      <c r="K256" s="37" t="str">
        <f aca="false">IF('STUDENT SCREENING'!BN256="","",'STUDENT SCREENING'!BN256)</f>
        <v/>
      </c>
      <c r="L256" s="37" t="str">
        <f aca="false">IF('STUDENT SCREENING'!BO256="","",'STUDENT SCREENING'!BO256)</f>
        <v/>
      </c>
      <c r="M256" s="37" t="str">
        <f aca="false">IF('STUDENT SCREENING'!BP256="","",'STUDENT SCREENING'!BP256)</f>
        <v/>
      </c>
      <c r="N256" s="37" t="str">
        <f aca="false">IF('STUDENT SCREENING'!BQ256="","",'STUDENT SCREENING'!BQ256)</f>
        <v/>
      </c>
      <c r="O256" s="37" t="str">
        <f aca="false">IF('STUDENT SCREENING'!BR256="","",'STUDENT SCREENING'!BR256)</f>
        <v/>
      </c>
      <c r="P256" s="28"/>
      <c r="Q256" s="28"/>
      <c r="R256" s="28"/>
      <c r="S256" s="28"/>
      <c r="T256" s="28"/>
      <c r="U256" s="28"/>
      <c r="V256" s="28"/>
      <c r="W256" s="28"/>
      <c r="X256" s="28"/>
    </row>
    <row r="257" customFormat="false" ht="15" hidden="false" customHeight="false" outlineLevel="0" collapsed="false">
      <c r="A257" s="38" t="str">
        <f aca="false">IF('STUDENT SCREENING'!A257="","",'STUDENT SCREENING'!A257)</f>
        <v/>
      </c>
      <c r="B257" s="38" t="str">
        <f aca="false">IF('STUDENT SCREENING'!I257="","",'STUDENT SCREENING'!I257)</f>
        <v/>
      </c>
      <c r="C257" s="38" t="str">
        <f aca="false">IF('STUDENT SCREENING'!F257="","",'STUDENT SCREENING'!F257)</f>
        <v/>
      </c>
      <c r="D257" s="38" t="str">
        <f aca="false">IF('STUDENT SCREENING'!G257="","",'STUDENT SCREENING'!G257)</f>
        <v/>
      </c>
      <c r="E257" s="38" t="str">
        <f aca="false">IF('STUDENT SCREENING'!C257="","",'STUDENT SCREENING'!C257)</f>
        <v/>
      </c>
      <c r="F257" s="38" t="str">
        <f aca="false">IF('STUDENT SCREENING'!J257="","",'STUDENT SCREENING'!J257)</f>
        <v/>
      </c>
      <c r="G257" s="38" t="str">
        <f aca="false">IF('STUDENT SCREENING'!K257="","",'STUDENT SCREENING'!K257)</f>
        <v/>
      </c>
      <c r="H257" s="38" t="str">
        <f aca="false">IF('STUDENT SCREENING'!S257="","",'STUDENT SCREENING'!S257)</f>
        <v/>
      </c>
      <c r="I257" s="38" t="str">
        <f aca="false">IF('STUDENT SCREENING'!T257="","",'STUDENT SCREENING'!T257)</f>
        <v/>
      </c>
      <c r="J257" s="38" t="str">
        <f aca="false">IF('STUDENT SCREENING'!BM257="","",'STUDENT SCREENING'!BM257)</f>
        <v/>
      </c>
      <c r="K257" s="38" t="str">
        <f aca="false">IF('STUDENT SCREENING'!BN257="","",'STUDENT SCREENING'!BN257)</f>
        <v/>
      </c>
      <c r="L257" s="38" t="str">
        <f aca="false">IF('STUDENT SCREENING'!BO257="","",'STUDENT SCREENING'!BO257)</f>
        <v/>
      </c>
      <c r="M257" s="38" t="str">
        <f aca="false">IF('STUDENT SCREENING'!BP257="","",'STUDENT SCREENING'!BP257)</f>
        <v/>
      </c>
      <c r="N257" s="38" t="str">
        <f aca="false">IF('STUDENT SCREENING'!BQ257="","",'STUDENT SCREENING'!BQ257)</f>
        <v/>
      </c>
      <c r="O257" s="38" t="str">
        <f aca="false">IF('STUDENT SCREENING'!BR257="","",'STUDENT SCREENING'!BR257)</f>
        <v/>
      </c>
      <c r="P257" s="32"/>
      <c r="Q257" s="32"/>
      <c r="R257" s="32"/>
      <c r="S257" s="32"/>
      <c r="T257" s="32"/>
      <c r="U257" s="32"/>
      <c r="V257" s="32"/>
      <c r="W257" s="32"/>
      <c r="X257" s="32"/>
    </row>
    <row r="258" customFormat="false" ht="15" hidden="false" customHeight="false" outlineLevel="0" collapsed="false">
      <c r="A258" s="37" t="str">
        <f aca="false">IF('STUDENT SCREENING'!A258="","",'STUDENT SCREENING'!A258)</f>
        <v/>
      </c>
      <c r="B258" s="37" t="str">
        <f aca="false">IF('STUDENT SCREENING'!I258="","",'STUDENT SCREENING'!I258)</f>
        <v/>
      </c>
      <c r="C258" s="37" t="str">
        <f aca="false">IF('STUDENT SCREENING'!F258="","",'STUDENT SCREENING'!F258)</f>
        <v/>
      </c>
      <c r="D258" s="37" t="str">
        <f aca="false">IF('STUDENT SCREENING'!G258="","",'STUDENT SCREENING'!G258)</f>
        <v/>
      </c>
      <c r="E258" s="37" t="str">
        <f aca="false">IF('STUDENT SCREENING'!C258="","",'STUDENT SCREENING'!C258)</f>
        <v/>
      </c>
      <c r="F258" s="37" t="str">
        <f aca="false">IF('STUDENT SCREENING'!J258="","",'STUDENT SCREENING'!J258)</f>
        <v/>
      </c>
      <c r="G258" s="37" t="str">
        <f aca="false">IF('STUDENT SCREENING'!K258="","",'STUDENT SCREENING'!K258)</f>
        <v/>
      </c>
      <c r="H258" s="37" t="str">
        <f aca="false">IF('STUDENT SCREENING'!S258="","",'STUDENT SCREENING'!S258)</f>
        <v/>
      </c>
      <c r="I258" s="37" t="str">
        <f aca="false">IF('STUDENT SCREENING'!T258="","",'STUDENT SCREENING'!T258)</f>
        <v/>
      </c>
      <c r="J258" s="37" t="str">
        <f aca="false">IF('STUDENT SCREENING'!BM258="","",'STUDENT SCREENING'!BM258)</f>
        <v/>
      </c>
      <c r="K258" s="37" t="str">
        <f aca="false">IF('STUDENT SCREENING'!BN258="","",'STUDENT SCREENING'!BN258)</f>
        <v/>
      </c>
      <c r="L258" s="37" t="str">
        <f aca="false">IF('STUDENT SCREENING'!BO258="","",'STUDENT SCREENING'!BO258)</f>
        <v/>
      </c>
      <c r="M258" s="37" t="str">
        <f aca="false">IF('STUDENT SCREENING'!BP258="","",'STUDENT SCREENING'!BP258)</f>
        <v/>
      </c>
      <c r="N258" s="37" t="str">
        <f aca="false">IF('STUDENT SCREENING'!BQ258="","",'STUDENT SCREENING'!BQ258)</f>
        <v/>
      </c>
      <c r="O258" s="37" t="str">
        <f aca="false">IF('STUDENT SCREENING'!BR258="","",'STUDENT SCREENING'!BR258)</f>
        <v/>
      </c>
      <c r="P258" s="28"/>
      <c r="Q258" s="28"/>
      <c r="R258" s="28"/>
      <c r="S258" s="28"/>
      <c r="T258" s="28"/>
      <c r="U258" s="28"/>
      <c r="V258" s="28"/>
      <c r="W258" s="28"/>
      <c r="X258" s="28"/>
    </row>
    <row r="259" customFormat="false" ht="15" hidden="false" customHeight="false" outlineLevel="0" collapsed="false">
      <c r="A259" s="38" t="str">
        <f aca="false">IF('STUDENT SCREENING'!A259="","",'STUDENT SCREENING'!A259)</f>
        <v/>
      </c>
      <c r="B259" s="38" t="str">
        <f aca="false">IF('STUDENT SCREENING'!I259="","",'STUDENT SCREENING'!I259)</f>
        <v/>
      </c>
      <c r="C259" s="38" t="str">
        <f aca="false">IF('STUDENT SCREENING'!F259="","",'STUDENT SCREENING'!F259)</f>
        <v/>
      </c>
      <c r="D259" s="38" t="str">
        <f aca="false">IF('STUDENT SCREENING'!G259="","",'STUDENT SCREENING'!G259)</f>
        <v/>
      </c>
      <c r="E259" s="38" t="str">
        <f aca="false">IF('STUDENT SCREENING'!C259="","",'STUDENT SCREENING'!C259)</f>
        <v/>
      </c>
      <c r="F259" s="38" t="str">
        <f aca="false">IF('STUDENT SCREENING'!J259="","",'STUDENT SCREENING'!J259)</f>
        <v/>
      </c>
      <c r="G259" s="38" t="str">
        <f aca="false">IF('STUDENT SCREENING'!K259="","",'STUDENT SCREENING'!K259)</f>
        <v/>
      </c>
      <c r="H259" s="38" t="str">
        <f aca="false">IF('STUDENT SCREENING'!S259="","",'STUDENT SCREENING'!S259)</f>
        <v/>
      </c>
      <c r="I259" s="38" t="str">
        <f aca="false">IF('STUDENT SCREENING'!T259="","",'STUDENT SCREENING'!T259)</f>
        <v/>
      </c>
      <c r="J259" s="38" t="str">
        <f aca="false">IF('STUDENT SCREENING'!BM259="","",'STUDENT SCREENING'!BM259)</f>
        <v/>
      </c>
      <c r="K259" s="38" t="str">
        <f aca="false">IF('STUDENT SCREENING'!BN259="","",'STUDENT SCREENING'!BN259)</f>
        <v/>
      </c>
      <c r="L259" s="38" t="str">
        <f aca="false">IF('STUDENT SCREENING'!BO259="","",'STUDENT SCREENING'!BO259)</f>
        <v/>
      </c>
      <c r="M259" s="38" t="str">
        <f aca="false">IF('STUDENT SCREENING'!BP259="","",'STUDENT SCREENING'!BP259)</f>
        <v/>
      </c>
      <c r="N259" s="38" t="str">
        <f aca="false">IF('STUDENT SCREENING'!BQ259="","",'STUDENT SCREENING'!BQ259)</f>
        <v/>
      </c>
      <c r="O259" s="38" t="str">
        <f aca="false">IF('STUDENT SCREENING'!BR259="","",'STUDENT SCREENING'!BR259)</f>
        <v/>
      </c>
      <c r="P259" s="32"/>
      <c r="Q259" s="32"/>
      <c r="R259" s="32"/>
      <c r="S259" s="32"/>
      <c r="T259" s="32"/>
      <c r="U259" s="32"/>
      <c r="V259" s="32"/>
      <c r="W259" s="32"/>
      <c r="X259" s="32"/>
    </row>
    <row r="260" customFormat="false" ht="15" hidden="false" customHeight="false" outlineLevel="0" collapsed="false">
      <c r="A260" s="37" t="str">
        <f aca="false">IF('STUDENT SCREENING'!A260="","",'STUDENT SCREENING'!A260)</f>
        <v/>
      </c>
      <c r="B260" s="37" t="str">
        <f aca="false">IF('STUDENT SCREENING'!I260="","",'STUDENT SCREENING'!I260)</f>
        <v/>
      </c>
      <c r="C260" s="37" t="str">
        <f aca="false">IF('STUDENT SCREENING'!F260="","",'STUDENT SCREENING'!F260)</f>
        <v/>
      </c>
      <c r="D260" s="37" t="str">
        <f aca="false">IF('STUDENT SCREENING'!G260="","",'STUDENT SCREENING'!G260)</f>
        <v/>
      </c>
      <c r="E260" s="37" t="str">
        <f aca="false">IF('STUDENT SCREENING'!C260="","",'STUDENT SCREENING'!C260)</f>
        <v/>
      </c>
      <c r="F260" s="37" t="str">
        <f aca="false">IF('STUDENT SCREENING'!J260="","",'STUDENT SCREENING'!J260)</f>
        <v/>
      </c>
      <c r="G260" s="37" t="str">
        <f aca="false">IF('STUDENT SCREENING'!K260="","",'STUDENT SCREENING'!K260)</f>
        <v/>
      </c>
      <c r="H260" s="37" t="str">
        <f aca="false">IF('STUDENT SCREENING'!S260="","",'STUDENT SCREENING'!S260)</f>
        <v/>
      </c>
      <c r="I260" s="37" t="str">
        <f aca="false">IF('STUDENT SCREENING'!T260="","",'STUDENT SCREENING'!T260)</f>
        <v/>
      </c>
      <c r="J260" s="37" t="str">
        <f aca="false">IF('STUDENT SCREENING'!BM260="","",'STUDENT SCREENING'!BM260)</f>
        <v/>
      </c>
      <c r="K260" s="37" t="str">
        <f aca="false">IF('STUDENT SCREENING'!BN260="","",'STUDENT SCREENING'!BN260)</f>
        <v/>
      </c>
      <c r="L260" s="37" t="str">
        <f aca="false">IF('STUDENT SCREENING'!BO260="","",'STUDENT SCREENING'!BO260)</f>
        <v/>
      </c>
      <c r="M260" s="37" t="str">
        <f aca="false">IF('STUDENT SCREENING'!BP260="","",'STUDENT SCREENING'!BP260)</f>
        <v/>
      </c>
      <c r="N260" s="37" t="str">
        <f aca="false">IF('STUDENT SCREENING'!BQ260="","",'STUDENT SCREENING'!BQ260)</f>
        <v/>
      </c>
      <c r="O260" s="37" t="str">
        <f aca="false">IF('STUDENT SCREENING'!BR260="","",'STUDENT SCREENING'!BR260)</f>
        <v/>
      </c>
      <c r="P260" s="28"/>
      <c r="Q260" s="28"/>
      <c r="R260" s="28"/>
      <c r="S260" s="28"/>
      <c r="T260" s="28"/>
      <c r="U260" s="28"/>
      <c r="V260" s="28"/>
      <c r="W260" s="28"/>
      <c r="X260" s="28"/>
    </row>
    <row r="261" customFormat="false" ht="15" hidden="false" customHeight="false" outlineLevel="0" collapsed="false">
      <c r="A261" s="38" t="str">
        <f aca="false">IF('STUDENT SCREENING'!A261="","",'STUDENT SCREENING'!A261)</f>
        <v/>
      </c>
      <c r="B261" s="38" t="str">
        <f aca="false">IF('STUDENT SCREENING'!I261="","",'STUDENT SCREENING'!I261)</f>
        <v/>
      </c>
      <c r="C261" s="38" t="str">
        <f aca="false">IF('STUDENT SCREENING'!F261="","",'STUDENT SCREENING'!F261)</f>
        <v/>
      </c>
      <c r="D261" s="38" t="str">
        <f aca="false">IF('STUDENT SCREENING'!G261="","",'STUDENT SCREENING'!G261)</f>
        <v/>
      </c>
      <c r="E261" s="38" t="str">
        <f aca="false">IF('STUDENT SCREENING'!C261="","",'STUDENT SCREENING'!C261)</f>
        <v/>
      </c>
      <c r="F261" s="38" t="str">
        <f aca="false">IF('STUDENT SCREENING'!J261="","",'STUDENT SCREENING'!J261)</f>
        <v/>
      </c>
      <c r="G261" s="38" t="str">
        <f aca="false">IF('STUDENT SCREENING'!K261="","",'STUDENT SCREENING'!K261)</f>
        <v/>
      </c>
      <c r="H261" s="38" t="str">
        <f aca="false">IF('STUDENT SCREENING'!S261="","",'STUDENT SCREENING'!S261)</f>
        <v/>
      </c>
      <c r="I261" s="38" t="str">
        <f aca="false">IF('STUDENT SCREENING'!T261="","",'STUDENT SCREENING'!T261)</f>
        <v/>
      </c>
      <c r="J261" s="38" t="str">
        <f aca="false">IF('STUDENT SCREENING'!BM261="","",'STUDENT SCREENING'!BM261)</f>
        <v/>
      </c>
      <c r="K261" s="38" t="str">
        <f aca="false">IF('STUDENT SCREENING'!BN261="","",'STUDENT SCREENING'!BN261)</f>
        <v/>
      </c>
      <c r="L261" s="38" t="str">
        <f aca="false">IF('STUDENT SCREENING'!BO261="","",'STUDENT SCREENING'!BO261)</f>
        <v/>
      </c>
      <c r="M261" s="38" t="str">
        <f aca="false">IF('STUDENT SCREENING'!BP261="","",'STUDENT SCREENING'!BP261)</f>
        <v/>
      </c>
      <c r="N261" s="38" t="str">
        <f aca="false">IF('STUDENT SCREENING'!BQ261="","",'STUDENT SCREENING'!BQ261)</f>
        <v/>
      </c>
      <c r="O261" s="38" t="str">
        <f aca="false">IF('STUDENT SCREENING'!BR261="","",'STUDENT SCREENING'!BR261)</f>
        <v/>
      </c>
      <c r="P261" s="32"/>
      <c r="Q261" s="32"/>
      <c r="R261" s="32"/>
      <c r="S261" s="32"/>
      <c r="T261" s="32"/>
      <c r="U261" s="32"/>
      <c r="V261" s="32"/>
      <c r="W261" s="32"/>
      <c r="X261" s="32"/>
    </row>
    <row r="262" customFormat="false" ht="15" hidden="false" customHeight="false" outlineLevel="0" collapsed="false">
      <c r="A262" s="37" t="str">
        <f aca="false">IF('STUDENT SCREENING'!A262="","",'STUDENT SCREENING'!A262)</f>
        <v/>
      </c>
      <c r="B262" s="37" t="str">
        <f aca="false">IF('STUDENT SCREENING'!I262="","",'STUDENT SCREENING'!I262)</f>
        <v/>
      </c>
      <c r="C262" s="37" t="str">
        <f aca="false">IF('STUDENT SCREENING'!F262="","",'STUDENT SCREENING'!F262)</f>
        <v/>
      </c>
      <c r="D262" s="37" t="str">
        <f aca="false">IF('STUDENT SCREENING'!G262="","",'STUDENT SCREENING'!G262)</f>
        <v/>
      </c>
      <c r="E262" s="37" t="str">
        <f aca="false">IF('STUDENT SCREENING'!C262="","",'STUDENT SCREENING'!C262)</f>
        <v/>
      </c>
      <c r="F262" s="37" t="str">
        <f aca="false">IF('STUDENT SCREENING'!J262="","",'STUDENT SCREENING'!J262)</f>
        <v/>
      </c>
      <c r="G262" s="37" t="str">
        <f aca="false">IF('STUDENT SCREENING'!K262="","",'STUDENT SCREENING'!K262)</f>
        <v/>
      </c>
      <c r="H262" s="37" t="str">
        <f aca="false">IF('STUDENT SCREENING'!S262="","",'STUDENT SCREENING'!S262)</f>
        <v/>
      </c>
      <c r="I262" s="37" t="str">
        <f aca="false">IF('STUDENT SCREENING'!T262="","",'STUDENT SCREENING'!T262)</f>
        <v/>
      </c>
      <c r="J262" s="37" t="str">
        <f aca="false">IF('STUDENT SCREENING'!BM262="","",'STUDENT SCREENING'!BM262)</f>
        <v/>
      </c>
      <c r="K262" s="37" t="str">
        <f aca="false">IF('STUDENT SCREENING'!BN262="","",'STUDENT SCREENING'!BN262)</f>
        <v/>
      </c>
      <c r="L262" s="37" t="str">
        <f aca="false">IF('STUDENT SCREENING'!BO262="","",'STUDENT SCREENING'!BO262)</f>
        <v/>
      </c>
      <c r="M262" s="37" t="str">
        <f aca="false">IF('STUDENT SCREENING'!BP262="","",'STUDENT SCREENING'!BP262)</f>
        <v/>
      </c>
      <c r="N262" s="37" t="str">
        <f aca="false">IF('STUDENT SCREENING'!BQ262="","",'STUDENT SCREENING'!BQ262)</f>
        <v/>
      </c>
      <c r="O262" s="37" t="str">
        <f aca="false">IF('STUDENT SCREENING'!BR262="","",'STUDENT SCREENING'!BR262)</f>
        <v/>
      </c>
      <c r="P262" s="28"/>
      <c r="Q262" s="28"/>
      <c r="R262" s="28"/>
      <c r="S262" s="28"/>
      <c r="T262" s="28"/>
      <c r="U262" s="28"/>
      <c r="V262" s="28"/>
      <c r="W262" s="28"/>
      <c r="X262" s="28"/>
    </row>
    <row r="263" customFormat="false" ht="15" hidden="false" customHeight="false" outlineLevel="0" collapsed="false">
      <c r="A263" s="38" t="str">
        <f aca="false">IF('STUDENT SCREENING'!A263="","",'STUDENT SCREENING'!A263)</f>
        <v/>
      </c>
      <c r="B263" s="38" t="str">
        <f aca="false">IF('STUDENT SCREENING'!I263="","",'STUDENT SCREENING'!I263)</f>
        <v/>
      </c>
      <c r="C263" s="38" t="str">
        <f aca="false">IF('STUDENT SCREENING'!F263="","",'STUDENT SCREENING'!F263)</f>
        <v/>
      </c>
      <c r="D263" s="38" t="str">
        <f aca="false">IF('STUDENT SCREENING'!G263="","",'STUDENT SCREENING'!G263)</f>
        <v/>
      </c>
      <c r="E263" s="38" t="str">
        <f aca="false">IF('STUDENT SCREENING'!C263="","",'STUDENT SCREENING'!C263)</f>
        <v/>
      </c>
      <c r="F263" s="38" t="str">
        <f aca="false">IF('STUDENT SCREENING'!J263="","",'STUDENT SCREENING'!J263)</f>
        <v/>
      </c>
      <c r="G263" s="38" t="str">
        <f aca="false">IF('STUDENT SCREENING'!K263="","",'STUDENT SCREENING'!K263)</f>
        <v/>
      </c>
      <c r="H263" s="38" t="str">
        <f aca="false">IF('STUDENT SCREENING'!S263="","",'STUDENT SCREENING'!S263)</f>
        <v/>
      </c>
      <c r="I263" s="38" t="str">
        <f aca="false">IF('STUDENT SCREENING'!T263="","",'STUDENT SCREENING'!T263)</f>
        <v/>
      </c>
      <c r="J263" s="38" t="str">
        <f aca="false">IF('STUDENT SCREENING'!BM263="","",'STUDENT SCREENING'!BM263)</f>
        <v/>
      </c>
      <c r="K263" s="38" t="str">
        <f aca="false">IF('STUDENT SCREENING'!BN263="","",'STUDENT SCREENING'!BN263)</f>
        <v/>
      </c>
      <c r="L263" s="38" t="str">
        <f aca="false">IF('STUDENT SCREENING'!BO263="","",'STUDENT SCREENING'!BO263)</f>
        <v/>
      </c>
      <c r="M263" s="38" t="str">
        <f aca="false">IF('STUDENT SCREENING'!BP263="","",'STUDENT SCREENING'!BP263)</f>
        <v/>
      </c>
      <c r="N263" s="38" t="str">
        <f aca="false">IF('STUDENT SCREENING'!BQ263="","",'STUDENT SCREENING'!BQ263)</f>
        <v/>
      </c>
      <c r="O263" s="38" t="str">
        <f aca="false">IF('STUDENT SCREENING'!BR263="","",'STUDENT SCREENING'!BR263)</f>
        <v/>
      </c>
      <c r="P263" s="32"/>
      <c r="Q263" s="32"/>
      <c r="R263" s="32"/>
      <c r="S263" s="32"/>
      <c r="T263" s="32"/>
      <c r="U263" s="32"/>
      <c r="V263" s="32"/>
      <c r="W263" s="32"/>
      <c r="X263" s="32"/>
    </row>
    <row r="264" customFormat="false" ht="15" hidden="false" customHeight="false" outlineLevel="0" collapsed="false">
      <c r="A264" s="37" t="str">
        <f aca="false">IF('STUDENT SCREENING'!A264="","",'STUDENT SCREENING'!A264)</f>
        <v/>
      </c>
      <c r="B264" s="37" t="str">
        <f aca="false">IF('STUDENT SCREENING'!I264="","",'STUDENT SCREENING'!I264)</f>
        <v/>
      </c>
      <c r="C264" s="37" t="str">
        <f aca="false">IF('STUDENT SCREENING'!F264="","",'STUDENT SCREENING'!F264)</f>
        <v/>
      </c>
      <c r="D264" s="37" t="str">
        <f aca="false">IF('STUDENT SCREENING'!G264="","",'STUDENT SCREENING'!G264)</f>
        <v/>
      </c>
      <c r="E264" s="37" t="str">
        <f aca="false">IF('STUDENT SCREENING'!C264="","",'STUDENT SCREENING'!C264)</f>
        <v/>
      </c>
      <c r="F264" s="37" t="str">
        <f aca="false">IF('STUDENT SCREENING'!J264="","",'STUDENT SCREENING'!J264)</f>
        <v/>
      </c>
      <c r="G264" s="37" t="str">
        <f aca="false">IF('STUDENT SCREENING'!K264="","",'STUDENT SCREENING'!K264)</f>
        <v/>
      </c>
      <c r="H264" s="37" t="str">
        <f aca="false">IF('STUDENT SCREENING'!S264="","",'STUDENT SCREENING'!S264)</f>
        <v/>
      </c>
      <c r="I264" s="37" t="str">
        <f aca="false">IF('STUDENT SCREENING'!T264="","",'STUDENT SCREENING'!T264)</f>
        <v/>
      </c>
      <c r="J264" s="37" t="str">
        <f aca="false">IF('STUDENT SCREENING'!BM264="","",'STUDENT SCREENING'!BM264)</f>
        <v/>
      </c>
      <c r="K264" s="37" t="str">
        <f aca="false">IF('STUDENT SCREENING'!BN264="","",'STUDENT SCREENING'!BN264)</f>
        <v/>
      </c>
      <c r="L264" s="37" t="str">
        <f aca="false">IF('STUDENT SCREENING'!BO264="","",'STUDENT SCREENING'!BO264)</f>
        <v/>
      </c>
      <c r="M264" s="37" t="str">
        <f aca="false">IF('STUDENT SCREENING'!BP264="","",'STUDENT SCREENING'!BP264)</f>
        <v/>
      </c>
      <c r="N264" s="37" t="str">
        <f aca="false">IF('STUDENT SCREENING'!BQ264="","",'STUDENT SCREENING'!BQ264)</f>
        <v/>
      </c>
      <c r="O264" s="37" t="str">
        <f aca="false">IF('STUDENT SCREENING'!BR264="","",'STUDENT SCREENING'!BR264)</f>
        <v/>
      </c>
      <c r="P264" s="28"/>
      <c r="Q264" s="28"/>
      <c r="R264" s="28"/>
      <c r="S264" s="28"/>
      <c r="T264" s="28"/>
      <c r="U264" s="28"/>
      <c r="V264" s="28"/>
      <c r="W264" s="28"/>
      <c r="X264" s="28"/>
    </row>
    <row r="265" customFormat="false" ht="15" hidden="false" customHeight="false" outlineLevel="0" collapsed="false">
      <c r="A265" s="38" t="str">
        <f aca="false">IF('STUDENT SCREENING'!A265="","",'STUDENT SCREENING'!A265)</f>
        <v/>
      </c>
      <c r="B265" s="38" t="str">
        <f aca="false">IF('STUDENT SCREENING'!I265="","",'STUDENT SCREENING'!I265)</f>
        <v/>
      </c>
      <c r="C265" s="38" t="str">
        <f aca="false">IF('STUDENT SCREENING'!F265="","",'STUDENT SCREENING'!F265)</f>
        <v/>
      </c>
      <c r="D265" s="38" t="str">
        <f aca="false">IF('STUDENT SCREENING'!G265="","",'STUDENT SCREENING'!G265)</f>
        <v/>
      </c>
      <c r="E265" s="38" t="str">
        <f aca="false">IF('STUDENT SCREENING'!C265="","",'STUDENT SCREENING'!C265)</f>
        <v/>
      </c>
      <c r="F265" s="38" t="str">
        <f aca="false">IF('STUDENT SCREENING'!J265="","",'STUDENT SCREENING'!J265)</f>
        <v/>
      </c>
      <c r="G265" s="38" t="str">
        <f aca="false">IF('STUDENT SCREENING'!K265="","",'STUDENT SCREENING'!K265)</f>
        <v/>
      </c>
      <c r="H265" s="38" t="str">
        <f aca="false">IF('STUDENT SCREENING'!S265="","",'STUDENT SCREENING'!S265)</f>
        <v/>
      </c>
      <c r="I265" s="38" t="str">
        <f aca="false">IF('STUDENT SCREENING'!T265="","",'STUDENT SCREENING'!T265)</f>
        <v/>
      </c>
      <c r="J265" s="38" t="str">
        <f aca="false">IF('STUDENT SCREENING'!BM265="","",'STUDENT SCREENING'!BM265)</f>
        <v/>
      </c>
      <c r="K265" s="38" t="str">
        <f aca="false">IF('STUDENT SCREENING'!BN265="","",'STUDENT SCREENING'!BN265)</f>
        <v/>
      </c>
      <c r="L265" s="38" t="str">
        <f aca="false">IF('STUDENT SCREENING'!BO265="","",'STUDENT SCREENING'!BO265)</f>
        <v/>
      </c>
      <c r="M265" s="38" t="str">
        <f aca="false">IF('STUDENT SCREENING'!BP265="","",'STUDENT SCREENING'!BP265)</f>
        <v/>
      </c>
      <c r="N265" s="38" t="str">
        <f aca="false">IF('STUDENT SCREENING'!BQ265="","",'STUDENT SCREENING'!BQ265)</f>
        <v/>
      </c>
      <c r="O265" s="38" t="str">
        <f aca="false">IF('STUDENT SCREENING'!BR265="","",'STUDENT SCREENING'!BR265)</f>
        <v/>
      </c>
      <c r="P265" s="32"/>
      <c r="Q265" s="32"/>
      <c r="R265" s="32"/>
      <c r="S265" s="32"/>
      <c r="T265" s="32"/>
      <c r="U265" s="32"/>
      <c r="V265" s="32"/>
      <c r="W265" s="32"/>
      <c r="X265" s="32"/>
    </row>
    <row r="266" customFormat="false" ht="15" hidden="false" customHeight="false" outlineLevel="0" collapsed="false">
      <c r="A266" s="37" t="str">
        <f aca="false">IF('STUDENT SCREENING'!A266="","",'STUDENT SCREENING'!A266)</f>
        <v/>
      </c>
      <c r="B266" s="37" t="str">
        <f aca="false">IF('STUDENT SCREENING'!I266="","",'STUDENT SCREENING'!I266)</f>
        <v/>
      </c>
      <c r="C266" s="37" t="str">
        <f aca="false">IF('STUDENT SCREENING'!F266="","",'STUDENT SCREENING'!F266)</f>
        <v/>
      </c>
      <c r="D266" s="37" t="str">
        <f aca="false">IF('STUDENT SCREENING'!G266="","",'STUDENT SCREENING'!G266)</f>
        <v/>
      </c>
      <c r="E266" s="37" t="str">
        <f aca="false">IF('STUDENT SCREENING'!C266="","",'STUDENT SCREENING'!C266)</f>
        <v/>
      </c>
      <c r="F266" s="37" t="str">
        <f aca="false">IF('STUDENT SCREENING'!J266="","",'STUDENT SCREENING'!J266)</f>
        <v/>
      </c>
      <c r="G266" s="37" t="str">
        <f aca="false">IF('STUDENT SCREENING'!K266="","",'STUDENT SCREENING'!K266)</f>
        <v/>
      </c>
      <c r="H266" s="37" t="str">
        <f aca="false">IF('STUDENT SCREENING'!S266="","",'STUDENT SCREENING'!S266)</f>
        <v/>
      </c>
      <c r="I266" s="37" t="str">
        <f aca="false">IF('STUDENT SCREENING'!T266="","",'STUDENT SCREENING'!T266)</f>
        <v/>
      </c>
      <c r="J266" s="37" t="str">
        <f aca="false">IF('STUDENT SCREENING'!BM266="","",'STUDENT SCREENING'!BM266)</f>
        <v/>
      </c>
      <c r="K266" s="37" t="str">
        <f aca="false">IF('STUDENT SCREENING'!BN266="","",'STUDENT SCREENING'!BN266)</f>
        <v/>
      </c>
      <c r="L266" s="37" t="str">
        <f aca="false">IF('STUDENT SCREENING'!BO266="","",'STUDENT SCREENING'!BO266)</f>
        <v/>
      </c>
      <c r="M266" s="37" t="str">
        <f aca="false">IF('STUDENT SCREENING'!BP266="","",'STUDENT SCREENING'!BP266)</f>
        <v/>
      </c>
      <c r="N266" s="37" t="str">
        <f aca="false">IF('STUDENT SCREENING'!BQ266="","",'STUDENT SCREENING'!BQ266)</f>
        <v/>
      </c>
      <c r="O266" s="37" t="str">
        <f aca="false">IF('STUDENT SCREENING'!BR266="","",'STUDENT SCREENING'!BR266)</f>
        <v/>
      </c>
      <c r="P266" s="28"/>
      <c r="Q266" s="28"/>
      <c r="R266" s="28"/>
      <c r="S266" s="28"/>
      <c r="T266" s="28"/>
      <c r="U266" s="28"/>
      <c r="V266" s="28"/>
      <c r="W266" s="28"/>
      <c r="X266" s="28"/>
    </row>
    <row r="267" customFormat="false" ht="15" hidden="false" customHeight="false" outlineLevel="0" collapsed="false">
      <c r="A267" s="38" t="str">
        <f aca="false">IF('STUDENT SCREENING'!A267="","",'STUDENT SCREENING'!A267)</f>
        <v/>
      </c>
      <c r="B267" s="38" t="str">
        <f aca="false">IF('STUDENT SCREENING'!I267="","",'STUDENT SCREENING'!I267)</f>
        <v/>
      </c>
      <c r="C267" s="38" t="str">
        <f aca="false">IF('STUDENT SCREENING'!F267="","",'STUDENT SCREENING'!F267)</f>
        <v/>
      </c>
      <c r="D267" s="38" t="str">
        <f aca="false">IF('STUDENT SCREENING'!G267="","",'STUDENT SCREENING'!G267)</f>
        <v/>
      </c>
      <c r="E267" s="38" t="str">
        <f aca="false">IF('STUDENT SCREENING'!C267="","",'STUDENT SCREENING'!C267)</f>
        <v/>
      </c>
      <c r="F267" s="38" t="str">
        <f aca="false">IF('STUDENT SCREENING'!J267="","",'STUDENT SCREENING'!J267)</f>
        <v/>
      </c>
      <c r="G267" s="38" t="str">
        <f aca="false">IF('STUDENT SCREENING'!K267="","",'STUDENT SCREENING'!K267)</f>
        <v/>
      </c>
      <c r="H267" s="38" t="str">
        <f aca="false">IF('STUDENT SCREENING'!S267="","",'STUDENT SCREENING'!S267)</f>
        <v/>
      </c>
      <c r="I267" s="38" t="str">
        <f aca="false">IF('STUDENT SCREENING'!T267="","",'STUDENT SCREENING'!T267)</f>
        <v/>
      </c>
      <c r="J267" s="38" t="str">
        <f aca="false">IF('STUDENT SCREENING'!BM267="","",'STUDENT SCREENING'!BM267)</f>
        <v/>
      </c>
      <c r="K267" s="38" t="str">
        <f aca="false">IF('STUDENT SCREENING'!BN267="","",'STUDENT SCREENING'!BN267)</f>
        <v/>
      </c>
      <c r="L267" s="38" t="str">
        <f aca="false">IF('STUDENT SCREENING'!BO267="","",'STUDENT SCREENING'!BO267)</f>
        <v/>
      </c>
      <c r="M267" s="38" t="str">
        <f aca="false">IF('STUDENT SCREENING'!BP267="","",'STUDENT SCREENING'!BP267)</f>
        <v/>
      </c>
      <c r="N267" s="38" t="str">
        <f aca="false">IF('STUDENT SCREENING'!BQ267="","",'STUDENT SCREENING'!BQ267)</f>
        <v/>
      </c>
      <c r="O267" s="38" t="str">
        <f aca="false">IF('STUDENT SCREENING'!BR267="","",'STUDENT SCREENING'!BR267)</f>
        <v/>
      </c>
      <c r="P267" s="32"/>
      <c r="Q267" s="32"/>
      <c r="R267" s="32"/>
      <c r="S267" s="32"/>
      <c r="T267" s="32"/>
      <c r="U267" s="32"/>
      <c r="V267" s="32"/>
      <c r="W267" s="32"/>
      <c r="X267" s="32"/>
    </row>
    <row r="268" customFormat="false" ht="15" hidden="false" customHeight="false" outlineLevel="0" collapsed="false">
      <c r="A268" s="37" t="str">
        <f aca="false">IF('STUDENT SCREENING'!A268="","",'STUDENT SCREENING'!A268)</f>
        <v/>
      </c>
      <c r="B268" s="37" t="str">
        <f aca="false">IF('STUDENT SCREENING'!I268="","",'STUDENT SCREENING'!I268)</f>
        <v/>
      </c>
      <c r="C268" s="37" t="str">
        <f aca="false">IF('STUDENT SCREENING'!F268="","",'STUDENT SCREENING'!F268)</f>
        <v/>
      </c>
      <c r="D268" s="37" t="str">
        <f aca="false">IF('STUDENT SCREENING'!G268="","",'STUDENT SCREENING'!G268)</f>
        <v/>
      </c>
      <c r="E268" s="37" t="str">
        <f aca="false">IF('STUDENT SCREENING'!C268="","",'STUDENT SCREENING'!C268)</f>
        <v/>
      </c>
      <c r="F268" s="37" t="str">
        <f aca="false">IF('STUDENT SCREENING'!J268="","",'STUDENT SCREENING'!J268)</f>
        <v/>
      </c>
      <c r="G268" s="37" t="str">
        <f aca="false">IF('STUDENT SCREENING'!K268="","",'STUDENT SCREENING'!K268)</f>
        <v/>
      </c>
      <c r="H268" s="37" t="str">
        <f aca="false">IF('STUDENT SCREENING'!S268="","",'STUDENT SCREENING'!S268)</f>
        <v/>
      </c>
      <c r="I268" s="37" t="str">
        <f aca="false">IF('STUDENT SCREENING'!T268="","",'STUDENT SCREENING'!T268)</f>
        <v/>
      </c>
      <c r="J268" s="37" t="str">
        <f aca="false">IF('STUDENT SCREENING'!BM268="","",'STUDENT SCREENING'!BM268)</f>
        <v/>
      </c>
      <c r="K268" s="37" t="str">
        <f aca="false">IF('STUDENT SCREENING'!BN268="","",'STUDENT SCREENING'!BN268)</f>
        <v/>
      </c>
      <c r="L268" s="37" t="str">
        <f aca="false">IF('STUDENT SCREENING'!BO268="","",'STUDENT SCREENING'!BO268)</f>
        <v/>
      </c>
      <c r="M268" s="37" t="str">
        <f aca="false">IF('STUDENT SCREENING'!BP268="","",'STUDENT SCREENING'!BP268)</f>
        <v/>
      </c>
      <c r="N268" s="37" t="str">
        <f aca="false">IF('STUDENT SCREENING'!BQ268="","",'STUDENT SCREENING'!BQ268)</f>
        <v/>
      </c>
      <c r="O268" s="37" t="str">
        <f aca="false">IF('STUDENT SCREENING'!BR268="","",'STUDENT SCREENING'!BR268)</f>
        <v/>
      </c>
      <c r="P268" s="28"/>
      <c r="Q268" s="28"/>
      <c r="R268" s="28"/>
      <c r="S268" s="28"/>
      <c r="T268" s="28"/>
      <c r="U268" s="28"/>
      <c r="V268" s="28"/>
      <c r="W268" s="28"/>
      <c r="X268" s="28"/>
    </row>
    <row r="269" customFormat="false" ht="15" hidden="false" customHeight="false" outlineLevel="0" collapsed="false">
      <c r="A269" s="38" t="str">
        <f aca="false">IF('STUDENT SCREENING'!A269="","",'STUDENT SCREENING'!A269)</f>
        <v/>
      </c>
      <c r="B269" s="38" t="str">
        <f aca="false">IF('STUDENT SCREENING'!I269="","",'STUDENT SCREENING'!I269)</f>
        <v/>
      </c>
      <c r="C269" s="38" t="str">
        <f aca="false">IF('STUDENT SCREENING'!F269="","",'STUDENT SCREENING'!F269)</f>
        <v/>
      </c>
      <c r="D269" s="38" t="str">
        <f aca="false">IF('STUDENT SCREENING'!G269="","",'STUDENT SCREENING'!G269)</f>
        <v/>
      </c>
      <c r="E269" s="38" t="str">
        <f aca="false">IF('STUDENT SCREENING'!C269="","",'STUDENT SCREENING'!C269)</f>
        <v/>
      </c>
      <c r="F269" s="38" t="str">
        <f aca="false">IF('STUDENT SCREENING'!J269="","",'STUDENT SCREENING'!J269)</f>
        <v/>
      </c>
      <c r="G269" s="38" t="str">
        <f aca="false">IF('STUDENT SCREENING'!K269="","",'STUDENT SCREENING'!K269)</f>
        <v/>
      </c>
      <c r="H269" s="38" t="str">
        <f aca="false">IF('STUDENT SCREENING'!S269="","",'STUDENT SCREENING'!S269)</f>
        <v/>
      </c>
      <c r="I269" s="38" t="str">
        <f aca="false">IF('STUDENT SCREENING'!T269="","",'STUDENT SCREENING'!T269)</f>
        <v/>
      </c>
      <c r="J269" s="38" t="str">
        <f aca="false">IF('STUDENT SCREENING'!BM269="","",'STUDENT SCREENING'!BM269)</f>
        <v/>
      </c>
      <c r="K269" s="38" t="str">
        <f aca="false">IF('STUDENT SCREENING'!BN269="","",'STUDENT SCREENING'!BN269)</f>
        <v/>
      </c>
      <c r="L269" s="38" t="str">
        <f aca="false">IF('STUDENT SCREENING'!BO269="","",'STUDENT SCREENING'!BO269)</f>
        <v/>
      </c>
      <c r="M269" s="38" t="str">
        <f aca="false">IF('STUDENT SCREENING'!BP269="","",'STUDENT SCREENING'!BP269)</f>
        <v/>
      </c>
      <c r="N269" s="38" t="str">
        <f aca="false">IF('STUDENT SCREENING'!BQ269="","",'STUDENT SCREENING'!BQ269)</f>
        <v/>
      </c>
      <c r="O269" s="38" t="str">
        <f aca="false">IF('STUDENT SCREENING'!BR269="","",'STUDENT SCREENING'!BR269)</f>
        <v/>
      </c>
      <c r="P269" s="32"/>
      <c r="Q269" s="32"/>
      <c r="R269" s="32"/>
      <c r="S269" s="32"/>
      <c r="T269" s="32"/>
      <c r="U269" s="32"/>
      <c r="V269" s="32"/>
      <c r="W269" s="32"/>
      <c r="X269" s="32"/>
    </row>
    <row r="270" customFormat="false" ht="15" hidden="false" customHeight="false" outlineLevel="0" collapsed="false">
      <c r="A270" s="37" t="str">
        <f aca="false">IF('STUDENT SCREENING'!A270="","",'STUDENT SCREENING'!A270)</f>
        <v/>
      </c>
      <c r="B270" s="37" t="str">
        <f aca="false">IF('STUDENT SCREENING'!I270="","",'STUDENT SCREENING'!I270)</f>
        <v/>
      </c>
      <c r="C270" s="37" t="str">
        <f aca="false">IF('STUDENT SCREENING'!F270="","",'STUDENT SCREENING'!F270)</f>
        <v/>
      </c>
      <c r="D270" s="37" t="str">
        <f aca="false">IF('STUDENT SCREENING'!G270="","",'STUDENT SCREENING'!G270)</f>
        <v/>
      </c>
      <c r="E270" s="37" t="str">
        <f aca="false">IF('STUDENT SCREENING'!C270="","",'STUDENT SCREENING'!C270)</f>
        <v/>
      </c>
      <c r="F270" s="37" t="str">
        <f aca="false">IF('STUDENT SCREENING'!J270="","",'STUDENT SCREENING'!J270)</f>
        <v/>
      </c>
      <c r="G270" s="37" t="str">
        <f aca="false">IF('STUDENT SCREENING'!K270="","",'STUDENT SCREENING'!K270)</f>
        <v/>
      </c>
      <c r="H270" s="37" t="str">
        <f aca="false">IF('STUDENT SCREENING'!S270="","",'STUDENT SCREENING'!S270)</f>
        <v/>
      </c>
      <c r="I270" s="37" t="str">
        <f aca="false">IF('STUDENT SCREENING'!T270="","",'STUDENT SCREENING'!T270)</f>
        <v/>
      </c>
      <c r="J270" s="37" t="str">
        <f aca="false">IF('STUDENT SCREENING'!BM270="","",'STUDENT SCREENING'!BM270)</f>
        <v/>
      </c>
      <c r="K270" s="37" t="str">
        <f aca="false">IF('STUDENT SCREENING'!BN270="","",'STUDENT SCREENING'!BN270)</f>
        <v/>
      </c>
      <c r="L270" s="37" t="str">
        <f aca="false">IF('STUDENT SCREENING'!BO270="","",'STUDENT SCREENING'!BO270)</f>
        <v/>
      </c>
      <c r="M270" s="37" t="str">
        <f aca="false">IF('STUDENT SCREENING'!BP270="","",'STUDENT SCREENING'!BP270)</f>
        <v/>
      </c>
      <c r="N270" s="37" t="str">
        <f aca="false">IF('STUDENT SCREENING'!BQ270="","",'STUDENT SCREENING'!BQ270)</f>
        <v/>
      </c>
      <c r="O270" s="37" t="str">
        <f aca="false">IF('STUDENT SCREENING'!BR270="","",'STUDENT SCREENING'!BR270)</f>
        <v/>
      </c>
      <c r="P270" s="28"/>
      <c r="Q270" s="28"/>
      <c r="R270" s="28"/>
      <c r="S270" s="28"/>
      <c r="T270" s="28"/>
      <c r="U270" s="28"/>
      <c r="V270" s="28"/>
      <c r="W270" s="28"/>
      <c r="X270" s="28"/>
    </row>
    <row r="271" customFormat="false" ht="15" hidden="false" customHeight="false" outlineLevel="0" collapsed="false">
      <c r="A271" s="38" t="str">
        <f aca="false">IF('STUDENT SCREENING'!A271="","",'STUDENT SCREENING'!A271)</f>
        <v/>
      </c>
      <c r="B271" s="38" t="str">
        <f aca="false">IF('STUDENT SCREENING'!I271="","",'STUDENT SCREENING'!I271)</f>
        <v/>
      </c>
      <c r="C271" s="38" t="str">
        <f aca="false">IF('STUDENT SCREENING'!F271="","",'STUDENT SCREENING'!F271)</f>
        <v/>
      </c>
      <c r="D271" s="38" t="str">
        <f aca="false">IF('STUDENT SCREENING'!G271="","",'STUDENT SCREENING'!G271)</f>
        <v/>
      </c>
      <c r="E271" s="38" t="str">
        <f aca="false">IF('STUDENT SCREENING'!C271="","",'STUDENT SCREENING'!C271)</f>
        <v/>
      </c>
      <c r="F271" s="38" t="str">
        <f aca="false">IF('STUDENT SCREENING'!J271="","",'STUDENT SCREENING'!J271)</f>
        <v/>
      </c>
      <c r="G271" s="38" t="str">
        <f aca="false">IF('STUDENT SCREENING'!K271="","",'STUDENT SCREENING'!K271)</f>
        <v/>
      </c>
      <c r="H271" s="38" t="str">
        <f aca="false">IF('STUDENT SCREENING'!S271="","",'STUDENT SCREENING'!S271)</f>
        <v/>
      </c>
      <c r="I271" s="38" t="str">
        <f aca="false">IF('STUDENT SCREENING'!T271="","",'STUDENT SCREENING'!T271)</f>
        <v/>
      </c>
      <c r="J271" s="38" t="str">
        <f aca="false">IF('STUDENT SCREENING'!BM271="","",'STUDENT SCREENING'!BM271)</f>
        <v/>
      </c>
      <c r="K271" s="38" t="str">
        <f aca="false">IF('STUDENT SCREENING'!BN271="","",'STUDENT SCREENING'!BN271)</f>
        <v/>
      </c>
      <c r="L271" s="38" t="str">
        <f aca="false">IF('STUDENT SCREENING'!BO271="","",'STUDENT SCREENING'!BO271)</f>
        <v/>
      </c>
      <c r="M271" s="38" t="str">
        <f aca="false">IF('STUDENT SCREENING'!BP271="","",'STUDENT SCREENING'!BP271)</f>
        <v/>
      </c>
      <c r="N271" s="38" t="str">
        <f aca="false">IF('STUDENT SCREENING'!BQ271="","",'STUDENT SCREENING'!BQ271)</f>
        <v/>
      </c>
      <c r="O271" s="38" t="str">
        <f aca="false">IF('STUDENT SCREENING'!BR271="","",'STUDENT SCREENING'!BR271)</f>
        <v/>
      </c>
      <c r="P271" s="32"/>
      <c r="Q271" s="32"/>
      <c r="R271" s="32"/>
      <c r="S271" s="32"/>
      <c r="T271" s="32"/>
      <c r="U271" s="32"/>
      <c r="V271" s="32"/>
      <c r="W271" s="32"/>
      <c r="X271" s="32"/>
    </row>
    <row r="272" customFormat="false" ht="15" hidden="false" customHeight="false" outlineLevel="0" collapsed="false">
      <c r="A272" s="37" t="str">
        <f aca="false">IF('STUDENT SCREENING'!A272="","",'STUDENT SCREENING'!A272)</f>
        <v/>
      </c>
      <c r="B272" s="37" t="str">
        <f aca="false">IF('STUDENT SCREENING'!I272="","",'STUDENT SCREENING'!I272)</f>
        <v/>
      </c>
      <c r="C272" s="37" t="str">
        <f aca="false">IF('STUDENT SCREENING'!F272="","",'STUDENT SCREENING'!F272)</f>
        <v/>
      </c>
      <c r="D272" s="37" t="str">
        <f aca="false">IF('STUDENT SCREENING'!G272="","",'STUDENT SCREENING'!G272)</f>
        <v/>
      </c>
      <c r="E272" s="37" t="str">
        <f aca="false">IF('STUDENT SCREENING'!C272="","",'STUDENT SCREENING'!C272)</f>
        <v/>
      </c>
      <c r="F272" s="37" t="str">
        <f aca="false">IF('STUDENT SCREENING'!J272="","",'STUDENT SCREENING'!J272)</f>
        <v/>
      </c>
      <c r="G272" s="37" t="str">
        <f aca="false">IF('STUDENT SCREENING'!K272="","",'STUDENT SCREENING'!K272)</f>
        <v/>
      </c>
      <c r="H272" s="37" t="str">
        <f aca="false">IF('STUDENT SCREENING'!S272="","",'STUDENT SCREENING'!S272)</f>
        <v/>
      </c>
      <c r="I272" s="37" t="str">
        <f aca="false">IF('STUDENT SCREENING'!T272="","",'STUDENT SCREENING'!T272)</f>
        <v/>
      </c>
      <c r="J272" s="37" t="str">
        <f aca="false">IF('STUDENT SCREENING'!BM272="","",'STUDENT SCREENING'!BM272)</f>
        <v/>
      </c>
      <c r="K272" s="37" t="str">
        <f aca="false">IF('STUDENT SCREENING'!BN272="","",'STUDENT SCREENING'!BN272)</f>
        <v/>
      </c>
      <c r="L272" s="37" t="str">
        <f aca="false">IF('STUDENT SCREENING'!BO272="","",'STUDENT SCREENING'!BO272)</f>
        <v/>
      </c>
      <c r="M272" s="37" t="str">
        <f aca="false">IF('STUDENT SCREENING'!BP272="","",'STUDENT SCREENING'!BP272)</f>
        <v/>
      </c>
      <c r="N272" s="37" t="str">
        <f aca="false">IF('STUDENT SCREENING'!BQ272="","",'STUDENT SCREENING'!BQ272)</f>
        <v/>
      </c>
      <c r="O272" s="37" t="str">
        <f aca="false">IF('STUDENT SCREENING'!BR272="","",'STUDENT SCREENING'!BR272)</f>
        <v/>
      </c>
      <c r="P272" s="28"/>
      <c r="Q272" s="28"/>
      <c r="R272" s="28"/>
      <c r="S272" s="28"/>
      <c r="T272" s="28"/>
      <c r="U272" s="28"/>
      <c r="V272" s="28"/>
      <c r="W272" s="28"/>
      <c r="X272" s="28"/>
    </row>
    <row r="273" customFormat="false" ht="15" hidden="false" customHeight="false" outlineLevel="0" collapsed="false">
      <c r="A273" s="38" t="str">
        <f aca="false">IF('STUDENT SCREENING'!A273="","",'STUDENT SCREENING'!A273)</f>
        <v/>
      </c>
      <c r="B273" s="38" t="str">
        <f aca="false">IF('STUDENT SCREENING'!I273="","",'STUDENT SCREENING'!I273)</f>
        <v/>
      </c>
      <c r="C273" s="38" t="str">
        <f aca="false">IF('STUDENT SCREENING'!F273="","",'STUDENT SCREENING'!F273)</f>
        <v/>
      </c>
      <c r="D273" s="38" t="str">
        <f aca="false">IF('STUDENT SCREENING'!G273="","",'STUDENT SCREENING'!G273)</f>
        <v/>
      </c>
      <c r="E273" s="38" t="str">
        <f aca="false">IF('STUDENT SCREENING'!C273="","",'STUDENT SCREENING'!C273)</f>
        <v/>
      </c>
      <c r="F273" s="38" t="str">
        <f aca="false">IF('STUDENT SCREENING'!J273="","",'STUDENT SCREENING'!J273)</f>
        <v/>
      </c>
      <c r="G273" s="38" t="str">
        <f aca="false">IF('STUDENT SCREENING'!K273="","",'STUDENT SCREENING'!K273)</f>
        <v/>
      </c>
      <c r="H273" s="38" t="str">
        <f aca="false">IF('STUDENT SCREENING'!S273="","",'STUDENT SCREENING'!S273)</f>
        <v/>
      </c>
      <c r="I273" s="38" t="str">
        <f aca="false">IF('STUDENT SCREENING'!T273="","",'STUDENT SCREENING'!T273)</f>
        <v/>
      </c>
      <c r="J273" s="38" t="str">
        <f aca="false">IF('STUDENT SCREENING'!BM273="","",'STUDENT SCREENING'!BM273)</f>
        <v/>
      </c>
      <c r="K273" s="38" t="str">
        <f aca="false">IF('STUDENT SCREENING'!BN273="","",'STUDENT SCREENING'!BN273)</f>
        <v/>
      </c>
      <c r="L273" s="38" t="str">
        <f aca="false">IF('STUDENT SCREENING'!BO273="","",'STUDENT SCREENING'!BO273)</f>
        <v/>
      </c>
      <c r="M273" s="38" t="str">
        <f aca="false">IF('STUDENT SCREENING'!BP273="","",'STUDENT SCREENING'!BP273)</f>
        <v/>
      </c>
      <c r="N273" s="38" t="str">
        <f aca="false">IF('STUDENT SCREENING'!BQ273="","",'STUDENT SCREENING'!BQ273)</f>
        <v/>
      </c>
      <c r="O273" s="38" t="str">
        <f aca="false">IF('STUDENT SCREENING'!BR273="","",'STUDENT SCREENING'!BR273)</f>
        <v/>
      </c>
      <c r="P273" s="32"/>
      <c r="Q273" s="32"/>
      <c r="R273" s="32"/>
      <c r="S273" s="32"/>
      <c r="T273" s="32"/>
      <c r="U273" s="32"/>
      <c r="V273" s="32"/>
      <c r="W273" s="32"/>
      <c r="X273" s="32"/>
    </row>
    <row r="274" customFormat="false" ht="15" hidden="false" customHeight="false" outlineLevel="0" collapsed="false">
      <c r="A274" s="37" t="str">
        <f aca="false">IF('STUDENT SCREENING'!A274="","",'STUDENT SCREENING'!A274)</f>
        <v/>
      </c>
      <c r="B274" s="37" t="str">
        <f aca="false">IF('STUDENT SCREENING'!I274="","",'STUDENT SCREENING'!I274)</f>
        <v/>
      </c>
      <c r="C274" s="37" t="str">
        <f aca="false">IF('STUDENT SCREENING'!F274="","",'STUDENT SCREENING'!F274)</f>
        <v/>
      </c>
      <c r="D274" s="37" t="str">
        <f aca="false">IF('STUDENT SCREENING'!G274="","",'STUDENT SCREENING'!G274)</f>
        <v/>
      </c>
      <c r="E274" s="37" t="str">
        <f aca="false">IF('STUDENT SCREENING'!C274="","",'STUDENT SCREENING'!C274)</f>
        <v/>
      </c>
      <c r="F274" s="37" t="str">
        <f aca="false">IF('STUDENT SCREENING'!J274="","",'STUDENT SCREENING'!J274)</f>
        <v/>
      </c>
      <c r="G274" s="37" t="str">
        <f aca="false">IF('STUDENT SCREENING'!K274="","",'STUDENT SCREENING'!K274)</f>
        <v/>
      </c>
      <c r="H274" s="37" t="str">
        <f aca="false">IF('STUDENT SCREENING'!S274="","",'STUDENT SCREENING'!S274)</f>
        <v/>
      </c>
      <c r="I274" s="37" t="str">
        <f aca="false">IF('STUDENT SCREENING'!T274="","",'STUDENT SCREENING'!T274)</f>
        <v/>
      </c>
      <c r="J274" s="37" t="str">
        <f aca="false">IF('STUDENT SCREENING'!BM274="","",'STUDENT SCREENING'!BM274)</f>
        <v/>
      </c>
      <c r="K274" s="37" t="str">
        <f aca="false">IF('STUDENT SCREENING'!BN274="","",'STUDENT SCREENING'!BN274)</f>
        <v/>
      </c>
      <c r="L274" s="37" t="str">
        <f aca="false">IF('STUDENT SCREENING'!BO274="","",'STUDENT SCREENING'!BO274)</f>
        <v/>
      </c>
      <c r="M274" s="37" t="str">
        <f aca="false">IF('STUDENT SCREENING'!BP274="","",'STUDENT SCREENING'!BP274)</f>
        <v/>
      </c>
      <c r="N274" s="37" t="str">
        <f aca="false">IF('STUDENT SCREENING'!BQ274="","",'STUDENT SCREENING'!BQ274)</f>
        <v/>
      </c>
      <c r="O274" s="37" t="str">
        <f aca="false">IF('STUDENT SCREENING'!BR274="","",'STUDENT SCREENING'!BR274)</f>
        <v/>
      </c>
      <c r="P274" s="28"/>
      <c r="Q274" s="28"/>
      <c r="R274" s="28"/>
      <c r="S274" s="28"/>
      <c r="T274" s="28"/>
      <c r="U274" s="28"/>
      <c r="V274" s="28"/>
      <c r="W274" s="28"/>
      <c r="X274" s="28"/>
    </row>
    <row r="275" customFormat="false" ht="15" hidden="false" customHeight="false" outlineLevel="0" collapsed="false">
      <c r="A275" s="38" t="str">
        <f aca="false">IF('STUDENT SCREENING'!A275="","",'STUDENT SCREENING'!A275)</f>
        <v/>
      </c>
      <c r="B275" s="38" t="str">
        <f aca="false">IF('STUDENT SCREENING'!I275="","",'STUDENT SCREENING'!I275)</f>
        <v/>
      </c>
      <c r="C275" s="38" t="str">
        <f aca="false">IF('STUDENT SCREENING'!F275="","",'STUDENT SCREENING'!F275)</f>
        <v/>
      </c>
      <c r="D275" s="38" t="str">
        <f aca="false">IF('STUDENT SCREENING'!G275="","",'STUDENT SCREENING'!G275)</f>
        <v/>
      </c>
      <c r="E275" s="38" t="str">
        <f aca="false">IF('STUDENT SCREENING'!C275="","",'STUDENT SCREENING'!C275)</f>
        <v/>
      </c>
      <c r="F275" s="38" t="str">
        <f aca="false">IF('STUDENT SCREENING'!J275="","",'STUDENT SCREENING'!J275)</f>
        <v/>
      </c>
      <c r="G275" s="38" t="str">
        <f aca="false">IF('STUDENT SCREENING'!K275="","",'STUDENT SCREENING'!K275)</f>
        <v/>
      </c>
      <c r="H275" s="38" t="str">
        <f aca="false">IF('STUDENT SCREENING'!S275="","",'STUDENT SCREENING'!S275)</f>
        <v/>
      </c>
      <c r="I275" s="38" t="str">
        <f aca="false">IF('STUDENT SCREENING'!T275="","",'STUDENT SCREENING'!T275)</f>
        <v/>
      </c>
      <c r="J275" s="38" t="str">
        <f aca="false">IF('STUDENT SCREENING'!BM275="","",'STUDENT SCREENING'!BM275)</f>
        <v/>
      </c>
      <c r="K275" s="38" t="str">
        <f aca="false">IF('STUDENT SCREENING'!BN275="","",'STUDENT SCREENING'!BN275)</f>
        <v/>
      </c>
      <c r="L275" s="38" t="str">
        <f aca="false">IF('STUDENT SCREENING'!BO275="","",'STUDENT SCREENING'!BO275)</f>
        <v/>
      </c>
      <c r="M275" s="38" t="str">
        <f aca="false">IF('STUDENT SCREENING'!BP275="","",'STUDENT SCREENING'!BP275)</f>
        <v/>
      </c>
      <c r="N275" s="38" t="str">
        <f aca="false">IF('STUDENT SCREENING'!BQ275="","",'STUDENT SCREENING'!BQ275)</f>
        <v/>
      </c>
      <c r="O275" s="38" t="str">
        <f aca="false">IF('STUDENT SCREENING'!BR275="","",'STUDENT SCREENING'!BR275)</f>
        <v/>
      </c>
      <c r="P275" s="32"/>
      <c r="Q275" s="32"/>
      <c r="R275" s="32"/>
      <c r="S275" s="32"/>
      <c r="T275" s="32"/>
      <c r="U275" s="32"/>
      <c r="V275" s="32"/>
      <c r="W275" s="32"/>
      <c r="X275" s="32"/>
    </row>
    <row r="276" customFormat="false" ht="15" hidden="false" customHeight="false" outlineLevel="0" collapsed="false">
      <c r="A276" s="37" t="str">
        <f aca="false">IF('STUDENT SCREENING'!A276="","",'STUDENT SCREENING'!A276)</f>
        <v/>
      </c>
      <c r="B276" s="37" t="str">
        <f aca="false">IF('STUDENT SCREENING'!I276="","",'STUDENT SCREENING'!I276)</f>
        <v/>
      </c>
      <c r="C276" s="37" t="str">
        <f aca="false">IF('STUDENT SCREENING'!F276="","",'STUDENT SCREENING'!F276)</f>
        <v/>
      </c>
      <c r="D276" s="37" t="str">
        <f aca="false">IF('STUDENT SCREENING'!G276="","",'STUDENT SCREENING'!G276)</f>
        <v/>
      </c>
      <c r="E276" s="37" t="str">
        <f aca="false">IF('STUDENT SCREENING'!C276="","",'STUDENT SCREENING'!C276)</f>
        <v/>
      </c>
      <c r="F276" s="37" t="str">
        <f aca="false">IF('STUDENT SCREENING'!J276="","",'STUDENT SCREENING'!J276)</f>
        <v/>
      </c>
      <c r="G276" s="37" t="str">
        <f aca="false">IF('STUDENT SCREENING'!K276="","",'STUDENT SCREENING'!K276)</f>
        <v/>
      </c>
      <c r="H276" s="37" t="str">
        <f aca="false">IF('STUDENT SCREENING'!S276="","",'STUDENT SCREENING'!S276)</f>
        <v/>
      </c>
      <c r="I276" s="37" t="str">
        <f aca="false">IF('STUDENT SCREENING'!T276="","",'STUDENT SCREENING'!T276)</f>
        <v/>
      </c>
      <c r="J276" s="37" t="str">
        <f aca="false">IF('STUDENT SCREENING'!BM276="","",'STUDENT SCREENING'!BM276)</f>
        <v/>
      </c>
      <c r="K276" s="37" t="str">
        <f aca="false">IF('STUDENT SCREENING'!BN276="","",'STUDENT SCREENING'!BN276)</f>
        <v/>
      </c>
      <c r="L276" s="37" t="str">
        <f aca="false">IF('STUDENT SCREENING'!BO276="","",'STUDENT SCREENING'!BO276)</f>
        <v/>
      </c>
      <c r="M276" s="37" t="str">
        <f aca="false">IF('STUDENT SCREENING'!BP276="","",'STUDENT SCREENING'!BP276)</f>
        <v/>
      </c>
      <c r="N276" s="37" t="str">
        <f aca="false">IF('STUDENT SCREENING'!BQ276="","",'STUDENT SCREENING'!BQ276)</f>
        <v/>
      </c>
      <c r="O276" s="37" t="str">
        <f aca="false">IF('STUDENT SCREENING'!BR276="","",'STUDENT SCREENING'!BR276)</f>
        <v/>
      </c>
      <c r="P276" s="28"/>
      <c r="Q276" s="28"/>
      <c r="R276" s="28"/>
      <c r="S276" s="28"/>
      <c r="T276" s="28"/>
      <c r="U276" s="28"/>
      <c r="V276" s="28"/>
      <c r="W276" s="28"/>
      <c r="X276" s="28"/>
    </row>
    <row r="277" customFormat="false" ht="15" hidden="false" customHeight="false" outlineLevel="0" collapsed="false">
      <c r="A277" s="38" t="str">
        <f aca="false">IF('STUDENT SCREENING'!A277="","",'STUDENT SCREENING'!A277)</f>
        <v/>
      </c>
      <c r="B277" s="38" t="str">
        <f aca="false">IF('STUDENT SCREENING'!I277="","",'STUDENT SCREENING'!I277)</f>
        <v/>
      </c>
      <c r="C277" s="38" t="str">
        <f aca="false">IF('STUDENT SCREENING'!F277="","",'STUDENT SCREENING'!F277)</f>
        <v/>
      </c>
      <c r="D277" s="38" t="str">
        <f aca="false">IF('STUDENT SCREENING'!G277="","",'STUDENT SCREENING'!G277)</f>
        <v/>
      </c>
      <c r="E277" s="38" t="str">
        <f aca="false">IF('STUDENT SCREENING'!C277="","",'STUDENT SCREENING'!C277)</f>
        <v/>
      </c>
      <c r="F277" s="38" t="str">
        <f aca="false">IF('STUDENT SCREENING'!J277="","",'STUDENT SCREENING'!J277)</f>
        <v/>
      </c>
      <c r="G277" s="38" t="str">
        <f aca="false">IF('STUDENT SCREENING'!K277="","",'STUDENT SCREENING'!K277)</f>
        <v/>
      </c>
      <c r="H277" s="38" t="str">
        <f aca="false">IF('STUDENT SCREENING'!S277="","",'STUDENT SCREENING'!S277)</f>
        <v/>
      </c>
      <c r="I277" s="38" t="str">
        <f aca="false">IF('STUDENT SCREENING'!T277="","",'STUDENT SCREENING'!T277)</f>
        <v/>
      </c>
      <c r="J277" s="38" t="str">
        <f aca="false">IF('STUDENT SCREENING'!BM277="","",'STUDENT SCREENING'!BM277)</f>
        <v/>
      </c>
      <c r="K277" s="38" t="str">
        <f aca="false">IF('STUDENT SCREENING'!BN277="","",'STUDENT SCREENING'!BN277)</f>
        <v/>
      </c>
      <c r="L277" s="38" t="str">
        <f aca="false">IF('STUDENT SCREENING'!BO277="","",'STUDENT SCREENING'!BO277)</f>
        <v/>
      </c>
      <c r="M277" s="38" t="str">
        <f aca="false">IF('STUDENT SCREENING'!BP277="","",'STUDENT SCREENING'!BP277)</f>
        <v/>
      </c>
      <c r="N277" s="38" t="str">
        <f aca="false">IF('STUDENT SCREENING'!BQ277="","",'STUDENT SCREENING'!BQ277)</f>
        <v/>
      </c>
      <c r="O277" s="38" t="str">
        <f aca="false">IF('STUDENT SCREENING'!BR277="","",'STUDENT SCREENING'!BR277)</f>
        <v/>
      </c>
      <c r="P277" s="32"/>
      <c r="Q277" s="32"/>
      <c r="R277" s="32"/>
      <c r="S277" s="32"/>
      <c r="T277" s="32"/>
      <c r="U277" s="32"/>
      <c r="V277" s="32"/>
      <c r="W277" s="32"/>
      <c r="X277" s="32"/>
    </row>
    <row r="278" customFormat="false" ht="15" hidden="false" customHeight="false" outlineLevel="0" collapsed="false">
      <c r="A278" s="37" t="str">
        <f aca="false">IF('STUDENT SCREENING'!A278="","",'STUDENT SCREENING'!A278)</f>
        <v/>
      </c>
      <c r="B278" s="37" t="str">
        <f aca="false">IF('STUDENT SCREENING'!I278="","",'STUDENT SCREENING'!I278)</f>
        <v/>
      </c>
      <c r="C278" s="37" t="str">
        <f aca="false">IF('STUDENT SCREENING'!F278="","",'STUDENT SCREENING'!F278)</f>
        <v/>
      </c>
      <c r="D278" s="37" t="str">
        <f aca="false">IF('STUDENT SCREENING'!G278="","",'STUDENT SCREENING'!G278)</f>
        <v/>
      </c>
      <c r="E278" s="37" t="str">
        <f aca="false">IF('STUDENT SCREENING'!C278="","",'STUDENT SCREENING'!C278)</f>
        <v/>
      </c>
      <c r="F278" s="37" t="str">
        <f aca="false">IF('STUDENT SCREENING'!J278="","",'STUDENT SCREENING'!J278)</f>
        <v/>
      </c>
      <c r="G278" s="37" t="str">
        <f aca="false">IF('STUDENT SCREENING'!K278="","",'STUDENT SCREENING'!K278)</f>
        <v/>
      </c>
      <c r="H278" s="37" t="str">
        <f aca="false">IF('STUDENT SCREENING'!S278="","",'STUDENT SCREENING'!S278)</f>
        <v/>
      </c>
      <c r="I278" s="37" t="str">
        <f aca="false">IF('STUDENT SCREENING'!T278="","",'STUDENT SCREENING'!T278)</f>
        <v/>
      </c>
      <c r="J278" s="37" t="str">
        <f aca="false">IF('STUDENT SCREENING'!BM278="","",'STUDENT SCREENING'!BM278)</f>
        <v/>
      </c>
      <c r="K278" s="37" t="str">
        <f aca="false">IF('STUDENT SCREENING'!BN278="","",'STUDENT SCREENING'!BN278)</f>
        <v/>
      </c>
      <c r="L278" s="37" t="str">
        <f aca="false">IF('STUDENT SCREENING'!BO278="","",'STUDENT SCREENING'!BO278)</f>
        <v/>
      </c>
      <c r="M278" s="37" t="str">
        <f aca="false">IF('STUDENT SCREENING'!BP278="","",'STUDENT SCREENING'!BP278)</f>
        <v/>
      </c>
      <c r="N278" s="37" t="str">
        <f aca="false">IF('STUDENT SCREENING'!BQ278="","",'STUDENT SCREENING'!BQ278)</f>
        <v/>
      </c>
      <c r="O278" s="37" t="str">
        <f aca="false">IF('STUDENT SCREENING'!BR278="","",'STUDENT SCREENING'!BR278)</f>
        <v/>
      </c>
      <c r="P278" s="28"/>
      <c r="Q278" s="28"/>
      <c r="R278" s="28"/>
      <c r="S278" s="28"/>
      <c r="T278" s="28"/>
      <c r="U278" s="28"/>
      <c r="V278" s="28"/>
      <c r="W278" s="28"/>
      <c r="X278" s="28"/>
    </row>
    <row r="279" customFormat="false" ht="15" hidden="false" customHeight="false" outlineLevel="0" collapsed="false">
      <c r="A279" s="38" t="str">
        <f aca="false">IF('STUDENT SCREENING'!A279="","",'STUDENT SCREENING'!A279)</f>
        <v/>
      </c>
      <c r="B279" s="38" t="str">
        <f aca="false">IF('STUDENT SCREENING'!I279="","",'STUDENT SCREENING'!I279)</f>
        <v/>
      </c>
      <c r="C279" s="38" t="str">
        <f aca="false">IF('STUDENT SCREENING'!F279="","",'STUDENT SCREENING'!F279)</f>
        <v/>
      </c>
      <c r="D279" s="38" t="str">
        <f aca="false">IF('STUDENT SCREENING'!G279="","",'STUDENT SCREENING'!G279)</f>
        <v/>
      </c>
      <c r="E279" s="38" t="str">
        <f aca="false">IF('STUDENT SCREENING'!C279="","",'STUDENT SCREENING'!C279)</f>
        <v/>
      </c>
      <c r="F279" s="38" t="str">
        <f aca="false">IF('STUDENT SCREENING'!J279="","",'STUDENT SCREENING'!J279)</f>
        <v/>
      </c>
      <c r="G279" s="38" t="str">
        <f aca="false">IF('STUDENT SCREENING'!K279="","",'STUDENT SCREENING'!K279)</f>
        <v/>
      </c>
      <c r="H279" s="38" t="str">
        <f aca="false">IF('STUDENT SCREENING'!S279="","",'STUDENT SCREENING'!S279)</f>
        <v/>
      </c>
      <c r="I279" s="38" t="str">
        <f aca="false">IF('STUDENT SCREENING'!T279="","",'STUDENT SCREENING'!T279)</f>
        <v/>
      </c>
      <c r="J279" s="38" t="str">
        <f aca="false">IF('STUDENT SCREENING'!BM279="","",'STUDENT SCREENING'!BM279)</f>
        <v/>
      </c>
      <c r="K279" s="38" t="str">
        <f aca="false">IF('STUDENT SCREENING'!BN279="","",'STUDENT SCREENING'!BN279)</f>
        <v/>
      </c>
      <c r="L279" s="38" t="str">
        <f aca="false">IF('STUDENT SCREENING'!BO279="","",'STUDENT SCREENING'!BO279)</f>
        <v/>
      </c>
      <c r="M279" s="38" t="str">
        <f aca="false">IF('STUDENT SCREENING'!BP279="","",'STUDENT SCREENING'!BP279)</f>
        <v/>
      </c>
      <c r="N279" s="38" t="str">
        <f aca="false">IF('STUDENT SCREENING'!BQ279="","",'STUDENT SCREENING'!BQ279)</f>
        <v/>
      </c>
      <c r="O279" s="38" t="str">
        <f aca="false">IF('STUDENT SCREENING'!BR279="","",'STUDENT SCREENING'!BR279)</f>
        <v/>
      </c>
      <c r="P279" s="32"/>
      <c r="Q279" s="32"/>
      <c r="R279" s="32"/>
      <c r="S279" s="32"/>
      <c r="T279" s="32"/>
      <c r="U279" s="32"/>
      <c r="V279" s="32"/>
      <c r="W279" s="32"/>
      <c r="X279" s="32"/>
    </row>
    <row r="280" customFormat="false" ht="15" hidden="false" customHeight="false" outlineLevel="0" collapsed="false">
      <c r="A280" s="37" t="str">
        <f aca="false">IF('STUDENT SCREENING'!A280="","",'STUDENT SCREENING'!A280)</f>
        <v/>
      </c>
      <c r="B280" s="37" t="str">
        <f aca="false">IF('STUDENT SCREENING'!I280="","",'STUDENT SCREENING'!I280)</f>
        <v/>
      </c>
      <c r="C280" s="37" t="str">
        <f aca="false">IF('STUDENT SCREENING'!F280="","",'STUDENT SCREENING'!F280)</f>
        <v/>
      </c>
      <c r="D280" s="37" t="str">
        <f aca="false">IF('STUDENT SCREENING'!G280="","",'STUDENT SCREENING'!G280)</f>
        <v/>
      </c>
      <c r="E280" s="37" t="str">
        <f aca="false">IF('STUDENT SCREENING'!C280="","",'STUDENT SCREENING'!C280)</f>
        <v/>
      </c>
      <c r="F280" s="37" t="str">
        <f aca="false">IF('STUDENT SCREENING'!J280="","",'STUDENT SCREENING'!J280)</f>
        <v/>
      </c>
      <c r="G280" s="37" t="str">
        <f aca="false">IF('STUDENT SCREENING'!K280="","",'STUDENT SCREENING'!K280)</f>
        <v/>
      </c>
      <c r="H280" s="37" t="str">
        <f aca="false">IF('STUDENT SCREENING'!S280="","",'STUDENT SCREENING'!S280)</f>
        <v/>
      </c>
      <c r="I280" s="37" t="str">
        <f aca="false">IF('STUDENT SCREENING'!T280="","",'STUDENT SCREENING'!T280)</f>
        <v/>
      </c>
      <c r="J280" s="37" t="str">
        <f aca="false">IF('STUDENT SCREENING'!BM280="","",'STUDENT SCREENING'!BM280)</f>
        <v/>
      </c>
      <c r="K280" s="37" t="str">
        <f aca="false">IF('STUDENT SCREENING'!BN280="","",'STUDENT SCREENING'!BN280)</f>
        <v/>
      </c>
      <c r="L280" s="37" t="str">
        <f aca="false">IF('STUDENT SCREENING'!BO280="","",'STUDENT SCREENING'!BO280)</f>
        <v/>
      </c>
      <c r="M280" s="37" t="str">
        <f aca="false">IF('STUDENT SCREENING'!BP280="","",'STUDENT SCREENING'!BP280)</f>
        <v/>
      </c>
      <c r="N280" s="37" t="str">
        <f aca="false">IF('STUDENT SCREENING'!BQ280="","",'STUDENT SCREENING'!BQ280)</f>
        <v/>
      </c>
      <c r="O280" s="37" t="str">
        <f aca="false">IF('STUDENT SCREENING'!BR280="","",'STUDENT SCREENING'!BR280)</f>
        <v/>
      </c>
      <c r="P280" s="28"/>
      <c r="Q280" s="28"/>
      <c r="R280" s="28"/>
      <c r="S280" s="28"/>
      <c r="T280" s="28"/>
      <c r="U280" s="28"/>
      <c r="V280" s="28"/>
      <c r="W280" s="28"/>
      <c r="X280" s="28"/>
    </row>
    <row r="281" customFormat="false" ht="15" hidden="false" customHeight="false" outlineLevel="0" collapsed="false">
      <c r="A281" s="38" t="str">
        <f aca="false">IF('STUDENT SCREENING'!A281="","",'STUDENT SCREENING'!A281)</f>
        <v/>
      </c>
      <c r="B281" s="38" t="str">
        <f aca="false">IF('STUDENT SCREENING'!I281="","",'STUDENT SCREENING'!I281)</f>
        <v/>
      </c>
      <c r="C281" s="38" t="str">
        <f aca="false">IF('STUDENT SCREENING'!F281="","",'STUDENT SCREENING'!F281)</f>
        <v/>
      </c>
      <c r="D281" s="38" t="str">
        <f aca="false">IF('STUDENT SCREENING'!G281="","",'STUDENT SCREENING'!G281)</f>
        <v/>
      </c>
      <c r="E281" s="38" t="str">
        <f aca="false">IF('STUDENT SCREENING'!C281="","",'STUDENT SCREENING'!C281)</f>
        <v/>
      </c>
      <c r="F281" s="38" t="str">
        <f aca="false">IF('STUDENT SCREENING'!J281="","",'STUDENT SCREENING'!J281)</f>
        <v/>
      </c>
      <c r="G281" s="38" t="str">
        <f aca="false">IF('STUDENT SCREENING'!K281="","",'STUDENT SCREENING'!K281)</f>
        <v/>
      </c>
      <c r="H281" s="38" t="str">
        <f aca="false">IF('STUDENT SCREENING'!S281="","",'STUDENT SCREENING'!S281)</f>
        <v/>
      </c>
      <c r="I281" s="38" t="str">
        <f aca="false">IF('STUDENT SCREENING'!T281="","",'STUDENT SCREENING'!T281)</f>
        <v/>
      </c>
      <c r="J281" s="38" t="str">
        <f aca="false">IF('STUDENT SCREENING'!BM281="","",'STUDENT SCREENING'!BM281)</f>
        <v/>
      </c>
      <c r="K281" s="38" t="str">
        <f aca="false">IF('STUDENT SCREENING'!BN281="","",'STUDENT SCREENING'!BN281)</f>
        <v/>
      </c>
      <c r="L281" s="38" t="str">
        <f aca="false">IF('STUDENT SCREENING'!BO281="","",'STUDENT SCREENING'!BO281)</f>
        <v/>
      </c>
      <c r="M281" s="38" t="str">
        <f aca="false">IF('STUDENT SCREENING'!BP281="","",'STUDENT SCREENING'!BP281)</f>
        <v/>
      </c>
      <c r="N281" s="38" t="str">
        <f aca="false">IF('STUDENT SCREENING'!BQ281="","",'STUDENT SCREENING'!BQ281)</f>
        <v/>
      </c>
      <c r="O281" s="38" t="str">
        <f aca="false">IF('STUDENT SCREENING'!BR281="","",'STUDENT SCREENING'!BR281)</f>
        <v/>
      </c>
      <c r="P281" s="32"/>
      <c r="Q281" s="32"/>
      <c r="R281" s="32"/>
      <c r="S281" s="32"/>
      <c r="T281" s="32"/>
      <c r="U281" s="32"/>
      <c r="V281" s="32"/>
      <c r="W281" s="32"/>
      <c r="X281" s="32"/>
    </row>
    <row r="282" customFormat="false" ht="15" hidden="false" customHeight="false" outlineLevel="0" collapsed="false">
      <c r="A282" s="37" t="str">
        <f aca="false">IF('STUDENT SCREENING'!A282="","",'STUDENT SCREENING'!A282)</f>
        <v/>
      </c>
      <c r="B282" s="37" t="str">
        <f aca="false">IF('STUDENT SCREENING'!I282="","",'STUDENT SCREENING'!I282)</f>
        <v/>
      </c>
      <c r="C282" s="37" t="str">
        <f aca="false">IF('STUDENT SCREENING'!F282="","",'STUDENT SCREENING'!F282)</f>
        <v/>
      </c>
      <c r="D282" s="37" t="str">
        <f aca="false">IF('STUDENT SCREENING'!G282="","",'STUDENT SCREENING'!G282)</f>
        <v/>
      </c>
      <c r="E282" s="37" t="str">
        <f aca="false">IF('STUDENT SCREENING'!C282="","",'STUDENT SCREENING'!C282)</f>
        <v/>
      </c>
      <c r="F282" s="37" t="str">
        <f aca="false">IF('STUDENT SCREENING'!J282="","",'STUDENT SCREENING'!J282)</f>
        <v/>
      </c>
      <c r="G282" s="37" t="str">
        <f aca="false">IF('STUDENT SCREENING'!K282="","",'STUDENT SCREENING'!K282)</f>
        <v/>
      </c>
      <c r="H282" s="37" t="str">
        <f aca="false">IF('STUDENT SCREENING'!S282="","",'STUDENT SCREENING'!S282)</f>
        <v/>
      </c>
      <c r="I282" s="37" t="str">
        <f aca="false">IF('STUDENT SCREENING'!T282="","",'STUDENT SCREENING'!T282)</f>
        <v/>
      </c>
      <c r="J282" s="37" t="str">
        <f aca="false">IF('STUDENT SCREENING'!BM282="","",'STUDENT SCREENING'!BM282)</f>
        <v/>
      </c>
      <c r="K282" s="37" t="str">
        <f aca="false">IF('STUDENT SCREENING'!BN282="","",'STUDENT SCREENING'!BN282)</f>
        <v/>
      </c>
      <c r="L282" s="37" t="str">
        <f aca="false">IF('STUDENT SCREENING'!BO282="","",'STUDENT SCREENING'!BO282)</f>
        <v/>
      </c>
      <c r="M282" s="37" t="str">
        <f aca="false">IF('STUDENT SCREENING'!BP282="","",'STUDENT SCREENING'!BP282)</f>
        <v/>
      </c>
      <c r="N282" s="37" t="str">
        <f aca="false">IF('STUDENT SCREENING'!BQ282="","",'STUDENT SCREENING'!BQ282)</f>
        <v/>
      </c>
      <c r="O282" s="37" t="str">
        <f aca="false">IF('STUDENT SCREENING'!BR282="","",'STUDENT SCREENING'!BR282)</f>
        <v/>
      </c>
      <c r="P282" s="28"/>
      <c r="Q282" s="28"/>
      <c r="R282" s="28"/>
      <c r="S282" s="28"/>
      <c r="T282" s="28"/>
      <c r="U282" s="28"/>
      <c r="V282" s="28"/>
      <c r="W282" s="28"/>
      <c r="X282" s="28"/>
    </row>
    <row r="283" customFormat="false" ht="15" hidden="false" customHeight="false" outlineLevel="0" collapsed="false">
      <c r="A283" s="38" t="str">
        <f aca="false">IF('STUDENT SCREENING'!A283="","",'STUDENT SCREENING'!A283)</f>
        <v/>
      </c>
      <c r="B283" s="38" t="str">
        <f aca="false">IF('STUDENT SCREENING'!I283="","",'STUDENT SCREENING'!I283)</f>
        <v/>
      </c>
      <c r="C283" s="38" t="str">
        <f aca="false">IF('STUDENT SCREENING'!F283="","",'STUDENT SCREENING'!F283)</f>
        <v/>
      </c>
      <c r="D283" s="38" t="str">
        <f aca="false">IF('STUDENT SCREENING'!G283="","",'STUDENT SCREENING'!G283)</f>
        <v/>
      </c>
      <c r="E283" s="38" t="str">
        <f aca="false">IF('STUDENT SCREENING'!C283="","",'STUDENT SCREENING'!C283)</f>
        <v/>
      </c>
      <c r="F283" s="38" t="str">
        <f aca="false">IF('STUDENT SCREENING'!J283="","",'STUDENT SCREENING'!J283)</f>
        <v/>
      </c>
      <c r="G283" s="38" t="str">
        <f aca="false">IF('STUDENT SCREENING'!K283="","",'STUDENT SCREENING'!K283)</f>
        <v/>
      </c>
      <c r="H283" s="38" t="str">
        <f aca="false">IF('STUDENT SCREENING'!S283="","",'STUDENT SCREENING'!S283)</f>
        <v/>
      </c>
      <c r="I283" s="38" t="str">
        <f aca="false">IF('STUDENT SCREENING'!T283="","",'STUDENT SCREENING'!T283)</f>
        <v/>
      </c>
      <c r="J283" s="38" t="str">
        <f aca="false">IF('STUDENT SCREENING'!BM283="","",'STUDENT SCREENING'!BM283)</f>
        <v/>
      </c>
      <c r="K283" s="38" t="str">
        <f aca="false">IF('STUDENT SCREENING'!BN283="","",'STUDENT SCREENING'!BN283)</f>
        <v/>
      </c>
      <c r="L283" s="38" t="str">
        <f aca="false">IF('STUDENT SCREENING'!BO283="","",'STUDENT SCREENING'!BO283)</f>
        <v/>
      </c>
      <c r="M283" s="38" t="str">
        <f aca="false">IF('STUDENT SCREENING'!BP283="","",'STUDENT SCREENING'!BP283)</f>
        <v/>
      </c>
      <c r="N283" s="38" t="str">
        <f aca="false">IF('STUDENT SCREENING'!BQ283="","",'STUDENT SCREENING'!BQ283)</f>
        <v/>
      </c>
      <c r="O283" s="38" t="str">
        <f aca="false">IF('STUDENT SCREENING'!BR283="","",'STUDENT SCREENING'!BR283)</f>
        <v/>
      </c>
      <c r="P283" s="32"/>
      <c r="Q283" s="32"/>
      <c r="R283" s="32"/>
      <c r="S283" s="32"/>
      <c r="T283" s="32"/>
      <c r="U283" s="32"/>
      <c r="V283" s="32"/>
      <c r="W283" s="32"/>
      <c r="X283" s="32"/>
    </row>
    <row r="284" customFormat="false" ht="15" hidden="false" customHeight="false" outlineLevel="0" collapsed="false">
      <c r="A284" s="37" t="str">
        <f aca="false">IF('STUDENT SCREENING'!A284="","",'STUDENT SCREENING'!A284)</f>
        <v/>
      </c>
      <c r="B284" s="37" t="str">
        <f aca="false">IF('STUDENT SCREENING'!I284="","",'STUDENT SCREENING'!I284)</f>
        <v/>
      </c>
      <c r="C284" s="37" t="str">
        <f aca="false">IF('STUDENT SCREENING'!F284="","",'STUDENT SCREENING'!F284)</f>
        <v/>
      </c>
      <c r="D284" s="37" t="str">
        <f aca="false">IF('STUDENT SCREENING'!G284="","",'STUDENT SCREENING'!G284)</f>
        <v/>
      </c>
      <c r="E284" s="37" t="str">
        <f aca="false">IF('STUDENT SCREENING'!C284="","",'STUDENT SCREENING'!C284)</f>
        <v/>
      </c>
      <c r="F284" s="37" t="str">
        <f aca="false">IF('STUDENT SCREENING'!J284="","",'STUDENT SCREENING'!J284)</f>
        <v/>
      </c>
      <c r="G284" s="37" t="str">
        <f aca="false">IF('STUDENT SCREENING'!K284="","",'STUDENT SCREENING'!K284)</f>
        <v/>
      </c>
      <c r="H284" s="37" t="str">
        <f aca="false">IF('STUDENT SCREENING'!S284="","",'STUDENT SCREENING'!S284)</f>
        <v/>
      </c>
      <c r="I284" s="37" t="str">
        <f aca="false">IF('STUDENT SCREENING'!T284="","",'STUDENT SCREENING'!T284)</f>
        <v/>
      </c>
      <c r="J284" s="37" t="str">
        <f aca="false">IF('STUDENT SCREENING'!BM284="","",'STUDENT SCREENING'!BM284)</f>
        <v/>
      </c>
      <c r="K284" s="37" t="str">
        <f aca="false">IF('STUDENT SCREENING'!BN284="","",'STUDENT SCREENING'!BN284)</f>
        <v/>
      </c>
      <c r="L284" s="37" t="str">
        <f aca="false">IF('STUDENT SCREENING'!BO284="","",'STUDENT SCREENING'!BO284)</f>
        <v/>
      </c>
      <c r="M284" s="37" t="str">
        <f aca="false">IF('STUDENT SCREENING'!BP284="","",'STUDENT SCREENING'!BP284)</f>
        <v/>
      </c>
      <c r="N284" s="37" t="str">
        <f aca="false">IF('STUDENT SCREENING'!BQ284="","",'STUDENT SCREENING'!BQ284)</f>
        <v/>
      </c>
      <c r="O284" s="37" t="str">
        <f aca="false">IF('STUDENT SCREENING'!BR284="","",'STUDENT SCREENING'!BR284)</f>
        <v/>
      </c>
      <c r="P284" s="28"/>
      <c r="Q284" s="28"/>
      <c r="R284" s="28"/>
      <c r="S284" s="28"/>
      <c r="T284" s="28"/>
      <c r="U284" s="28"/>
      <c r="V284" s="28"/>
      <c r="W284" s="28"/>
      <c r="X284" s="28"/>
    </row>
    <row r="285" customFormat="false" ht="15" hidden="false" customHeight="false" outlineLevel="0" collapsed="false">
      <c r="A285" s="38" t="str">
        <f aca="false">IF('STUDENT SCREENING'!A285="","",'STUDENT SCREENING'!A285)</f>
        <v/>
      </c>
      <c r="B285" s="38" t="str">
        <f aca="false">IF('STUDENT SCREENING'!I285="","",'STUDENT SCREENING'!I285)</f>
        <v/>
      </c>
      <c r="C285" s="38" t="str">
        <f aca="false">IF('STUDENT SCREENING'!F285="","",'STUDENT SCREENING'!F285)</f>
        <v/>
      </c>
      <c r="D285" s="38" t="str">
        <f aca="false">IF('STUDENT SCREENING'!G285="","",'STUDENT SCREENING'!G285)</f>
        <v/>
      </c>
      <c r="E285" s="38" t="str">
        <f aca="false">IF('STUDENT SCREENING'!C285="","",'STUDENT SCREENING'!C285)</f>
        <v/>
      </c>
      <c r="F285" s="38" t="str">
        <f aca="false">IF('STUDENT SCREENING'!J285="","",'STUDENT SCREENING'!J285)</f>
        <v/>
      </c>
      <c r="G285" s="38" t="str">
        <f aca="false">IF('STUDENT SCREENING'!K285="","",'STUDENT SCREENING'!K285)</f>
        <v/>
      </c>
      <c r="H285" s="38" t="str">
        <f aca="false">IF('STUDENT SCREENING'!S285="","",'STUDENT SCREENING'!S285)</f>
        <v/>
      </c>
      <c r="I285" s="38" t="str">
        <f aca="false">IF('STUDENT SCREENING'!T285="","",'STUDENT SCREENING'!T285)</f>
        <v/>
      </c>
      <c r="J285" s="38" t="str">
        <f aca="false">IF('STUDENT SCREENING'!BM285="","",'STUDENT SCREENING'!BM285)</f>
        <v/>
      </c>
      <c r="K285" s="38" t="str">
        <f aca="false">IF('STUDENT SCREENING'!BN285="","",'STUDENT SCREENING'!BN285)</f>
        <v/>
      </c>
      <c r="L285" s="38" t="str">
        <f aca="false">IF('STUDENT SCREENING'!BO285="","",'STUDENT SCREENING'!BO285)</f>
        <v/>
      </c>
      <c r="M285" s="38" t="str">
        <f aca="false">IF('STUDENT SCREENING'!BP285="","",'STUDENT SCREENING'!BP285)</f>
        <v/>
      </c>
      <c r="N285" s="38" t="str">
        <f aca="false">IF('STUDENT SCREENING'!BQ285="","",'STUDENT SCREENING'!BQ285)</f>
        <v/>
      </c>
      <c r="O285" s="38" t="str">
        <f aca="false">IF('STUDENT SCREENING'!BR285="","",'STUDENT SCREENING'!BR285)</f>
        <v/>
      </c>
      <c r="P285" s="32"/>
      <c r="Q285" s="32"/>
      <c r="R285" s="32"/>
      <c r="S285" s="32"/>
      <c r="T285" s="32"/>
      <c r="U285" s="32"/>
      <c r="V285" s="32"/>
      <c r="W285" s="32"/>
      <c r="X285" s="32"/>
    </row>
    <row r="286" customFormat="false" ht="15" hidden="false" customHeight="false" outlineLevel="0" collapsed="false">
      <c r="A286" s="37" t="str">
        <f aca="false">IF('STUDENT SCREENING'!A286="","",'STUDENT SCREENING'!A286)</f>
        <v/>
      </c>
      <c r="B286" s="37" t="str">
        <f aca="false">IF('STUDENT SCREENING'!I286="","",'STUDENT SCREENING'!I286)</f>
        <v/>
      </c>
      <c r="C286" s="37" t="str">
        <f aca="false">IF('STUDENT SCREENING'!F286="","",'STUDENT SCREENING'!F286)</f>
        <v/>
      </c>
      <c r="D286" s="37" t="str">
        <f aca="false">IF('STUDENT SCREENING'!G286="","",'STUDENT SCREENING'!G286)</f>
        <v/>
      </c>
      <c r="E286" s="37" t="str">
        <f aca="false">IF('STUDENT SCREENING'!C286="","",'STUDENT SCREENING'!C286)</f>
        <v/>
      </c>
      <c r="F286" s="37" t="str">
        <f aca="false">IF('STUDENT SCREENING'!J286="","",'STUDENT SCREENING'!J286)</f>
        <v/>
      </c>
      <c r="G286" s="37" t="str">
        <f aca="false">IF('STUDENT SCREENING'!K286="","",'STUDENT SCREENING'!K286)</f>
        <v/>
      </c>
      <c r="H286" s="37" t="str">
        <f aca="false">IF('STUDENT SCREENING'!S286="","",'STUDENT SCREENING'!S286)</f>
        <v/>
      </c>
      <c r="I286" s="37" t="str">
        <f aca="false">IF('STUDENT SCREENING'!T286="","",'STUDENT SCREENING'!T286)</f>
        <v/>
      </c>
      <c r="J286" s="37" t="str">
        <f aca="false">IF('STUDENT SCREENING'!BM286="","",'STUDENT SCREENING'!BM286)</f>
        <v/>
      </c>
      <c r="K286" s="37" t="str">
        <f aca="false">IF('STUDENT SCREENING'!BN286="","",'STUDENT SCREENING'!BN286)</f>
        <v/>
      </c>
      <c r="L286" s="37" t="str">
        <f aca="false">IF('STUDENT SCREENING'!BO286="","",'STUDENT SCREENING'!BO286)</f>
        <v/>
      </c>
      <c r="M286" s="37" t="str">
        <f aca="false">IF('STUDENT SCREENING'!BP286="","",'STUDENT SCREENING'!BP286)</f>
        <v/>
      </c>
      <c r="N286" s="37" t="str">
        <f aca="false">IF('STUDENT SCREENING'!BQ286="","",'STUDENT SCREENING'!BQ286)</f>
        <v/>
      </c>
      <c r="O286" s="37" t="str">
        <f aca="false">IF('STUDENT SCREENING'!BR286="","",'STUDENT SCREENING'!BR286)</f>
        <v/>
      </c>
      <c r="P286" s="28"/>
      <c r="Q286" s="28"/>
      <c r="R286" s="28"/>
      <c r="S286" s="28"/>
      <c r="T286" s="28"/>
      <c r="U286" s="28"/>
      <c r="V286" s="28"/>
      <c r="W286" s="28"/>
      <c r="X286" s="28"/>
    </row>
    <row r="287" customFormat="false" ht="15" hidden="false" customHeight="false" outlineLevel="0" collapsed="false">
      <c r="A287" s="38" t="str">
        <f aca="false">IF('STUDENT SCREENING'!A287="","",'STUDENT SCREENING'!A287)</f>
        <v/>
      </c>
      <c r="B287" s="38" t="str">
        <f aca="false">IF('STUDENT SCREENING'!I287="","",'STUDENT SCREENING'!I287)</f>
        <v/>
      </c>
      <c r="C287" s="38" t="str">
        <f aca="false">IF('STUDENT SCREENING'!F287="","",'STUDENT SCREENING'!F287)</f>
        <v/>
      </c>
      <c r="D287" s="38" t="str">
        <f aca="false">IF('STUDENT SCREENING'!G287="","",'STUDENT SCREENING'!G287)</f>
        <v/>
      </c>
      <c r="E287" s="38" t="str">
        <f aca="false">IF('STUDENT SCREENING'!C287="","",'STUDENT SCREENING'!C287)</f>
        <v/>
      </c>
      <c r="F287" s="38" t="str">
        <f aca="false">IF('STUDENT SCREENING'!J287="","",'STUDENT SCREENING'!J287)</f>
        <v/>
      </c>
      <c r="G287" s="38" t="str">
        <f aca="false">IF('STUDENT SCREENING'!K287="","",'STUDENT SCREENING'!K287)</f>
        <v/>
      </c>
      <c r="H287" s="38" t="str">
        <f aca="false">IF('STUDENT SCREENING'!S287="","",'STUDENT SCREENING'!S287)</f>
        <v/>
      </c>
      <c r="I287" s="38" t="str">
        <f aca="false">IF('STUDENT SCREENING'!T287="","",'STUDENT SCREENING'!T287)</f>
        <v/>
      </c>
      <c r="J287" s="38" t="str">
        <f aca="false">IF('STUDENT SCREENING'!BM287="","",'STUDENT SCREENING'!BM287)</f>
        <v/>
      </c>
      <c r="K287" s="38" t="str">
        <f aca="false">IF('STUDENT SCREENING'!BN287="","",'STUDENT SCREENING'!BN287)</f>
        <v/>
      </c>
      <c r="L287" s="38" t="str">
        <f aca="false">IF('STUDENT SCREENING'!BO287="","",'STUDENT SCREENING'!BO287)</f>
        <v/>
      </c>
      <c r="M287" s="38" t="str">
        <f aca="false">IF('STUDENT SCREENING'!BP287="","",'STUDENT SCREENING'!BP287)</f>
        <v/>
      </c>
      <c r="N287" s="38" t="str">
        <f aca="false">IF('STUDENT SCREENING'!BQ287="","",'STUDENT SCREENING'!BQ287)</f>
        <v/>
      </c>
      <c r="O287" s="38" t="str">
        <f aca="false">IF('STUDENT SCREENING'!BR287="","",'STUDENT SCREENING'!BR287)</f>
        <v/>
      </c>
      <c r="P287" s="32"/>
      <c r="Q287" s="32"/>
      <c r="R287" s="32"/>
      <c r="S287" s="32"/>
      <c r="T287" s="32"/>
      <c r="U287" s="32"/>
      <c r="V287" s="32"/>
      <c r="W287" s="32"/>
      <c r="X287" s="32"/>
    </row>
    <row r="288" customFormat="false" ht="15" hidden="false" customHeight="false" outlineLevel="0" collapsed="false">
      <c r="A288" s="37" t="str">
        <f aca="false">IF('STUDENT SCREENING'!A288="","",'STUDENT SCREENING'!A288)</f>
        <v/>
      </c>
      <c r="B288" s="37" t="str">
        <f aca="false">IF('STUDENT SCREENING'!I288="","",'STUDENT SCREENING'!I288)</f>
        <v/>
      </c>
      <c r="C288" s="37" t="str">
        <f aca="false">IF('STUDENT SCREENING'!F288="","",'STUDENT SCREENING'!F288)</f>
        <v/>
      </c>
      <c r="D288" s="37" t="str">
        <f aca="false">IF('STUDENT SCREENING'!G288="","",'STUDENT SCREENING'!G288)</f>
        <v/>
      </c>
      <c r="E288" s="37" t="str">
        <f aca="false">IF('STUDENT SCREENING'!C288="","",'STUDENT SCREENING'!C288)</f>
        <v/>
      </c>
      <c r="F288" s="37" t="str">
        <f aca="false">IF('STUDENT SCREENING'!J288="","",'STUDENT SCREENING'!J288)</f>
        <v/>
      </c>
      <c r="G288" s="37" t="str">
        <f aca="false">IF('STUDENT SCREENING'!K288="","",'STUDENT SCREENING'!K288)</f>
        <v/>
      </c>
      <c r="H288" s="37" t="str">
        <f aca="false">IF('STUDENT SCREENING'!S288="","",'STUDENT SCREENING'!S288)</f>
        <v/>
      </c>
      <c r="I288" s="37" t="str">
        <f aca="false">IF('STUDENT SCREENING'!T288="","",'STUDENT SCREENING'!T288)</f>
        <v/>
      </c>
      <c r="J288" s="37" t="str">
        <f aca="false">IF('STUDENT SCREENING'!BM288="","",'STUDENT SCREENING'!BM288)</f>
        <v/>
      </c>
      <c r="K288" s="37" t="str">
        <f aca="false">IF('STUDENT SCREENING'!BN288="","",'STUDENT SCREENING'!BN288)</f>
        <v/>
      </c>
      <c r="L288" s="37" t="str">
        <f aca="false">IF('STUDENT SCREENING'!BO288="","",'STUDENT SCREENING'!BO288)</f>
        <v/>
      </c>
      <c r="M288" s="37" t="str">
        <f aca="false">IF('STUDENT SCREENING'!BP288="","",'STUDENT SCREENING'!BP288)</f>
        <v/>
      </c>
      <c r="N288" s="37" t="str">
        <f aca="false">IF('STUDENT SCREENING'!BQ288="","",'STUDENT SCREENING'!BQ288)</f>
        <v/>
      </c>
      <c r="O288" s="37" t="str">
        <f aca="false">IF('STUDENT SCREENING'!BR288="","",'STUDENT SCREENING'!BR288)</f>
        <v/>
      </c>
      <c r="P288" s="28"/>
      <c r="Q288" s="28"/>
      <c r="R288" s="28"/>
      <c r="S288" s="28"/>
      <c r="T288" s="28"/>
      <c r="U288" s="28"/>
      <c r="V288" s="28"/>
      <c r="W288" s="28"/>
      <c r="X288" s="28"/>
    </row>
    <row r="289" customFormat="false" ht="15" hidden="false" customHeight="false" outlineLevel="0" collapsed="false">
      <c r="A289" s="38" t="str">
        <f aca="false">IF('STUDENT SCREENING'!A289="","",'STUDENT SCREENING'!A289)</f>
        <v/>
      </c>
      <c r="B289" s="38" t="str">
        <f aca="false">IF('STUDENT SCREENING'!I289="","",'STUDENT SCREENING'!I289)</f>
        <v/>
      </c>
      <c r="C289" s="38" t="str">
        <f aca="false">IF('STUDENT SCREENING'!F289="","",'STUDENT SCREENING'!F289)</f>
        <v/>
      </c>
      <c r="D289" s="38" t="str">
        <f aca="false">IF('STUDENT SCREENING'!G289="","",'STUDENT SCREENING'!G289)</f>
        <v/>
      </c>
      <c r="E289" s="38" t="str">
        <f aca="false">IF('STUDENT SCREENING'!C289="","",'STUDENT SCREENING'!C289)</f>
        <v/>
      </c>
      <c r="F289" s="38" t="str">
        <f aca="false">IF('STUDENT SCREENING'!J289="","",'STUDENT SCREENING'!J289)</f>
        <v/>
      </c>
      <c r="G289" s="38" t="str">
        <f aca="false">IF('STUDENT SCREENING'!K289="","",'STUDENT SCREENING'!K289)</f>
        <v/>
      </c>
      <c r="H289" s="38" t="str">
        <f aca="false">IF('STUDENT SCREENING'!S289="","",'STUDENT SCREENING'!S289)</f>
        <v/>
      </c>
      <c r="I289" s="38" t="str">
        <f aca="false">IF('STUDENT SCREENING'!T289="","",'STUDENT SCREENING'!T289)</f>
        <v/>
      </c>
      <c r="J289" s="38" t="str">
        <f aca="false">IF('STUDENT SCREENING'!BM289="","",'STUDENT SCREENING'!BM289)</f>
        <v/>
      </c>
      <c r="K289" s="38" t="str">
        <f aca="false">IF('STUDENT SCREENING'!BN289="","",'STUDENT SCREENING'!BN289)</f>
        <v/>
      </c>
      <c r="L289" s="38" t="str">
        <f aca="false">IF('STUDENT SCREENING'!BO289="","",'STUDENT SCREENING'!BO289)</f>
        <v/>
      </c>
      <c r="M289" s="38" t="str">
        <f aca="false">IF('STUDENT SCREENING'!BP289="","",'STUDENT SCREENING'!BP289)</f>
        <v/>
      </c>
      <c r="N289" s="38" t="str">
        <f aca="false">IF('STUDENT SCREENING'!BQ289="","",'STUDENT SCREENING'!BQ289)</f>
        <v/>
      </c>
      <c r="O289" s="38" t="str">
        <f aca="false">IF('STUDENT SCREENING'!BR289="","",'STUDENT SCREENING'!BR289)</f>
        <v/>
      </c>
      <c r="P289" s="32"/>
      <c r="Q289" s="32"/>
      <c r="R289" s="32"/>
      <c r="S289" s="32"/>
      <c r="T289" s="32"/>
      <c r="U289" s="32"/>
      <c r="V289" s="32"/>
      <c r="W289" s="32"/>
      <c r="X289" s="32"/>
    </row>
    <row r="290" customFormat="false" ht="15" hidden="false" customHeight="false" outlineLevel="0" collapsed="false">
      <c r="A290" s="37" t="str">
        <f aca="false">IF('STUDENT SCREENING'!A290="","",'STUDENT SCREENING'!A290)</f>
        <v/>
      </c>
      <c r="B290" s="37" t="str">
        <f aca="false">IF('STUDENT SCREENING'!I290="","",'STUDENT SCREENING'!I290)</f>
        <v/>
      </c>
      <c r="C290" s="37" t="str">
        <f aca="false">IF('STUDENT SCREENING'!F290="","",'STUDENT SCREENING'!F290)</f>
        <v/>
      </c>
      <c r="D290" s="37" t="str">
        <f aca="false">IF('STUDENT SCREENING'!G290="","",'STUDENT SCREENING'!G290)</f>
        <v/>
      </c>
      <c r="E290" s="37" t="str">
        <f aca="false">IF('STUDENT SCREENING'!C290="","",'STUDENT SCREENING'!C290)</f>
        <v/>
      </c>
      <c r="F290" s="37" t="str">
        <f aca="false">IF('STUDENT SCREENING'!J290="","",'STUDENT SCREENING'!J290)</f>
        <v/>
      </c>
      <c r="G290" s="37" t="str">
        <f aca="false">IF('STUDENT SCREENING'!K290="","",'STUDENT SCREENING'!K290)</f>
        <v/>
      </c>
      <c r="H290" s="37" t="str">
        <f aca="false">IF('STUDENT SCREENING'!S290="","",'STUDENT SCREENING'!S290)</f>
        <v/>
      </c>
      <c r="I290" s="37" t="str">
        <f aca="false">IF('STUDENT SCREENING'!T290="","",'STUDENT SCREENING'!T290)</f>
        <v/>
      </c>
      <c r="J290" s="37" t="str">
        <f aca="false">IF('STUDENT SCREENING'!BM290="","",'STUDENT SCREENING'!BM290)</f>
        <v/>
      </c>
      <c r="K290" s="37" t="str">
        <f aca="false">IF('STUDENT SCREENING'!BN290="","",'STUDENT SCREENING'!BN290)</f>
        <v/>
      </c>
      <c r="L290" s="37" t="str">
        <f aca="false">IF('STUDENT SCREENING'!BO290="","",'STUDENT SCREENING'!BO290)</f>
        <v/>
      </c>
      <c r="M290" s="37" t="str">
        <f aca="false">IF('STUDENT SCREENING'!BP290="","",'STUDENT SCREENING'!BP290)</f>
        <v/>
      </c>
      <c r="N290" s="37" t="str">
        <f aca="false">IF('STUDENT SCREENING'!BQ290="","",'STUDENT SCREENING'!BQ290)</f>
        <v/>
      </c>
      <c r="O290" s="37" t="str">
        <f aca="false">IF('STUDENT SCREENING'!BR290="","",'STUDENT SCREENING'!BR290)</f>
        <v/>
      </c>
      <c r="P290" s="28"/>
      <c r="Q290" s="28"/>
      <c r="R290" s="28"/>
      <c r="S290" s="28"/>
      <c r="T290" s="28"/>
      <c r="U290" s="28"/>
      <c r="V290" s="28"/>
      <c r="W290" s="28"/>
      <c r="X290" s="28"/>
    </row>
    <row r="291" customFormat="false" ht="15" hidden="false" customHeight="false" outlineLevel="0" collapsed="false">
      <c r="A291" s="38" t="str">
        <f aca="false">IF('STUDENT SCREENING'!A291="","",'STUDENT SCREENING'!A291)</f>
        <v/>
      </c>
      <c r="B291" s="38" t="str">
        <f aca="false">IF('STUDENT SCREENING'!I291="","",'STUDENT SCREENING'!I291)</f>
        <v/>
      </c>
      <c r="C291" s="38" t="str">
        <f aca="false">IF('STUDENT SCREENING'!F291="","",'STUDENT SCREENING'!F291)</f>
        <v/>
      </c>
      <c r="D291" s="38" t="str">
        <f aca="false">IF('STUDENT SCREENING'!G291="","",'STUDENT SCREENING'!G291)</f>
        <v/>
      </c>
      <c r="E291" s="38" t="str">
        <f aca="false">IF('STUDENT SCREENING'!C291="","",'STUDENT SCREENING'!C291)</f>
        <v/>
      </c>
      <c r="F291" s="38" t="str">
        <f aca="false">IF('STUDENT SCREENING'!J291="","",'STUDENT SCREENING'!J291)</f>
        <v/>
      </c>
      <c r="G291" s="38" t="str">
        <f aca="false">IF('STUDENT SCREENING'!K291="","",'STUDENT SCREENING'!K291)</f>
        <v/>
      </c>
      <c r="H291" s="38" t="str">
        <f aca="false">IF('STUDENT SCREENING'!S291="","",'STUDENT SCREENING'!S291)</f>
        <v/>
      </c>
      <c r="I291" s="38" t="str">
        <f aca="false">IF('STUDENT SCREENING'!T291="","",'STUDENT SCREENING'!T291)</f>
        <v/>
      </c>
      <c r="J291" s="38" t="str">
        <f aca="false">IF('STUDENT SCREENING'!BM291="","",'STUDENT SCREENING'!BM291)</f>
        <v/>
      </c>
      <c r="K291" s="38" t="str">
        <f aca="false">IF('STUDENT SCREENING'!BN291="","",'STUDENT SCREENING'!BN291)</f>
        <v/>
      </c>
      <c r="L291" s="38" t="str">
        <f aca="false">IF('STUDENT SCREENING'!BO291="","",'STUDENT SCREENING'!BO291)</f>
        <v/>
      </c>
      <c r="M291" s="38" t="str">
        <f aca="false">IF('STUDENT SCREENING'!BP291="","",'STUDENT SCREENING'!BP291)</f>
        <v/>
      </c>
      <c r="N291" s="38" t="str">
        <f aca="false">IF('STUDENT SCREENING'!BQ291="","",'STUDENT SCREENING'!BQ291)</f>
        <v/>
      </c>
      <c r="O291" s="38" t="str">
        <f aca="false">IF('STUDENT SCREENING'!BR291="","",'STUDENT SCREENING'!BR291)</f>
        <v/>
      </c>
      <c r="P291" s="32"/>
      <c r="Q291" s="32"/>
      <c r="R291" s="32"/>
      <c r="S291" s="32"/>
      <c r="T291" s="32"/>
      <c r="U291" s="32"/>
      <c r="V291" s="32"/>
      <c r="W291" s="32"/>
      <c r="X291" s="32"/>
    </row>
    <row r="292" customFormat="false" ht="15" hidden="false" customHeight="false" outlineLevel="0" collapsed="false">
      <c r="A292" s="37" t="str">
        <f aca="false">IF('STUDENT SCREENING'!A292="","",'STUDENT SCREENING'!A292)</f>
        <v/>
      </c>
      <c r="B292" s="37" t="str">
        <f aca="false">IF('STUDENT SCREENING'!I292="","",'STUDENT SCREENING'!I292)</f>
        <v/>
      </c>
      <c r="C292" s="37" t="str">
        <f aca="false">IF('STUDENT SCREENING'!F292="","",'STUDENT SCREENING'!F292)</f>
        <v/>
      </c>
      <c r="D292" s="37" t="str">
        <f aca="false">IF('STUDENT SCREENING'!G292="","",'STUDENT SCREENING'!G292)</f>
        <v/>
      </c>
      <c r="E292" s="37" t="str">
        <f aca="false">IF('STUDENT SCREENING'!C292="","",'STUDENT SCREENING'!C292)</f>
        <v/>
      </c>
      <c r="F292" s="37" t="str">
        <f aca="false">IF('STUDENT SCREENING'!J292="","",'STUDENT SCREENING'!J292)</f>
        <v/>
      </c>
      <c r="G292" s="37" t="str">
        <f aca="false">IF('STUDENT SCREENING'!K292="","",'STUDENT SCREENING'!K292)</f>
        <v/>
      </c>
      <c r="H292" s="37" t="str">
        <f aca="false">IF('STUDENT SCREENING'!S292="","",'STUDENT SCREENING'!S292)</f>
        <v/>
      </c>
      <c r="I292" s="37" t="str">
        <f aca="false">IF('STUDENT SCREENING'!T292="","",'STUDENT SCREENING'!T292)</f>
        <v/>
      </c>
      <c r="J292" s="37" t="str">
        <f aca="false">IF('STUDENT SCREENING'!BM292="","",'STUDENT SCREENING'!BM292)</f>
        <v/>
      </c>
      <c r="K292" s="37" t="str">
        <f aca="false">IF('STUDENT SCREENING'!BN292="","",'STUDENT SCREENING'!BN292)</f>
        <v/>
      </c>
      <c r="L292" s="37" t="str">
        <f aca="false">IF('STUDENT SCREENING'!BO292="","",'STUDENT SCREENING'!BO292)</f>
        <v/>
      </c>
      <c r="M292" s="37" t="str">
        <f aca="false">IF('STUDENT SCREENING'!BP292="","",'STUDENT SCREENING'!BP292)</f>
        <v/>
      </c>
      <c r="N292" s="37" t="str">
        <f aca="false">IF('STUDENT SCREENING'!BQ292="","",'STUDENT SCREENING'!BQ292)</f>
        <v/>
      </c>
      <c r="O292" s="37" t="str">
        <f aca="false">IF('STUDENT SCREENING'!BR292="","",'STUDENT SCREENING'!BR292)</f>
        <v/>
      </c>
      <c r="P292" s="28"/>
      <c r="Q292" s="28"/>
      <c r="R292" s="28"/>
      <c r="S292" s="28"/>
      <c r="T292" s="28"/>
      <c r="U292" s="28"/>
      <c r="V292" s="28"/>
      <c r="W292" s="28"/>
      <c r="X292" s="28"/>
    </row>
    <row r="293" customFormat="false" ht="15" hidden="false" customHeight="false" outlineLevel="0" collapsed="false">
      <c r="A293" s="38" t="str">
        <f aca="false">IF('STUDENT SCREENING'!A293="","",'STUDENT SCREENING'!A293)</f>
        <v/>
      </c>
      <c r="B293" s="38" t="str">
        <f aca="false">IF('STUDENT SCREENING'!I293="","",'STUDENT SCREENING'!I293)</f>
        <v/>
      </c>
      <c r="C293" s="38" t="str">
        <f aca="false">IF('STUDENT SCREENING'!F293="","",'STUDENT SCREENING'!F293)</f>
        <v/>
      </c>
      <c r="D293" s="38" t="str">
        <f aca="false">IF('STUDENT SCREENING'!G293="","",'STUDENT SCREENING'!G293)</f>
        <v/>
      </c>
      <c r="E293" s="38" t="str">
        <f aca="false">IF('STUDENT SCREENING'!C293="","",'STUDENT SCREENING'!C293)</f>
        <v/>
      </c>
      <c r="F293" s="38" t="str">
        <f aca="false">IF('STUDENT SCREENING'!J293="","",'STUDENT SCREENING'!J293)</f>
        <v/>
      </c>
      <c r="G293" s="38" t="str">
        <f aca="false">IF('STUDENT SCREENING'!K293="","",'STUDENT SCREENING'!K293)</f>
        <v/>
      </c>
      <c r="H293" s="38" t="str">
        <f aca="false">IF('STUDENT SCREENING'!S293="","",'STUDENT SCREENING'!S293)</f>
        <v/>
      </c>
      <c r="I293" s="38" t="str">
        <f aca="false">IF('STUDENT SCREENING'!T293="","",'STUDENT SCREENING'!T293)</f>
        <v/>
      </c>
      <c r="J293" s="38" t="str">
        <f aca="false">IF('STUDENT SCREENING'!BM293="","",'STUDENT SCREENING'!BM293)</f>
        <v/>
      </c>
      <c r="K293" s="38" t="str">
        <f aca="false">IF('STUDENT SCREENING'!BN293="","",'STUDENT SCREENING'!BN293)</f>
        <v/>
      </c>
      <c r="L293" s="38" t="str">
        <f aca="false">IF('STUDENT SCREENING'!BO293="","",'STUDENT SCREENING'!BO293)</f>
        <v/>
      </c>
      <c r="M293" s="38" t="str">
        <f aca="false">IF('STUDENT SCREENING'!BP293="","",'STUDENT SCREENING'!BP293)</f>
        <v/>
      </c>
      <c r="N293" s="38" t="str">
        <f aca="false">IF('STUDENT SCREENING'!BQ293="","",'STUDENT SCREENING'!BQ293)</f>
        <v/>
      </c>
      <c r="O293" s="38" t="str">
        <f aca="false">IF('STUDENT SCREENING'!BR293="","",'STUDENT SCREENING'!BR293)</f>
        <v/>
      </c>
      <c r="P293" s="32"/>
      <c r="Q293" s="32"/>
      <c r="R293" s="32"/>
      <c r="S293" s="32"/>
      <c r="T293" s="32"/>
      <c r="U293" s="32"/>
      <c r="V293" s="32"/>
      <c r="W293" s="32"/>
      <c r="X293" s="32"/>
    </row>
    <row r="294" customFormat="false" ht="15" hidden="false" customHeight="false" outlineLevel="0" collapsed="false">
      <c r="A294" s="37" t="str">
        <f aca="false">IF('STUDENT SCREENING'!A294="","",'STUDENT SCREENING'!A294)</f>
        <v/>
      </c>
      <c r="B294" s="37" t="str">
        <f aca="false">IF('STUDENT SCREENING'!I294="","",'STUDENT SCREENING'!I294)</f>
        <v/>
      </c>
      <c r="C294" s="37" t="str">
        <f aca="false">IF('STUDENT SCREENING'!F294="","",'STUDENT SCREENING'!F294)</f>
        <v/>
      </c>
      <c r="D294" s="37" t="str">
        <f aca="false">IF('STUDENT SCREENING'!G294="","",'STUDENT SCREENING'!G294)</f>
        <v/>
      </c>
      <c r="E294" s="37" t="str">
        <f aca="false">IF('STUDENT SCREENING'!C294="","",'STUDENT SCREENING'!C294)</f>
        <v/>
      </c>
      <c r="F294" s="37" t="str">
        <f aca="false">IF('STUDENT SCREENING'!J294="","",'STUDENT SCREENING'!J294)</f>
        <v/>
      </c>
      <c r="G294" s="37" t="str">
        <f aca="false">IF('STUDENT SCREENING'!K294="","",'STUDENT SCREENING'!K294)</f>
        <v/>
      </c>
      <c r="H294" s="37" t="str">
        <f aca="false">IF('STUDENT SCREENING'!S294="","",'STUDENT SCREENING'!S294)</f>
        <v/>
      </c>
      <c r="I294" s="37" t="str">
        <f aca="false">IF('STUDENT SCREENING'!T294="","",'STUDENT SCREENING'!T294)</f>
        <v/>
      </c>
      <c r="J294" s="37" t="str">
        <f aca="false">IF('STUDENT SCREENING'!BM294="","",'STUDENT SCREENING'!BM294)</f>
        <v/>
      </c>
      <c r="K294" s="37" t="str">
        <f aca="false">IF('STUDENT SCREENING'!BN294="","",'STUDENT SCREENING'!BN294)</f>
        <v/>
      </c>
      <c r="L294" s="37" t="str">
        <f aca="false">IF('STUDENT SCREENING'!BO294="","",'STUDENT SCREENING'!BO294)</f>
        <v/>
      </c>
      <c r="M294" s="37" t="str">
        <f aca="false">IF('STUDENT SCREENING'!BP294="","",'STUDENT SCREENING'!BP294)</f>
        <v/>
      </c>
      <c r="N294" s="37" t="str">
        <f aca="false">IF('STUDENT SCREENING'!BQ294="","",'STUDENT SCREENING'!BQ294)</f>
        <v/>
      </c>
      <c r="O294" s="37" t="str">
        <f aca="false">IF('STUDENT SCREENING'!BR294="","",'STUDENT SCREENING'!BR294)</f>
        <v/>
      </c>
      <c r="P294" s="28"/>
      <c r="Q294" s="28"/>
      <c r="R294" s="28"/>
      <c r="S294" s="28"/>
      <c r="T294" s="28"/>
      <c r="U294" s="28"/>
      <c r="V294" s="28"/>
      <c r="W294" s="28"/>
      <c r="X294" s="28"/>
    </row>
    <row r="295" customFormat="false" ht="15" hidden="false" customHeight="false" outlineLevel="0" collapsed="false">
      <c r="A295" s="38" t="str">
        <f aca="false">IF('STUDENT SCREENING'!A295="","",'STUDENT SCREENING'!A295)</f>
        <v/>
      </c>
      <c r="B295" s="38" t="str">
        <f aca="false">IF('STUDENT SCREENING'!I295="","",'STUDENT SCREENING'!I295)</f>
        <v/>
      </c>
      <c r="C295" s="38" t="str">
        <f aca="false">IF('STUDENT SCREENING'!F295="","",'STUDENT SCREENING'!F295)</f>
        <v/>
      </c>
      <c r="D295" s="38" t="str">
        <f aca="false">IF('STUDENT SCREENING'!G295="","",'STUDENT SCREENING'!G295)</f>
        <v/>
      </c>
      <c r="E295" s="38" t="str">
        <f aca="false">IF('STUDENT SCREENING'!C295="","",'STUDENT SCREENING'!C295)</f>
        <v/>
      </c>
      <c r="F295" s="38" t="str">
        <f aca="false">IF('STUDENT SCREENING'!J295="","",'STUDENT SCREENING'!J295)</f>
        <v/>
      </c>
      <c r="G295" s="38" t="str">
        <f aca="false">IF('STUDENT SCREENING'!K295="","",'STUDENT SCREENING'!K295)</f>
        <v/>
      </c>
      <c r="H295" s="38" t="str">
        <f aca="false">IF('STUDENT SCREENING'!S295="","",'STUDENT SCREENING'!S295)</f>
        <v/>
      </c>
      <c r="I295" s="38" t="str">
        <f aca="false">IF('STUDENT SCREENING'!T295="","",'STUDENT SCREENING'!T295)</f>
        <v/>
      </c>
      <c r="J295" s="38" t="str">
        <f aca="false">IF('STUDENT SCREENING'!BM295="","",'STUDENT SCREENING'!BM295)</f>
        <v/>
      </c>
      <c r="K295" s="38" t="str">
        <f aca="false">IF('STUDENT SCREENING'!BN295="","",'STUDENT SCREENING'!BN295)</f>
        <v/>
      </c>
      <c r="L295" s="38" t="str">
        <f aca="false">IF('STUDENT SCREENING'!BO295="","",'STUDENT SCREENING'!BO295)</f>
        <v/>
      </c>
      <c r="M295" s="38" t="str">
        <f aca="false">IF('STUDENT SCREENING'!BP295="","",'STUDENT SCREENING'!BP295)</f>
        <v/>
      </c>
      <c r="N295" s="38" t="str">
        <f aca="false">IF('STUDENT SCREENING'!BQ295="","",'STUDENT SCREENING'!BQ295)</f>
        <v/>
      </c>
      <c r="O295" s="38" t="str">
        <f aca="false">IF('STUDENT SCREENING'!BR295="","",'STUDENT SCREENING'!BR295)</f>
        <v/>
      </c>
      <c r="P295" s="32"/>
      <c r="Q295" s="32"/>
      <c r="R295" s="32"/>
      <c r="S295" s="32"/>
      <c r="T295" s="32"/>
      <c r="U295" s="32"/>
      <c r="V295" s="32"/>
      <c r="W295" s="32"/>
      <c r="X295" s="32"/>
    </row>
    <row r="296" customFormat="false" ht="15" hidden="false" customHeight="false" outlineLevel="0" collapsed="false">
      <c r="A296" s="37" t="str">
        <f aca="false">IF('STUDENT SCREENING'!A296="","",'STUDENT SCREENING'!A296)</f>
        <v/>
      </c>
      <c r="B296" s="37" t="str">
        <f aca="false">IF('STUDENT SCREENING'!I296="","",'STUDENT SCREENING'!I296)</f>
        <v/>
      </c>
      <c r="C296" s="37" t="str">
        <f aca="false">IF('STUDENT SCREENING'!F296="","",'STUDENT SCREENING'!F296)</f>
        <v/>
      </c>
      <c r="D296" s="37" t="str">
        <f aca="false">IF('STUDENT SCREENING'!G296="","",'STUDENT SCREENING'!G296)</f>
        <v/>
      </c>
      <c r="E296" s="37" t="str">
        <f aca="false">IF('STUDENT SCREENING'!C296="","",'STUDENT SCREENING'!C296)</f>
        <v/>
      </c>
      <c r="F296" s="37" t="str">
        <f aca="false">IF('STUDENT SCREENING'!J296="","",'STUDENT SCREENING'!J296)</f>
        <v/>
      </c>
      <c r="G296" s="37" t="str">
        <f aca="false">IF('STUDENT SCREENING'!K296="","",'STUDENT SCREENING'!K296)</f>
        <v/>
      </c>
      <c r="H296" s="37" t="str">
        <f aca="false">IF('STUDENT SCREENING'!S296="","",'STUDENT SCREENING'!S296)</f>
        <v/>
      </c>
      <c r="I296" s="37" t="str">
        <f aca="false">IF('STUDENT SCREENING'!T296="","",'STUDENT SCREENING'!T296)</f>
        <v/>
      </c>
      <c r="J296" s="37" t="str">
        <f aca="false">IF('STUDENT SCREENING'!BM296="","",'STUDENT SCREENING'!BM296)</f>
        <v/>
      </c>
      <c r="K296" s="37" t="str">
        <f aca="false">IF('STUDENT SCREENING'!BN296="","",'STUDENT SCREENING'!BN296)</f>
        <v/>
      </c>
      <c r="L296" s="37" t="str">
        <f aca="false">IF('STUDENT SCREENING'!BO296="","",'STUDENT SCREENING'!BO296)</f>
        <v/>
      </c>
      <c r="M296" s="37" t="str">
        <f aca="false">IF('STUDENT SCREENING'!BP296="","",'STUDENT SCREENING'!BP296)</f>
        <v/>
      </c>
      <c r="N296" s="37" t="str">
        <f aca="false">IF('STUDENT SCREENING'!BQ296="","",'STUDENT SCREENING'!BQ296)</f>
        <v/>
      </c>
      <c r="O296" s="37" t="str">
        <f aca="false">IF('STUDENT SCREENING'!BR296="","",'STUDENT SCREENING'!BR296)</f>
        <v/>
      </c>
      <c r="P296" s="28"/>
      <c r="Q296" s="28"/>
      <c r="R296" s="28"/>
      <c r="S296" s="28"/>
      <c r="T296" s="28"/>
      <c r="U296" s="28"/>
      <c r="V296" s="28"/>
      <c r="W296" s="28"/>
      <c r="X296" s="28"/>
    </row>
    <row r="297" customFormat="false" ht="15" hidden="false" customHeight="false" outlineLevel="0" collapsed="false">
      <c r="A297" s="38" t="str">
        <f aca="false">IF('STUDENT SCREENING'!A297="","",'STUDENT SCREENING'!A297)</f>
        <v/>
      </c>
      <c r="B297" s="38" t="str">
        <f aca="false">IF('STUDENT SCREENING'!I297="","",'STUDENT SCREENING'!I297)</f>
        <v/>
      </c>
      <c r="C297" s="38" t="str">
        <f aca="false">IF('STUDENT SCREENING'!F297="","",'STUDENT SCREENING'!F297)</f>
        <v/>
      </c>
      <c r="D297" s="38" t="str">
        <f aca="false">IF('STUDENT SCREENING'!G297="","",'STUDENT SCREENING'!G297)</f>
        <v/>
      </c>
      <c r="E297" s="38" t="str">
        <f aca="false">IF('STUDENT SCREENING'!C297="","",'STUDENT SCREENING'!C297)</f>
        <v/>
      </c>
      <c r="F297" s="38" t="str">
        <f aca="false">IF('STUDENT SCREENING'!J297="","",'STUDENT SCREENING'!J297)</f>
        <v/>
      </c>
      <c r="G297" s="38" t="str">
        <f aca="false">IF('STUDENT SCREENING'!K297="","",'STUDENT SCREENING'!K297)</f>
        <v/>
      </c>
      <c r="H297" s="38" t="str">
        <f aca="false">IF('STUDENT SCREENING'!S297="","",'STUDENT SCREENING'!S297)</f>
        <v/>
      </c>
      <c r="I297" s="38" t="str">
        <f aca="false">IF('STUDENT SCREENING'!T297="","",'STUDENT SCREENING'!T297)</f>
        <v/>
      </c>
      <c r="J297" s="38" t="str">
        <f aca="false">IF('STUDENT SCREENING'!BM297="","",'STUDENT SCREENING'!BM297)</f>
        <v/>
      </c>
      <c r="K297" s="38" t="str">
        <f aca="false">IF('STUDENT SCREENING'!BN297="","",'STUDENT SCREENING'!BN297)</f>
        <v/>
      </c>
      <c r="L297" s="38" t="str">
        <f aca="false">IF('STUDENT SCREENING'!BO297="","",'STUDENT SCREENING'!BO297)</f>
        <v/>
      </c>
      <c r="M297" s="38" t="str">
        <f aca="false">IF('STUDENT SCREENING'!BP297="","",'STUDENT SCREENING'!BP297)</f>
        <v/>
      </c>
      <c r="N297" s="38" t="str">
        <f aca="false">IF('STUDENT SCREENING'!BQ297="","",'STUDENT SCREENING'!BQ297)</f>
        <v/>
      </c>
      <c r="O297" s="38" t="str">
        <f aca="false">IF('STUDENT SCREENING'!BR297="","",'STUDENT SCREENING'!BR297)</f>
        <v/>
      </c>
      <c r="P297" s="32"/>
      <c r="Q297" s="32"/>
      <c r="R297" s="32"/>
      <c r="S297" s="32"/>
      <c r="T297" s="32"/>
      <c r="U297" s="32"/>
      <c r="V297" s="32"/>
      <c r="W297" s="32"/>
      <c r="X297" s="32"/>
    </row>
    <row r="298" customFormat="false" ht="15" hidden="false" customHeight="false" outlineLevel="0" collapsed="false">
      <c r="A298" s="37" t="str">
        <f aca="false">IF('STUDENT SCREENING'!A298="","",'STUDENT SCREENING'!A298)</f>
        <v/>
      </c>
      <c r="B298" s="37" t="str">
        <f aca="false">IF('STUDENT SCREENING'!I298="","",'STUDENT SCREENING'!I298)</f>
        <v/>
      </c>
      <c r="C298" s="37" t="str">
        <f aca="false">IF('STUDENT SCREENING'!F298="","",'STUDENT SCREENING'!F298)</f>
        <v/>
      </c>
      <c r="D298" s="37" t="str">
        <f aca="false">IF('STUDENT SCREENING'!G298="","",'STUDENT SCREENING'!G298)</f>
        <v/>
      </c>
      <c r="E298" s="37" t="str">
        <f aca="false">IF('STUDENT SCREENING'!C298="","",'STUDENT SCREENING'!C298)</f>
        <v/>
      </c>
      <c r="F298" s="37" t="str">
        <f aca="false">IF('STUDENT SCREENING'!J298="","",'STUDENT SCREENING'!J298)</f>
        <v/>
      </c>
      <c r="G298" s="37" t="str">
        <f aca="false">IF('STUDENT SCREENING'!K298="","",'STUDENT SCREENING'!K298)</f>
        <v/>
      </c>
      <c r="H298" s="37" t="str">
        <f aca="false">IF('STUDENT SCREENING'!S298="","",'STUDENT SCREENING'!S298)</f>
        <v/>
      </c>
      <c r="I298" s="37" t="str">
        <f aca="false">IF('STUDENT SCREENING'!T298="","",'STUDENT SCREENING'!T298)</f>
        <v/>
      </c>
      <c r="J298" s="37" t="str">
        <f aca="false">IF('STUDENT SCREENING'!BM298="","",'STUDENT SCREENING'!BM298)</f>
        <v/>
      </c>
      <c r="K298" s="37" t="str">
        <f aca="false">IF('STUDENT SCREENING'!BN298="","",'STUDENT SCREENING'!BN298)</f>
        <v/>
      </c>
      <c r="L298" s="37" t="str">
        <f aca="false">IF('STUDENT SCREENING'!BO298="","",'STUDENT SCREENING'!BO298)</f>
        <v/>
      </c>
      <c r="M298" s="37" t="str">
        <f aca="false">IF('STUDENT SCREENING'!BP298="","",'STUDENT SCREENING'!BP298)</f>
        <v/>
      </c>
      <c r="N298" s="37" t="str">
        <f aca="false">IF('STUDENT SCREENING'!BQ298="","",'STUDENT SCREENING'!BQ298)</f>
        <v/>
      </c>
      <c r="O298" s="37" t="str">
        <f aca="false">IF('STUDENT SCREENING'!BR298="","",'STUDENT SCREENING'!BR298)</f>
        <v/>
      </c>
      <c r="P298" s="28"/>
      <c r="Q298" s="28"/>
      <c r="R298" s="28"/>
      <c r="S298" s="28"/>
      <c r="T298" s="28"/>
      <c r="U298" s="28"/>
      <c r="V298" s="28"/>
      <c r="W298" s="28"/>
      <c r="X298" s="28"/>
    </row>
    <row r="299" customFormat="false" ht="15" hidden="false" customHeight="false" outlineLevel="0" collapsed="false">
      <c r="A299" s="38" t="str">
        <f aca="false">IF('STUDENT SCREENING'!A299="","",'STUDENT SCREENING'!A299)</f>
        <v/>
      </c>
      <c r="B299" s="38" t="str">
        <f aca="false">IF('STUDENT SCREENING'!I299="","",'STUDENT SCREENING'!I299)</f>
        <v/>
      </c>
      <c r="C299" s="38" t="str">
        <f aca="false">IF('STUDENT SCREENING'!F299="","",'STUDENT SCREENING'!F299)</f>
        <v/>
      </c>
      <c r="D299" s="38" t="str">
        <f aca="false">IF('STUDENT SCREENING'!G299="","",'STUDENT SCREENING'!G299)</f>
        <v/>
      </c>
      <c r="E299" s="38" t="str">
        <f aca="false">IF('STUDENT SCREENING'!C299="","",'STUDENT SCREENING'!C299)</f>
        <v/>
      </c>
      <c r="F299" s="38" t="str">
        <f aca="false">IF('STUDENT SCREENING'!J299="","",'STUDENT SCREENING'!J299)</f>
        <v/>
      </c>
      <c r="G299" s="38" t="str">
        <f aca="false">IF('STUDENT SCREENING'!K299="","",'STUDENT SCREENING'!K299)</f>
        <v/>
      </c>
      <c r="H299" s="38" t="str">
        <f aca="false">IF('STUDENT SCREENING'!S299="","",'STUDENT SCREENING'!S299)</f>
        <v/>
      </c>
      <c r="I299" s="38" t="str">
        <f aca="false">IF('STUDENT SCREENING'!T299="","",'STUDENT SCREENING'!T299)</f>
        <v/>
      </c>
      <c r="J299" s="38" t="str">
        <f aca="false">IF('STUDENT SCREENING'!BM299="","",'STUDENT SCREENING'!BM299)</f>
        <v/>
      </c>
      <c r="K299" s="38" t="str">
        <f aca="false">IF('STUDENT SCREENING'!BN299="","",'STUDENT SCREENING'!BN299)</f>
        <v/>
      </c>
      <c r="L299" s="38" t="str">
        <f aca="false">IF('STUDENT SCREENING'!BO299="","",'STUDENT SCREENING'!BO299)</f>
        <v/>
      </c>
      <c r="M299" s="38" t="str">
        <f aca="false">IF('STUDENT SCREENING'!BP299="","",'STUDENT SCREENING'!BP299)</f>
        <v/>
      </c>
      <c r="N299" s="38" t="str">
        <f aca="false">IF('STUDENT SCREENING'!BQ299="","",'STUDENT SCREENING'!BQ299)</f>
        <v/>
      </c>
      <c r="O299" s="38" t="str">
        <f aca="false">IF('STUDENT SCREENING'!BR299="","",'STUDENT SCREENING'!BR299)</f>
        <v/>
      </c>
      <c r="P299" s="32"/>
      <c r="Q299" s="32"/>
      <c r="R299" s="32"/>
      <c r="S299" s="32"/>
      <c r="T299" s="32"/>
      <c r="U299" s="32"/>
      <c r="V299" s="32"/>
      <c r="W299" s="32"/>
      <c r="X299" s="32"/>
    </row>
    <row r="300" customFormat="false" ht="15" hidden="false" customHeight="false" outlineLevel="0" collapsed="false">
      <c r="A300" s="37" t="str">
        <f aca="false">IF('STUDENT SCREENING'!A300="","",'STUDENT SCREENING'!A300)</f>
        <v/>
      </c>
      <c r="B300" s="37" t="str">
        <f aca="false">IF('STUDENT SCREENING'!I300="","",'STUDENT SCREENING'!I300)</f>
        <v/>
      </c>
      <c r="C300" s="37" t="str">
        <f aca="false">IF('STUDENT SCREENING'!F300="","",'STUDENT SCREENING'!F300)</f>
        <v/>
      </c>
      <c r="D300" s="37" t="str">
        <f aca="false">IF('STUDENT SCREENING'!G300="","",'STUDENT SCREENING'!G300)</f>
        <v/>
      </c>
      <c r="E300" s="37" t="str">
        <f aca="false">IF('STUDENT SCREENING'!C300="","",'STUDENT SCREENING'!C300)</f>
        <v/>
      </c>
      <c r="F300" s="37" t="str">
        <f aca="false">IF('STUDENT SCREENING'!J300="","",'STUDENT SCREENING'!J300)</f>
        <v/>
      </c>
      <c r="G300" s="37" t="str">
        <f aca="false">IF('STUDENT SCREENING'!K300="","",'STUDENT SCREENING'!K300)</f>
        <v/>
      </c>
      <c r="H300" s="37" t="str">
        <f aca="false">IF('STUDENT SCREENING'!S300="","",'STUDENT SCREENING'!S300)</f>
        <v/>
      </c>
      <c r="I300" s="37" t="str">
        <f aca="false">IF('STUDENT SCREENING'!T300="","",'STUDENT SCREENING'!T300)</f>
        <v/>
      </c>
      <c r="J300" s="37" t="str">
        <f aca="false">IF('STUDENT SCREENING'!BM300="","",'STUDENT SCREENING'!BM300)</f>
        <v/>
      </c>
      <c r="K300" s="37" t="str">
        <f aca="false">IF('STUDENT SCREENING'!BN300="","",'STUDENT SCREENING'!BN300)</f>
        <v/>
      </c>
      <c r="L300" s="37" t="str">
        <f aca="false">IF('STUDENT SCREENING'!BO300="","",'STUDENT SCREENING'!BO300)</f>
        <v/>
      </c>
      <c r="M300" s="37" t="str">
        <f aca="false">IF('STUDENT SCREENING'!BP300="","",'STUDENT SCREENING'!BP300)</f>
        <v/>
      </c>
      <c r="N300" s="37" t="str">
        <f aca="false">IF('STUDENT SCREENING'!BQ300="","",'STUDENT SCREENING'!BQ300)</f>
        <v/>
      </c>
      <c r="O300" s="37" t="str">
        <f aca="false">IF('STUDENT SCREENING'!BR300="","",'STUDENT SCREENING'!BR300)</f>
        <v/>
      </c>
      <c r="P300" s="28"/>
      <c r="Q300" s="28"/>
      <c r="R300" s="28"/>
      <c r="S300" s="28"/>
      <c r="T300" s="28"/>
      <c r="U300" s="28"/>
      <c r="V300" s="28"/>
      <c r="W300" s="28"/>
      <c r="X300" s="28"/>
    </row>
    <row r="301" customFormat="false" ht="15" hidden="false" customHeight="false" outlineLevel="0" collapsed="false">
      <c r="A301" s="38" t="str">
        <f aca="false">IF('STUDENT SCREENING'!A301="","",'STUDENT SCREENING'!A301)</f>
        <v/>
      </c>
      <c r="B301" s="38" t="str">
        <f aca="false">IF('STUDENT SCREENING'!I301="","",'STUDENT SCREENING'!I301)</f>
        <v/>
      </c>
      <c r="C301" s="38" t="str">
        <f aca="false">IF('STUDENT SCREENING'!F301="","",'STUDENT SCREENING'!F301)</f>
        <v/>
      </c>
      <c r="D301" s="38" t="str">
        <f aca="false">IF('STUDENT SCREENING'!G301="","",'STUDENT SCREENING'!G301)</f>
        <v/>
      </c>
      <c r="E301" s="38" t="str">
        <f aca="false">IF('STUDENT SCREENING'!C301="","",'STUDENT SCREENING'!C301)</f>
        <v/>
      </c>
      <c r="F301" s="38" t="str">
        <f aca="false">IF('STUDENT SCREENING'!J301="","",'STUDENT SCREENING'!J301)</f>
        <v/>
      </c>
      <c r="G301" s="38" t="str">
        <f aca="false">IF('STUDENT SCREENING'!K301="","",'STUDENT SCREENING'!K301)</f>
        <v/>
      </c>
      <c r="H301" s="38" t="str">
        <f aca="false">IF('STUDENT SCREENING'!S301="","",'STUDENT SCREENING'!S301)</f>
        <v/>
      </c>
      <c r="I301" s="38" t="str">
        <f aca="false">IF('STUDENT SCREENING'!T301="","",'STUDENT SCREENING'!T301)</f>
        <v/>
      </c>
      <c r="J301" s="38" t="str">
        <f aca="false">IF('STUDENT SCREENING'!BM301="","",'STUDENT SCREENING'!BM301)</f>
        <v/>
      </c>
      <c r="K301" s="38" t="str">
        <f aca="false">IF('STUDENT SCREENING'!BN301="","",'STUDENT SCREENING'!BN301)</f>
        <v/>
      </c>
      <c r="L301" s="38" t="str">
        <f aca="false">IF('STUDENT SCREENING'!BO301="","",'STUDENT SCREENING'!BO301)</f>
        <v/>
      </c>
      <c r="M301" s="38" t="str">
        <f aca="false">IF('STUDENT SCREENING'!BP301="","",'STUDENT SCREENING'!BP301)</f>
        <v/>
      </c>
      <c r="N301" s="38" t="str">
        <f aca="false">IF('STUDENT SCREENING'!BQ301="","",'STUDENT SCREENING'!BQ301)</f>
        <v/>
      </c>
      <c r="O301" s="38" t="str">
        <f aca="false">IF('STUDENT SCREENING'!BR301="","",'STUDENT SCREENING'!BR301)</f>
        <v/>
      </c>
      <c r="P301" s="32"/>
      <c r="Q301" s="32"/>
      <c r="R301" s="32"/>
      <c r="S301" s="32"/>
      <c r="T301" s="32"/>
      <c r="U301" s="32"/>
      <c r="V301" s="32"/>
      <c r="W301" s="32"/>
      <c r="X301" s="32"/>
    </row>
    <row r="302" customFormat="false" ht="15" hidden="false" customHeight="false" outlineLevel="0" collapsed="false">
      <c r="A302" s="37" t="str">
        <f aca="false">IF('STUDENT SCREENING'!A302="","",'STUDENT SCREENING'!A302)</f>
        <v/>
      </c>
      <c r="B302" s="37" t="str">
        <f aca="false">IF('STUDENT SCREENING'!I302="","",'STUDENT SCREENING'!I302)</f>
        <v/>
      </c>
      <c r="C302" s="37" t="str">
        <f aca="false">IF('STUDENT SCREENING'!F302="","",'STUDENT SCREENING'!F302)</f>
        <v/>
      </c>
      <c r="D302" s="37" t="str">
        <f aca="false">IF('STUDENT SCREENING'!G302="","",'STUDENT SCREENING'!G302)</f>
        <v/>
      </c>
      <c r="E302" s="37" t="str">
        <f aca="false">IF('STUDENT SCREENING'!C302="","",'STUDENT SCREENING'!C302)</f>
        <v/>
      </c>
      <c r="F302" s="37" t="str">
        <f aca="false">IF('STUDENT SCREENING'!J302="","",'STUDENT SCREENING'!J302)</f>
        <v/>
      </c>
      <c r="G302" s="37" t="str">
        <f aca="false">IF('STUDENT SCREENING'!K302="","",'STUDENT SCREENING'!K302)</f>
        <v/>
      </c>
      <c r="H302" s="37" t="str">
        <f aca="false">IF('STUDENT SCREENING'!S302="","",'STUDENT SCREENING'!S302)</f>
        <v/>
      </c>
      <c r="I302" s="37" t="str">
        <f aca="false">IF('STUDENT SCREENING'!T302="","",'STUDENT SCREENING'!T302)</f>
        <v/>
      </c>
      <c r="J302" s="37" t="str">
        <f aca="false">IF('STUDENT SCREENING'!BM302="","",'STUDENT SCREENING'!BM302)</f>
        <v/>
      </c>
      <c r="K302" s="37" t="str">
        <f aca="false">IF('STUDENT SCREENING'!BN302="","",'STUDENT SCREENING'!BN302)</f>
        <v/>
      </c>
      <c r="L302" s="37" t="str">
        <f aca="false">IF('STUDENT SCREENING'!BO302="","",'STUDENT SCREENING'!BO302)</f>
        <v/>
      </c>
      <c r="M302" s="37" t="str">
        <f aca="false">IF('STUDENT SCREENING'!BP302="","",'STUDENT SCREENING'!BP302)</f>
        <v/>
      </c>
      <c r="N302" s="37" t="str">
        <f aca="false">IF('STUDENT SCREENING'!BQ302="","",'STUDENT SCREENING'!BQ302)</f>
        <v/>
      </c>
      <c r="O302" s="37" t="str">
        <f aca="false">IF('STUDENT SCREENING'!BR302="","",'STUDENT SCREENING'!BR302)</f>
        <v/>
      </c>
      <c r="P302" s="28"/>
      <c r="Q302" s="28"/>
      <c r="R302" s="28"/>
      <c r="S302" s="28"/>
      <c r="T302" s="28"/>
      <c r="U302" s="28"/>
      <c r="V302" s="28"/>
      <c r="W302" s="28"/>
      <c r="X302" s="28"/>
    </row>
    <row r="303" customFormat="false" ht="15" hidden="false" customHeight="false" outlineLevel="0" collapsed="false">
      <c r="A303" s="38" t="str">
        <f aca="false">IF('STUDENT SCREENING'!A303="","",'STUDENT SCREENING'!A303)</f>
        <v/>
      </c>
      <c r="B303" s="38" t="str">
        <f aca="false">IF('STUDENT SCREENING'!I303="","",'STUDENT SCREENING'!I303)</f>
        <v/>
      </c>
      <c r="C303" s="38" t="str">
        <f aca="false">IF('STUDENT SCREENING'!F303="","",'STUDENT SCREENING'!F303)</f>
        <v/>
      </c>
      <c r="D303" s="38" t="str">
        <f aca="false">IF('STUDENT SCREENING'!G303="","",'STUDENT SCREENING'!G303)</f>
        <v/>
      </c>
      <c r="E303" s="38" t="str">
        <f aca="false">IF('STUDENT SCREENING'!C303="","",'STUDENT SCREENING'!C303)</f>
        <v/>
      </c>
      <c r="F303" s="38" t="str">
        <f aca="false">IF('STUDENT SCREENING'!J303="","",'STUDENT SCREENING'!J303)</f>
        <v/>
      </c>
      <c r="G303" s="38" t="str">
        <f aca="false">IF('STUDENT SCREENING'!K303="","",'STUDENT SCREENING'!K303)</f>
        <v/>
      </c>
      <c r="H303" s="38" t="str">
        <f aca="false">IF('STUDENT SCREENING'!S303="","",'STUDENT SCREENING'!S303)</f>
        <v/>
      </c>
      <c r="I303" s="38" t="str">
        <f aca="false">IF('STUDENT SCREENING'!T303="","",'STUDENT SCREENING'!T303)</f>
        <v/>
      </c>
      <c r="J303" s="38" t="str">
        <f aca="false">IF('STUDENT SCREENING'!BM303="","",'STUDENT SCREENING'!BM303)</f>
        <v/>
      </c>
      <c r="K303" s="38" t="str">
        <f aca="false">IF('STUDENT SCREENING'!BN303="","",'STUDENT SCREENING'!BN303)</f>
        <v/>
      </c>
      <c r="L303" s="38" t="str">
        <f aca="false">IF('STUDENT SCREENING'!BO303="","",'STUDENT SCREENING'!BO303)</f>
        <v/>
      </c>
      <c r="M303" s="38" t="str">
        <f aca="false">IF('STUDENT SCREENING'!BP303="","",'STUDENT SCREENING'!BP303)</f>
        <v/>
      </c>
      <c r="N303" s="38" t="str">
        <f aca="false">IF('STUDENT SCREENING'!BQ303="","",'STUDENT SCREENING'!BQ303)</f>
        <v/>
      </c>
      <c r="O303" s="38" t="str">
        <f aca="false">IF('STUDENT SCREENING'!BR303="","",'STUDENT SCREENING'!BR303)</f>
        <v/>
      </c>
      <c r="P303" s="32"/>
      <c r="Q303" s="32"/>
      <c r="R303" s="32"/>
      <c r="S303" s="32"/>
      <c r="T303" s="32"/>
      <c r="U303" s="32"/>
      <c r="V303" s="32"/>
      <c r="W303" s="32"/>
      <c r="X303" s="32"/>
    </row>
  </sheetData>
  <mergeCells count="3">
    <mergeCell ref="A1:X1"/>
    <mergeCell ref="A2:O2"/>
    <mergeCell ref="P2:X2"/>
  </mergeCells>
  <conditionalFormatting sqref="A4:X303">
    <cfRule type="expression" priority="2" aboveAverage="0" equalAverage="0" bottom="0" percent="0" rank="0" text="" dxfId="7">
      <formula>$O4="Yes"</formula>
    </cfRule>
  </conditionalFormatting>
  <dataValidations count="5">
    <dataValidation allowBlank="true" error="Please choose a value from the dropdown list." errorStyle="stop" errorTitle="Invalid entry" operator="between" showDropDown="false" showErrorMessage="true" showInputMessage="false" sqref="R4:R303" type="list">
      <formula1>Adm_Yes___No</formula1>
      <formula2>0</formula2>
    </dataValidation>
    <dataValidation allowBlank="true" error="Please choose a value from the dropdown list." errorStyle="stop" errorTitle="Invalid entry" operator="between" showDropDown="false" showErrorMessage="true" showInputMessage="false" sqref="S4:S303" type="list">
      <formula1>Adm_Referral_Type</formula1>
      <formula2>0</formula2>
    </dataValidation>
    <dataValidation allowBlank="true" error="Please choose a value from the dropdown list." errorStyle="stop" errorTitle="Invalid entry" operator="between" showDropDown="false" showErrorMessage="true" showInputMessage="false" sqref="T4:T303" type="list">
      <formula1>Adm_Yes___No</formula1>
      <formula2>0</formula2>
    </dataValidation>
    <dataValidation allowBlank="true" error="Please choose a value from the dropdown list." errorStyle="stop" errorTitle="Invalid entry" operator="between" showDropDown="false" showErrorMessage="true" showInputMessage="false" sqref="U4:U303" type="list">
      <formula1>Adm_Yes___No</formula1>
      <formula2>0</formula2>
    </dataValidation>
    <dataValidation allowBlank="true" error="Please choose a value from the dropdown list." errorStyle="stop" errorTitle="Invalid entry" operator="between" showDropDown="false" showErrorMessage="true" showInputMessage="false" sqref="V4:V303" type="list">
      <formula1>Adm_Yes___No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5E45"/>
    <pageSetUpPr fitToPage="true"/>
  </sheetPr>
  <dimension ref="A1:G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22"/>
    <col collapsed="false" customWidth="true" hidden="false" outlineLevel="0" max="4" min="4" style="0" width="24"/>
    <col collapsed="false" customWidth="true" hidden="false" outlineLevel="0" max="5" min="5" style="0" width="22"/>
    <col collapsed="false" customWidth="true" hidden="false" outlineLevel="0" max="6" min="6" style="0" width="24"/>
    <col collapsed="false" customWidth="true" hidden="false" outlineLevel="0" max="7" min="7" style="0" width="3"/>
  </cols>
  <sheetData>
    <row r="1" customFormat="false" ht="43.5" hidden="false" customHeight="true" outlineLevel="0" collapsed="false">
      <c r="A1" s="39" t="s">
        <v>202</v>
      </c>
      <c r="B1" s="39"/>
      <c r="C1" s="39"/>
      <c r="D1" s="39"/>
      <c r="E1" s="39"/>
      <c r="F1" s="39"/>
      <c r="G1" s="39"/>
    </row>
    <row r="2" customFormat="false" ht="21.75" hidden="false" customHeight="true" outlineLevel="0" collapsed="false">
      <c r="A2" s="40" t="s">
        <v>203</v>
      </c>
      <c r="B2" s="40"/>
      <c r="C2" s="40"/>
      <c r="D2" s="40"/>
      <c r="E2" s="40"/>
      <c r="F2" s="40"/>
      <c r="G2" s="40"/>
    </row>
    <row r="3" customFormat="false" ht="7.5" hidden="false" customHeight="true" outlineLevel="0" collapsed="false"/>
    <row r="4" customFormat="false" ht="16.15" hidden="false" customHeight="false" outlineLevel="0" collapsed="false">
      <c r="B4" s="41" t="s">
        <v>204</v>
      </c>
      <c r="C4" s="42" t="s">
        <v>205</v>
      </c>
    </row>
    <row r="6" customFormat="false" ht="15" hidden="false" customHeight="false" outlineLevel="0" collapsed="false">
      <c r="B6" s="43" t="s">
        <v>206</v>
      </c>
      <c r="C6" s="43"/>
      <c r="D6" s="43"/>
      <c r="E6" s="43"/>
      <c r="F6" s="43"/>
    </row>
    <row r="7" customFormat="false" ht="15" hidden="false" customHeight="false" outlineLevel="0" collapsed="false">
      <c r="B7" s="44" t="s">
        <v>46</v>
      </c>
      <c r="C7" s="28" t="str">
        <f aca="false">IF($C$4="","",IFERROR(INDEX('STUDENT SCREENING'!$I$4:$I$303,MATCH($C$4,'STUDENT SCREENING'!$A$4:$A$303,0)),"Not found"))</f>
        <v>Priya Kadam</v>
      </c>
      <c r="D7" s="44" t="s">
        <v>39</v>
      </c>
      <c r="E7" s="29" t="n">
        <f aca="false">IF($C$4="","",IFERROR(INDEX('STUDENT SCREENING'!$B$4:$B$303,MATCH($C$4,'STUDENT SCREENING'!$A$4:$A$303,0)),"Not found"))</f>
        <v>46204</v>
      </c>
    </row>
    <row r="8" customFormat="false" ht="15" hidden="false" customHeight="false" outlineLevel="0" collapsed="false">
      <c r="B8" s="44" t="s">
        <v>43</v>
      </c>
      <c r="C8" s="28" t="str">
        <f aca="false">IF($C$4="","",IFERROR(INDEX('STUDENT SCREENING'!$F$4:$F$303,MATCH($C$4,'STUDENT SCREENING'!$A$4:$A$303,0)),"Not found"))</f>
        <v>6</v>
      </c>
      <c r="D8" s="44" t="s">
        <v>54</v>
      </c>
      <c r="E8" s="28" t="n">
        <f aca="false">IF($C$4="","",IFERROR(INDEX('STUDENT SCREENING'!$Q$4:$Q$303,MATCH($C$4,'STUDENT SCREENING'!$A$4:$A$303,0)),"Not found"))</f>
        <v>128</v>
      </c>
    </row>
    <row r="9" customFormat="false" ht="15" hidden="false" customHeight="false" outlineLevel="0" collapsed="false">
      <c r="B9" s="44" t="s">
        <v>44</v>
      </c>
      <c r="C9" s="28" t="str">
        <f aca="false">IF($C$4="","",IFERROR(INDEX('STUDENT SCREENING'!$G$4:$G$303,MATCH($C$4,'STUDENT SCREENING'!$A$4:$A$303,0)),"Not found"))</f>
        <v>B</v>
      </c>
      <c r="D9" s="44" t="s">
        <v>55</v>
      </c>
      <c r="E9" s="28" t="n">
        <f aca="false">IF($C$4="","",IFERROR(INDEX('STUDENT SCREENING'!$R$4:$R$303,MATCH($C$4,'STUDENT SCREENING'!$A$4:$A$303,0)),"Not found"))</f>
        <v>21</v>
      </c>
    </row>
    <row r="10" customFormat="false" ht="15" hidden="false" customHeight="false" outlineLevel="0" collapsed="false">
      <c r="B10" s="44" t="s">
        <v>207</v>
      </c>
      <c r="C10" s="28" t="str">
        <f aca="false">IF($C$4="","",IFERROR(INDEX('STUDENT SCREENING'!$C$4:$C$303,MATCH($C$4,'STUDENT SCREENING'!$A$4:$A$303,0)),"Not found"))</f>
        <v>Greenwood High</v>
      </c>
      <c r="D10" s="44" t="s">
        <v>56</v>
      </c>
      <c r="E10" s="28" t="n">
        <f aca="false">IF($C$4="","",IFERROR(INDEX('STUDENT SCREENING'!$S$4:$S$303,MATCH($C$4,'STUDENT SCREENING'!$A$4:$A$303,0)),"Not found"))</f>
        <v>12.8</v>
      </c>
    </row>
    <row r="11" customFormat="false" ht="15" hidden="false" customHeight="false" outlineLevel="0" collapsed="false">
      <c r="B11" s="44" t="s">
        <v>47</v>
      </c>
      <c r="C11" s="28" t="n">
        <f aca="false">IF($C$4="","",IFERROR(INDEX('STUDENT SCREENING'!$J$4:$J$303,MATCH($C$4,'STUDENT SCREENING'!$A$4:$A$303,0)),"Not found"))</f>
        <v>11</v>
      </c>
      <c r="D11" s="44" t="s">
        <v>57</v>
      </c>
      <c r="E11" s="28" t="str">
        <f aca="false">IF($C$4="","",IFERROR(INDEX('STUDENT SCREENING'!$T$4:$T$303,MATCH($C$4,'STUDENT SCREENING'!$A$4:$A$303,0)),"Not found"))</f>
        <v>Underweight</v>
      </c>
    </row>
    <row r="12" customFormat="false" ht="15" hidden="false" customHeight="false" outlineLevel="0" collapsed="false">
      <c r="B12" s="44" t="s">
        <v>48</v>
      </c>
      <c r="C12" s="28" t="str">
        <f aca="false">IF($C$4="","",IFERROR(INDEX('STUDENT SCREENING'!$K$4:$K$303,MATCH($C$4,'STUDENT SCREENING'!$A$4:$A$303,0)),"Not found"))</f>
        <v>Female</v>
      </c>
      <c r="D12" s="44" t="s">
        <v>53</v>
      </c>
      <c r="E12" s="28" t="str">
        <f aca="false">IF($C$4="","",IFERROR(INDEX('STUDENT SCREENING'!$P$4:$P$303,MATCH($C$4,'STUDENT SCREENING'!$A$4:$A$303,0)),"Not found"))</f>
        <v>O+</v>
      </c>
    </row>
    <row r="14" customFormat="false" ht="15" hidden="false" customHeight="false" outlineLevel="0" collapsed="false">
      <c r="B14" s="43" t="s">
        <v>208</v>
      </c>
      <c r="C14" s="43"/>
      <c r="D14" s="43"/>
      <c r="E14" s="43"/>
      <c r="F14" s="43"/>
    </row>
    <row r="15" customFormat="false" ht="15" hidden="false" customHeight="false" outlineLevel="0" collapsed="false">
      <c r="B15" s="28" t="s">
        <v>102</v>
      </c>
      <c r="C15" s="45"/>
      <c r="D15" s="46" t="n">
        <f aca="false">IF($C$4="","",IFERROR(INDEX('STUDENT SCREENING'!$BM$4:$BM$303,MATCH($C$4,'STUDENT SCREENING'!$A$4:$A$303,0)),"Not found"))</f>
        <v>23</v>
      </c>
      <c r="E15" s="46"/>
    </row>
    <row r="16" customFormat="false" ht="15" hidden="false" customHeight="false" outlineLevel="0" collapsed="false">
      <c r="B16" s="28" t="s">
        <v>103</v>
      </c>
      <c r="C16" s="45"/>
      <c r="D16" s="46" t="n">
        <f aca="false">IF($C$4="","",IFERROR(INDEX('STUDENT SCREENING'!$BN$4:$BN$303,MATCH($C$4,'STUDENT SCREENING'!$A$4:$A$303,0)),"Not found"))</f>
        <v>15</v>
      </c>
      <c r="E16" s="46"/>
    </row>
    <row r="17" customFormat="false" ht="15" hidden="false" customHeight="false" outlineLevel="0" collapsed="false">
      <c r="B17" s="28" t="s">
        <v>95</v>
      </c>
      <c r="C17" s="45"/>
      <c r="D17" s="46" t="n">
        <f aca="false">IF($C$4="","",IFERROR(INDEX('STUDENT SCREENING'!$BF$4:$BF$303,MATCH($C$4,'STUDENT SCREENING'!$A$4:$A$303,0)),"Not found"))</f>
        <v>30</v>
      </c>
      <c r="E17" s="46"/>
    </row>
    <row r="18" customFormat="false" ht="15" hidden="false" customHeight="false" outlineLevel="0" collapsed="false">
      <c r="B18" s="28" t="s">
        <v>96</v>
      </c>
      <c r="C18" s="45"/>
      <c r="D18" s="46" t="n">
        <f aca="false">IF($C$4="","",IFERROR(INDEX('STUDENT SCREENING'!$BG$4:$BG$303,MATCH($C$4,'STUDENT SCREENING'!$A$4:$A$303,0)),"Not found"))</f>
        <v>0</v>
      </c>
      <c r="E18" s="46"/>
    </row>
    <row r="19" customFormat="false" ht="15" hidden="false" customHeight="false" outlineLevel="0" collapsed="false">
      <c r="B19" s="28" t="s">
        <v>97</v>
      </c>
      <c r="C19" s="45"/>
      <c r="D19" s="46" t="n">
        <f aca="false">IF($C$4="","",IFERROR(INDEX('STUDENT SCREENING'!$BH$4:$BH$303,MATCH($C$4,'STUDENT SCREENING'!$A$4:$A$303,0)),"Not found"))</f>
        <v>33</v>
      </c>
      <c r="E19" s="46"/>
    </row>
    <row r="20" customFormat="false" ht="15" hidden="false" customHeight="false" outlineLevel="0" collapsed="false">
      <c r="B20" s="28" t="s">
        <v>98</v>
      </c>
      <c r="C20" s="45"/>
      <c r="D20" s="46" t="n">
        <f aca="false">IF($C$4="","",IFERROR(INDEX('STUDENT SCREENING'!$BI$4:$BI$303,MATCH($C$4,'STUDENT SCREENING'!$A$4:$A$303,0)),"Not found"))</f>
        <v>43</v>
      </c>
      <c r="E20" s="46"/>
    </row>
    <row r="21" customFormat="false" ht="15" hidden="false" customHeight="false" outlineLevel="0" collapsed="false">
      <c r="B21" s="28" t="s">
        <v>99</v>
      </c>
      <c r="C21" s="45"/>
      <c r="D21" s="46" t="n">
        <f aca="false">IF($C$4="","",IFERROR(INDEX('STUDENT SCREENING'!$BJ$4:$BJ$303,MATCH($C$4,'STUDENT SCREENING'!$A$4:$A$303,0)),"Not found"))</f>
        <v>33</v>
      </c>
      <c r="E21" s="46"/>
    </row>
    <row r="22" customFormat="false" ht="15" hidden="false" customHeight="false" outlineLevel="0" collapsed="false">
      <c r="B22" s="28" t="s">
        <v>100</v>
      </c>
      <c r="C22" s="45"/>
      <c r="D22" s="46" t="n">
        <f aca="false">IF($C$4="","",IFERROR(INDEX('STUDENT SCREENING'!$BK$4:$BK$303,MATCH($C$4,'STUDENT SCREENING'!$A$4:$A$303,0)),"Not found"))</f>
        <v>0</v>
      </c>
      <c r="E22" s="46"/>
    </row>
    <row r="23" customFormat="false" ht="15" hidden="false" customHeight="false" outlineLevel="0" collapsed="false">
      <c r="B23" s="28" t="s">
        <v>101</v>
      </c>
      <c r="C23" s="45"/>
      <c r="D23" s="46" t="n">
        <f aca="false">IF($C$4="","",IFERROR(INDEX('STUDENT SCREENING'!$BL$4:$BL$303,MATCH($C$4,'STUDENT SCREENING'!$A$4:$A$303,0)),"Not found"))</f>
        <v>12</v>
      </c>
      <c r="E23" s="46"/>
    </row>
    <row r="24" customFormat="false" ht="15" hidden="false" customHeight="false" outlineLevel="0" collapsed="false">
      <c r="B24" s="28" t="s">
        <v>104</v>
      </c>
      <c r="C24" s="45"/>
      <c r="D24" s="46" t="n">
        <f aca="false">IF($C$4="","",IFERROR(INDEX('STUDENT SCREENING'!$BO$4:$BO$303,MATCH($C$4,'STUDENT SCREENING'!$A$4:$A$303,0)),"Not found"))</f>
        <v>100</v>
      </c>
      <c r="E24" s="46"/>
    </row>
    <row r="25" customFormat="false" ht="15" hidden="false" customHeight="false" outlineLevel="0" collapsed="false">
      <c r="B25" s="28" t="s">
        <v>105</v>
      </c>
      <c r="C25" s="45"/>
      <c r="D25" s="47" t="str">
        <f aca="false">IF($C$4="","",IFERROR(INDEX('STUDENT SCREENING'!$BP$4:$BP$303,MATCH($C$4,'STUDENT SCREENING'!$A$4:$A$303,0)),"Not found"))</f>
        <v>Red - High Risk</v>
      </c>
      <c r="E25" s="47"/>
    </row>
    <row r="27" customFormat="false" ht="15" hidden="false" customHeight="false" outlineLevel="0" collapsed="false">
      <c r="B27" s="43" t="s">
        <v>209</v>
      </c>
      <c r="C27" s="43"/>
      <c r="D27" s="43"/>
      <c r="E27" s="43"/>
      <c r="F27" s="43"/>
      <c r="G27" s="0" t="str">
        <f aca="false">IF($C$4="","",IFERROR(INDEX('STUDENT SCREENING'!$BQ$4:$BQ$303,MATCH($C$4,'STUDENT SCREENING'!$A$4:$A$303,0)),"Not found"))</f>
        <v>Yes</v>
      </c>
    </row>
    <row r="28" customFormat="false" ht="15" hidden="false" customHeight="false" outlineLevel="0" collapsed="false">
      <c r="B28" s="5" t="str">
        <f aca="false">IF($C$4="","","BMI category: "&amp;E11&amp;".  Overall Health Score: "&amp;D15&amp;"/100.  "&amp;IF(D24&gt;=60,"This score flags an elevated undernutrition risk - please schedule a nutrition consultation. ","No significant undernutrition risk was flagged. ")&amp;IF(G27="Yes","A doctor referral is recommended based on this screening.","No referral was flagged at this screening."))</f>
        <v>BMI category: Underweight.  Overall Health Score: 23/100.  This score flags an elevated undernutrition risk - please schedule a nutrition consultation. A doctor referral is recommended based on this screening.</v>
      </c>
      <c r="C28" s="5"/>
      <c r="D28" s="5"/>
      <c r="E28" s="5"/>
      <c r="F28" s="5"/>
    </row>
    <row r="29" customFormat="false" ht="15" hidden="false" customHeight="false" outlineLevel="0" collapsed="false">
      <c r="B29" s="5"/>
      <c r="C29" s="5"/>
      <c r="D29" s="5"/>
      <c r="E29" s="5"/>
      <c r="F29" s="5"/>
    </row>
    <row r="30" customFormat="false" ht="15" hidden="false" customHeight="false" outlineLevel="0" collapsed="false">
      <c r="B30" s="5"/>
      <c r="C30" s="5"/>
      <c r="D30" s="5"/>
      <c r="E30" s="5"/>
      <c r="F30" s="5"/>
    </row>
    <row r="31" customFormat="false" ht="15" hidden="false" customHeight="false" outlineLevel="0" collapsed="false">
      <c r="B31" s="5"/>
      <c r="C31" s="5"/>
      <c r="D31" s="5"/>
      <c r="E31" s="5"/>
      <c r="F31" s="5"/>
    </row>
    <row r="33" customFormat="false" ht="15" hidden="false" customHeight="false" outlineLevel="0" collapsed="false">
      <c r="B33" s="43" t="s">
        <v>210</v>
      </c>
      <c r="C33" s="43"/>
      <c r="D33" s="43"/>
      <c r="E33" s="43"/>
      <c r="F33" s="43"/>
    </row>
    <row r="34" customFormat="false" ht="15" hidden="false" customHeight="false" outlineLevel="0" collapsed="false">
      <c r="B34" s="44" t="s">
        <v>183</v>
      </c>
      <c r="C34" s="28" t="str">
        <f aca="false">IF($C$4="","",IFERROR(INDEX('DOCTOR ASSESSMENT'!$P$4:$P$303,MATCH($C$4,'DOCTOR ASSESSMENT'!$A$4:$A$303,0)),""))</f>
        <v>Undernutrition with suspected iron-deficiency anaemia</v>
      </c>
      <c r="D34" s="28"/>
      <c r="E34" s="28"/>
      <c r="F34" s="28"/>
    </row>
    <row r="35" customFormat="false" ht="15" hidden="false" customHeight="false" outlineLevel="0" collapsed="false">
      <c r="B35" s="44" t="s">
        <v>184</v>
      </c>
      <c r="C35" s="28" t="str">
        <f aca="false">IF($C$4="","",IFERROR(INDEX('DOCTOR ASSESSMENT'!$Q$4:$Q$303,MATCH($C$4,'DOCTOR ASSESSMENT'!$A$4:$A$303,0)),""))</f>
        <v>Refer to paediatrician; start iron &amp; multivitamin supplementation; nutrition counselling for family</v>
      </c>
      <c r="D35" s="28"/>
      <c r="E35" s="28"/>
      <c r="F35" s="28"/>
    </row>
    <row r="36" customFormat="false" ht="15" hidden="false" customHeight="false" outlineLevel="0" collapsed="false">
      <c r="B36" s="44" t="s">
        <v>189</v>
      </c>
      <c r="C36" s="28" t="str">
        <f aca="false">IF($C$4="","",IFERROR(INDEX('DOCTOR ASSESSMENT'!$V$4:$V$303,MATCH($C$4,'DOCTOR ASSESSMENT'!$A$4:$A$303,0)),""))</f>
        <v>Yes</v>
      </c>
      <c r="D36" s="28"/>
      <c r="E36" s="28"/>
      <c r="F36" s="28"/>
    </row>
    <row r="37" customFormat="false" ht="15" hidden="false" customHeight="false" outlineLevel="0" collapsed="false">
      <c r="B37" s="44" t="s">
        <v>191</v>
      </c>
      <c r="C37" s="28" t="str">
        <f aca="false">IF($C$4="","",IFERROR(INDEX('DOCTOR ASSESSMENT'!$X$4:$X$303,MATCH($C$4,'DOCTOR ASSESSMENT'!$A$4:$A$303,0)),""))</f>
        <v>Dr. Meera Nair</v>
      </c>
      <c r="D37" s="28"/>
      <c r="E37" s="28"/>
      <c r="F37" s="28"/>
    </row>
    <row r="39" customFormat="false" ht="15" hidden="false" customHeight="false" outlineLevel="0" collapsed="false">
      <c r="B39" s="48" t="s">
        <v>211</v>
      </c>
      <c r="C39" s="48"/>
      <c r="D39" s="48"/>
      <c r="E39" s="48"/>
      <c r="F39" s="48"/>
    </row>
  </sheetData>
  <mergeCells count="23">
    <mergeCell ref="A1:G1"/>
    <mergeCell ref="A2:G2"/>
    <mergeCell ref="B6:F6"/>
    <mergeCell ref="B14:F14"/>
    <mergeCell ref="D15:E15"/>
    <mergeCell ref="D16:E16"/>
    <mergeCell ref="D17:E17"/>
    <mergeCell ref="D18:E18"/>
    <mergeCell ref="D19:E19"/>
    <mergeCell ref="D20:E20"/>
    <mergeCell ref="D21:E21"/>
    <mergeCell ref="D22:E22"/>
    <mergeCell ref="D23:E23"/>
    <mergeCell ref="D24:E24"/>
    <mergeCell ref="D25:E25"/>
    <mergeCell ref="B27:F27"/>
    <mergeCell ref="B28:F31"/>
    <mergeCell ref="B33:F33"/>
    <mergeCell ref="C34:F34"/>
    <mergeCell ref="C35:F35"/>
    <mergeCell ref="C36:F36"/>
    <mergeCell ref="C37:F37"/>
    <mergeCell ref="B39:F39"/>
  </mergeCells>
  <conditionalFormatting sqref="D15">
    <cfRule type="cellIs" priority="2" operator="greaterThanOrEqual" aboveAverage="0" equalAverage="0" bottom="0" percent="0" rank="0" text="" dxfId="1">
      <formula>90</formula>
    </cfRule>
    <cfRule type="expression" priority="3" aboveAverage="0" equalAverage="0" bottom="0" percent="0" rank="0" text="" dxfId="3">
      <formula>AND(D15&gt;=75,D15&lt;90)</formula>
    </cfRule>
    <cfRule type="expression" priority="4" aboveAverage="0" equalAverage="0" bottom="0" percent="0" rank="0" text="" dxfId="4">
      <formula>AND(D15&gt;=60,D15&lt;75)</formula>
    </cfRule>
    <cfRule type="expression" priority="5" aboveAverage="0" equalAverage="0" bottom="0" percent="0" rank="0" text="" dxfId="2">
      <formula>AND(D15&gt;=40,D15&lt;60)</formula>
    </cfRule>
    <cfRule type="cellIs" priority="6" operator="lessThan" aboveAverage="0" equalAverage="0" bottom="0" percent="0" rank="0" text="" dxfId="0">
      <formula>40</formula>
    </cfRule>
  </conditionalFormatting>
  <conditionalFormatting sqref="D25">
    <cfRule type="expression" priority="7" aboveAverage="0" equalAverage="0" bottom="0" percent="0" rank="0" text="" dxfId="1">
      <formula>D25="Green - Healthy"</formula>
    </cfRule>
    <cfRule type="expression" priority="8" aboveAverage="0" equalAverage="0" bottom="0" percent="0" rank="0" text="" dxfId="5">
      <formula>D25="Light Green - Mild Watch"</formula>
    </cfRule>
    <cfRule type="expression" priority="9" aboveAverage="0" equalAverage="0" bottom="0" percent="0" rank="0" text="" dxfId="6">
      <formula>D25="Yellow - Mild Risk"</formula>
    </cfRule>
    <cfRule type="expression" priority="10" aboveAverage="0" equalAverage="0" bottom="0" percent="0" rank="0" text="" dxfId="2">
      <formula>D25="Orange - Moderate Risk"</formula>
    </cfRule>
    <cfRule type="expression" priority="11" aboveAverage="0" equalAverage="0" bottom="0" percent="0" rank="0" text="" dxfId="0">
      <formula>D25="Red - High Risk"</formula>
    </cfRule>
  </conditionalFormatting>
  <dataValidations count="1">
    <dataValidation allowBlank="true" error="Choose a Student ID from the list." errorStyle="stop" errorTitle="Invalid Student ID" operator="between" showDropDown="false" showErrorMessage="true" showInputMessage="false" sqref="C4" type="list">
      <formula1>'STUDENT SCREENING'!$A$4:$A$303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2A86"/>
    <pageSetUpPr fitToPage="false"/>
  </sheetPr>
  <dimension ref="A1:H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26"/>
    <col collapsed="false" customWidth="true" hidden="false" outlineLevel="0" max="4" min="4" style="0" width="16"/>
    <col collapsed="false" customWidth="true" hidden="false" outlineLevel="0" max="5" min="5" style="0" width="26"/>
    <col collapsed="false" customWidth="true" hidden="false" outlineLevel="0" max="6" min="6" style="0" width="16"/>
    <col collapsed="false" customWidth="true" hidden="false" outlineLevel="0" max="7" min="7" style="0" width="26"/>
    <col collapsed="false" customWidth="true" hidden="false" outlineLevel="0" max="8" min="8" style="0" width="16"/>
  </cols>
  <sheetData>
    <row r="1" customFormat="false" ht="33.75" hidden="false" customHeight="true" outlineLevel="0" collapsed="false">
      <c r="A1" s="49" t="s">
        <v>212</v>
      </c>
      <c r="B1" s="49"/>
      <c r="C1" s="49"/>
      <c r="D1" s="49"/>
      <c r="E1" s="49"/>
      <c r="F1" s="49"/>
      <c r="G1" s="49"/>
      <c r="H1" s="49"/>
    </row>
    <row r="3" customFormat="false" ht="15" hidden="false" customHeight="false" outlineLevel="0" collapsed="false">
      <c r="A3" s="50" t="s">
        <v>213</v>
      </c>
      <c r="C3" s="51"/>
    </row>
    <row r="5" customFormat="false" ht="15" hidden="false" customHeight="false" outlineLevel="0" collapsed="false">
      <c r="A5" s="52" t="s">
        <v>214</v>
      </c>
      <c r="B5" s="52"/>
      <c r="C5" s="52"/>
      <c r="E5" s="52" t="s">
        <v>215</v>
      </c>
      <c r="F5" s="52"/>
      <c r="G5" s="52"/>
    </row>
    <row r="6" customFormat="false" ht="30" hidden="false" customHeight="true" outlineLevel="0" collapsed="false">
      <c r="A6" s="53" t="n">
        <f aca="false">COUNTIFS('STUDENT SCREENING'!$C$4:$C$303,IF($C$3="","*",$C$3),'STUDENT SCREENING'!$A$4:$A$303,"&lt;&gt;")</f>
        <v>6</v>
      </c>
      <c r="B6" s="53"/>
      <c r="C6" s="53"/>
      <c r="E6" s="53" t="n">
        <f aca="false">IFERROR(ROUND(AVERAGEIF('STUDENT SCREENING'!$C$4:$C$303,IF($C$3="","*",$C$3),'STUDENT SCREENING'!$S$4:$S$303),1),"")</f>
        <v>21.1</v>
      </c>
      <c r="F6" s="53"/>
      <c r="G6" s="53"/>
    </row>
    <row r="8" customFormat="false" ht="15" hidden="false" customHeight="false" outlineLevel="0" collapsed="false">
      <c r="A8" s="52" t="s">
        <v>216</v>
      </c>
      <c r="B8" s="52"/>
      <c r="C8" s="52"/>
      <c r="E8" s="52" t="s">
        <v>217</v>
      </c>
      <c r="F8" s="52"/>
      <c r="G8" s="52"/>
    </row>
    <row r="9" customFormat="false" ht="30" hidden="false" customHeight="true" outlineLevel="0" collapsed="false">
      <c r="A9" s="53" t="n">
        <f aca="false">IFERROR(ROUND(AVERAGEIF('STUDENT SCREENING'!$C$4:$C$303,IF($C$3="","*",$C$3),'STUDENT SCREENING'!$BM$4:$BM$303),0),"")</f>
        <v>68</v>
      </c>
      <c r="B9" s="53"/>
      <c r="C9" s="53"/>
      <c r="E9" s="53" t="n">
        <f aca="false">IFERROR(ROUND(AVERAGEIF('STUDENT SCREENING'!$C$4:$C$303,IF($C$3="","*",$C$3),'STUDENT SCREENING'!$BN$4:$BN$303),0),"")</f>
        <v>64</v>
      </c>
      <c r="F9" s="53"/>
      <c r="G9" s="53"/>
    </row>
    <row r="11" customFormat="false" ht="15" hidden="false" customHeight="false" outlineLevel="0" collapsed="false">
      <c r="A11" s="52" t="s">
        <v>218</v>
      </c>
      <c r="B11" s="52"/>
      <c r="C11" s="52"/>
      <c r="E11" s="52" t="s">
        <v>219</v>
      </c>
      <c r="F11" s="52"/>
      <c r="G11" s="52"/>
    </row>
    <row r="12" customFormat="false" ht="30" hidden="false" customHeight="true" outlineLevel="0" collapsed="false">
      <c r="A12" s="53" t="n">
        <f aca="false">IFERROR(ROUND(AVERAGEIF('STUDENT SCREENING'!$C$4:$C$303,IF($C$3="","*",$C$3),'STUDENT SCREENING'!$BH$4:$BH$303),0),"")</f>
        <v>58</v>
      </c>
      <c r="B12" s="53"/>
      <c r="C12" s="53"/>
      <c r="E12" s="53" t="n">
        <f aca="false">IFERROR(ROUND(AVERAGEIF('STUDENT SCREENING'!$C$4:$C$303,IF($C$3="","*",$C$3),'STUDENT SCREENING'!$BK$4:$BK$303),0),"")</f>
        <v>58</v>
      </c>
      <c r="F12" s="53"/>
      <c r="G12" s="53"/>
    </row>
    <row r="16" customFormat="false" ht="15" hidden="false" customHeight="false" outlineLevel="0" collapsed="false">
      <c r="A16" s="43" t="s">
        <v>220</v>
      </c>
      <c r="B16" s="43"/>
      <c r="C16" s="43"/>
      <c r="D16" s="43"/>
    </row>
    <row r="17" customFormat="false" ht="15" hidden="false" customHeight="true" outlineLevel="0" collapsed="false">
      <c r="A17" s="54" t="s">
        <v>221</v>
      </c>
      <c r="B17" s="54" t="s">
        <v>222</v>
      </c>
      <c r="C17" s="54"/>
      <c r="D17" s="54"/>
    </row>
    <row r="18" customFormat="false" ht="15" hidden="false" customHeight="false" outlineLevel="0" collapsed="false">
      <c r="A18" s="28" t="s">
        <v>223</v>
      </c>
      <c r="B18" s="55" t="n">
        <f aca="false">IFERROR(ROUND(COUNTIFS('STUDENT SCREENING'!$C$4:$C$303,IF($C$3="","*",$C$3),'STUDENT SCREENING'!$T$4:$T$303,"Underweight")/COUNTIFS('STUDENT SCREENING'!$C$4:$C$303,IF($C$3="","*",$C$3),'STUDENT SCREENING'!$A$4:$A$303,"&lt;&gt;")*100,0),0)</f>
        <v>33</v>
      </c>
      <c r="C18" s="55"/>
      <c r="D18" s="55"/>
    </row>
    <row r="19" customFormat="false" ht="15" hidden="false" customHeight="false" outlineLevel="0" collapsed="false">
      <c r="A19" s="28" t="s">
        <v>224</v>
      </c>
      <c r="B19" s="55" t="n">
        <f aca="false">IFERROR(ROUND(COUNTIFS('STUDENT SCREENING'!$C$4:$C$303,IF($C$3="","*",$C$3),'STUDENT SCREENING'!$T$4:$T$303,"Normal")/COUNTIFS('STUDENT SCREENING'!$C$4:$C$303,IF($C$3="","*",$C$3),'STUDENT SCREENING'!$A$4:$A$303,"&lt;&gt;")*100,0),0)</f>
        <v>33</v>
      </c>
      <c r="C19" s="55"/>
      <c r="D19" s="55"/>
    </row>
    <row r="20" customFormat="false" ht="15" hidden="false" customHeight="false" outlineLevel="0" collapsed="false">
      <c r="A20" s="28" t="s">
        <v>225</v>
      </c>
      <c r="B20" s="55" t="n">
        <f aca="false">IFERROR(ROUND(COUNTIFS('STUDENT SCREENING'!$C$4:$C$303,IF($C$3="","*",$C$3),'STUDENT SCREENING'!$T$4:$T$303,"Overweight")/COUNTIFS('STUDENT SCREENING'!$C$4:$C$303,IF($C$3="","*",$C$3),'STUDENT SCREENING'!$A$4:$A$303,"&lt;&gt;")*100,0),0)</f>
        <v>33</v>
      </c>
      <c r="C20" s="55"/>
      <c r="D20" s="55"/>
    </row>
    <row r="21" customFormat="false" ht="15" hidden="false" customHeight="false" outlineLevel="0" collapsed="false">
      <c r="A21" s="28" t="s">
        <v>226</v>
      </c>
      <c r="B21" s="55" t="n">
        <f aca="false">IFERROR(ROUND(COUNTIFS('STUDENT SCREENING'!$C$4:$C$303,IF($C$3="","*",$C$3),'STUDENT SCREENING'!$T$4:$T$303,"Obese")/COUNTIFS('STUDENT SCREENING'!$C$4:$C$303,IF($C$3="","*",$C$3),'STUDENT SCREENING'!$A$4:$A$303,"&lt;&gt;")*100,0),0)</f>
        <v>0</v>
      </c>
      <c r="C21" s="55"/>
      <c r="D21" s="55"/>
    </row>
    <row r="22" customFormat="false" ht="15" hidden="false" customHeight="false" outlineLevel="0" collapsed="false">
      <c r="A22" s="28" t="s">
        <v>227</v>
      </c>
      <c r="B22" s="55" t="n">
        <f aca="false">IFERROR(ROUND(COUNTIFS('STUDENT SCREENING'!$C$4:$C$303,IF($C$3="","*",$C$3),'STUDENT SCREENING'!$AU$4:$AU$303,"Yes")/COUNTIFS('STUDENT SCREENING'!$C$4:$C$303,IF($C$3="","*",$C$3),'STUDENT SCREENING'!$A$4:$A$303,"&lt;&gt;")*100,0),0)</f>
        <v>17</v>
      </c>
      <c r="C22" s="55"/>
      <c r="D22" s="55"/>
    </row>
    <row r="23" customFormat="false" ht="15" hidden="false" customHeight="false" outlineLevel="0" collapsed="false">
      <c r="A23" s="28" t="s">
        <v>228</v>
      </c>
      <c r="B23" s="55" t="n">
        <f aca="false">IFERROR(ROUND(COUNTIFS('STUDENT SCREENING'!$C$4:$C$303,IF($C$3="","*",$C$3),'STUDENT SCREENING'!$AV$4:$AV$303,"Yes")/COUNTIFS('STUDENT SCREENING'!$C$4:$C$303,IF($C$3="","*",$C$3),'STUDENT SCREENING'!$A$4:$A$303,"&lt;&gt;")*100,0),0)</f>
        <v>50</v>
      </c>
      <c r="C23" s="55"/>
      <c r="D23" s="55"/>
    </row>
    <row r="24" customFormat="false" ht="15" hidden="false" customHeight="false" outlineLevel="0" collapsed="false">
      <c r="A24" s="28" t="s">
        <v>229</v>
      </c>
      <c r="B24" s="55" t="n">
        <f aca="false">IFERROR(ROUND(COUNTIFS('STUDENT SCREENING'!$C$4:$C$303,IF($C$3="","*",$C$3),'STUDENT SCREENING'!$AX$4:$AX$303,"Yes")/COUNTIFS('STUDENT SCREENING'!$C$4:$C$303,IF($C$3="","*",$C$3),'STUDENT SCREENING'!$A$4:$A$303,"&lt;&gt;")*100,0),0)</f>
        <v>17</v>
      </c>
      <c r="C24" s="55"/>
      <c r="D24" s="55"/>
    </row>
    <row r="25" customFormat="false" ht="15" hidden="false" customHeight="false" outlineLevel="0" collapsed="false">
      <c r="A25" s="28" t="s">
        <v>230</v>
      </c>
      <c r="B25" s="55" t="n">
        <f aca="false">IFERROR(ROUND(COUNTIFS('STUDENT SCREENING'!$C$4:$C$303,IF($C$3="","*",$C$3),'STUDENT SCREENING'!$AT$4:$AT$303,"Yes")/COUNTIFS('STUDENT SCREENING'!$C$4:$C$303,IF($C$3="","*",$C$3),'STUDENT SCREENING'!$A$4:$A$303,"&lt;&gt;")*100,0),0)</f>
        <v>17</v>
      </c>
      <c r="C25" s="55"/>
      <c r="D25" s="55"/>
    </row>
    <row r="26" customFormat="false" ht="15" hidden="false" customHeight="false" outlineLevel="0" collapsed="false">
      <c r="A26" s="28" t="s">
        <v>231</v>
      </c>
      <c r="B26" s="55" t="n">
        <f aca="false">IFERROR(ROUND(COUNTIFS('STUDENT SCREENING'!$C$4:$C$303,IF($C$3="","*",$C$3),'STUDENT SCREENING'!$BQ$4:$BQ$303,"Yes")/COUNTIFS('STUDENT SCREENING'!$C$4:$C$303,IF($C$3="","*",$C$3),'STUDENT SCREENING'!$A$4:$A$303,"&lt;&gt;")*100,0),0)</f>
        <v>33</v>
      </c>
      <c r="C26" s="55"/>
      <c r="D26" s="55"/>
    </row>
    <row r="28" customFormat="false" ht="15" hidden="false" customHeight="false" outlineLevel="0" collapsed="false">
      <c r="A28" s="43" t="s">
        <v>232</v>
      </c>
      <c r="B28" s="43"/>
      <c r="C28" s="43"/>
      <c r="D28" s="43"/>
    </row>
    <row r="29" customFormat="false" ht="15" hidden="false" customHeight="true" outlineLevel="0" collapsed="false">
      <c r="A29" s="54" t="s">
        <v>233</v>
      </c>
      <c r="B29" s="54" t="s">
        <v>234</v>
      </c>
      <c r="C29" s="54"/>
      <c r="D29" s="54"/>
    </row>
    <row r="30" customFormat="false" ht="15" hidden="false" customHeight="false" outlineLevel="0" collapsed="false">
      <c r="A30" s="28" t="s">
        <v>235</v>
      </c>
      <c r="B30" s="56" t="n">
        <f aca="false">COUNTIFS('STUDENT SCREENING'!$C$4:$C$303,IF($C$3="","*",$C$3),'STUDENT SCREENING'!$T$4:$T$303,"Underweight")</f>
        <v>2</v>
      </c>
      <c r="C30" s="56"/>
      <c r="D30" s="56"/>
    </row>
    <row r="31" customFormat="false" ht="15" hidden="false" customHeight="false" outlineLevel="0" collapsed="false">
      <c r="A31" s="28" t="s">
        <v>236</v>
      </c>
      <c r="B31" s="56" t="n">
        <f aca="false">COUNTIFS('STUDENT SCREENING'!$C$4:$C$303,IF($C$3="","*",$C$3),'STUDENT SCREENING'!$T$4:$T$303,"Overweight")+COUNTIFS('STUDENT SCREENING'!$C$4:$C$303,IF($C$3="","*",$C$3),'STUDENT SCREENING'!$T$4:$T$303,"Obese")</f>
        <v>2</v>
      </c>
      <c r="C31" s="56"/>
      <c r="D31" s="56"/>
    </row>
    <row r="32" customFormat="false" ht="15" hidden="false" customHeight="false" outlineLevel="0" collapsed="false">
      <c r="A32" s="28" t="s">
        <v>237</v>
      </c>
      <c r="B32" s="56" t="n">
        <f aca="false">COUNTIFS('STUDENT SCREENING'!$C$4:$C$303,IF($C$3="","*",$C$3),'STUDENT SCREENING'!$AU$4:$AU$303,"Yes")</f>
        <v>1</v>
      </c>
      <c r="C32" s="56"/>
      <c r="D32" s="56"/>
    </row>
    <row r="33" customFormat="false" ht="15" hidden="false" customHeight="false" outlineLevel="0" collapsed="false">
      <c r="A33" s="28" t="s">
        <v>85</v>
      </c>
      <c r="B33" s="56" t="n">
        <f aca="false">COUNTIFS('STUDENT SCREENING'!$C$4:$C$303,IF($C$3="","*",$C$3),'STUDENT SCREENING'!$AV$4:$AV$303,"Yes")</f>
        <v>3</v>
      </c>
      <c r="C33" s="56"/>
      <c r="D33" s="56"/>
    </row>
    <row r="34" customFormat="false" ht="15" hidden="false" customHeight="false" outlineLevel="0" collapsed="false">
      <c r="A34" s="28" t="s">
        <v>86</v>
      </c>
      <c r="B34" s="56" t="n">
        <f aca="false">COUNTIFS('STUDENT SCREENING'!$C$4:$C$303,IF($C$3="","*",$C$3),'STUDENT SCREENING'!$AW$4:$AW$303,"Yes")</f>
        <v>2</v>
      </c>
      <c r="C34" s="56"/>
      <c r="D34" s="56"/>
    </row>
    <row r="35" customFormat="false" ht="15" hidden="false" customHeight="false" outlineLevel="0" collapsed="false">
      <c r="A35" s="28" t="s">
        <v>238</v>
      </c>
      <c r="B35" s="56" t="n">
        <f aca="false">COUNTIFS('STUDENT SCREENING'!$C$4:$C$303,IF($C$3="","*",$C$3),'STUDENT SCREENING'!$AX$4:$AX$303,"Yes")</f>
        <v>1</v>
      </c>
      <c r="C35" s="56"/>
      <c r="D35" s="56"/>
    </row>
    <row r="36" customFormat="false" ht="15" hidden="false" customHeight="false" outlineLevel="0" collapsed="false">
      <c r="A36" s="28" t="s">
        <v>74</v>
      </c>
      <c r="B36" s="56" t="n">
        <f aca="false">COUNTIFS('STUDENT SCREENING'!$C$4:$C$303,IF($C$3="","*",$C$3),'STUDENT SCREENING'!$AK$4:$AK$303,"Yes")</f>
        <v>1</v>
      </c>
      <c r="C36" s="56"/>
      <c r="D36" s="56"/>
    </row>
    <row r="37" customFormat="false" ht="15" hidden="false" customHeight="false" outlineLevel="0" collapsed="false">
      <c r="A37" s="28" t="s">
        <v>239</v>
      </c>
      <c r="B37" s="56" t="n">
        <f aca="false">COUNTIFS('STUDENT SCREENING'!$C$4:$C$303,IF($C$3="","*",$C$3),'STUDENT SCREENING'!$AN$4:$AN$303,"Yes")</f>
        <v>1</v>
      </c>
      <c r="C37" s="56"/>
      <c r="D37" s="56"/>
    </row>
    <row r="38" customFormat="false" ht="15" hidden="false" customHeight="false" outlineLevel="0" collapsed="false">
      <c r="A38" s="28" t="s">
        <v>73</v>
      </c>
      <c r="B38" s="56" t="n">
        <f aca="false">COUNTIFS('STUDENT SCREENING'!$C$4:$C$303,IF($C$3="","*",$C$3),'STUDENT SCREENING'!$AJ$4:$AJ$303,"Yes")</f>
        <v>0</v>
      </c>
      <c r="C38" s="56"/>
      <c r="D38" s="56"/>
    </row>
    <row r="39" customFormat="false" ht="15" hidden="false" customHeight="false" outlineLevel="0" collapsed="false">
      <c r="A39" s="28" t="s">
        <v>240</v>
      </c>
      <c r="B39" s="56" t="n">
        <f aca="false">COUNTIFS('STUDENT SCREENING'!$C$4:$C$303,IF($C$3="","*",$C$3),'STUDENT SCREENING'!$AQ$4:$AQ$303,"High")</f>
        <v>3</v>
      </c>
      <c r="C39" s="56"/>
      <c r="D39" s="56"/>
    </row>
    <row r="40" customFormat="false" ht="15" hidden="false" customHeight="false" outlineLevel="0" collapsed="false">
      <c r="A40" s="28" t="s">
        <v>83</v>
      </c>
      <c r="B40" s="56" t="n">
        <f aca="false">COUNTIFS('STUDENT SCREENING'!$C$4:$C$303,IF($C$3="","*",$C$3),'STUDENT SCREENING'!$AT$4:$AT$303,"Yes")</f>
        <v>1</v>
      </c>
      <c r="C40" s="56"/>
      <c r="D40" s="56"/>
    </row>
  </sheetData>
  <mergeCells count="37">
    <mergeCell ref="A1:H1"/>
    <mergeCell ref="A5:C5"/>
    <mergeCell ref="E5:G5"/>
    <mergeCell ref="A6:C6"/>
    <mergeCell ref="E6:G6"/>
    <mergeCell ref="A8:C8"/>
    <mergeCell ref="E8:G8"/>
    <mergeCell ref="A9:C9"/>
    <mergeCell ref="E9:G9"/>
    <mergeCell ref="A11:C11"/>
    <mergeCell ref="E11:G11"/>
    <mergeCell ref="A12:C12"/>
    <mergeCell ref="E12:G12"/>
    <mergeCell ref="A16:D16"/>
    <mergeCell ref="B17:D17"/>
    <mergeCell ref="B18:D18"/>
    <mergeCell ref="B19:D19"/>
    <mergeCell ref="B20:D20"/>
    <mergeCell ref="B21:D21"/>
    <mergeCell ref="B22:D22"/>
    <mergeCell ref="B23:D23"/>
    <mergeCell ref="B24:D24"/>
    <mergeCell ref="B25:D25"/>
    <mergeCell ref="B26:D26"/>
    <mergeCell ref="A28:D28"/>
    <mergeCell ref="B29:D29"/>
    <mergeCell ref="B30:D30"/>
    <mergeCell ref="B31:D31"/>
    <mergeCell ref="B32:D32"/>
    <mergeCell ref="B33:D33"/>
    <mergeCell ref="B34:D34"/>
    <mergeCell ref="B35:D35"/>
    <mergeCell ref="B36:D36"/>
    <mergeCell ref="B37:D37"/>
    <mergeCell ref="B38:D38"/>
    <mergeCell ref="B39:D39"/>
    <mergeCell ref="B40:D40"/>
  </mergeCells>
  <conditionalFormatting sqref="B18:B26">
    <cfRule type="colorScale" priority="2">
      <colorScale>
        <cfvo type="min" val="0"/>
        <cfvo type="max" val="0"/>
        <color rgb="FF2E7D32"/>
        <color rgb="FFC62828"/>
      </colorScale>
    </cfRule>
  </conditionalFormatting>
  <conditionalFormatting sqref="B30:B40">
    <cfRule type="colorScale" priority="3">
      <colorScale>
        <cfvo type="min" val="0"/>
        <cfvo type="max" val="0"/>
        <color rgb="FFFFFFFF"/>
        <color rgb="FFC62828"/>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5E45"/>
    <pageSetUpPr fitToPage="false"/>
  </sheetPr>
  <dimension ref="A1:BI3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61" min="1" style="0" width="16"/>
  </cols>
  <sheetData>
    <row r="1" customFormat="false" ht="30" hidden="false" customHeight="true" outlineLevel="0" collapsed="false">
      <c r="A1" s="17" t="s">
        <v>241</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row>
    <row r="3" customFormat="false" ht="30" hidden="false" customHeight="true" outlineLevel="0" collapsed="false">
      <c r="A3" s="54" t="s">
        <v>38</v>
      </c>
      <c r="B3" s="54" t="s">
        <v>40</v>
      </c>
      <c r="C3" s="54" t="s">
        <v>41</v>
      </c>
      <c r="D3" s="54" t="s">
        <v>42</v>
      </c>
      <c r="E3" s="54" t="s">
        <v>43</v>
      </c>
      <c r="F3" s="54" t="s">
        <v>48</v>
      </c>
      <c r="G3" s="54" t="s">
        <v>242</v>
      </c>
      <c r="H3" s="54" t="s">
        <v>243</v>
      </c>
      <c r="I3" s="54" t="s">
        <v>54</v>
      </c>
      <c r="J3" s="54" t="s">
        <v>55</v>
      </c>
      <c r="K3" s="54" t="s">
        <v>56</v>
      </c>
      <c r="L3" s="54" t="s">
        <v>58</v>
      </c>
      <c r="M3" s="54" t="s">
        <v>59</v>
      </c>
      <c r="N3" s="54" t="s">
        <v>95</v>
      </c>
      <c r="O3" s="54" t="s">
        <v>96</v>
      </c>
      <c r="P3" s="54" t="s">
        <v>97</v>
      </c>
      <c r="Q3" s="54" t="s">
        <v>98</v>
      </c>
      <c r="R3" s="54" t="s">
        <v>99</v>
      </c>
      <c r="S3" s="54" t="s">
        <v>100</v>
      </c>
      <c r="T3" s="54" t="s">
        <v>101</v>
      </c>
      <c r="U3" s="54" t="s">
        <v>102</v>
      </c>
      <c r="V3" s="54" t="s">
        <v>103</v>
      </c>
      <c r="W3" s="54" t="s">
        <v>104</v>
      </c>
      <c r="X3" s="54" t="s">
        <v>244</v>
      </c>
      <c r="Y3" s="54" t="s">
        <v>245</v>
      </c>
      <c r="Z3" s="54" t="s">
        <v>246</v>
      </c>
      <c r="AA3" s="54" t="s">
        <v>247</v>
      </c>
      <c r="AB3" s="54" t="s">
        <v>248</v>
      </c>
      <c r="AC3" s="54" t="s">
        <v>249</v>
      </c>
      <c r="AD3" s="54" t="s">
        <v>250</v>
      </c>
      <c r="AE3" s="54" t="s">
        <v>251</v>
      </c>
      <c r="AF3" s="54" t="s">
        <v>252</v>
      </c>
      <c r="AG3" s="54" t="s">
        <v>253</v>
      </c>
      <c r="AH3" s="54" t="s">
        <v>254</v>
      </c>
      <c r="AI3" s="54" t="s">
        <v>255</v>
      </c>
      <c r="AJ3" s="54" t="s">
        <v>256</v>
      </c>
      <c r="AK3" s="54" t="s">
        <v>257</v>
      </c>
      <c r="AL3" s="54" t="s">
        <v>258</v>
      </c>
      <c r="AM3" s="54" t="s">
        <v>259</v>
      </c>
      <c r="AN3" s="54" t="s">
        <v>260</v>
      </c>
      <c r="AO3" s="54" t="s">
        <v>261</v>
      </c>
      <c r="AP3" s="54" t="s">
        <v>262</v>
      </c>
      <c r="AQ3" s="54" t="s">
        <v>263</v>
      </c>
      <c r="AR3" s="54" t="s">
        <v>264</v>
      </c>
      <c r="AS3" s="54" t="s">
        <v>265</v>
      </c>
      <c r="AT3" s="54" t="s">
        <v>266</v>
      </c>
      <c r="AU3" s="54" t="s">
        <v>267</v>
      </c>
      <c r="AV3" s="54" t="s">
        <v>268</v>
      </c>
      <c r="AW3" s="54" t="s">
        <v>269</v>
      </c>
      <c r="AX3" s="54" t="s">
        <v>270</v>
      </c>
      <c r="AY3" s="54" t="s">
        <v>271</v>
      </c>
      <c r="AZ3" s="54" t="s">
        <v>272</v>
      </c>
      <c r="BA3" s="54" t="s">
        <v>273</v>
      </c>
      <c r="BB3" s="54" t="s">
        <v>274</v>
      </c>
      <c r="BC3" s="54" t="s">
        <v>275</v>
      </c>
      <c r="BD3" s="54" t="s">
        <v>276</v>
      </c>
      <c r="BE3" s="54" t="s">
        <v>277</v>
      </c>
      <c r="BF3" s="54" t="s">
        <v>278</v>
      </c>
      <c r="BG3" s="54" t="s">
        <v>279</v>
      </c>
      <c r="BH3" s="54" t="s">
        <v>280</v>
      </c>
      <c r="BI3" s="54" t="s">
        <v>281</v>
      </c>
    </row>
    <row r="4" customFormat="false" ht="15" hidden="false" customHeight="false" outlineLevel="0" collapsed="false">
      <c r="A4" s="57" t="str">
        <f aca="false">'STUDENT SCREENING'!A4</f>
        <v>STU000001</v>
      </c>
      <c r="B4" s="57" t="str">
        <f aca="false">'STUDENT SCREENING'!C4</f>
        <v>Greenwood High</v>
      </c>
      <c r="C4" s="57" t="str">
        <f aca="false">'STUDENT SCREENING'!D4</f>
        <v>Mumbai</v>
      </c>
      <c r="D4" s="57" t="str">
        <f aca="false">'STUDENT SCREENING'!E4</f>
        <v>Maharashtra</v>
      </c>
      <c r="E4" s="57" t="str">
        <f aca="false">'STUDENT SCREENING'!F4</f>
        <v>8</v>
      </c>
      <c r="F4" s="57" t="str">
        <f aca="false">'STUDENT SCREENING'!K4</f>
        <v>Male</v>
      </c>
      <c r="G4" s="57" t="n">
        <f aca="false">'STUDENT SCREENING'!J4</f>
        <v>13</v>
      </c>
      <c r="H4" s="57" t="n">
        <f aca="false">IF('STUDENT SCREENING'!K4="","",IFERROR(MATCH('STUDENT SCREENING'!K4,Adm_Gender,0),""))</f>
        <v>1</v>
      </c>
      <c r="I4" s="57" t="n">
        <f aca="false">'STUDENT SCREENING'!Q4</f>
        <v>155</v>
      </c>
      <c r="J4" s="57" t="n">
        <f aca="false">'STUDENT SCREENING'!R4</f>
        <v>45</v>
      </c>
      <c r="K4" s="57" t="n">
        <f aca="false">'STUDENT SCREENING'!S4</f>
        <v>18.7</v>
      </c>
      <c r="L4" s="57" t="n">
        <f aca="false">'STUDENT SCREENING'!U4</f>
        <v>22</v>
      </c>
      <c r="M4" s="57" t="n">
        <f aca="false">'STUDENT SCREENING'!V4</f>
        <v>60</v>
      </c>
      <c r="N4" s="57" t="n">
        <f aca="false">'STUDENT SCREENING'!BF4</f>
        <v>100</v>
      </c>
      <c r="O4" s="57" t="n">
        <f aca="false">'STUDENT SCREENING'!BG4</f>
        <v>100</v>
      </c>
      <c r="P4" s="57" t="n">
        <f aca="false">'STUDENT SCREENING'!BH4</f>
        <v>100</v>
      </c>
      <c r="Q4" s="57" t="n">
        <f aca="false">'STUDENT SCREENING'!BI4</f>
        <v>100</v>
      </c>
      <c r="R4" s="57" t="n">
        <f aca="false">'STUDENT SCREENING'!BJ4</f>
        <v>100</v>
      </c>
      <c r="S4" s="57" t="n">
        <f aca="false">'STUDENT SCREENING'!BK4</f>
        <v>100</v>
      </c>
      <c r="T4" s="57" t="n">
        <f aca="false">'STUDENT SCREENING'!BL4</f>
        <v>100</v>
      </c>
      <c r="U4" s="57" t="n">
        <f aca="false">'STUDENT SCREENING'!BM4</f>
        <v>100</v>
      </c>
      <c r="V4" s="57" t="n">
        <f aca="false">'STUDENT SCREENING'!BN4</f>
        <v>100</v>
      </c>
      <c r="W4" s="57" t="n">
        <f aca="false">'STUDENT SCREENING'!BO4</f>
        <v>0</v>
      </c>
      <c r="X4" s="57" t="n">
        <f aca="false">IF('STUDENT SCREENING'!W4="","",IFERROR(INDEX('SCORING MASTER'!$D$5:$D$7,MATCH('STUDENT SCREENING'!W4,'SCORING MASTER'!$C$5:$C$7,0)),""))</f>
        <v>5</v>
      </c>
      <c r="Y4" s="57" t="n">
        <f aca="false">IF('STUDENT SCREENING'!X4="","",IFERROR(INDEX('SCORING MASTER'!$D$9:$D$11,MATCH('STUDENT SCREENING'!X4,'SCORING MASTER'!$C$9:$C$11,0)),""))</f>
        <v>5</v>
      </c>
      <c r="Z4" s="57" t="n">
        <f aca="false">IF('STUDENT SCREENING'!Y4="","",IFERROR(INDEX('SCORING MASTER'!$D$13:$D$15,MATCH('STUDENT SCREENING'!Y4,'SCORING MASTER'!$C$13:$C$15,0)),""))</f>
        <v>5</v>
      </c>
      <c r="AA4" s="57" t="n">
        <f aca="false">IF('STUDENT SCREENING'!Z4="","",IFERROR(INDEX('SCORING MASTER'!$D$17:$D$19,MATCH('STUDENT SCREENING'!Z4,'SCORING MASTER'!$C$17:$C$19,0)),""))</f>
        <v>5</v>
      </c>
      <c r="AB4" s="57" t="n">
        <f aca="false">IF('STUDENT SCREENING'!AA4="","",IFERROR(INDEX('SCORING MASTER'!$D$21:$D$23,MATCH('STUDENT SCREENING'!AA4,'SCORING MASTER'!$C$21:$C$23,0)),""))</f>
        <v>5</v>
      </c>
      <c r="AC4" s="57" t="n">
        <f aca="false">IF('STUDENT SCREENING'!AB4="","",IFERROR(INDEX('SCORING MASTER'!$D$25:$D$27,MATCH('STUDENT SCREENING'!AB4,'SCORING MASTER'!$C$25:$C$27,0)),""))</f>
        <v>5</v>
      </c>
      <c r="AD4" s="57" t="n">
        <f aca="false">IF('STUDENT SCREENING'!AC4="","",IFERROR(INDEX('SCORING MASTER'!$D$29:$D$31,MATCH('STUDENT SCREENING'!AC4,'SCORING MASTER'!$C$29:$C$31,0)),""))</f>
        <v>5</v>
      </c>
      <c r="AE4" s="57" t="n">
        <f aca="false">IF('STUDENT SCREENING'!AD4="","",IFERROR(INDEX('SCORING MASTER'!$D$33:$D$35,MATCH('STUDENT SCREENING'!AD4,'SCORING MASTER'!$C$33:$C$35,0)),""))</f>
        <v>5</v>
      </c>
      <c r="AF4" s="57" t="n">
        <f aca="false">IF('STUDENT SCREENING'!AE4="","",IFERROR(INDEX('SCORING MASTER'!$D$37:$D$39,MATCH('STUDENT SCREENING'!AE4,'SCORING MASTER'!$C$37:$C$39,0)),""))</f>
        <v>5</v>
      </c>
      <c r="AG4" s="57" t="n">
        <f aca="false">IF('STUDENT SCREENING'!AF4="","",IFERROR(INDEX('SCORING MASTER'!$D$41:$D$43,MATCH('STUDENT SCREENING'!AF4,'SCORING MASTER'!$C$41:$C$43,0)),""))</f>
        <v>5</v>
      </c>
      <c r="AH4" s="57" t="n">
        <f aca="false">IF('STUDENT SCREENING'!AG4="","",IFERROR(INDEX('SCORING MASTER'!$D$45:$D$47,MATCH('STUDENT SCREENING'!AG4,'SCORING MASTER'!$C$45:$C$47,0)),""))</f>
        <v>5</v>
      </c>
      <c r="AI4" s="57" t="n">
        <f aca="false">IF('STUDENT SCREENING'!AH4="","",IFERROR(INDEX('SCORING MASTER'!$D$49:$D$52,MATCH('STUDENT SCREENING'!AH4,'SCORING MASTER'!$C$49:$C$52,0)),""))</f>
        <v>5</v>
      </c>
      <c r="AJ4" s="57" t="n">
        <f aca="false">IF('STUDENT SCREENING'!AI4="","",IFERROR(INDEX('SCORING MASTER'!$D$54:$D$57,MATCH('STUDENT SCREENING'!AI4,'SCORING MASTER'!$C$54:$C$57,0)),""))</f>
        <v>5</v>
      </c>
      <c r="AK4" s="57" t="n">
        <f aca="false">IF('STUDENT SCREENING'!AJ4="","",IFERROR(INDEX('SCORING MASTER'!$D$59:$D$60,MATCH('STUDENT SCREENING'!AJ4,'SCORING MASTER'!$C$59:$C$60,0)),""))</f>
        <v>5</v>
      </c>
      <c r="AL4" s="57" t="n">
        <f aca="false">IF('STUDENT SCREENING'!AK4="","",IFERROR(INDEX('SCORING MASTER'!$D$62:$D$63,MATCH('STUDENT SCREENING'!AK4,'SCORING MASTER'!$C$62:$C$63,0)),""))</f>
        <v>5</v>
      </c>
      <c r="AM4" s="57" t="n">
        <f aca="false">IF('STUDENT SCREENING'!AL4="","",IFERROR(INDEX('SCORING MASTER'!$D$65:$D$66,MATCH('STUDENT SCREENING'!AL4,'SCORING MASTER'!$C$65:$C$66,0)),""))</f>
        <v>5</v>
      </c>
      <c r="AN4" s="57" t="n">
        <f aca="false">IF('STUDENT SCREENING'!AM4="","",IFERROR(INDEX('SCORING MASTER'!$D$68:$D$69,MATCH('STUDENT SCREENING'!AM4,'SCORING MASTER'!$C$68:$C$69,0)),""))</f>
        <v>5</v>
      </c>
      <c r="AO4" s="57" t="n">
        <f aca="false">IF('STUDENT SCREENING'!AN4="","",IFERROR(INDEX('SCORING MASTER'!$D$71:$D$72,MATCH('STUDENT SCREENING'!AN4,'SCORING MASTER'!$C$71:$C$72,0)),""))</f>
        <v>5</v>
      </c>
      <c r="AP4" s="57" t="n">
        <f aca="false">IF('STUDENT SCREENING'!AO4="","",IFERROR(INDEX('SCORING MASTER'!$D$74:$D$75,MATCH('STUDENT SCREENING'!AO4,'SCORING MASTER'!$C$74:$C$75,0)),""))</f>
        <v>5</v>
      </c>
      <c r="AQ4" s="57" t="n">
        <f aca="false">IF('STUDENT SCREENING'!AP4="","",IFERROR(INDEX('SCORING MASTER'!$D$77:$D$78,MATCH('STUDENT SCREENING'!AP4,'SCORING MASTER'!$C$77:$C$78,0)),""))</f>
        <v>5</v>
      </c>
      <c r="AR4" s="57" t="n">
        <f aca="false">IF('STUDENT SCREENING'!AQ4="","",IFERROR(INDEX('SCORING MASTER'!$D$80:$D$82,MATCH('STUDENT SCREENING'!AQ4,'SCORING MASTER'!$C$80:$C$82,0)),""))</f>
        <v>5</v>
      </c>
      <c r="AS4" s="57" t="n">
        <f aca="false">IF('STUDENT SCREENING'!AR4="","",IFERROR(INDEX('SCORING MASTER'!$D$84:$D$86,MATCH('STUDENT SCREENING'!AR4,'SCORING MASTER'!$C$84:$C$86,0)),""))</f>
        <v>5</v>
      </c>
      <c r="AT4" s="57" t="n">
        <f aca="false">IF('STUDENT SCREENING'!AS4="","",IFERROR(INDEX('SCORING MASTER'!$D$88:$D$90,MATCH('STUDENT SCREENING'!AS4,'SCORING MASTER'!$C$88:$C$90,0)),""))</f>
        <v>5</v>
      </c>
      <c r="AU4" s="57" t="n">
        <f aca="false">IF('STUDENT SCREENING'!AT4="","",IFERROR(INDEX('SCORING MASTER'!$D$92:$D$93,MATCH('STUDENT SCREENING'!AT4,'SCORING MASTER'!$C$92:$C$93,0)),""))</f>
        <v>5</v>
      </c>
      <c r="AV4" s="57" t="n">
        <f aca="false">IF('STUDENT SCREENING'!AU4="","",IFERROR(INDEX('SCORING MASTER'!$D$95:$D$96,MATCH('STUDENT SCREENING'!AU4,'SCORING MASTER'!$C$95:$C$96,0)),""))</f>
        <v>5</v>
      </c>
      <c r="AW4" s="57" t="n">
        <f aca="false">IF('STUDENT SCREENING'!AV4="","",IFERROR(INDEX('SCORING MASTER'!$D$98:$D$99,MATCH('STUDENT SCREENING'!AV4,'SCORING MASTER'!$C$98:$C$99,0)),""))</f>
        <v>5</v>
      </c>
      <c r="AX4" s="57" t="n">
        <f aca="false">IF('STUDENT SCREENING'!AW4="","",IFERROR(INDEX('SCORING MASTER'!$D$101:$D$102,MATCH('STUDENT SCREENING'!AW4,'SCORING MASTER'!$C$101:$C$102,0)),""))</f>
        <v>5</v>
      </c>
      <c r="AY4" s="57" t="n">
        <f aca="false">IF('STUDENT SCREENING'!AX4="","",IFERROR(INDEX('SCORING MASTER'!$D$104:$D$105,MATCH('STUDENT SCREENING'!AX4,'SCORING MASTER'!$C$104:$C$105,0)),""))</f>
        <v>5</v>
      </c>
      <c r="AZ4" s="57" t="n">
        <f aca="false">IF('STUDENT SCREENING'!AY4="","",IFERROR(INDEX('SCORING MASTER'!$D$107:$D$108,MATCH('STUDENT SCREENING'!AY4,'SCORING MASTER'!$C$107:$C$108,0)),""))</f>
        <v>5</v>
      </c>
      <c r="BA4" s="57" t="n">
        <f aca="false">IF('STUDENT SCREENING'!AZ4="","",IFERROR(INDEX('SCORING MASTER'!$D$110:$D$111,MATCH('STUDENT SCREENING'!AZ4,'SCORING MASTER'!$C$110:$C$111,0)),""))</f>
        <v>5</v>
      </c>
      <c r="BB4" s="57" t="n">
        <f aca="false">IF('STUDENT SCREENING'!BA4="","",IFERROR(INDEX('SCORING MASTER'!$D$113:$D$115,MATCH('STUDENT SCREENING'!BA4,'SCORING MASTER'!$C$113:$C$115,0)),""))</f>
        <v>5</v>
      </c>
      <c r="BC4" s="57" t="n">
        <f aca="false">IF('STUDENT SCREENING'!BB4="","",IFERROR(INDEX('SCORING MASTER'!$D$117:$D$119,MATCH('STUDENT SCREENING'!BB4,'SCORING MASTER'!$C$117:$C$119,0)),""))</f>
        <v>5</v>
      </c>
      <c r="BD4" s="57" t="n">
        <f aca="false">IF('STUDENT SCREENING'!BC4="","",IFERROR(INDEX('SCORING MASTER'!$D$121:$D$123,MATCH('STUDENT SCREENING'!BC4,'SCORING MASTER'!$C$121:$C$123,0)),""))</f>
        <v>5</v>
      </c>
      <c r="BE4" s="57" t="n">
        <f aca="false">IF('STUDENT SCREENING'!BD4="","",IFERROR(INDEX('SCORING MASTER'!$D$125:$D$126,MATCH('STUDENT SCREENING'!BD4,'SCORING MASTER'!$C$125:$C$126,0)),""))</f>
        <v>5</v>
      </c>
      <c r="BF4" s="57" t="n">
        <f aca="false">IF('STUDENT SCREENING'!BE4="","",IFERROR(INDEX('SCORING MASTER'!$D$128:$D$129,MATCH('STUDENT SCREENING'!BE4,'SCORING MASTER'!$C$128:$C$129,0)),""))</f>
        <v>5</v>
      </c>
      <c r="BG4" s="57" t="n">
        <f aca="false">IF('STUDENT SCREENING'!BP4="","",IFERROR(MATCH('STUDENT SCREENING'!BP4,{"Red - High Risk","Orange - Moderate Risk","Yellow - Mild Risk","Light Green - Mild Watch","Green - Healthy"},0)-1,""))</f>
        <v>4</v>
      </c>
      <c r="BH4" s="57" t="n">
        <f aca="false">IF('STUDENT SCREENING'!BQ4="","",IF('STUDENT SCREENING'!BQ4="Yes",1,0))</f>
        <v>0</v>
      </c>
      <c r="BI4" s="57" t="n">
        <f aca="false">IF('STUDENT SCREENING'!BR4="","",IF('STUDENT SCREENING'!BR4="Yes",1,0))</f>
        <v>0</v>
      </c>
    </row>
    <row r="5" customFormat="false" ht="15" hidden="false" customHeight="false" outlineLevel="0" collapsed="false">
      <c r="A5" s="58" t="str">
        <f aca="false">'STUDENT SCREENING'!A5</f>
        <v>STU000002</v>
      </c>
      <c r="B5" s="58" t="str">
        <f aca="false">'STUDENT SCREENING'!C5</f>
        <v>Greenwood High</v>
      </c>
      <c r="C5" s="58" t="str">
        <f aca="false">'STUDENT SCREENING'!D5</f>
        <v>Mumbai</v>
      </c>
      <c r="D5" s="58" t="str">
        <f aca="false">'STUDENT SCREENING'!E5</f>
        <v>Maharashtra</v>
      </c>
      <c r="E5" s="58" t="str">
        <f aca="false">'STUDENT SCREENING'!F5</f>
        <v>6</v>
      </c>
      <c r="F5" s="58" t="str">
        <f aca="false">'STUDENT SCREENING'!K5</f>
        <v>Female</v>
      </c>
      <c r="G5" s="58" t="n">
        <f aca="false">'STUDENT SCREENING'!J5</f>
        <v>11</v>
      </c>
      <c r="H5" s="58" t="n">
        <f aca="false">IF('STUDENT SCREENING'!K5="","",IFERROR(MATCH('STUDENT SCREENING'!K5,Adm_Gender,0),""))</f>
        <v>2</v>
      </c>
      <c r="I5" s="58" t="n">
        <f aca="false">'STUDENT SCREENING'!Q5</f>
        <v>128</v>
      </c>
      <c r="J5" s="58" t="n">
        <f aca="false">'STUDENT SCREENING'!R5</f>
        <v>21</v>
      </c>
      <c r="K5" s="58" t="n">
        <f aca="false">'STUDENT SCREENING'!S5</f>
        <v>12.8</v>
      </c>
      <c r="L5" s="58" t="n">
        <f aca="false">'STUDENT SCREENING'!U5</f>
        <v>16</v>
      </c>
      <c r="M5" s="58" t="n">
        <f aca="false">'STUDENT SCREENING'!V5</f>
        <v>48</v>
      </c>
      <c r="N5" s="58" t="n">
        <f aca="false">'STUDENT SCREENING'!BF5</f>
        <v>30</v>
      </c>
      <c r="O5" s="58" t="n">
        <f aca="false">'STUDENT SCREENING'!BG5</f>
        <v>0</v>
      </c>
      <c r="P5" s="58" t="n">
        <f aca="false">'STUDENT SCREENING'!BH5</f>
        <v>33</v>
      </c>
      <c r="Q5" s="58" t="n">
        <f aca="false">'STUDENT SCREENING'!BI5</f>
        <v>43</v>
      </c>
      <c r="R5" s="58" t="n">
        <f aca="false">'STUDENT SCREENING'!BJ5</f>
        <v>33</v>
      </c>
      <c r="S5" s="58" t="n">
        <f aca="false">'STUDENT SCREENING'!BK5</f>
        <v>0</v>
      </c>
      <c r="T5" s="58" t="n">
        <f aca="false">'STUDENT SCREENING'!BL5</f>
        <v>12</v>
      </c>
      <c r="U5" s="58" t="n">
        <f aca="false">'STUDENT SCREENING'!BM5</f>
        <v>23</v>
      </c>
      <c r="V5" s="58" t="n">
        <f aca="false">'STUDENT SCREENING'!BN5</f>
        <v>15</v>
      </c>
      <c r="W5" s="58" t="n">
        <f aca="false">'STUDENT SCREENING'!BO5</f>
        <v>100</v>
      </c>
      <c r="X5" s="58" t="n">
        <f aca="false">IF('STUDENT SCREENING'!W5="","",IFERROR(INDEX('SCORING MASTER'!$D$5:$D$7,MATCH('STUDENT SCREENING'!W5,'SCORING MASTER'!$C$5:$C$7,0)),""))</f>
        <v>0</v>
      </c>
      <c r="Y5" s="58" t="n">
        <f aca="false">IF('STUDENT SCREENING'!X5="","",IFERROR(INDEX('SCORING MASTER'!$D$9:$D$11,MATCH('STUDENT SCREENING'!X5,'SCORING MASTER'!$C$9:$C$11,0)),""))</f>
        <v>0</v>
      </c>
      <c r="Z5" s="58" t="n">
        <f aca="false">IF('STUDENT SCREENING'!Y5="","",IFERROR(INDEX('SCORING MASTER'!$D$13:$D$15,MATCH('STUDENT SCREENING'!Y5,'SCORING MASTER'!$C$13:$C$15,0)),""))</f>
        <v>0</v>
      </c>
      <c r="AA5" s="58" t="n">
        <f aca="false">IF('STUDENT SCREENING'!Z5="","",IFERROR(INDEX('SCORING MASTER'!$D$17:$D$19,MATCH('STUDENT SCREENING'!Z5,'SCORING MASTER'!$C$17:$C$19,0)),""))</f>
        <v>0</v>
      </c>
      <c r="AB5" s="58" t="n">
        <f aca="false">IF('STUDENT SCREENING'!AA5="","",IFERROR(INDEX('SCORING MASTER'!$D$21:$D$23,MATCH('STUDENT SCREENING'!AA5,'SCORING MASTER'!$C$21:$C$23,0)),""))</f>
        <v>0</v>
      </c>
      <c r="AC5" s="58" t="n">
        <f aca="false">IF('STUDENT SCREENING'!AB5="","",IFERROR(INDEX('SCORING MASTER'!$D$25:$D$27,MATCH('STUDENT SCREENING'!AB5,'SCORING MASTER'!$C$25:$C$27,0)),""))</f>
        <v>0</v>
      </c>
      <c r="AD5" s="58" t="n">
        <f aca="false">IF('STUDENT SCREENING'!AC5="","",IFERROR(INDEX('SCORING MASTER'!$D$29:$D$31,MATCH('STUDENT SCREENING'!AC5,'SCORING MASTER'!$C$29:$C$31,0)),""))</f>
        <v>0</v>
      </c>
      <c r="AE5" s="58" t="n">
        <f aca="false">IF('STUDENT SCREENING'!AD5="","",IFERROR(INDEX('SCORING MASTER'!$D$33:$D$35,MATCH('STUDENT SCREENING'!AD5,'SCORING MASTER'!$C$33:$C$35,0)),""))</f>
        <v>0</v>
      </c>
      <c r="AF5" s="58" t="n">
        <f aca="false">IF('STUDENT SCREENING'!AE5="","",IFERROR(INDEX('SCORING MASTER'!$D$37:$D$39,MATCH('STUDENT SCREENING'!AE5,'SCORING MASTER'!$C$37:$C$39,0)),""))</f>
        <v>0</v>
      </c>
      <c r="AG5" s="58" t="n">
        <f aca="false">IF('STUDENT SCREENING'!AF5="","",IFERROR(INDEX('SCORING MASTER'!$D$41:$D$43,MATCH('STUDENT SCREENING'!AF5,'SCORING MASTER'!$C$41:$C$43,0)),""))</f>
        <v>0</v>
      </c>
      <c r="AH5" s="58" t="n">
        <f aca="false">IF('STUDENT SCREENING'!AG5="","",IFERROR(INDEX('SCORING MASTER'!$D$45:$D$47,MATCH('STUDENT SCREENING'!AG5,'SCORING MASTER'!$C$45:$C$47,0)),""))</f>
        <v>0</v>
      </c>
      <c r="AI5" s="58" t="n">
        <f aca="false">IF('STUDENT SCREENING'!AH5="","",IFERROR(INDEX('SCORING MASTER'!$D$49:$D$52,MATCH('STUDENT SCREENING'!AH5,'SCORING MASTER'!$C$49:$C$52,0)),""))</f>
        <v>5</v>
      </c>
      <c r="AJ5" s="58" t="n">
        <f aca="false">IF('STUDENT SCREENING'!AI5="","",IFERROR(INDEX('SCORING MASTER'!$D$54:$D$57,MATCH('STUDENT SCREENING'!AI5,'SCORING MASTER'!$C$54:$C$57,0)),""))</f>
        <v>5</v>
      </c>
      <c r="AK5" s="58" t="n">
        <f aca="false">IF('STUDENT SCREENING'!AJ5="","",IFERROR(INDEX('SCORING MASTER'!$D$59:$D$60,MATCH('STUDENT SCREENING'!AJ5,'SCORING MASTER'!$C$59:$C$60,0)),""))</f>
        <v>5</v>
      </c>
      <c r="AL5" s="58" t="n">
        <f aca="false">IF('STUDENT SCREENING'!AK5="","",IFERROR(INDEX('SCORING MASTER'!$D$62:$D$63,MATCH('STUDENT SCREENING'!AK5,'SCORING MASTER'!$C$62:$C$63,0)),""))</f>
        <v>0</v>
      </c>
      <c r="AM5" s="58" t="n">
        <f aca="false">IF('STUDENT SCREENING'!AL5="","",IFERROR(INDEX('SCORING MASTER'!$D$65:$D$66,MATCH('STUDENT SCREENING'!AL5,'SCORING MASTER'!$C$65:$C$66,0)),""))</f>
        <v>0</v>
      </c>
      <c r="AN5" s="58" t="n">
        <f aca="false">IF('STUDENT SCREENING'!AM5="","",IFERROR(INDEX('SCORING MASTER'!$D$68:$D$69,MATCH('STUDENT SCREENING'!AM5,'SCORING MASTER'!$C$68:$C$69,0)),""))</f>
        <v>0</v>
      </c>
      <c r="AO5" s="58" t="n">
        <f aca="false">IF('STUDENT SCREENING'!AN5="","",IFERROR(INDEX('SCORING MASTER'!$D$71:$D$72,MATCH('STUDENT SCREENING'!AN5,'SCORING MASTER'!$C$71:$C$72,0)),""))</f>
        <v>0</v>
      </c>
      <c r="AP5" s="58" t="n">
        <f aca="false">IF('STUDENT SCREENING'!AO5="","",IFERROR(INDEX('SCORING MASTER'!$D$74:$D$75,MATCH('STUDENT SCREENING'!AO5,'SCORING MASTER'!$C$74:$C$75,0)),""))</f>
        <v>5</v>
      </c>
      <c r="AQ5" s="58" t="n">
        <f aca="false">IF('STUDENT SCREENING'!AP5="","",IFERROR(INDEX('SCORING MASTER'!$D$77:$D$78,MATCH('STUDENT SCREENING'!AP5,'SCORING MASTER'!$C$77:$C$78,0)),""))</f>
        <v>5</v>
      </c>
      <c r="AR5" s="58" t="n">
        <f aca="false">IF('STUDENT SCREENING'!AQ5="","",IFERROR(INDEX('SCORING MASTER'!$D$80:$D$82,MATCH('STUDENT SCREENING'!AQ5,'SCORING MASTER'!$C$80:$C$82,0)),""))</f>
        <v>0</v>
      </c>
      <c r="AS5" s="58" t="n">
        <f aca="false">IF('STUDENT SCREENING'!AR5="","",IFERROR(INDEX('SCORING MASTER'!$D$84:$D$86,MATCH('STUDENT SCREENING'!AR5,'SCORING MASTER'!$C$84:$C$86,0)),""))</f>
        <v>0</v>
      </c>
      <c r="AT5" s="58" t="n">
        <f aca="false">IF('STUDENT SCREENING'!AS5="","",IFERROR(INDEX('SCORING MASTER'!$D$88:$D$90,MATCH('STUDENT SCREENING'!AS5,'SCORING MASTER'!$C$88:$C$90,0)),""))</f>
        <v>0</v>
      </c>
      <c r="AU5" s="58" t="n">
        <f aca="false">IF('STUDENT SCREENING'!AT5="","",IFERROR(INDEX('SCORING MASTER'!$D$92:$D$93,MATCH('STUDENT SCREENING'!AT5,'SCORING MASTER'!$C$92:$C$93,0)),""))</f>
        <v>0</v>
      </c>
      <c r="AV5" s="58" t="n">
        <f aca="false">IF('STUDENT SCREENING'!AU5="","",IFERROR(INDEX('SCORING MASTER'!$D$95:$D$96,MATCH('STUDENT SCREENING'!AU5,'SCORING MASTER'!$C$95:$C$96,0)),""))</f>
        <v>0</v>
      </c>
      <c r="AW5" s="58" t="n">
        <f aca="false">IF('STUDENT SCREENING'!AV5="","",IFERROR(INDEX('SCORING MASTER'!$D$98:$D$99,MATCH('STUDENT SCREENING'!AV5,'SCORING MASTER'!$C$98:$C$99,0)),""))</f>
        <v>0</v>
      </c>
      <c r="AX5" s="58" t="n">
        <f aca="false">IF('STUDENT SCREENING'!AW5="","",IFERROR(INDEX('SCORING MASTER'!$D$101:$D$102,MATCH('STUDENT SCREENING'!AW5,'SCORING MASTER'!$C$101:$C$102,0)),""))</f>
        <v>0</v>
      </c>
      <c r="AY5" s="58" t="n">
        <f aca="false">IF('STUDENT SCREENING'!AX5="","",IFERROR(INDEX('SCORING MASTER'!$D$104:$D$105,MATCH('STUDENT SCREENING'!AX5,'SCORING MASTER'!$C$104:$C$105,0)),""))</f>
        <v>5</v>
      </c>
      <c r="AZ5" s="58" t="n">
        <f aca="false">IF('STUDENT SCREENING'!AY5="","",IFERROR(INDEX('SCORING MASTER'!$D$107:$D$108,MATCH('STUDENT SCREENING'!AY5,'SCORING MASTER'!$C$107:$C$108,0)),""))</f>
        <v>0</v>
      </c>
      <c r="BA5" s="58" t="n">
        <f aca="false">IF('STUDENT SCREENING'!AZ5="","",IFERROR(INDEX('SCORING MASTER'!$D$110:$D$111,MATCH('STUDENT SCREENING'!AZ5,'SCORING MASTER'!$C$110:$C$111,0)),""))</f>
        <v>5</v>
      </c>
      <c r="BB5" s="58" t="n">
        <f aca="false">IF('STUDENT SCREENING'!BA5="","",IFERROR(INDEX('SCORING MASTER'!$D$113:$D$115,MATCH('STUDENT SCREENING'!BA5,'SCORING MASTER'!$C$113:$C$115,0)),""))</f>
        <v>3</v>
      </c>
      <c r="BC5" s="58" t="n">
        <f aca="false">IF('STUDENT SCREENING'!BB5="","",IFERROR(INDEX('SCORING MASTER'!$D$117:$D$119,MATCH('STUDENT SCREENING'!BB5,'SCORING MASTER'!$C$117:$C$119,0)),""))</f>
        <v>0</v>
      </c>
      <c r="BD5" s="58" t="n">
        <f aca="false">IF('STUDENT SCREENING'!BC5="","",IFERROR(INDEX('SCORING MASTER'!$D$121:$D$123,MATCH('STUDENT SCREENING'!BC5,'SCORING MASTER'!$C$121:$C$123,0)),""))</f>
        <v>0</v>
      </c>
      <c r="BE5" s="58" t="n">
        <f aca="false">IF('STUDENT SCREENING'!BD5="","",IFERROR(INDEX('SCORING MASTER'!$D$125:$D$126,MATCH('STUDENT SCREENING'!BD5,'SCORING MASTER'!$C$125:$C$126,0)),""))</f>
        <v>0</v>
      </c>
      <c r="BF5" s="58" t="n">
        <f aca="false">IF('STUDENT SCREENING'!BE5="","",IFERROR(INDEX('SCORING MASTER'!$D$128:$D$129,MATCH('STUDENT SCREENING'!BE5,'SCORING MASTER'!$C$128:$C$129,0)),""))</f>
        <v>0</v>
      </c>
      <c r="BG5" s="58" t="n">
        <f aca="false">IF('STUDENT SCREENING'!BP5="","",IFERROR(MATCH('STUDENT SCREENING'!BP5,{"Red - High Risk","Orange - Moderate Risk","Yellow - Mild Risk","Light Green - Mild Watch","Green - Healthy"},0)-1,""))</f>
        <v>0</v>
      </c>
      <c r="BH5" s="58" t="n">
        <f aca="false">IF('STUDENT SCREENING'!BQ5="","",IF('STUDENT SCREENING'!BQ5="Yes",1,0))</f>
        <v>1</v>
      </c>
      <c r="BI5" s="58" t="n">
        <f aca="false">IF('STUDENT SCREENING'!BR5="","",IF('STUDENT SCREENING'!BR5="Yes",1,0))</f>
        <v>1</v>
      </c>
    </row>
    <row r="6" customFormat="false" ht="15" hidden="false" customHeight="false" outlineLevel="0" collapsed="false">
      <c r="A6" s="57" t="str">
        <f aca="false">'STUDENT SCREENING'!A6</f>
        <v>STU000003</v>
      </c>
      <c r="B6" s="57" t="str">
        <f aca="false">'STUDENT SCREENING'!C6</f>
        <v>St. Xavier's College</v>
      </c>
      <c r="C6" s="57" t="str">
        <f aca="false">'STUDENT SCREENING'!D6</f>
        <v>Pune</v>
      </c>
      <c r="D6" s="57" t="str">
        <f aca="false">'STUDENT SCREENING'!E6</f>
        <v>Maharashtra</v>
      </c>
      <c r="E6" s="57" t="str">
        <f aca="false">'STUDENT SCREENING'!F6</f>
        <v>UG-2</v>
      </c>
      <c r="F6" s="57" t="str">
        <f aca="false">'STUDENT SCREENING'!K6</f>
        <v>Male</v>
      </c>
      <c r="G6" s="57" t="n">
        <f aca="false">'STUDENT SCREENING'!J6</f>
        <v>19</v>
      </c>
      <c r="H6" s="57" t="n">
        <f aca="false">IF('STUDENT SCREENING'!K6="","",IFERROR(MATCH('STUDENT SCREENING'!K6,Adm_Gender,0),""))</f>
        <v>1</v>
      </c>
      <c r="I6" s="57" t="n">
        <f aca="false">'STUDENT SCREENING'!Q6</f>
        <v>172</v>
      </c>
      <c r="J6" s="57" t="n">
        <f aca="false">'STUDENT SCREENING'!R6</f>
        <v>88</v>
      </c>
      <c r="K6" s="57" t="n">
        <f aca="false">'STUDENT SCREENING'!S6</f>
        <v>29.7</v>
      </c>
      <c r="L6" s="57" t="n">
        <f aca="false">'STUDENT SCREENING'!U6</f>
        <v>27</v>
      </c>
      <c r="M6" s="57" t="n">
        <f aca="false">'STUDENT SCREENING'!V6</f>
        <v>98</v>
      </c>
      <c r="N6" s="57" t="n">
        <f aca="false">'STUDENT SCREENING'!BF6</f>
        <v>65</v>
      </c>
      <c r="O6" s="57" t="n">
        <f aca="false">'STUDENT SCREENING'!BG6</f>
        <v>66</v>
      </c>
      <c r="P6" s="57" t="n">
        <f aca="false">'STUDENT SCREENING'!BH6</f>
        <v>13</v>
      </c>
      <c r="Q6" s="57" t="n">
        <f aca="false">'STUDENT SCREENING'!BI6</f>
        <v>100</v>
      </c>
      <c r="R6" s="57" t="n">
        <f aca="false">'STUDENT SCREENING'!BJ6</f>
        <v>67</v>
      </c>
      <c r="S6" s="57" t="n">
        <f aca="false">'STUDENT SCREENING'!BK6</f>
        <v>55</v>
      </c>
      <c r="T6" s="57" t="n">
        <f aca="false">'STUDENT SCREENING'!BL6</f>
        <v>52</v>
      </c>
      <c r="U6" s="57" t="n">
        <f aca="false">'STUDENT SCREENING'!BM6</f>
        <v>61</v>
      </c>
      <c r="V6" s="57" t="n">
        <f aca="false">'STUDENT SCREENING'!BN6</f>
        <v>66</v>
      </c>
      <c r="W6" s="57" t="n">
        <f aca="false">'STUDENT SCREENING'!BO6</f>
        <v>34</v>
      </c>
      <c r="X6" s="57" t="n">
        <f aca="false">IF('STUDENT SCREENING'!W6="","",IFERROR(INDEX('SCORING MASTER'!$D$5:$D$7,MATCH('STUDENT SCREENING'!W6,'SCORING MASTER'!$C$5:$C$7,0)),""))</f>
        <v>3</v>
      </c>
      <c r="Y6" s="57" t="n">
        <f aca="false">IF('STUDENT SCREENING'!X6="","",IFERROR(INDEX('SCORING MASTER'!$D$9:$D$11,MATCH('STUDENT SCREENING'!X6,'SCORING MASTER'!$C$9:$C$11,0)),""))</f>
        <v>3</v>
      </c>
      <c r="Z6" s="57" t="n">
        <f aca="false">IF('STUDENT SCREENING'!Y6="","",IFERROR(INDEX('SCORING MASTER'!$D$13:$D$15,MATCH('STUDENT SCREENING'!Y6,'SCORING MASTER'!$C$13:$C$15,0)),""))</f>
        <v>3</v>
      </c>
      <c r="AA6" s="57" t="n">
        <f aca="false">IF('STUDENT SCREENING'!Z6="","",IFERROR(INDEX('SCORING MASTER'!$D$17:$D$19,MATCH('STUDENT SCREENING'!Z6,'SCORING MASTER'!$C$17:$C$19,0)),""))</f>
        <v>5</v>
      </c>
      <c r="AB6" s="57" t="n">
        <f aca="false">IF('STUDENT SCREENING'!AA6="","",IFERROR(INDEX('SCORING MASTER'!$D$21:$D$23,MATCH('STUDENT SCREENING'!AA6,'SCORING MASTER'!$C$21:$C$23,0)),""))</f>
        <v>3</v>
      </c>
      <c r="AC6" s="57" t="n">
        <f aca="false">IF('STUDENT SCREENING'!AB6="","",IFERROR(INDEX('SCORING MASTER'!$D$25:$D$27,MATCH('STUDENT SCREENING'!AB6,'SCORING MASTER'!$C$25:$C$27,0)),""))</f>
        <v>3</v>
      </c>
      <c r="AD6" s="57" t="n">
        <f aca="false">IF('STUDENT SCREENING'!AC6="","",IFERROR(INDEX('SCORING MASTER'!$D$29:$D$31,MATCH('STUDENT SCREENING'!AC6,'SCORING MASTER'!$C$29:$C$31,0)),""))</f>
        <v>3</v>
      </c>
      <c r="AE6" s="57" t="n">
        <f aca="false">IF('STUDENT SCREENING'!AD6="","",IFERROR(INDEX('SCORING MASTER'!$D$33:$D$35,MATCH('STUDENT SCREENING'!AD6,'SCORING MASTER'!$C$33:$C$35,0)),""))</f>
        <v>0</v>
      </c>
      <c r="AF6" s="57" t="n">
        <f aca="false">IF('STUDENT SCREENING'!AE6="","",IFERROR(INDEX('SCORING MASTER'!$D$37:$D$39,MATCH('STUDENT SCREENING'!AE6,'SCORING MASTER'!$C$37:$C$39,0)),""))</f>
        <v>0</v>
      </c>
      <c r="AG6" s="57" t="n">
        <f aca="false">IF('STUDENT SCREENING'!AF6="","",IFERROR(INDEX('SCORING MASTER'!$D$41:$D$43,MATCH('STUDENT SCREENING'!AF6,'SCORING MASTER'!$C$41:$C$43,0)),""))</f>
        <v>0</v>
      </c>
      <c r="AH6" s="57" t="n">
        <f aca="false">IF('STUDENT SCREENING'!AG6="","",IFERROR(INDEX('SCORING MASTER'!$D$45:$D$47,MATCH('STUDENT SCREENING'!AG6,'SCORING MASTER'!$C$45:$C$47,0)),""))</f>
        <v>0</v>
      </c>
      <c r="AI6" s="57" t="n">
        <f aca="false">IF('STUDENT SCREENING'!AH6="","",IFERROR(INDEX('SCORING MASTER'!$D$49:$D$52,MATCH('STUDENT SCREENING'!AH6,'SCORING MASTER'!$C$49:$C$52,0)),""))</f>
        <v>2</v>
      </c>
      <c r="AJ6" s="57" t="n">
        <f aca="false">IF('STUDENT SCREENING'!AI6="","",IFERROR(INDEX('SCORING MASTER'!$D$54:$D$57,MATCH('STUDENT SCREENING'!AI6,'SCORING MASTER'!$C$54:$C$57,0)),""))</f>
        <v>2</v>
      </c>
      <c r="AK6" s="57" t="n">
        <f aca="false">IF('STUDENT SCREENING'!AJ6="","",IFERROR(INDEX('SCORING MASTER'!$D$59:$D$60,MATCH('STUDENT SCREENING'!AJ6,'SCORING MASTER'!$C$59:$C$60,0)),""))</f>
        <v>5</v>
      </c>
      <c r="AL6" s="57" t="n">
        <f aca="false">IF('STUDENT SCREENING'!AK6="","",IFERROR(INDEX('SCORING MASTER'!$D$62:$D$63,MATCH('STUDENT SCREENING'!AK6,'SCORING MASTER'!$C$62:$C$63,0)),""))</f>
        <v>5</v>
      </c>
      <c r="AM6" s="57" t="n">
        <f aca="false">IF('STUDENT SCREENING'!AL6="","",IFERROR(INDEX('SCORING MASTER'!$D$65:$D$66,MATCH('STUDENT SCREENING'!AL6,'SCORING MASTER'!$C$65:$C$66,0)),""))</f>
        <v>5</v>
      </c>
      <c r="AN6" s="57" t="n">
        <f aca="false">IF('STUDENT SCREENING'!AM6="","",IFERROR(INDEX('SCORING MASTER'!$D$68:$D$69,MATCH('STUDENT SCREENING'!AM6,'SCORING MASTER'!$C$68:$C$69,0)),""))</f>
        <v>5</v>
      </c>
      <c r="AO6" s="57" t="n">
        <f aca="false">IF('STUDENT SCREENING'!AN6="","",IFERROR(INDEX('SCORING MASTER'!$D$71:$D$72,MATCH('STUDENT SCREENING'!AN6,'SCORING MASTER'!$C$71:$C$72,0)),""))</f>
        <v>5</v>
      </c>
      <c r="AP6" s="57" t="n">
        <f aca="false">IF('STUDENT SCREENING'!AO6="","",IFERROR(INDEX('SCORING MASTER'!$D$74:$D$75,MATCH('STUDENT SCREENING'!AO6,'SCORING MASTER'!$C$74:$C$75,0)),""))</f>
        <v>5</v>
      </c>
      <c r="AQ6" s="57" t="n">
        <f aca="false">IF('STUDENT SCREENING'!AP6="","",IFERROR(INDEX('SCORING MASTER'!$D$77:$D$78,MATCH('STUDENT SCREENING'!AP6,'SCORING MASTER'!$C$77:$C$78,0)),""))</f>
        <v>5</v>
      </c>
      <c r="AR6" s="57" t="n">
        <f aca="false">IF('STUDENT SCREENING'!AQ6="","",IFERROR(INDEX('SCORING MASTER'!$D$80:$D$82,MATCH('STUDENT SCREENING'!AQ6,'SCORING MASTER'!$C$80:$C$82,0)),""))</f>
        <v>0</v>
      </c>
      <c r="AS6" s="57" t="n">
        <f aca="false">IF('STUDENT SCREENING'!AR6="","",IFERROR(INDEX('SCORING MASTER'!$D$84:$D$86,MATCH('STUDENT SCREENING'!AR6,'SCORING MASTER'!$C$84:$C$86,0)),""))</f>
        <v>3</v>
      </c>
      <c r="AT6" s="57" t="n">
        <f aca="false">IF('STUDENT SCREENING'!AS6="","",IFERROR(INDEX('SCORING MASTER'!$D$88:$D$90,MATCH('STUDENT SCREENING'!AS6,'SCORING MASTER'!$C$88:$C$90,0)),""))</f>
        <v>3</v>
      </c>
      <c r="AU6" s="57" t="n">
        <f aca="false">IF('STUDENT SCREENING'!AT6="","",IFERROR(INDEX('SCORING MASTER'!$D$92:$D$93,MATCH('STUDENT SCREENING'!AT6,'SCORING MASTER'!$C$92:$C$93,0)),""))</f>
        <v>5</v>
      </c>
      <c r="AV6" s="57" t="n">
        <f aca="false">IF('STUDENT SCREENING'!AU6="","",IFERROR(INDEX('SCORING MASTER'!$D$95:$D$96,MATCH('STUDENT SCREENING'!AU6,'SCORING MASTER'!$C$95:$C$96,0)),""))</f>
        <v>5</v>
      </c>
      <c r="AW6" s="57" t="n">
        <f aca="false">IF('STUDENT SCREENING'!AV6="","",IFERROR(INDEX('SCORING MASTER'!$D$98:$D$99,MATCH('STUDENT SCREENING'!AV6,'SCORING MASTER'!$C$98:$C$99,0)),""))</f>
        <v>0</v>
      </c>
      <c r="AX6" s="57" t="n">
        <f aca="false">IF('STUDENT SCREENING'!AW6="","",IFERROR(INDEX('SCORING MASTER'!$D$101:$D$102,MATCH('STUDENT SCREENING'!AW6,'SCORING MASTER'!$C$101:$C$102,0)),""))</f>
        <v>5</v>
      </c>
      <c r="AY6" s="57" t="n">
        <f aca="false">IF('STUDENT SCREENING'!AX6="","",IFERROR(INDEX('SCORING MASTER'!$D$104:$D$105,MATCH('STUDENT SCREENING'!AX6,'SCORING MASTER'!$C$104:$C$105,0)),""))</f>
        <v>0</v>
      </c>
      <c r="AZ6" s="57" t="n">
        <f aca="false">IF('STUDENT SCREENING'!AY6="","",IFERROR(INDEX('SCORING MASTER'!$D$107:$D$108,MATCH('STUDENT SCREENING'!AY6,'SCORING MASTER'!$C$107:$C$108,0)),""))</f>
        <v>5</v>
      </c>
      <c r="BA6" s="57" t="n">
        <f aca="false">IF('STUDENT SCREENING'!AZ6="","",IFERROR(INDEX('SCORING MASTER'!$D$110:$D$111,MATCH('STUDENT SCREENING'!AZ6,'SCORING MASTER'!$C$110:$C$111,0)),""))</f>
        <v>5</v>
      </c>
      <c r="BB6" s="57" t="n">
        <f aca="false">IF('STUDENT SCREENING'!BA6="","",IFERROR(INDEX('SCORING MASTER'!$D$113:$D$115,MATCH('STUDENT SCREENING'!BA6,'SCORING MASTER'!$C$113:$C$115,0)),""))</f>
        <v>5</v>
      </c>
      <c r="BC6" s="57" t="n">
        <f aca="false">IF('STUDENT SCREENING'!BB6="","",IFERROR(INDEX('SCORING MASTER'!$D$117:$D$119,MATCH('STUDENT SCREENING'!BB6,'SCORING MASTER'!$C$117:$C$119,0)),""))</f>
        <v>5</v>
      </c>
      <c r="BD6" s="57" t="n">
        <f aca="false">IF('STUDENT SCREENING'!BC6="","",IFERROR(INDEX('SCORING MASTER'!$D$121:$D$123,MATCH('STUDENT SCREENING'!BC6,'SCORING MASTER'!$C$121:$C$123,0)),""))</f>
        <v>3</v>
      </c>
      <c r="BE6" s="57" t="n">
        <f aca="false">IF('STUDENT SCREENING'!BD6="","",IFERROR(INDEX('SCORING MASTER'!$D$125:$D$126,MATCH('STUDENT SCREENING'!BD6,'SCORING MASTER'!$C$125:$C$126,0)),""))</f>
        <v>0</v>
      </c>
      <c r="BF6" s="57" t="n">
        <f aca="false">IF('STUDENT SCREENING'!BE6="","",IFERROR(INDEX('SCORING MASTER'!$D$128:$D$129,MATCH('STUDENT SCREENING'!BE6,'SCORING MASTER'!$C$128:$C$129,0)),""))</f>
        <v>0</v>
      </c>
      <c r="BG6" s="57" t="n">
        <f aca="false">IF('STUDENT SCREENING'!BP6="","",IFERROR(MATCH('STUDENT SCREENING'!BP6,{"Red - High Risk","Orange - Moderate Risk","Yellow - Mild Risk","Light Green - Mild Watch","Green - Healthy"},0)-1,""))</f>
        <v>2</v>
      </c>
      <c r="BH6" s="57" t="n">
        <f aca="false">IF('STUDENT SCREENING'!BQ6="","",IF('STUDENT SCREENING'!BQ6="Yes",1,0))</f>
        <v>0</v>
      </c>
      <c r="BI6" s="57" t="n">
        <f aca="false">IF('STUDENT SCREENING'!BR6="","",IF('STUDENT SCREENING'!BR6="Yes",1,0))</f>
        <v>0</v>
      </c>
    </row>
    <row r="7" customFormat="false" ht="15" hidden="false" customHeight="false" outlineLevel="0" collapsed="false">
      <c r="A7" s="58" t="str">
        <f aca="false">'STUDENT SCREENING'!A7</f>
        <v>STU000004</v>
      </c>
      <c r="B7" s="58" t="str">
        <f aca="false">'STUDENT SCREENING'!C7</f>
        <v>St. Xavier's College</v>
      </c>
      <c r="C7" s="58" t="str">
        <f aca="false">'STUDENT SCREENING'!D7</f>
        <v>Pune</v>
      </c>
      <c r="D7" s="58" t="str">
        <f aca="false">'STUDENT SCREENING'!E7</f>
        <v>Maharashtra</v>
      </c>
      <c r="E7" s="58" t="str">
        <f aca="false">'STUDENT SCREENING'!F7</f>
        <v>UG-1</v>
      </c>
      <c r="F7" s="58" t="str">
        <f aca="false">'STUDENT SCREENING'!K7</f>
        <v>Female</v>
      </c>
      <c r="G7" s="58" t="n">
        <f aca="false">'STUDENT SCREENING'!J7</f>
        <v>18</v>
      </c>
      <c r="H7" s="58" t="n">
        <f aca="false">IF('STUDENT SCREENING'!K7="","",IFERROR(MATCH('STUDENT SCREENING'!K7,Adm_Gender,0),""))</f>
        <v>2</v>
      </c>
      <c r="I7" s="58" t="n">
        <f aca="false">'STUDENT SCREENING'!Q7</f>
        <v>160</v>
      </c>
      <c r="J7" s="58" t="n">
        <f aca="false">'STUDENT SCREENING'!R7</f>
        <v>54</v>
      </c>
      <c r="K7" s="58" t="n">
        <f aca="false">'STUDENT SCREENING'!S7</f>
        <v>21.1</v>
      </c>
      <c r="L7" s="58" t="n">
        <f aca="false">'STUDENT SCREENING'!U7</f>
        <v>24</v>
      </c>
      <c r="M7" s="58" t="n">
        <f aca="false">'STUDENT SCREENING'!V7</f>
        <v>70</v>
      </c>
      <c r="N7" s="58" t="n">
        <f aca="false">'STUDENT SCREENING'!BF7</f>
        <v>100</v>
      </c>
      <c r="O7" s="58" t="n">
        <f aca="false">'STUDENT SCREENING'!BG7</f>
        <v>77</v>
      </c>
      <c r="P7" s="58" t="n">
        <f aca="false">'STUDENT SCREENING'!BH7</f>
        <v>73</v>
      </c>
      <c r="Q7" s="58" t="n">
        <f aca="false">'STUDENT SCREENING'!BI7</f>
        <v>100</v>
      </c>
      <c r="R7" s="58" t="n">
        <f aca="false">'STUDENT SCREENING'!BJ7</f>
        <v>100</v>
      </c>
      <c r="S7" s="58" t="n">
        <f aca="false">'STUDENT SCREENING'!BK7</f>
        <v>70</v>
      </c>
      <c r="T7" s="58" t="n">
        <f aca="false">'STUDENT SCREENING'!BL7</f>
        <v>100</v>
      </c>
      <c r="U7" s="58" t="n">
        <f aca="false">'STUDENT SCREENING'!BM7</f>
        <v>88</v>
      </c>
      <c r="V7" s="58" t="n">
        <f aca="false">'STUDENT SCREENING'!BN7</f>
        <v>89</v>
      </c>
      <c r="W7" s="58" t="n">
        <f aca="false">'STUDENT SCREENING'!BO7</f>
        <v>11</v>
      </c>
      <c r="X7" s="58" t="n">
        <f aca="false">IF('STUDENT SCREENING'!W7="","",IFERROR(INDEX('SCORING MASTER'!$D$5:$D$7,MATCH('STUDENT SCREENING'!W7,'SCORING MASTER'!$C$5:$C$7,0)),""))</f>
        <v>5</v>
      </c>
      <c r="Y7" s="58" t="n">
        <f aca="false">IF('STUDENT SCREENING'!X7="","",IFERROR(INDEX('SCORING MASTER'!$D$9:$D$11,MATCH('STUDENT SCREENING'!X7,'SCORING MASTER'!$C$9:$C$11,0)),""))</f>
        <v>3</v>
      </c>
      <c r="Z7" s="58" t="n">
        <f aca="false">IF('STUDENT SCREENING'!Y7="","",IFERROR(INDEX('SCORING MASTER'!$D$13:$D$15,MATCH('STUDENT SCREENING'!Y7,'SCORING MASTER'!$C$13:$C$15,0)),""))</f>
        <v>5</v>
      </c>
      <c r="AA7" s="58" t="n">
        <f aca="false">IF('STUDENT SCREENING'!Z7="","",IFERROR(INDEX('SCORING MASTER'!$D$17:$D$19,MATCH('STUDENT SCREENING'!Z7,'SCORING MASTER'!$C$17:$C$19,0)),""))</f>
        <v>3</v>
      </c>
      <c r="AB7" s="58" t="n">
        <f aca="false">IF('STUDENT SCREENING'!AA7="","",IFERROR(INDEX('SCORING MASTER'!$D$21:$D$23,MATCH('STUDENT SCREENING'!AA7,'SCORING MASTER'!$C$21:$C$23,0)),""))</f>
        <v>3</v>
      </c>
      <c r="AC7" s="58" t="n">
        <f aca="false">IF('STUDENT SCREENING'!AB7="","",IFERROR(INDEX('SCORING MASTER'!$D$25:$D$27,MATCH('STUDENT SCREENING'!AB7,'SCORING MASTER'!$C$25:$C$27,0)),""))</f>
        <v>5</v>
      </c>
      <c r="AD7" s="58" t="n">
        <f aca="false">IF('STUDENT SCREENING'!AC7="","",IFERROR(INDEX('SCORING MASTER'!$D$29:$D$31,MATCH('STUDENT SCREENING'!AC7,'SCORING MASTER'!$C$29:$C$31,0)),""))</f>
        <v>3</v>
      </c>
      <c r="AE7" s="58" t="n">
        <f aca="false">IF('STUDENT SCREENING'!AD7="","",IFERROR(INDEX('SCORING MASTER'!$D$33:$D$35,MATCH('STUDENT SCREENING'!AD7,'SCORING MASTER'!$C$33:$C$35,0)),""))</f>
        <v>3</v>
      </c>
      <c r="AF7" s="58" t="n">
        <f aca="false">IF('STUDENT SCREENING'!AE7="","",IFERROR(INDEX('SCORING MASTER'!$D$37:$D$39,MATCH('STUDENT SCREENING'!AE7,'SCORING MASTER'!$C$37:$C$39,0)),""))</f>
        <v>3</v>
      </c>
      <c r="AG7" s="58" t="n">
        <f aca="false">IF('STUDENT SCREENING'!AF7="","",IFERROR(INDEX('SCORING MASTER'!$D$41:$D$43,MATCH('STUDENT SCREENING'!AF7,'SCORING MASTER'!$C$41:$C$43,0)),""))</f>
        <v>3</v>
      </c>
      <c r="AH7" s="58" t="n">
        <f aca="false">IF('STUDENT SCREENING'!AG7="","",IFERROR(INDEX('SCORING MASTER'!$D$45:$D$47,MATCH('STUDENT SCREENING'!AG7,'SCORING MASTER'!$C$45:$C$47,0)),""))</f>
        <v>3</v>
      </c>
      <c r="AI7" s="58" t="n">
        <f aca="false">IF('STUDENT SCREENING'!AH7="","",IFERROR(INDEX('SCORING MASTER'!$D$49:$D$52,MATCH('STUDENT SCREENING'!AH7,'SCORING MASTER'!$C$49:$C$52,0)),""))</f>
        <v>5</v>
      </c>
      <c r="AJ7" s="58" t="n">
        <f aca="false">IF('STUDENT SCREENING'!AI7="","",IFERROR(INDEX('SCORING MASTER'!$D$54:$D$57,MATCH('STUDENT SCREENING'!AI7,'SCORING MASTER'!$C$54:$C$57,0)),""))</f>
        <v>5</v>
      </c>
      <c r="AK7" s="58" t="n">
        <f aca="false">IF('STUDENT SCREENING'!AJ7="","",IFERROR(INDEX('SCORING MASTER'!$D$59:$D$60,MATCH('STUDENT SCREENING'!AJ7,'SCORING MASTER'!$C$59:$C$60,0)),""))</f>
        <v>5</v>
      </c>
      <c r="AL7" s="58" t="n">
        <f aca="false">IF('STUDENT SCREENING'!AK7="","",IFERROR(INDEX('SCORING MASTER'!$D$62:$D$63,MATCH('STUDENT SCREENING'!AK7,'SCORING MASTER'!$C$62:$C$63,0)),""))</f>
        <v>5</v>
      </c>
      <c r="AM7" s="58" t="n">
        <f aca="false">IF('STUDENT SCREENING'!AL7="","",IFERROR(INDEX('SCORING MASTER'!$D$65:$D$66,MATCH('STUDENT SCREENING'!AL7,'SCORING MASTER'!$C$65:$C$66,0)),""))</f>
        <v>5</v>
      </c>
      <c r="AN7" s="58" t="n">
        <f aca="false">IF('STUDENT SCREENING'!AM7="","",IFERROR(INDEX('SCORING MASTER'!$D$68:$D$69,MATCH('STUDENT SCREENING'!AM7,'SCORING MASTER'!$C$68:$C$69,0)),""))</f>
        <v>5</v>
      </c>
      <c r="AO7" s="58" t="n">
        <f aca="false">IF('STUDENT SCREENING'!AN7="","",IFERROR(INDEX('SCORING MASTER'!$D$71:$D$72,MATCH('STUDENT SCREENING'!AN7,'SCORING MASTER'!$C$71:$C$72,0)),""))</f>
        <v>5</v>
      </c>
      <c r="AP7" s="58" t="n">
        <f aca="false">IF('STUDENT SCREENING'!AO7="","",IFERROR(INDEX('SCORING MASTER'!$D$74:$D$75,MATCH('STUDENT SCREENING'!AO7,'SCORING MASTER'!$C$74:$C$75,0)),""))</f>
        <v>5</v>
      </c>
      <c r="AQ7" s="58" t="n">
        <f aca="false">IF('STUDENT SCREENING'!AP7="","",IFERROR(INDEX('SCORING MASTER'!$D$77:$D$78,MATCH('STUDENT SCREENING'!AP7,'SCORING MASTER'!$C$77:$C$78,0)),""))</f>
        <v>5</v>
      </c>
      <c r="AR7" s="58" t="n">
        <f aca="false">IF('STUDENT SCREENING'!AQ7="","",IFERROR(INDEX('SCORING MASTER'!$D$80:$D$82,MATCH('STUDENT SCREENING'!AQ7,'SCORING MASTER'!$C$80:$C$82,0)),""))</f>
        <v>3</v>
      </c>
      <c r="AS7" s="58" t="n">
        <f aca="false">IF('STUDENT SCREENING'!AR7="","",IFERROR(INDEX('SCORING MASTER'!$D$84:$D$86,MATCH('STUDENT SCREENING'!AR7,'SCORING MASTER'!$C$84:$C$86,0)),""))</f>
        <v>3</v>
      </c>
      <c r="AT7" s="58" t="n">
        <f aca="false">IF('STUDENT SCREENING'!AS7="","",IFERROR(INDEX('SCORING MASTER'!$D$88:$D$90,MATCH('STUDENT SCREENING'!AS7,'SCORING MASTER'!$C$88:$C$90,0)),""))</f>
        <v>3</v>
      </c>
      <c r="AU7" s="58" t="n">
        <f aca="false">IF('STUDENT SCREENING'!AT7="","",IFERROR(INDEX('SCORING MASTER'!$D$92:$D$93,MATCH('STUDENT SCREENING'!AT7,'SCORING MASTER'!$C$92:$C$93,0)),""))</f>
        <v>5</v>
      </c>
      <c r="AV7" s="58" t="n">
        <f aca="false">IF('STUDENT SCREENING'!AU7="","",IFERROR(INDEX('SCORING MASTER'!$D$95:$D$96,MATCH('STUDENT SCREENING'!AU7,'SCORING MASTER'!$C$95:$C$96,0)),""))</f>
        <v>5</v>
      </c>
      <c r="AW7" s="58" t="n">
        <f aca="false">IF('STUDENT SCREENING'!AV7="","",IFERROR(INDEX('SCORING MASTER'!$D$98:$D$99,MATCH('STUDENT SCREENING'!AV7,'SCORING MASTER'!$C$98:$C$99,0)),""))</f>
        <v>5</v>
      </c>
      <c r="AX7" s="58" t="n">
        <f aca="false">IF('STUDENT SCREENING'!AW7="","",IFERROR(INDEX('SCORING MASTER'!$D$101:$D$102,MATCH('STUDENT SCREENING'!AW7,'SCORING MASTER'!$C$101:$C$102,0)),""))</f>
        <v>5</v>
      </c>
      <c r="AY7" s="58" t="n">
        <f aca="false">IF('STUDENT SCREENING'!AX7="","",IFERROR(INDEX('SCORING MASTER'!$D$104:$D$105,MATCH('STUDENT SCREENING'!AX7,'SCORING MASTER'!$C$104:$C$105,0)),""))</f>
        <v>5</v>
      </c>
      <c r="AZ7" s="58" t="n">
        <f aca="false">IF('STUDENT SCREENING'!AY7="","",IFERROR(INDEX('SCORING MASTER'!$D$107:$D$108,MATCH('STUDENT SCREENING'!AY7,'SCORING MASTER'!$C$107:$C$108,0)),""))</f>
        <v>5</v>
      </c>
      <c r="BA7" s="58" t="n">
        <f aca="false">IF('STUDENT SCREENING'!AZ7="","",IFERROR(INDEX('SCORING MASTER'!$D$110:$D$111,MATCH('STUDENT SCREENING'!AZ7,'SCORING MASTER'!$C$110:$C$111,0)),""))</f>
        <v>5</v>
      </c>
      <c r="BB7" s="58" t="n">
        <f aca="false">IF('STUDENT SCREENING'!BA7="","",IFERROR(INDEX('SCORING MASTER'!$D$113:$D$115,MATCH('STUDENT SCREENING'!BA7,'SCORING MASTER'!$C$113:$C$115,0)),""))</f>
        <v>5</v>
      </c>
      <c r="BC7" s="58" t="n">
        <f aca="false">IF('STUDENT SCREENING'!BB7="","",IFERROR(INDEX('SCORING MASTER'!$D$117:$D$119,MATCH('STUDENT SCREENING'!BB7,'SCORING MASTER'!$C$117:$C$119,0)),""))</f>
        <v>5</v>
      </c>
      <c r="BD7" s="58" t="n">
        <f aca="false">IF('STUDENT SCREENING'!BC7="","",IFERROR(INDEX('SCORING MASTER'!$D$121:$D$123,MATCH('STUDENT SCREENING'!BC7,'SCORING MASTER'!$C$121:$C$123,0)),""))</f>
        <v>5</v>
      </c>
      <c r="BE7" s="58" t="n">
        <f aca="false">IF('STUDENT SCREENING'!BD7="","",IFERROR(INDEX('SCORING MASTER'!$D$125:$D$126,MATCH('STUDENT SCREENING'!BD7,'SCORING MASTER'!$C$125:$C$126,0)),""))</f>
        <v>5</v>
      </c>
      <c r="BF7" s="58" t="n">
        <f aca="false">IF('STUDENT SCREENING'!BE7="","",IFERROR(INDEX('SCORING MASTER'!$D$128:$D$129,MATCH('STUDENT SCREENING'!BE7,'SCORING MASTER'!$C$128:$C$129,0)),""))</f>
        <v>5</v>
      </c>
      <c r="BG7" s="58" t="n">
        <f aca="false">IF('STUDENT SCREENING'!BP7="","",IFERROR(MATCH('STUDENT SCREENING'!BP7,{"Red - High Risk","Orange - Moderate Risk","Yellow - Mild Risk","Light Green - Mild Watch","Green - Healthy"},0)-1,""))</f>
        <v>3</v>
      </c>
      <c r="BH7" s="58" t="n">
        <f aca="false">IF('STUDENT SCREENING'!BQ7="","",IF('STUDENT SCREENING'!BQ7="Yes",1,0))</f>
        <v>0</v>
      </c>
      <c r="BI7" s="58" t="n">
        <f aca="false">IF('STUDENT SCREENING'!BR7="","",IF('STUDENT SCREENING'!BR7="Yes",1,0))</f>
        <v>0</v>
      </c>
    </row>
    <row r="8" customFormat="false" ht="15" hidden="false" customHeight="false" outlineLevel="0" collapsed="false">
      <c r="A8" s="57" t="str">
        <f aca="false">'STUDENT SCREENING'!A8</f>
        <v>STU000005</v>
      </c>
      <c r="B8" s="57" t="str">
        <f aca="false">'STUDENT SCREENING'!C8</f>
        <v>Delhi Public School</v>
      </c>
      <c r="C8" s="57" t="str">
        <f aca="false">'STUDENT SCREENING'!D8</f>
        <v>South Delhi</v>
      </c>
      <c r="D8" s="57" t="str">
        <f aca="false">'STUDENT SCREENING'!E8</f>
        <v>Delhi</v>
      </c>
      <c r="E8" s="57" t="str">
        <f aca="false">'STUDENT SCREENING'!F8</f>
        <v>10</v>
      </c>
      <c r="F8" s="57" t="str">
        <f aca="false">'STUDENT SCREENING'!K8</f>
        <v>Male</v>
      </c>
      <c r="G8" s="57" t="n">
        <f aca="false">'STUDENT SCREENING'!J8</f>
        <v>15</v>
      </c>
      <c r="H8" s="57" t="n">
        <f aca="false">IF('STUDENT SCREENING'!K8="","",IFERROR(MATCH('STUDENT SCREENING'!K8,Adm_Gender,0),""))</f>
        <v>1</v>
      </c>
      <c r="I8" s="57" t="n">
        <f aca="false">'STUDENT SCREENING'!Q8</f>
        <v>163</v>
      </c>
      <c r="J8" s="57" t="n">
        <f aca="false">'STUDENT SCREENING'!R8</f>
        <v>72</v>
      </c>
      <c r="K8" s="57" t="n">
        <f aca="false">'STUDENT SCREENING'!S8</f>
        <v>27.1</v>
      </c>
      <c r="L8" s="57" t="n">
        <f aca="false">'STUDENT SCREENING'!U8</f>
        <v>25</v>
      </c>
      <c r="M8" s="57" t="n">
        <f aca="false">'STUDENT SCREENING'!V8</f>
        <v>88</v>
      </c>
      <c r="N8" s="57" t="n">
        <f aca="false">'STUDENT SCREENING'!BF8</f>
        <v>65</v>
      </c>
      <c r="O8" s="57" t="n">
        <f aca="false">'STUDENT SCREENING'!BG8</f>
        <v>31</v>
      </c>
      <c r="P8" s="57" t="n">
        <f aca="false">'STUDENT SCREENING'!BH8</f>
        <v>33</v>
      </c>
      <c r="Q8" s="57" t="n">
        <f aca="false">'STUDENT SCREENING'!BI8</f>
        <v>100</v>
      </c>
      <c r="R8" s="57" t="n">
        <f aca="false">'STUDENT SCREENING'!BJ8</f>
        <v>67</v>
      </c>
      <c r="S8" s="57" t="n">
        <f aca="false">'STUDENT SCREENING'!BK8</f>
        <v>25</v>
      </c>
      <c r="T8" s="57" t="n">
        <f aca="false">'STUDENT SCREENING'!BL8</f>
        <v>52</v>
      </c>
      <c r="U8" s="57" t="n">
        <f aca="false">'STUDENT SCREENING'!BM8</f>
        <v>54</v>
      </c>
      <c r="V8" s="57" t="n">
        <f aca="false">'STUDENT SCREENING'!BN8</f>
        <v>48</v>
      </c>
      <c r="W8" s="57" t="n">
        <f aca="false">'STUDENT SCREENING'!BO8</f>
        <v>52</v>
      </c>
      <c r="X8" s="57" t="n">
        <f aca="false">IF('STUDENT SCREENING'!W8="","",IFERROR(INDEX('SCORING MASTER'!$D$5:$D$7,MATCH('STUDENT SCREENING'!W8,'SCORING MASTER'!$C$5:$C$7,0)),""))</f>
        <v>3</v>
      </c>
      <c r="Y8" s="57" t="n">
        <f aca="false">IF('STUDENT SCREENING'!X8="","",IFERROR(INDEX('SCORING MASTER'!$D$9:$D$11,MATCH('STUDENT SCREENING'!X8,'SCORING MASTER'!$C$9:$C$11,0)),""))</f>
        <v>0</v>
      </c>
      <c r="Z8" s="57" t="n">
        <f aca="false">IF('STUDENT SCREENING'!Y8="","",IFERROR(INDEX('SCORING MASTER'!$D$13:$D$15,MATCH('STUDENT SCREENING'!Y8,'SCORING MASTER'!$C$13:$C$15,0)),""))</f>
        <v>0</v>
      </c>
      <c r="AA8" s="57" t="n">
        <f aca="false">IF('STUDENT SCREENING'!Z8="","",IFERROR(INDEX('SCORING MASTER'!$D$17:$D$19,MATCH('STUDENT SCREENING'!Z8,'SCORING MASTER'!$C$17:$C$19,0)),""))</f>
        <v>5</v>
      </c>
      <c r="AB8" s="57" t="n">
        <f aca="false">IF('STUDENT SCREENING'!AA8="","",IFERROR(INDEX('SCORING MASTER'!$D$21:$D$23,MATCH('STUDENT SCREENING'!AA8,'SCORING MASTER'!$C$21:$C$23,0)),""))</f>
        <v>0</v>
      </c>
      <c r="AC8" s="57" t="n">
        <f aca="false">IF('STUDENT SCREENING'!AB8="","",IFERROR(INDEX('SCORING MASTER'!$D$25:$D$27,MATCH('STUDENT SCREENING'!AB8,'SCORING MASTER'!$C$25:$C$27,0)),""))</f>
        <v>0</v>
      </c>
      <c r="AD8" s="57" t="n">
        <f aca="false">IF('STUDENT SCREENING'!AC8="","",IFERROR(INDEX('SCORING MASTER'!$D$29:$D$31,MATCH('STUDENT SCREENING'!AC8,'SCORING MASTER'!$C$29:$C$31,0)),""))</f>
        <v>3</v>
      </c>
      <c r="AE8" s="57" t="n">
        <f aca="false">IF('STUDENT SCREENING'!AD8="","",IFERROR(INDEX('SCORING MASTER'!$D$33:$D$35,MATCH('STUDENT SCREENING'!AD8,'SCORING MASTER'!$C$33:$C$35,0)),""))</f>
        <v>0</v>
      </c>
      <c r="AF8" s="57" t="n">
        <f aca="false">IF('STUDENT SCREENING'!AE8="","",IFERROR(INDEX('SCORING MASTER'!$D$37:$D$39,MATCH('STUDENT SCREENING'!AE8,'SCORING MASTER'!$C$37:$C$39,0)),""))</f>
        <v>0</v>
      </c>
      <c r="AG8" s="57" t="n">
        <f aca="false">IF('STUDENT SCREENING'!AF8="","",IFERROR(INDEX('SCORING MASTER'!$D$41:$D$43,MATCH('STUDENT SCREENING'!AF8,'SCORING MASTER'!$C$41:$C$43,0)),""))</f>
        <v>0</v>
      </c>
      <c r="AH8" s="57" t="n">
        <f aca="false">IF('STUDENT SCREENING'!AG8="","",IFERROR(INDEX('SCORING MASTER'!$D$45:$D$47,MATCH('STUDENT SCREENING'!AG8,'SCORING MASTER'!$C$45:$C$47,0)),""))</f>
        <v>0</v>
      </c>
      <c r="AI8" s="57" t="n">
        <f aca="false">IF('STUDENT SCREENING'!AH8="","",IFERROR(INDEX('SCORING MASTER'!$D$49:$D$52,MATCH('STUDENT SCREENING'!AH8,'SCORING MASTER'!$C$49:$C$52,0)),""))</f>
        <v>5</v>
      </c>
      <c r="AJ8" s="57" t="n">
        <f aca="false">IF('STUDENT SCREENING'!AI8="","",IFERROR(INDEX('SCORING MASTER'!$D$54:$D$57,MATCH('STUDENT SCREENING'!AI8,'SCORING MASTER'!$C$54:$C$57,0)),""))</f>
        <v>5</v>
      </c>
      <c r="AK8" s="57" t="n">
        <f aca="false">IF('STUDENT SCREENING'!AJ8="","",IFERROR(INDEX('SCORING MASTER'!$D$59:$D$60,MATCH('STUDENT SCREENING'!AJ8,'SCORING MASTER'!$C$59:$C$60,0)),""))</f>
        <v>5</v>
      </c>
      <c r="AL8" s="57" t="n">
        <f aca="false">IF('STUDENT SCREENING'!AK8="","",IFERROR(INDEX('SCORING MASTER'!$D$62:$D$63,MATCH('STUDENT SCREENING'!AK8,'SCORING MASTER'!$C$62:$C$63,0)),""))</f>
        <v>5</v>
      </c>
      <c r="AM8" s="57" t="n">
        <f aca="false">IF('STUDENT SCREENING'!AL8="","",IFERROR(INDEX('SCORING MASTER'!$D$65:$D$66,MATCH('STUDENT SCREENING'!AL8,'SCORING MASTER'!$C$65:$C$66,0)),""))</f>
        <v>5</v>
      </c>
      <c r="AN8" s="57" t="n">
        <f aca="false">IF('STUDENT SCREENING'!AM8="","",IFERROR(INDEX('SCORING MASTER'!$D$68:$D$69,MATCH('STUDENT SCREENING'!AM8,'SCORING MASTER'!$C$68:$C$69,0)),""))</f>
        <v>5</v>
      </c>
      <c r="AO8" s="57" t="n">
        <f aca="false">IF('STUDENT SCREENING'!AN8="","",IFERROR(INDEX('SCORING MASTER'!$D$71:$D$72,MATCH('STUDENT SCREENING'!AN8,'SCORING MASTER'!$C$71:$C$72,0)),""))</f>
        <v>5</v>
      </c>
      <c r="AP8" s="57" t="n">
        <f aca="false">IF('STUDENT SCREENING'!AO8="","",IFERROR(INDEX('SCORING MASTER'!$D$74:$D$75,MATCH('STUDENT SCREENING'!AO8,'SCORING MASTER'!$C$74:$C$75,0)),""))</f>
        <v>5</v>
      </c>
      <c r="AQ8" s="57" t="n">
        <f aca="false">IF('STUDENT SCREENING'!AP8="","",IFERROR(INDEX('SCORING MASTER'!$D$77:$D$78,MATCH('STUDENT SCREENING'!AP8,'SCORING MASTER'!$C$77:$C$78,0)),""))</f>
        <v>5</v>
      </c>
      <c r="AR8" s="57" t="n">
        <f aca="false">IF('STUDENT SCREENING'!AQ8="","",IFERROR(INDEX('SCORING MASTER'!$D$80:$D$82,MATCH('STUDENT SCREENING'!AQ8,'SCORING MASTER'!$C$80:$C$82,0)),""))</f>
        <v>0</v>
      </c>
      <c r="AS8" s="57" t="n">
        <f aca="false">IF('STUDENT SCREENING'!AR8="","",IFERROR(INDEX('SCORING MASTER'!$D$84:$D$86,MATCH('STUDENT SCREENING'!AR8,'SCORING MASTER'!$C$84:$C$86,0)),""))</f>
        <v>0</v>
      </c>
      <c r="AT8" s="57" t="n">
        <f aca="false">IF('STUDENT SCREENING'!AS8="","",IFERROR(INDEX('SCORING MASTER'!$D$88:$D$90,MATCH('STUDENT SCREENING'!AS8,'SCORING MASTER'!$C$88:$C$90,0)),""))</f>
        <v>0</v>
      </c>
      <c r="AU8" s="57" t="n">
        <f aca="false">IF('STUDENT SCREENING'!AT8="","",IFERROR(INDEX('SCORING MASTER'!$D$92:$D$93,MATCH('STUDENT SCREENING'!AT8,'SCORING MASTER'!$C$92:$C$93,0)),""))</f>
        <v>5</v>
      </c>
      <c r="AV8" s="57" t="n">
        <f aca="false">IF('STUDENT SCREENING'!AU8="","",IFERROR(INDEX('SCORING MASTER'!$D$95:$D$96,MATCH('STUDENT SCREENING'!AU8,'SCORING MASTER'!$C$95:$C$96,0)),""))</f>
        <v>5</v>
      </c>
      <c r="AW8" s="57" t="n">
        <f aca="false">IF('STUDENT SCREENING'!AV8="","",IFERROR(INDEX('SCORING MASTER'!$D$98:$D$99,MATCH('STUDENT SCREENING'!AV8,'SCORING MASTER'!$C$98:$C$99,0)),""))</f>
        <v>0</v>
      </c>
      <c r="AX8" s="57" t="n">
        <f aca="false">IF('STUDENT SCREENING'!AW8="","",IFERROR(INDEX('SCORING MASTER'!$D$101:$D$102,MATCH('STUDENT SCREENING'!AW8,'SCORING MASTER'!$C$101:$C$102,0)),""))</f>
        <v>0</v>
      </c>
      <c r="AY8" s="57" t="n">
        <f aca="false">IF('STUDENT SCREENING'!AX8="","",IFERROR(INDEX('SCORING MASTER'!$D$104:$D$105,MATCH('STUDENT SCREENING'!AX8,'SCORING MASTER'!$C$104:$C$105,0)),""))</f>
        <v>5</v>
      </c>
      <c r="AZ8" s="57" t="n">
        <f aca="false">IF('STUDENT SCREENING'!AY8="","",IFERROR(INDEX('SCORING MASTER'!$D$107:$D$108,MATCH('STUDENT SCREENING'!AY8,'SCORING MASTER'!$C$107:$C$108,0)),""))</f>
        <v>5</v>
      </c>
      <c r="BA8" s="57" t="n">
        <f aca="false">IF('STUDENT SCREENING'!AZ8="","",IFERROR(INDEX('SCORING MASTER'!$D$110:$D$111,MATCH('STUDENT SCREENING'!AZ8,'SCORING MASTER'!$C$110:$C$111,0)),""))</f>
        <v>5</v>
      </c>
      <c r="BB8" s="57" t="n">
        <f aca="false">IF('STUDENT SCREENING'!BA8="","",IFERROR(INDEX('SCORING MASTER'!$D$113:$D$115,MATCH('STUDENT SCREENING'!BA8,'SCORING MASTER'!$C$113:$C$115,0)),""))</f>
        <v>5</v>
      </c>
      <c r="BC8" s="57" t="n">
        <f aca="false">IF('STUDENT SCREENING'!BB8="","",IFERROR(INDEX('SCORING MASTER'!$D$117:$D$119,MATCH('STUDENT SCREENING'!BB8,'SCORING MASTER'!$C$117:$C$119,0)),""))</f>
        <v>5</v>
      </c>
      <c r="BD8" s="57" t="n">
        <f aca="false">IF('STUDENT SCREENING'!BC8="","",IFERROR(INDEX('SCORING MASTER'!$D$121:$D$123,MATCH('STUDENT SCREENING'!BC8,'SCORING MASTER'!$C$121:$C$123,0)),""))</f>
        <v>3</v>
      </c>
      <c r="BE8" s="57" t="n">
        <f aca="false">IF('STUDENT SCREENING'!BD8="","",IFERROR(INDEX('SCORING MASTER'!$D$125:$D$126,MATCH('STUDENT SCREENING'!BD8,'SCORING MASTER'!$C$125:$C$126,0)),""))</f>
        <v>0</v>
      </c>
      <c r="BF8" s="57" t="n">
        <f aca="false">IF('STUDENT SCREENING'!BE8="","",IFERROR(INDEX('SCORING MASTER'!$D$128:$D$129,MATCH('STUDENT SCREENING'!BE8,'SCORING MASTER'!$C$128:$C$129,0)),""))</f>
        <v>0</v>
      </c>
      <c r="BG8" s="57" t="n">
        <f aca="false">IF('STUDENT SCREENING'!BP8="","",IFERROR(MATCH('STUDENT SCREENING'!BP8,{"Red - High Risk","Orange - Moderate Risk","Yellow - Mild Risk","Light Green - Mild Watch","Green - Healthy"},0)-1,""))</f>
        <v>1</v>
      </c>
      <c r="BH8" s="57" t="n">
        <f aca="false">IF('STUDENT SCREENING'!BQ8="","",IF('STUDENT SCREENING'!BQ8="Yes",1,0))</f>
        <v>1</v>
      </c>
      <c r="BI8" s="57" t="n">
        <f aca="false">IF('STUDENT SCREENING'!BR8="","",IF('STUDENT SCREENING'!BR8="Yes",1,0))</f>
        <v>1</v>
      </c>
    </row>
    <row r="9" customFormat="false" ht="15" hidden="false" customHeight="false" outlineLevel="0" collapsed="false">
      <c r="A9" s="58" t="str">
        <f aca="false">'STUDENT SCREENING'!A9</f>
        <v>STU000006</v>
      </c>
      <c r="B9" s="58" t="str">
        <f aca="false">'STUDENT SCREENING'!C9</f>
        <v>Delhi Public School</v>
      </c>
      <c r="C9" s="58" t="str">
        <f aca="false">'STUDENT SCREENING'!D9</f>
        <v>South Delhi</v>
      </c>
      <c r="D9" s="58" t="str">
        <f aca="false">'STUDENT SCREENING'!E9</f>
        <v>Delhi</v>
      </c>
      <c r="E9" s="58" t="str">
        <f aca="false">'STUDENT SCREENING'!F9</f>
        <v>9</v>
      </c>
      <c r="F9" s="58" t="str">
        <f aca="false">'STUDENT SCREENING'!K9</f>
        <v>Female</v>
      </c>
      <c r="G9" s="58" t="n">
        <f aca="false">'STUDENT SCREENING'!J9</f>
        <v>14</v>
      </c>
      <c r="H9" s="58" t="n">
        <f aca="false">IF('STUDENT SCREENING'!K9="","",IFERROR(MATCH('STUDENT SCREENING'!K9,Adm_Gender,0),""))</f>
        <v>2</v>
      </c>
      <c r="I9" s="58" t="n">
        <f aca="false">'STUDENT SCREENING'!Q9</f>
        <v>150</v>
      </c>
      <c r="J9" s="58" t="n">
        <f aca="false">'STUDENT SCREENING'!R9</f>
        <v>38</v>
      </c>
      <c r="K9" s="58" t="n">
        <f aca="false">'STUDENT SCREENING'!S9</f>
        <v>16.9</v>
      </c>
      <c r="L9" s="58" t="n">
        <f aca="false">'STUDENT SCREENING'!U9</f>
        <v>19</v>
      </c>
      <c r="M9" s="58" t="n">
        <f aca="false">'STUDENT SCREENING'!V9</f>
        <v>58</v>
      </c>
      <c r="N9" s="58" t="n">
        <f aca="false">'STUDENT SCREENING'!BF9</f>
        <v>45</v>
      </c>
      <c r="O9" s="58" t="n">
        <f aca="false">'STUDENT SCREENING'!BG9</f>
        <v>83</v>
      </c>
      <c r="P9" s="58" t="n">
        <f aca="false">'STUDENT SCREENING'!BH9</f>
        <v>93</v>
      </c>
      <c r="Q9" s="58" t="n">
        <f aca="false">'STUDENT SCREENING'!BI9</f>
        <v>100</v>
      </c>
      <c r="R9" s="58" t="n">
        <f aca="false">'STUDENT SCREENING'!BJ9</f>
        <v>100</v>
      </c>
      <c r="S9" s="58" t="n">
        <f aca="false">'STUDENT SCREENING'!BK9</f>
        <v>100</v>
      </c>
      <c r="T9" s="58" t="n">
        <f aca="false">'STUDENT SCREENING'!BL9</f>
        <v>100</v>
      </c>
      <c r="U9" s="58" t="n">
        <f aca="false">'STUDENT SCREENING'!BM9</f>
        <v>82</v>
      </c>
      <c r="V9" s="58" t="n">
        <f aca="false">'STUDENT SCREENING'!BN9</f>
        <v>64</v>
      </c>
      <c r="W9" s="58" t="n">
        <f aca="false">'STUDENT SCREENING'!BO9</f>
        <v>36</v>
      </c>
      <c r="X9" s="58" t="n">
        <f aca="false">IF('STUDENT SCREENING'!W9="","",IFERROR(INDEX('SCORING MASTER'!$D$5:$D$7,MATCH('STUDENT SCREENING'!W9,'SCORING MASTER'!$C$5:$C$7,0)),""))</f>
        <v>5</v>
      </c>
      <c r="Y9" s="58" t="n">
        <f aca="false">IF('STUDENT SCREENING'!X9="","",IFERROR(INDEX('SCORING MASTER'!$D$9:$D$11,MATCH('STUDENT SCREENING'!X9,'SCORING MASTER'!$C$9:$C$11,0)),""))</f>
        <v>5</v>
      </c>
      <c r="Z9" s="58" t="n">
        <f aca="false">IF('STUDENT SCREENING'!Y9="","",IFERROR(INDEX('SCORING MASTER'!$D$13:$D$15,MATCH('STUDENT SCREENING'!Y9,'SCORING MASTER'!$C$13:$C$15,0)),""))</f>
        <v>5</v>
      </c>
      <c r="AA9" s="58" t="n">
        <f aca="false">IF('STUDENT SCREENING'!Z9="","",IFERROR(INDEX('SCORING MASTER'!$D$17:$D$19,MATCH('STUDENT SCREENING'!Z9,'SCORING MASTER'!$C$17:$C$19,0)),""))</f>
        <v>3</v>
      </c>
      <c r="AB9" s="58" t="n">
        <f aca="false">IF('STUDENT SCREENING'!AA9="","",IFERROR(INDEX('SCORING MASTER'!$D$21:$D$23,MATCH('STUDENT SCREENING'!AA9,'SCORING MASTER'!$C$21:$C$23,0)),""))</f>
        <v>3</v>
      </c>
      <c r="AC9" s="58" t="n">
        <f aca="false">IF('STUDENT SCREENING'!AB9="","",IFERROR(INDEX('SCORING MASTER'!$D$25:$D$27,MATCH('STUDENT SCREENING'!AB9,'SCORING MASTER'!$C$25:$C$27,0)),""))</f>
        <v>3</v>
      </c>
      <c r="AD9" s="58" t="n">
        <f aca="false">IF('STUDENT SCREENING'!AC9="","",IFERROR(INDEX('SCORING MASTER'!$D$29:$D$31,MATCH('STUDENT SCREENING'!AC9,'SCORING MASTER'!$C$29:$C$31,0)),""))</f>
        <v>5</v>
      </c>
      <c r="AE9" s="58" t="n">
        <f aca="false">IF('STUDENT SCREENING'!AD9="","",IFERROR(INDEX('SCORING MASTER'!$D$33:$D$35,MATCH('STUDENT SCREENING'!AD9,'SCORING MASTER'!$C$33:$C$35,0)),""))</f>
        <v>5</v>
      </c>
      <c r="AF9" s="58" t="n">
        <f aca="false">IF('STUDENT SCREENING'!AE9="","",IFERROR(INDEX('SCORING MASTER'!$D$37:$D$39,MATCH('STUDENT SCREENING'!AE9,'SCORING MASTER'!$C$37:$C$39,0)),""))</f>
        <v>3</v>
      </c>
      <c r="AG9" s="58" t="n">
        <f aca="false">IF('STUDENT SCREENING'!AF9="","",IFERROR(INDEX('SCORING MASTER'!$D$41:$D$43,MATCH('STUDENT SCREENING'!AF9,'SCORING MASTER'!$C$41:$C$43,0)),""))</f>
        <v>5</v>
      </c>
      <c r="AH9" s="58" t="n">
        <f aca="false">IF('STUDENT SCREENING'!AG9="","",IFERROR(INDEX('SCORING MASTER'!$D$45:$D$47,MATCH('STUDENT SCREENING'!AG9,'SCORING MASTER'!$C$45:$C$47,0)),""))</f>
        <v>5</v>
      </c>
      <c r="AI9" s="58" t="n">
        <f aca="false">IF('STUDENT SCREENING'!AH9="","",IFERROR(INDEX('SCORING MASTER'!$D$49:$D$52,MATCH('STUDENT SCREENING'!AH9,'SCORING MASTER'!$C$49:$C$52,0)),""))</f>
        <v>5</v>
      </c>
      <c r="AJ9" s="58" t="n">
        <f aca="false">IF('STUDENT SCREENING'!AI9="","",IFERROR(INDEX('SCORING MASTER'!$D$54:$D$57,MATCH('STUDENT SCREENING'!AI9,'SCORING MASTER'!$C$54:$C$57,0)),""))</f>
        <v>5</v>
      </c>
      <c r="AK9" s="58" t="n">
        <f aca="false">IF('STUDENT SCREENING'!AJ9="","",IFERROR(INDEX('SCORING MASTER'!$D$59:$D$60,MATCH('STUDENT SCREENING'!AJ9,'SCORING MASTER'!$C$59:$C$60,0)),""))</f>
        <v>5</v>
      </c>
      <c r="AL9" s="58" t="n">
        <f aca="false">IF('STUDENT SCREENING'!AK9="","",IFERROR(INDEX('SCORING MASTER'!$D$62:$D$63,MATCH('STUDENT SCREENING'!AK9,'SCORING MASTER'!$C$62:$C$63,0)),""))</f>
        <v>5</v>
      </c>
      <c r="AM9" s="58" t="n">
        <f aca="false">IF('STUDENT SCREENING'!AL9="","",IFERROR(INDEX('SCORING MASTER'!$D$65:$D$66,MATCH('STUDENT SCREENING'!AL9,'SCORING MASTER'!$C$65:$C$66,0)),""))</f>
        <v>5</v>
      </c>
      <c r="AN9" s="58" t="n">
        <f aca="false">IF('STUDENT SCREENING'!AM9="","",IFERROR(INDEX('SCORING MASTER'!$D$68:$D$69,MATCH('STUDENT SCREENING'!AM9,'SCORING MASTER'!$C$68:$C$69,0)),""))</f>
        <v>5</v>
      </c>
      <c r="AO9" s="58" t="n">
        <f aca="false">IF('STUDENT SCREENING'!AN9="","",IFERROR(INDEX('SCORING MASTER'!$D$71:$D$72,MATCH('STUDENT SCREENING'!AN9,'SCORING MASTER'!$C$71:$C$72,0)),""))</f>
        <v>5</v>
      </c>
      <c r="AP9" s="58" t="n">
        <f aca="false">IF('STUDENT SCREENING'!AO9="","",IFERROR(INDEX('SCORING MASTER'!$D$74:$D$75,MATCH('STUDENT SCREENING'!AO9,'SCORING MASTER'!$C$74:$C$75,0)),""))</f>
        <v>5</v>
      </c>
      <c r="AQ9" s="58" t="n">
        <f aca="false">IF('STUDENT SCREENING'!AP9="","",IFERROR(INDEX('SCORING MASTER'!$D$77:$D$78,MATCH('STUDENT SCREENING'!AP9,'SCORING MASTER'!$C$77:$C$78,0)),""))</f>
        <v>5</v>
      </c>
      <c r="AR9" s="58" t="n">
        <f aca="false">IF('STUDENT SCREENING'!AQ9="","",IFERROR(INDEX('SCORING MASTER'!$D$80:$D$82,MATCH('STUDENT SCREENING'!AQ9,'SCORING MASTER'!$C$80:$C$82,0)),""))</f>
        <v>5</v>
      </c>
      <c r="AS9" s="58" t="n">
        <f aca="false">IF('STUDENT SCREENING'!AR9="","",IFERROR(INDEX('SCORING MASTER'!$D$84:$D$86,MATCH('STUDENT SCREENING'!AR9,'SCORING MASTER'!$C$84:$C$86,0)),""))</f>
        <v>5</v>
      </c>
      <c r="AT9" s="58" t="n">
        <f aca="false">IF('STUDENT SCREENING'!AS9="","",IFERROR(INDEX('SCORING MASTER'!$D$88:$D$90,MATCH('STUDENT SCREENING'!AS9,'SCORING MASTER'!$C$88:$C$90,0)),""))</f>
        <v>5</v>
      </c>
      <c r="AU9" s="58" t="n">
        <f aca="false">IF('STUDENT SCREENING'!AT9="","",IFERROR(INDEX('SCORING MASTER'!$D$92:$D$93,MATCH('STUDENT SCREENING'!AT9,'SCORING MASTER'!$C$92:$C$93,0)),""))</f>
        <v>5</v>
      </c>
      <c r="AV9" s="58" t="n">
        <f aca="false">IF('STUDENT SCREENING'!AU9="","",IFERROR(INDEX('SCORING MASTER'!$D$95:$D$96,MATCH('STUDENT SCREENING'!AU9,'SCORING MASTER'!$C$95:$C$96,0)),""))</f>
        <v>5</v>
      </c>
      <c r="AW9" s="58" t="n">
        <f aca="false">IF('STUDENT SCREENING'!AV9="","",IFERROR(INDEX('SCORING MASTER'!$D$98:$D$99,MATCH('STUDENT SCREENING'!AV9,'SCORING MASTER'!$C$98:$C$99,0)),""))</f>
        <v>5</v>
      </c>
      <c r="AX9" s="58" t="n">
        <f aca="false">IF('STUDENT SCREENING'!AW9="","",IFERROR(INDEX('SCORING MASTER'!$D$101:$D$102,MATCH('STUDENT SCREENING'!AW9,'SCORING MASTER'!$C$101:$C$102,0)),""))</f>
        <v>5</v>
      </c>
      <c r="AY9" s="58" t="n">
        <f aca="false">IF('STUDENT SCREENING'!AX9="","",IFERROR(INDEX('SCORING MASTER'!$D$104:$D$105,MATCH('STUDENT SCREENING'!AX9,'SCORING MASTER'!$C$104:$C$105,0)),""))</f>
        <v>5</v>
      </c>
      <c r="AZ9" s="58" t="n">
        <f aca="false">IF('STUDENT SCREENING'!AY9="","",IFERROR(INDEX('SCORING MASTER'!$D$107:$D$108,MATCH('STUDENT SCREENING'!AY9,'SCORING MASTER'!$C$107:$C$108,0)),""))</f>
        <v>5</v>
      </c>
      <c r="BA9" s="58" t="n">
        <f aca="false">IF('STUDENT SCREENING'!AZ9="","",IFERROR(INDEX('SCORING MASTER'!$D$110:$D$111,MATCH('STUDENT SCREENING'!AZ9,'SCORING MASTER'!$C$110:$C$111,0)),""))</f>
        <v>5</v>
      </c>
      <c r="BB9" s="58" t="n">
        <f aca="false">IF('STUDENT SCREENING'!BA9="","",IFERROR(INDEX('SCORING MASTER'!$D$113:$D$115,MATCH('STUDENT SCREENING'!BA9,'SCORING MASTER'!$C$113:$C$115,0)),""))</f>
        <v>5</v>
      </c>
      <c r="BC9" s="58" t="n">
        <f aca="false">IF('STUDENT SCREENING'!BB9="","",IFERROR(INDEX('SCORING MASTER'!$D$117:$D$119,MATCH('STUDENT SCREENING'!BB9,'SCORING MASTER'!$C$117:$C$119,0)),""))</f>
        <v>5</v>
      </c>
      <c r="BD9" s="58" t="n">
        <f aca="false">IF('STUDENT SCREENING'!BC9="","",IFERROR(INDEX('SCORING MASTER'!$D$121:$D$123,MATCH('STUDENT SCREENING'!BC9,'SCORING MASTER'!$C$121:$C$123,0)),""))</f>
        <v>5</v>
      </c>
      <c r="BE9" s="58" t="n">
        <f aca="false">IF('STUDENT SCREENING'!BD9="","",IFERROR(INDEX('SCORING MASTER'!$D$125:$D$126,MATCH('STUDENT SCREENING'!BD9,'SCORING MASTER'!$C$125:$C$126,0)),""))</f>
        <v>5</v>
      </c>
      <c r="BF9" s="58" t="n">
        <f aca="false">IF('STUDENT SCREENING'!BE9="","",IFERROR(INDEX('SCORING MASTER'!$D$128:$D$129,MATCH('STUDENT SCREENING'!BE9,'SCORING MASTER'!$C$128:$C$129,0)),""))</f>
        <v>5</v>
      </c>
      <c r="BG9" s="58" t="n">
        <f aca="false">IF('STUDENT SCREENING'!BP9="","",IFERROR(MATCH('STUDENT SCREENING'!BP9,{"Red - High Risk","Orange - Moderate Risk","Yellow - Mild Risk","Light Green - Mild Watch","Green - Healthy"},0)-1,""))</f>
        <v>3</v>
      </c>
      <c r="BH9" s="58" t="n">
        <f aca="false">IF('STUDENT SCREENING'!BQ9="","",IF('STUDENT SCREENING'!BQ9="Yes",1,0))</f>
        <v>0</v>
      </c>
      <c r="BI9" s="58" t="n">
        <f aca="false">IF('STUDENT SCREENING'!BR9="","",IF('STUDENT SCREENING'!BR9="Yes",1,0))</f>
        <v>0</v>
      </c>
    </row>
    <row r="10" customFormat="false" ht="15" hidden="false" customHeight="false" outlineLevel="0" collapsed="false">
      <c r="A10" s="57" t="str">
        <f aca="false">'STUDENT SCREENING'!A10</f>
        <v/>
      </c>
      <c r="B10" s="57" t="n">
        <f aca="false">'STUDENT SCREENING'!C10</f>
        <v>0</v>
      </c>
      <c r="C10" s="57" t="n">
        <f aca="false">'STUDENT SCREENING'!D10</f>
        <v>0</v>
      </c>
      <c r="D10" s="57" t="n">
        <f aca="false">'STUDENT SCREENING'!E10</f>
        <v>0</v>
      </c>
      <c r="E10" s="57" t="n">
        <f aca="false">'STUDENT SCREENING'!F10</f>
        <v>0</v>
      </c>
      <c r="F10" s="57" t="n">
        <f aca="false">'STUDENT SCREENING'!K10</f>
        <v>0</v>
      </c>
      <c r="G10" s="57" t="n">
        <f aca="false">'STUDENT SCREENING'!J10</f>
        <v>0</v>
      </c>
      <c r="H10" s="57" t="str">
        <f aca="false">IF('STUDENT SCREENING'!K10="","",IFERROR(MATCH('STUDENT SCREENING'!K10,Adm_Gender,0),""))</f>
        <v/>
      </c>
      <c r="I10" s="57" t="n">
        <f aca="false">'STUDENT SCREENING'!Q10</f>
        <v>0</v>
      </c>
      <c r="J10" s="57" t="n">
        <f aca="false">'STUDENT SCREENING'!R10</f>
        <v>0</v>
      </c>
      <c r="K10" s="57" t="str">
        <f aca="false">'STUDENT SCREENING'!S10</f>
        <v/>
      </c>
      <c r="L10" s="57" t="n">
        <f aca="false">'STUDENT SCREENING'!U10</f>
        <v>0</v>
      </c>
      <c r="M10" s="57" t="n">
        <f aca="false">'STUDENT SCREENING'!V10</f>
        <v>0</v>
      </c>
      <c r="N10" s="57" t="str">
        <f aca="false">'STUDENT SCREENING'!BF10</f>
        <v/>
      </c>
      <c r="O10" s="57" t="str">
        <f aca="false">'STUDENT SCREENING'!BG10</f>
        <v/>
      </c>
      <c r="P10" s="57" t="str">
        <f aca="false">'STUDENT SCREENING'!BH10</f>
        <v/>
      </c>
      <c r="Q10" s="57" t="str">
        <f aca="false">'STUDENT SCREENING'!BI10</f>
        <v/>
      </c>
      <c r="R10" s="57" t="str">
        <f aca="false">'STUDENT SCREENING'!BJ10</f>
        <v/>
      </c>
      <c r="S10" s="57" t="str">
        <f aca="false">'STUDENT SCREENING'!BK10</f>
        <v/>
      </c>
      <c r="T10" s="57" t="str">
        <f aca="false">'STUDENT SCREENING'!BL10</f>
        <v/>
      </c>
      <c r="U10" s="57" t="str">
        <f aca="false">'STUDENT SCREENING'!BM10</f>
        <v/>
      </c>
      <c r="V10" s="57" t="str">
        <f aca="false">'STUDENT SCREENING'!BN10</f>
        <v/>
      </c>
      <c r="W10" s="57" t="str">
        <f aca="false">'STUDENT SCREENING'!BO10</f>
        <v/>
      </c>
      <c r="X10" s="57" t="str">
        <f aca="false">IF('STUDENT SCREENING'!W10="","",IFERROR(INDEX('SCORING MASTER'!$D$5:$D$7,MATCH('STUDENT SCREENING'!W10,'SCORING MASTER'!$C$5:$C$7,0)),""))</f>
        <v/>
      </c>
      <c r="Y10" s="57" t="str">
        <f aca="false">IF('STUDENT SCREENING'!X10="","",IFERROR(INDEX('SCORING MASTER'!$D$9:$D$11,MATCH('STUDENT SCREENING'!X10,'SCORING MASTER'!$C$9:$C$11,0)),""))</f>
        <v/>
      </c>
      <c r="Z10" s="57" t="str">
        <f aca="false">IF('STUDENT SCREENING'!Y10="","",IFERROR(INDEX('SCORING MASTER'!$D$13:$D$15,MATCH('STUDENT SCREENING'!Y10,'SCORING MASTER'!$C$13:$C$15,0)),""))</f>
        <v/>
      </c>
      <c r="AA10" s="57" t="str">
        <f aca="false">IF('STUDENT SCREENING'!Z10="","",IFERROR(INDEX('SCORING MASTER'!$D$17:$D$19,MATCH('STUDENT SCREENING'!Z10,'SCORING MASTER'!$C$17:$C$19,0)),""))</f>
        <v/>
      </c>
      <c r="AB10" s="57" t="str">
        <f aca="false">IF('STUDENT SCREENING'!AA10="","",IFERROR(INDEX('SCORING MASTER'!$D$21:$D$23,MATCH('STUDENT SCREENING'!AA10,'SCORING MASTER'!$C$21:$C$23,0)),""))</f>
        <v/>
      </c>
      <c r="AC10" s="57" t="str">
        <f aca="false">IF('STUDENT SCREENING'!AB10="","",IFERROR(INDEX('SCORING MASTER'!$D$25:$D$27,MATCH('STUDENT SCREENING'!AB10,'SCORING MASTER'!$C$25:$C$27,0)),""))</f>
        <v/>
      </c>
      <c r="AD10" s="57" t="str">
        <f aca="false">IF('STUDENT SCREENING'!AC10="","",IFERROR(INDEX('SCORING MASTER'!$D$29:$D$31,MATCH('STUDENT SCREENING'!AC10,'SCORING MASTER'!$C$29:$C$31,0)),""))</f>
        <v/>
      </c>
      <c r="AE10" s="57" t="str">
        <f aca="false">IF('STUDENT SCREENING'!AD10="","",IFERROR(INDEX('SCORING MASTER'!$D$33:$D$35,MATCH('STUDENT SCREENING'!AD10,'SCORING MASTER'!$C$33:$C$35,0)),""))</f>
        <v/>
      </c>
      <c r="AF10" s="57" t="str">
        <f aca="false">IF('STUDENT SCREENING'!AE10="","",IFERROR(INDEX('SCORING MASTER'!$D$37:$D$39,MATCH('STUDENT SCREENING'!AE10,'SCORING MASTER'!$C$37:$C$39,0)),""))</f>
        <v/>
      </c>
      <c r="AG10" s="57" t="str">
        <f aca="false">IF('STUDENT SCREENING'!AF10="","",IFERROR(INDEX('SCORING MASTER'!$D$41:$D$43,MATCH('STUDENT SCREENING'!AF10,'SCORING MASTER'!$C$41:$C$43,0)),""))</f>
        <v/>
      </c>
      <c r="AH10" s="57" t="str">
        <f aca="false">IF('STUDENT SCREENING'!AG10="","",IFERROR(INDEX('SCORING MASTER'!$D$45:$D$47,MATCH('STUDENT SCREENING'!AG10,'SCORING MASTER'!$C$45:$C$47,0)),""))</f>
        <v/>
      </c>
      <c r="AI10" s="57" t="str">
        <f aca="false">IF('STUDENT SCREENING'!AH10="","",IFERROR(INDEX('SCORING MASTER'!$D$49:$D$52,MATCH('STUDENT SCREENING'!AH10,'SCORING MASTER'!$C$49:$C$52,0)),""))</f>
        <v/>
      </c>
      <c r="AJ10" s="57" t="str">
        <f aca="false">IF('STUDENT SCREENING'!AI10="","",IFERROR(INDEX('SCORING MASTER'!$D$54:$D$57,MATCH('STUDENT SCREENING'!AI10,'SCORING MASTER'!$C$54:$C$57,0)),""))</f>
        <v/>
      </c>
      <c r="AK10" s="57" t="str">
        <f aca="false">IF('STUDENT SCREENING'!AJ10="","",IFERROR(INDEX('SCORING MASTER'!$D$59:$D$60,MATCH('STUDENT SCREENING'!AJ10,'SCORING MASTER'!$C$59:$C$60,0)),""))</f>
        <v/>
      </c>
      <c r="AL10" s="57" t="str">
        <f aca="false">IF('STUDENT SCREENING'!AK10="","",IFERROR(INDEX('SCORING MASTER'!$D$62:$D$63,MATCH('STUDENT SCREENING'!AK10,'SCORING MASTER'!$C$62:$C$63,0)),""))</f>
        <v/>
      </c>
      <c r="AM10" s="57" t="str">
        <f aca="false">IF('STUDENT SCREENING'!AL10="","",IFERROR(INDEX('SCORING MASTER'!$D$65:$D$66,MATCH('STUDENT SCREENING'!AL10,'SCORING MASTER'!$C$65:$C$66,0)),""))</f>
        <v/>
      </c>
      <c r="AN10" s="57" t="str">
        <f aca="false">IF('STUDENT SCREENING'!AM10="","",IFERROR(INDEX('SCORING MASTER'!$D$68:$D$69,MATCH('STUDENT SCREENING'!AM10,'SCORING MASTER'!$C$68:$C$69,0)),""))</f>
        <v/>
      </c>
      <c r="AO10" s="57" t="str">
        <f aca="false">IF('STUDENT SCREENING'!AN10="","",IFERROR(INDEX('SCORING MASTER'!$D$71:$D$72,MATCH('STUDENT SCREENING'!AN10,'SCORING MASTER'!$C$71:$C$72,0)),""))</f>
        <v/>
      </c>
      <c r="AP10" s="57" t="str">
        <f aca="false">IF('STUDENT SCREENING'!AO10="","",IFERROR(INDEX('SCORING MASTER'!$D$74:$D$75,MATCH('STUDENT SCREENING'!AO10,'SCORING MASTER'!$C$74:$C$75,0)),""))</f>
        <v/>
      </c>
      <c r="AQ10" s="57" t="str">
        <f aca="false">IF('STUDENT SCREENING'!AP10="","",IFERROR(INDEX('SCORING MASTER'!$D$77:$D$78,MATCH('STUDENT SCREENING'!AP10,'SCORING MASTER'!$C$77:$C$78,0)),""))</f>
        <v/>
      </c>
      <c r="AR10" s="57" t="str">
        <f aca="false">IF('STUDENT SCREENING'!AQ10="","",IFERROR(INDEX('SCORING MASTER'!$D$80:$D$82,MATCH('STUDENT SCREENING'!AQ10,'SCORING MASTER'!$C$80:$C$82,0)),""))</f>
        <v/>
      </c>
      <c r="AS10" s="57" t="str">
        <f aca="false">IF('STUDENT SCREENING'!AR10="","",IFERROR(INDEX('SCORING MASTER'!$D$84:$D$86,MATCH('STUDENT SCREENING'!AR10,'SCORING MASTER'!$C$84:$C$86,0)),""))</f>
        <v/>
      </c>
      <c r="AT10" s="57" t="str">
        <f aca="false">IF('STUDENT SCREENING'!AS10="","",IFERROR(INDEX('SCORING MASTER'!$D$88:$D$90,MATCH('STUDENT SCREENING'!AS10,'SCORING MASTER'!$C$88:$C$90,0)),""))</f>
        <v/>
      </c>
      <c r="AU10" s="57" t="str">
        <f aca="false">IF('STUDENT SCREENING'!AT10="","",IFERROR(INDEX('SCORING MASTER'!$D$92:$D$93,MATCH('STUDENT SCREENING'!AT10,'SCORING MASTER'!$C$92:$C$93,0)),""))</f>
        <v/>
      </c>
      <c r="AV10" s="57" t="str">
        <f aca="false">IF('STUDENT SCREENING'!AU10="","",IFERROR(INDEX('SCORING MASTER'!$D$95:$D$96,MATCH('STUDENT SCREENING'!AU10,'SCORING MASTER'!$C$95:$C$96,0)),""))</f>
        <v/>
      </c>
      <c r="AW10" s="57" t="str">
        <f aca="false">IF('STUDENT SCREENING'!AV10="","",IFERROR(INDEX('SCORING MASTER'!$D$98:$D$99,MATCH('STUDENT SCREENING'!AV10,'SCORING MASTER'!$C$98:$C$99,0)),""))</f>
        <v/>
      </c>
      <c r="AX10" s="57" t="str">
        <f aca="false">IF('STUDENT SCREENING'!AW10="","",IFERROR(INDEX('SCORING MASTER'!$D$101:$D$102,MATCH('STUDENT SCREENING'!AW10,'SCORING MASTER'!$C$101:$C$102,0)),""))</f>
        <v/>
      </c>
      <c r="AY10" s="57" t="str">
        <f aca="false">IF('STUDENT SCREENING'!AX10="","",IFERROR(INDEX('SCORING MASTER'!$D$104:$D$105,MATCH('STUDENT SCREENING'!AX10,'SCORING MASTER'!$C$104:$C$105,0)),""))</f>
        <v/>
      </c>
      <c r="AZ10" s="57" t="str">
        <f aca="false">IF('STUDENT SCREENING'!AY10="","",IFERROR(INDEX('SCORING MASTER'!$D$107:$D$108,MATCH('STUDENT SCREENING'!AY10,'SCORING MASTER'!$C$107:$C$108,0)),""))</f>
        <v/>
      </c>
      <c r="BA10" s="57" t="str">
        <f aca="false">IF('STUDENT SCREENING'!AZ10="","",IFERROR(INDEX('SCORING MASTER'!$D$110:$D$111,MATCH('STUDENT SCREENING'!AZ10,'SCORING MASTER'!$C$110:$C$111,0)),""))</f>
        <v/>
      </c>
      <c r="BB10" s="57" t="str">
        <f aca="false">IF('STUDENT SCREENING'!BA10="","",IFERROR(INDEX('SCORING MASTER'!$D$113:$D$115,MATCH('STUDENT SCREENING'!BA10,'SCORING MASTER'!$C$113:$C$115,0)),""))</f>
        <v/>
      </c>
      <c r="BC10" s="57" t="str">
        <f aca="false">IF('STUDENT SCREENING'!BB10="","",IFERROR(INDEX('SCORING MASTER'!$D$117:$D$119,MATCH('STUDENT SCREENING'!BB10,'SCORING MASTER'!$C$117:$C$119,0)),""))</f>
        <v/>
      </c>
      <c r="BD10" s="57" t="str">
        <f aca="false">IF('STUDENT SCREENING'!BC10="","",IFERROR(INDEX('SCORING MASTER'!$D$121:$D$123,MATCH('STUDENT SCREENING'!BC10,'SCORING MASTER'!$C$121:$C$123,0)),""))</f>
        <v/>
      </c>
      <c r="BE10" s="57" t="str">
        <f aca="false">IF('STUDENT SCREENING'!BD10="","",IFERROR(INDEX('SCORING MASTER'!$D$125:$D$126,MATCH('STUDENT SCREENING'!BD10,'SCORING MASTER'!$C$125:$C$126,0)),""))</f>
        <v/>
      </c>
      <c r="BF10" s="57" t="str">
        <f aca="false">IF('STUDENT SCREENING'!BE10="","",IFERROR(INDEX('SCORING MASTER'!$D$128:$D$129,MATCH('STUDENT SCREENING'!BE10,'SCORING MASTER'!$C$128:$C$129,0)),""))</f>
        <v/>
      </c>
      <c r="BG10" s="57" t="str">
        <f aca="false">IF('STUDENT SCREENING'!BP10="","",IFERROR(MATCH('STUDENT SCREENING'!BP10,{"Red - High Risk","Orange - Moderate Risk","Yellow - Mild Risk","Light Green - Mild Watch","Green - Healthy"},0)-1,""))</f>
        <v/>
      </c>
      <c r="BH10" s="57" t="str">
        <f aca="false">IF('STUDENT SCREENING'!BQ10="","",IF('STUDENT SCREENING'!BQ10="Yes",1,0))</f>
        <v/>
      </c>
      <c r="BI10" s="57" t="str">
        <f aca="false">IF('STUDENT SCREENING'!BR10="","",IF('STUDENT SCREENING'!BR10="Yes",1,0))</f>
        <v/>
      </c>
    </row>
    <row r="11" customFormat="false" ht="15" hidden="false" customHeight="false" outlineLevel="0" collapsed="false">
      <c r="A11" s="58" t="str">
        <f aca="false">'STUDENT SCREENING'!A11</f>
        <v/>
      </c>
      <c r="B11" s="58" t="n">
        <f aca="false">'STUDENT SCREENING'!C11</f>
        <v>0</v>
      </c>
      <c r="C11" s="58" t="n">
        <f aca="false">'STUDENT SCREENING'!D11</f>
        <v>0</v>
      </c>
      <c r="D11" s="58" t="n">
        <f aca="false">'STUDENT SCREENING'!E11</f>
        <v>0</v>
      </c>
      <c r="E11" s="58" t="n">
        <f aca="false">'STUDENT SCREENING'!F11</f>
        <v>0</v>
      </c>
      <c r="F11" s="58" t="n">
        <f aca="false">'STUDENT SCREENING'!K11</f>
        <v>0</v>
      </c>
      <c r="G11" s="58" t="n">
        <f aca="false">'STUDENT SCREENING'!J11</f>
        <v>0</v>
      </c>
      <c r="H11" s="58" t="str">
        <f aca="false">IF('STUDENT SCREENING'!K11="","",IFERROR(MATCH('STUDENT SCREENING'!K11,Adm_Gender,0),""))</f>
        <v/>
      </c>
      <c r="I11" s="58" t="n">
        <f aca="false">'STUDENT SCREENING'!Q11</f>
        <v>0</v>
      </c>
      <c r="J11" s="58" t="n">
        <f aca="false">'STUDENT SCREENING'!R11</f>
        <v>0</v>
      </c>
      <c r="K11" s="58" t="str">
        <f aca="false">'STUDENT SCREENING'!S11</f>
        <v/>
      </c>
      <c r="L11" s="58" t="n">
        <f aca="false">'STUDENT SCREENING'!U11</f>
        <v>0</v>
      </c>
      <c r="M11" s="58" t="n">
        <f aca="false">'STUDENT SCREENING'!V11</f>
        <v>0</v>
      </c>
      <c r="N11" s="58" t="str">
        <f aca="false">'STUDENT SCREENING'!BF11</f>
        <v/>
      </c>
      <c r="O11" s="58" t="str">
        <f aca="false">'STUDENT SCREENING'!BG11</f>
        <v/>
      </c>
      <c r="P11" s="58" t="str">
        <f aca="false">'STUDENT SCREENING'!BH11</f>
        <v/>
      </c>
      <c r="Q11" s="58" t="str">
        <f aca="false">'STUDENT SCREENING'!BI11</f>
        <v/>
      </c>
      <c r="R11" s="58" t="str">
        <f aca="false">'STUDENT SCREENING'!BJ11</f>
        <v/>
      </c>
      <c r="S11" s="58" t="str">
        <f aca="false">'STUDENT SCREENING'!BK11</f>
        <v/>
      </c>
      <c r="T11" s="58" t="str">
        <f aca="false">'STUDENT SCREENING'!BL11</f>
        <v/>
      </c>
      <c r="U11" s="58" t="str">
        <f aca="false">'STUDENT SCREENING'!BM11</f>
        <v/>
      </c>
      <c r="V11" s="58" t="str">
        <f aca="false">'STUDENT SCREENING'!BN11</f>
        <v/>
      </c>
      <c r="W11" s="58" t="str">
        <f aca="false">'STUDENT SCREENING'!BO11</f>
        <v/>
      </c>
      <c r="X11" s="58" t="str">
        <f aca="false">IF('STUDENT SCREENING'!W11="","",IFERROR(INDEX('SCORING MASTER'!$D$5:$D$7,MATCH('STUDENT SCREENING'!W11,'SCORING MASTER'!$C$5:$C$7,0)),""))</f>
        <v/>
      </c>
      <c r="Y11" s="58" t="str">
        <f aca="false">IF('STUDENT SCREENING'!X11="","",IFERROR(INDEX('SCORING MASTER'!$D$9:$D$11,MATCH('STUDENT SCREENING'!X11,'SCORING MASTER'!$C$9:$C$11,0)),""))</f>
        <v/>
      </c>
      <c r="Z11" s="58" t="str">
        <f aca="false">IF('STUDENT SCREENING'!Y11="","",IFERROR(INDEX('SCORING MASTER'!$D$13:$D$15,MATCH('STUDENT SCREENING'!Y11,'SCORING MASTER'!$C$13:$C$15,0)),""))</f>
        <v/>
      </c>
      <c r="AA11" s="58" t="str">
        <f aca="false">IF('STUDENT SCREENING'!Z11="","",IFERROR(INDEX('SCORING MASTER'!$D$17:$D$19,MATCH('STUDENT SCREENING'!Z11,'SCORING MASTER'!$C$17:$C$19,0)),""))</f>
        <v/>
      </c>
      <c r="AB11" s="58" t="str">
        <f aca="false">IF('STUDENT SCREENING'!AA11="","",IFERROR(INDEX('SCORING MASTER'!$D$21:$D$23,MATCH('STUDENT SCREENING'!AA11,'SCORING MASTER'!$C$21:$C$23,0)),""))</f>
        <v/>
      </c>
      <c r="AC11" s="58" t="str">
        <f aca="false">IF('STUDENT SCREENING'!AB11="","",IFERROR(INDEX('SCORING MASTER'!$D$25:$D$27,MATCH('STUDENT SCREENING'!AB11,'SCORING MASTER'!$C$25:$C$27,0)),""))</f>
        <v/>
      </c>
      <c r="AD11" s="58" t="str">
        <f aca="false">IF('STUDENT SCREENING'!AC11="","",IFERROR(INDEX('SCORING MASTER'!$D$29:$D$31,MATCH('STUDENT SCREENING'!AC11,'SCORING MASTER'!$C$29:$C$31,0)),""))</f>
        <v/>
      </c>
      <c r="AE11" s="58" t="str">
        <f aca="false">IF('STUDENT SCREENING'!AD11="","",IFERROR(INDEX('SCORING MASTER'!$D$33:$D$35,MATCH('STUDENT SCREENING'!AD11,'SCORING MASTER'!$C$33:$C$35,0)),""))</f>
        <v/>
      </c>
      <c r="AF11" s="58" t="str">
        <f aca="false">IF('STUDENT SCREENING'!AE11="","",IFERROR(INDEX('SCORING MASTER'!$D$37:$D$39,MATCH('STUDENT SCREENING'!AE11,'SCORING MASTER'!$C$37:$C$39,0)),""))</f>
        <v/>
      </c>
      <c r="AG11" s="58" t="str">
        <f aca="false">IF('STUDENT SCREENING'!AF11="","",IFERROR(INDEX('SCORING MASTER'!$D$41:$D$43,MATCH('STUDENT SCREENING'!AF11,'SCORING MASTER'!$C$41:$C$43,0)),""))</f>
        <v/>
      </c>
      <c r="AH11" s="58" t="str">
        <f aca="false">IF('STUDENT SCREENING'!AG11="","",IFERROR(INDEX('SCORING MASTER'!$D$45:$D$47,MATCH('STUDENT SCREENING'!AG11,'SCORING MASTER'!$C$45:$C$47,0)),""))</f>
        <v/>
      </c>
      <c r="AI11" s="58" t="str">
        <f aca="false">IF('STUDENT SCREENING'!AH11="","",IFERROR(INDEX('SCORING MASTER'!$D$49:$D$52,MATCH('STUDENT SCREENING'!AH11,'SCORING MASTER'!$C$49:$C$52,0)),""))</f>
        <v/>
      </c>
      <c r="AJ11" s="58" t="str">
        <f aca="false">IF('STUDENT SCREENING'!AI11="","",IFERROR(INDEX('SCORING MASTER'!$D$54:$D$57,MATCH('STUDENT SCREENING'!AI11,'SCORING MASTER'!$C$54:$C$57,0)),""))</f>
        <v/>
      </c>
      <c r="AK11" s="58" t="str">
        <f aca="false">IF('STUDENT SCREENING'!AJ11="","",IFERROR(INDEX('SCORING MASTER'!$D$59:$D$60,MATCH('STUDENT SCREENING'!AJ11,'SCORING MASTER'!$C$59:$C$60,0)),""))</f>
        <v/>
      </c>
      <c r="AL11" s="58" t="str">
        <f aca="false">IF('STUDENT SCREENING'!AK11="","",IFERROR(INDEX('SCORING MASTER'!$D$62:$D$63,MATCH('STUDENT SCREENING'!AK11,'SCORING MASTER'!$C$62:$C$63,0)),""))</f>
        <v/>
      </c>
      <c r="AM11" s="58" t="str">
        <f aca="false">IF('STUDENT SCREENING'!AL11="","",IFERROR(INDEX('SCORING MASTER'!$D$65:$D$66,MATCH('STUDENT SCREENING'!AL11,'SCORING MASTER'!$C$65:$C$66,0)),""))</f>
        <v/>
      </c>
      <c r="AN11" s="58" t="str">
        <f aca="false">IF('STUDENT SCREENING'!AM11="","",IFERROR(INDEX('SCORING MASTER'!$D$68:$D$69,MATCH('STUDENT SCREENING'!AM11,'SCORING MASTER'!$C$68:$C$69,0)),""))</f>
        <v/>
      </c>
      <c r="AO11" s="58" t="str">
        <f aca="false">IF('STUDENT SCREENING'!AN11="","",IFERROR(INDEX('SCORING MASTER'!$D$71:$D$72,MATCH('STUDENT SCREENING'!AN11,'SCORING MASTER'!$C$71:$C$72,0)),""))</f>
        <v/>
      </c>
      <c r="AP11" s="58" t="str">
        <f aca="false">IF('STUDENT SCREENING'!AO11="","",IFERROR(INDEX('SCORING MASTER'!$D$74:$D$75,MATCH('STUDENT SCREENING'!AO11,'SCORING MASTER'!$C$74:$C$75,0)),""))</f>
        <v/>
      </c>
      <c r="AQ11" s="58" t="str">
        <f aca="false">IF('STUDENT SCREENING'!AP11="","",IFERROR(INDEX('SCORING MASTER'!$D$77:$D$78,MATCH('STUDENT SCREENING'!AP11,'SCORING MASTER'!$C$77:$C$78,0)),""))</f>
        <v/>
      </c>
      <c r="AR11" s="58" t="str">
        <f aca="false">IF('STUDENT SCREENING'!AQ11="","",IFERROR(INDEX('SCORING MASTER'!$D$80:$D$82,MATCH('STUDENT SCREENING'!AQ11,'SCORING MASTER'!$C$80:$C$82,0)),""))</f>
        <v/>
      </c>
      <c r="AS11" s="58" t="str">
        <f aca="false">IF('STUDENT SCREENING'!AR11="","",IFERROR(INDEX('SCORING MASTER'!$D$84:$D$86,MATCH('STUDENT SCREENING'!AR11,'SCORING MASTER'!$C$84:$C$86,0)),""))</f>
        <v/>
      </c>
      <c r="AT11" s="58" t="str">
        <f aca="false">IF('STUDENT SCREENING'!AS11="","",IFERROR(INDEX('SCORING MASTER'!$D$88:$D$90,MATCH('STUDENT SCREENING'!AS11,'SCORING MASTER'!$C$88:$C$90,0)),""))</f>
        <v/>
      </c>
      <c r="AU11" s="58" t="str">
        <f aca="false">IF('STUDENT SCREENING'!AT11="","",IFERROR(INDEX('SCORING MASTER'!$D$92:$D$93,MATCH('STUDENT SCREENING'!AT11,'SCORING MASTER'!$C$92:$C$93,0)),""))</f>
        <v/>
      </c>
      <c r="AV11" s="58" t="str">
        <f aca="false">IF('STUDENT SCREENING'!AU11="","",IFERROR(INDEX('SCORING MASTER'!$D$95:$D$96,MATCH('STUDENT SCREENING'!AU11,'SCORING MASTER'!$C$95:$C$96,0)),""))</f>
        <v/>
      </c>
      <c r="AW11" s="58" t="str">
        <f aca="false">IF('STUDENT SCREENING'!AV11="","",IFERROR(INDEX('SCORING MASTER'!$D$98:$D$99,MATCH('STUDENT SCREENING'!AV11,'SCORING MASTER'!$C$98:$C$99,0)),""))</f>
        <v/>
      </c>
      <c r="AX11" s="58" t="str">
        <f aca="false">IF('STUDENT SCREENING'!AW11="","",IFERROR(INDEX('SCORING MASTER'!$D$101:$D$102,MATCH('STUDENT SCREENING'!AW11,'SCORING MASTER'!$C$101:$C$102,0)),""))</f>
        <v/>
      </c>
      <c r="AY11" s="58" t="str">
        <f aca="false">IF('STUDENT SCREENING'!AX11="","",IFERROR(INDEX('SCORING MASTER'!$D$104:$D$105,MATCH('STUDENT SCREENING'!AX11,'SCORING MASTER'!$C$104:$C$105,0)),""))</f>
        <v/>
      </c>
      <c r="AZ11" s="58" t="str">
        <f aca="false">IF('STUDENT SCREENING'!AY11="","",IFERROR(INDEX('SCORING MASTER'!$D$107:$D$108,MATCH('STUDENT SCREENING'!AY11,'SCORING MASTER'!$C$107:$C$108,0)),""))</f>
        <v/>
      </c>
      <c r="BA11" s="58" t="str">
        <f aca="false">IF('STUDENT SCREENING'!AZ11="","",IFERROR(INDEX('SCORING MASTER'!$D$110:$D$111,MATCH('STUDENT SCREENING'!AZ11,'SCORING MASTER'!$C$110:$C$111,0)),""))</f>
        <v/>
      </c>
      <c r="BB11" s="58" t="str">
        <f aca="false">IF('STUDENT SCREENING'!BA11="","",IFERROR(INDEX('SCORING MASTER'!$D$113:$D$115,MATCH('STUDENT SCREENING'!BA11,'SCORING MASTER'!$C$113:$C$115,0)),""))</f>
        <v/>
      </c>
      <c r="BC11" s="58" t="str">
        <f aca="false">IF('STUDENT SCREENING'!BB11="","",IFERROR(INDEX('SCORING MASTER'!$D$117:$D$119,MATCH('STUDENT SCREENING'!BB11,'SCORING MASTER'!$C$117:$C$119,0)),""))</f>
        <v/>
      </c>
      <c r="BD11" s="58" t="str">
        <f aca="false">IF('STUDENT SCREENING'!BC11="","",IFERROR(INDEX('SCORING MASTER'!$D$121:$D$123,MATCH('STUDENT SCREENING'!BC11,'SCORING MASTER'!$C$121:$C$123,0)),""))</f>
        <v/>
      </c>
      <c r="BE11" s="58" t="str">
        <f aca="false">IF('STUDENT SCREENING'!BD11="","",IFERROR(INDEX('SCORING MASTER'!$D$125:$D$126,MATCH('STUDENT SCREENING'!BD11,'SCORING MASTER'!$C$125:$C$126,0)),""))</f>
        <v/>
      </c>
      <c r="BF11" s="58" t="str">
        <f aca="false">IF('STUDENT SCREENING'!BE11="","",IFERROR(INDEX('SCORING MASTER'!$D$128:$D$129,MATCH('STUDENT SCREENING'!BE11,'SCORING MASTER'!$C$128:$C$129,0)),""))</f>
        <v/>
      </c>
      <c r="BG11" s="58" t="str">
        <f aca="false">IF('STUDENT SCREENING'!BP11="","",IFERROR(MATCH('STUDENT SCREENING'!BP11,{"Red - High Risk","Orange - Moderate Risk","Yellow - Mild Risk","Light Green - Mild Watch","Green - Healthy"},0)-1,""))</f>
        <v/>
      </c>
      <c r="BH11" s="58" t="str">
        <f aca="false">IF('STUDENT SCREENING'!BQ11="","",IF('STUDENT SCREENING'!BQ11="Yes",1,0))</f>
        <v/>
      </c>
      <c r="BI11" s="58" t="str">
        <f aca="false">IF('STUDENT SCREENING'!BR11="","",IF('STUDENT SCREENING'!BR11="Yes",1,0))</f>
        <v/>
      </c>
    </row>
    <row r="12" customFormat="false" ht="15" hidden="false" customHeight="false" outlineLevel="0" collapsed="false">
      <c r="A12" s="57" t="str">
        <f aca="false">'STUDENT SCREENING'!A12</f>
        <v/>
      </c>
      <c r="B12" s="57" t="n">
        <f aca="false">'STUDENT SCREENING'!C12</f>
        <v>0</v>
      </c>
      <c r="C12" s="57" t="n">
        <f aca="false">'STUDENT SCREENING'!D12</f>
        <v>0</v>
      </c>
      <c r="D12" s="57" t="n">
        <f aca="false">'STUDENT SCREENING'!E12</f>
        <v>0</v>
      </c>
      <c r="E12" s="57" t="n">
        <f aca="false">'STUDENT SCREENING'!F12</f>
        <v>0</v>
      </c>
      <c r="F12" s="57" t="n">
        <f aca="false">'STUDENT SCREENING'!K12</f>
        <v>0</v>
      </c>
      <c r="G12" s="57" t="n">
        <f aca="false">'STUDENT SCREENING'!J12</f>
        <v>0</v>
      </c>
      <c r="H12" s="57" t="str">
        <f aca="false">IF('STUDENT SCREENING'!K12="","",IFERROR(MATCH('STUDENT SCREENING'!K12,Adm_Gender,0),""))</f>
        <v/>
      </c>
      <c r="I12" s="57" t="n">
        <f aca="false">'STUDENT SCREENING'!Q12</f>
        <v>0</v>
      </c>
      <c r="J12" s="57" t="n">
        <f aca="false">'STUDENT SCREENING'!R12</f>
        <v>0</v>
      </c>
      <c r="K12" s="57" t="str">
        <f aca="false">'STUDENT SCREENING'!S12</f>
        <v/>
      </c>
      <c r="L12" s="57" t="n">
        <f aca="false">'STUDENT SCREENING'!U12</f>
        <v>0</v>
      </c>
      <c r="M12" s="57" t="n">
        <f aca="false">'STUDENT SCREENING'!V12</f>
        <v>0</v>
      </c>
      <c r="N12" s="57" t="str">
        <f aca="false">'STUDENT SCREENING'!BF12</f>
        <v/>
      </c>
      <c r="O12" s="57" t="str">
        <f aca="false">'STUDENT SCREENING'!BG12</f>
        <v/>
      </c>
      <c r="P12" s="57" t="str">
        <f aca="false">'STUDENT SCREENING'!BH12</f>
        <v/>
      </c>
      <c r="Q12" s="57" t="str">
        <f aca="false">'STUDENT SCREENING'!BI12</f>
        <v/>
      </c>
      <c r="R12" s="57" t="str">
        <f aca="false">'STUDENT SCREENING'!BJ12</f>
        <v/>
      </c>
      <c r="S12" s="57" t="str">
        <f aca="false">'STUDENT SCREENING'!BK12</f>
        <v/>
      </c>
      <c r="T12" s="57" t="str">
        <f aca="false">'STUDENT SCREENING'!BL12</f>
        <v/>
      </c>
      <c r="U12" s="57" t="str">
        <f aca="false">'STUDENT SCREENING'!BM12</f>
        <v/>
      </c>
      <c r="V12" s="57" t="str">
        <f aca="false">'STUDENT SCREENING'!BN12</f>
        <v/>
      </c>
      <c r="W12" s="57" t="str">
        <f aca="false">'STUDENT SCREENING'!BO12</f>
        <v/>
      </c>
      <c r="X12" s="57" t="str">
        <f aca="false">IF('STUDENT SCREENING'!W12="","",IFERROR(INDEX('SCORING MASTER'!$D$5:$D$7,MATCH('STUDENT SCREENING'!W12,'SCORING MASTER'!$C$5:$C$7,0)),""))</f>
        <v/>
      </c>
      <c r="Y12" s="57" t="str">
        <f aca="false">IF('STUDENT SCREENING'!X12="","",IFERROR(INDEX('SCORING MASTER'!$D$9:$D$11,MATCH('STUDENT SCREENING'!X12,'SCORING MASTER'!$C$9:$C$11,0)),""))</f>
        <v/>
      </c>
      <c r="Z12" s="57" t="str">
        <f aca="false">IF('STUDENT SCREENING'!Y12="","",IFERROR(INDEX('SCORING MASTER'!$D$13:$D$15,MATCH('STUDENT SCREENING'!Y12,'SCORING MASTER'!$C$13:$C$15,0)),""))</f>
        <v/>
      </c>
      <c r="AA12" s="57" t="str">
        <f aca="false">IF('STUDENT SCREENING'!Z12="","",IFERROR(INDEX('SCORING MASTER'!$D$17:$D$19,MATCH('STUDENT SCREENING'!Z12,'SCORING MASTER'!$C$17:$C$19,0)),""))</f>
        <v/>
      </c>
      <c r="AB12" s="57" t="str">
        <f aca="false">IF('STUDENT SCREENING'!AA12="","",IFERROR(INDEX('SCORING MASTER'!$D$21:$D$23,MATCH('STUDENT SCREENING'!AA12,'SCORING MASTER'!$C$21:$C$23,0)),""))</f>
        <v/>
      </c>
      <c r="AC12" s="57" t="str">
        <f aca="false">IF('STUDENT SCREENING'!AB12="","",IFERROR(INDEX('SCORING MASTER'!$D$25:$D$27,MATCH('STUDENT SCREENING'!AB12,'SCORING MASTER'!$C$25:$C$27,0)),""))</f>
        <v/>
      </c>
      <c r="AD12" s="57" t="str">
        <f aca="false">IF('STUDENT SCREENING'!AC12="","",IFERROR(INDEX('SCORING MASTER'!$D$29:$D$31,MATCH('STUDENT SCREENING'!AC12,'SCORING MASTER'!$C$29:$C$31,0)),""))</f>
        <v/>
      </c>
      <c r="AE12" s="57" t="str">
        <f aca="false">IF('STUDENT SCREENING'!AD12="","",IFERROR(INDEX('SCORING MASTER'!$D$33:$D$35,MATCH('STUDENT SCREENING'!AD12,'SCORING MASTER'!$C$33:$C$35,0)),""))</f>
        <v/>
      </c>
      <c r="AF12" s="57" t="str">
        <f aca="false">IF('STUDENT SCREENING'!AE12="","",IFERROR(INDEX('SCORING MASTER'!$D$37:$D$39,MATCH('STUDENT SCREENING'!AE12,'SCORING MASTER'!$C$37:$C$39,0)),""))</f>
        <v/>
      </c>
      <c r="AG12" s="57" t="str">
        <f aca="false">IF('STUDENT SCREENING'!AF12="","",IFERROR(INDEX('SCORING MASTER'!$D$41:$D$43,MATCH('STUDENT SCREENING'!AF12,'SCORING MASTER'!$C$41:$C$43,0)),""))</f>
        <v/>
      </c>
      <c r="AH12" s="57" t="str">
        <f aca="false">IF('STUDENT SCREENING'!AG12="","",IFERROR(INDEX('SCORING MASTER'!$D$45:$D$47,MATCH('STUDENT SCREENING'!AG12,'SCORING MASTER'!$C$45:$C$47,0)),""))</f>
        <v/>
      </c>
      <c r="AI12" s="57" t="str">
        <f aca="false">IF('STUDENT SCREENING'!AH12="","",IFERROR(INDEX('SCORING MASTER'!$D$49:$D$52,MATCH('STUDENT SCREENING'!AH12,'SCORING MASTER'!$C$49:$C$52,0)),""))</f>
        <v/>
      </c>
      <c r="AJ12" s="57" t="str">
        <f aca="false">IF('STUDENT SCREENING'!AI12="","",IFERROR(INDEX('SCORING MASTER'!$D$54:$D$57,MATCH('STUDENT SCREENING'!AI12,'SCORING MASTER'!$C$54:$C$57,0)),""))</f>
        <v/>
      </c>
      <c r="AK12" s="57" t="str">
        <f aca="false">IF('STUDENT SCREENING'!AJ12="","",IFERROR(INDEX('SCORING MASTER'!$D$59:$D$60,MATCH('STUDENT SCREENING'!AJ12,'SCORING MASTER'!$C$59:$C$60,0)),""))</f>
        <v/>
      </c>
      <c r="AL12" s="57" t="str">
        <f aca="false">IF('STUDENT SCREENING'!AK12="","",IFERROR(INDEX('SCORING MASTER'!$D$62:$D$63,MATCH('STUDENT SCREENING'!AK12,'SCORING MASTER'!$C$62:$C$63,0)),""))</f>
        <v/>
      </c>
      <c r="AM12" s="57" t="str">
        <f aca="false">IF('STUDENT SCREENING'!AL12="","",IFERROR(INDEX('SCORING MASTER'!$D$65:$D$66,MATCH('STUDENT SCREENING'!AL12,'SCORING MASTER'!$C$65:$C$66,0)),""))</f>
        <v/>
      </c>
      <c r="AN12" s="57" t="str">
        <f aca="false">IF('STUDENT SCREENING'!AM12="","",IFERROR(INDEX('SCORING MASTER'!$D$68:$D$69,MATCH('STUDENT SCREENING'!AM12,'SCORING MASTER'!$C$68:$C$69,0)),""))</f>
        <v/>
      </c>
      <c r="AO12" s="57" t="str">
        <f aca="false">IF('STUDENT SCREENING'!AN12="","",IFERROR(INDEX('SCORING MASTER'!$D$71:$D$72,MATCH('STUDENT SCREENING'!AN12,'SCORING MASTER'!$C$71:$C$72,0)),""))</f>
        <v/>
      </c>
      <c r="AP12" s="57" t="str">
        <f aca="false">IF('STUDENT SCREENING'!AO12="","",IFERROR(INDEX('SCORING MASTER'!$D$74:$D$75,MATCH('STUDENT SCREENING'!AO12,'SCORING MASTER'!$C$74:$C$75,0)),""))</f>
        <v/>
      </c>
      <c r="AQ12" s="57" t="str">
        <f aca="false">IF('STUDENT SCREENING'!AP12="","",IFERROR(INDEX('SCORING MASTER'!$D$77:$D$78,MATCH('STUDENT SCREENING'!AP12,'SCORING MASTER'!$C$77:$C$78,0)),""))</f>
        <v/>
      </c>
      <c r="AR12" s="57" t="str">
        <f aca="false">IF('STUDENT SCREENING'!AQ12="","",IFERROR(INDEX('SCORING MASTER'!$D$80:$D$82,MATCH('STUDENT SCREENING'!AQ12,'SCORING MASTER'!$C$80:$C$82,0)),""))</f>
        <v/>
      </c>
      <c r="AS12" s="57" t="str">
        <f aca="false">IF('STUDENT SCREENING'!AR12="","",IFERROR(INDEX('SCORING MASTER'!$D$84:$D$86,MATCH('STUDENT SCREENING'!AR12,'SCORING MASTER'!$C$84:$C$86,0)),""))</f>
        <v/>
      </c>
      <c r="AT12" s="57" t="str">
        <f aca="false">IF('STUDENT SCREENING'!AS12="","",IFERROR(INDEX('SCORING MASTER'!$D$88:$D$90,MATCH('STUDENT SCREENING'!AS12,'SCORING MASTER'!$C$88:$C$90,0)),""))</f>
        <v/>
      </c>
      <c r="AU12" s="57" t="str">
        <f aca="false">IF('STUDENT SCREENING'!AT12="","",IFERROR(INDEX('SCORING MASTER'!$D$92:$D$93,MATCH('STUDENT SCREENING'!AT12,'SCORING MASTER'!$C$92:$C$93,0)),""))</f>
        <v/>
      </c>
      <c r="AV12" s="57" t="str">
        <f aca="false">IF('STUDENT SCREENING'!AU12="","",IFERROR(INDEX('SCORING MASTER'!$D$95:$D$96,MATCH('STUDENT SCREENING'!AU12,'SCORING MASTER'!$C$95:$C$96,0)),""))</f>
        <v/>
      </c>
      <c r="AW12" s="57" t="str">
        <f aca="false">IF('STUDENT SCREENING'!AV12="","",IFERROR(INDEX('SCORING MASTER'!$D$98:$D$99,MATCH('STUDENT SCREENING'!AV12,'SCORING MASTER'!$C$98:$C$99,0)),""))</f>
        <v/>
      </c>
      <c r="AX12" s="57" t="str">
        <f aca="false">IF('STUDENT SCREENING'!AW12="","",IFERROR(INDEX('SCORING MASTER'!$D$101:$D$102,MATCH('STUDENT SCREENING'!AW12,'SCORING MASTER'!$C$101:$C$102,0)),""))</f>
        <v/>
      </c>
      <c r="AY12" s="57" t="str">
        <f aca="false">IF('STUDENT SCREENING'!AX12="","",IFERROR(INDEX('SCORING MASTER'!$D$104:$D$105,MATCH('STUDENT SCREENING'!AX12,'SCORING MASTER'!$C$104:$C$105,0)),""))</f>
        <v/>
      </c>
      <c r="AZ12" s="57" t="str">
        <f aca="false">IF('STUDENT SCREENING'!AY12="","",IFERROR(INDEX('SCORING MASTER'!$D$107:$D$108,MATCH('STUDENT SCREENING'!AY12,'SCORING MASTER'!$C$107:$C$108,0)),""))</f>
        <v/>
      </c>
      <c r="BA12" s="57" t="str">
        <f aca="false">IF('STUDENT SCREENING'!AZ12="","",IFERROR(INDEX('SCORING MASTER'!$D$110:$D$111,MATCH('STUDENT SCREENING'!AZ12,'SCORING MASTER'!$C$110:$C$111,0)),""))</f>
        <v/>
      </c>
      <c r="BB12" s="57" t="str">
        <f aca="false">IF('STUDENT SCREENING'!BA12="","",IFERROR(INDEX('SCORING MASTER'!$D$113:$D$115,MATCH('STUDENT SCREENING'!BA12,'SCORING MASTER'!$C$113:$C$115,0)),""))</f>
        <v/>
      </c>
      <c r="BC12" s="57" t="str">
        <f aca="false">IF('STUDENT SCREENING'!BB12="","",IFERROR(INDEX('SCORING MASTER'!$D$117:$D$119,MATCH('STUDENT SCREENING'!BB12,'SCORING MASTER'!$C$117:$C$119,0)),""))</f>
        <v/>
      </c>
      <c r="BD12" s="57" t="str">
        <f aca="false">IF('STUDENT SCREENING'!BC12="","",IFERROR(INDEX('SCORING MASTER'!$D$121:$D$123,MATCH('STUDENT SCREENING'!BC12,'SCORING MASTER'!$C$121:$C$123,0)),""))</f>
        <v/>
      </c>
      <c r="BE12" s="57" t="str">
        <f aca="false">IF('STUDENT SCREENING'!BD12="","",IFERROR(INDEX('SCORING MASTER'!$D$125:$D$126,MATCH('STUDENT SCREENING'!BD12,'SCORING MASTER'!$C$125:$C$126,0)),""))</f>
        <v/>
      </c>
      <c r="BF12" s="57" t="str">
        <f aca="false">IF('STUDENT SCREENING'!BE12="","",IFERROR(INDEX('SCORING MASTER'!$D$128:$D$129,MATCH('STUDENT SCREENING'!BE12,'SCORING MASTER'!$C$128:$C$129,0)),""))</f>
        <v/>
      </c>
      <c r="BG12" s="57" t="str">
        <f aca="false">IF('STUDENT SCREENING'!BP12="","",IFERROR(MATCH('STUDENT SCREENING'!BP12,{"Red - High Risk","Orange - Moderate Risk","Yellow - Mild Risk","Light Green - Mild Watch","Green - Healthy"},0)-1,""))</f>
        <v/>
      </c>
      <c r="BH12" s="57" t="str">
        <f aca="false">IF('STUDENT SCREENING'!BQ12="","",IF('STUDENT SCREENING'!BQ12="Yes",1,0))</f>
        <v/>
      </c>
      <c r="BI12" s="57" t="str">
        <f aca="false">IF('STUDENT SCREENING'!BR12="","",IF('STUDENT SCREENING'!BR12="Yes",1,0))</f>
        <v/>
      </c>
    </row>
    <row r="13" customFormat="false" ht="15" hidden="false" customHeight="false" outlineLevel="0" collapsed="false">
      <c r="A13" s="58" t="str">
        <f aca="false">'STUDENT SCREENING'!A13</f>
        <v/>
      </c>
      <c r="B13" s="58" t="n">
        <f aca="false">'STUDENT SCREENING'!C13</f>
        <v>0</v>
      </c>
      <c r="C13" s="58" t="n">
        <f aca="false">'STUDENT SCREENING'!D13</f>
        <v>0</v>
      </c>
      <c r="D13" s="58" t="n">
        <f aca="false">'STUDENT SCREENING'!E13</f>
        <v>0</v>
      </c>
      <c r="E13" s="58" t="n">
        <f aca="false">'STUDENT SCREENING'!F13</f>
        <v>0</v>
      </c>
      <c r="F13" s="58" t="n">
        <f aca="false">'STUDENT SCREENING'!K13</f>
        <v>0</v>
      </c>
      <c r="G13" s="58" t="n">
        <f aca="false">'STUDENT SCREENING'!J13</f>
        <v>0</v>
      </c>
      <c r="H13" s="58" t="str">
        <f aca="false">IF('STUDENT SCREENING'!K13="","",IFERROR(MATCH('STUDENT SCREENING'!K13,Adm_Gender,0),""))</f>
        <v/>
      </c>
      <c r="I13" s="58" t="n">
        <f aca="false">'STUDENT SCREENING'!Q13</f>
        <v>0</v>
      </c>
      <c r="J13" s="58" t="n">
        <f aca="false">'STUDENT SCREENING'!R13</f>
        <v>0</v>
      </c>
      <c r="K13" s="58" t="str">
        <f aca="false">'STUDENT SCREENING'!S13</f>
        <v/>
      </c>
      <c r="L13" s="58" t="n">
        <f aca="false">'STUDENT SCREENING'!U13</f>
        <v>0</v>
      </c>
      <c r="M13" s="58" t="n">
        <f aca="false">'STUDENT SCREENING'!V13</f>
        <v>0</v>
      </c>
      <c r="N13" s="58" t="str">
        <f aca="false">'STUDENT SCREENING'!BF13</f>
        <v/>
      </c>
      <c r="O13" s="58" t="str">
        <f aca="false">'STUDENT SCREENING'!BG13</f>
        <v/>
      </c>
      <c r="P13" s="58" t="str">
        <f aca="false">'STUDENT SCREENING'!BH13</f>
        <v/>
      </c>
      <c r="Q13" s="58" t="str">
        <f aca="false">'STUDENT SCREENING'!BI13</f>
        <v/>
      </c>
      <c r="R13" s="58" t="str">
        <f aca="false">'STUDENT SCREENING'!BJ13</f>
        <v/>
      </c>
      <c r="S13" s="58" t="str">
        <f aca="false">'STUDENT SCREENING'!BK13</f>
        <v/>
      </c>
      <c r="T13" s="58" t="str">
        <f aca="false">'STUDENT SCREENING'!BL13</f>
        <v/>
      </c>
      <c r="U13" s="58" t="str">
        <f aca="false">'STUDENT SCREENING'!BM13</f>
        <v/>
      </c>
      <c r="V13" s="58" t="str">
        <f aca="false">'STUDENT SCREENING'!BN13</f>
        <v/>
      </c>
      <c r="W13" s="58" t="str">
        <f aca="false">'STUDENT SCREENING'!BO13</f>
        <v/>
      </c>
      <c r="X13" s="58" t="str">
        <f aca="false">IF('STUDENT SCREENING'!W13="","",IFERROR(INDEX('SCORING MASTER'!$D$5:$D$7,MATCH('STUDENT SCREENING'!W13,'SCORING MASTER'!$C$5:$C$7,0)),""))</f>
        <v/>
      </c>
      <c r="Y13" s="58" t="str">
        <f aca="false">IF('STUDENT SCREENING'!X13="","",IFERROR(INDEX('SCORING MASTER'!$D$9:$D$11,MATCH('STUDENT SCREENING'!X13,'SCORING MASTER'!$C$9:$C$11,0)),""))</f>
        <v/>
      </c>
      <c r="Z13" s="58" t="str">
        <f aca="false">IF('STUDENT SCREENING'!Y13="","",IFERROR(INDEX('SCORING MASTER'!$D$13:$D$15,MATCH('STUDENT SCREENING'!Y13,'SCORING MASTER'!$C$13:$C$15,0)),""))</f>
        <v/>
      </c>
      <c r="AA13" s="58" t="str">
        <f aca="false">IF('STUDENT SCREENING'!Z13="","",IFERROR(INDEX('SCORING MASTER'!$D$17:$D$19,MATCH('STUDENT SCREENING'!Z13,'SCORING MASTER'!$C$17:$C$19,0)),""))</f>
        <v/>
      </c>
      <c r="AB13" s="58" t="str">
        <f aca="false">IF('STUDENT SCREENING'!AA13="","",IFERROR(INDEX('SCORING MASTER'!$D$21:$D$23,MATCH('STUDENT SCREENING'!AA13,'SCORING MASTER'!$C$21:$C$23,0)),""))</f>
        <v/>
      </c>
      <c r="AC13" s="58" t="str">
        <f aca="false">IF('STUDENT SCREENING'!AB13="","",IFERROR(INDEX('SCORING MASTER'!$D$25:$D$27,MATCH('STUDENT SCREENING'!AB13,'SCORING MASTER'!$C$25:$C$27,0)),""))</f>
        <v/>
      </c>
      <c r="AD13" s="58" t="str">
        <f aca="false">IF('STUDENT SCREENING'!AC13="","",IFERROR(INDEX('SCORING MASTER'!$D$29:$D$31,MATCH('STUDENT SCREENING'!AC13,'SCORING MASTER'!$C$29:$C$31,0)),""))</f>
        <v/>
      </c>
      <c r="AE13" s="58" t="str">
        <f aca="false">IF('STUDENT SCREENING'!AD13="","",IFERROR(INDEX('SCORING MASTER'!$D$33:$D$35,MATCH('STUDENT SCREENING'!AD13,'SCORING MASTER'!$C$33:$C$35,0)),""))</f>
        <v/>
      </c>
      <c r="AF13" s="58" t="str">
        <f aca="false">IF('STUDENT SCREENING'!AE13="","",IFERROR(INDEX('SCORING MASTER'!$D$37:$D$39,MATCH('STUDENT SCREENING'!AE13,'SCORING MASTER'!$C$37:$C$39,0)),""))</f>
        <v/>
      </c>
      <c r="AG13" s="58" t="str">
        <f aca="false">IF('STUDENT SCREENING'!AF13="","",IFERROR(INDEX('SCORING MASTER'!$D$41:$D$43,MATCH('STUDENT SCREENING'!AF13,'SCORING MASTER'!$C$41:$C$43,0)),""))</f>
        <v/>
      </c>
      <c r="AH13" s="58" t="str">
        <f aca="false">IF('STUDENT SCREENING'!AG13="","",IFERROR(INDEX('SCORING MASTER'!$D$45:$D$47,MATCH('STUDENT SCREENING'!AG13,'SCORING MASTER'!$C$45:$C$47,0)),""))</f>
        <v/>
      </c>
      <c r="AI13" s="58" t="str">
        <f aca="false">IF('STUDENT SCREENING'!AH13="","",IFERROR(INDEX('SCORING MASTER'!$D$49:$D$52,MATCH('STUDENT SCREENING'!AH13,'SCORING MASTER'!$C$49:$C$52,0)),""))</f>
        <v/>
      </c>
      <c r="AJ13" s="58" t="str">
        <f aca="false">IF('STUDENT SCREENING'!AI13="","",IFERROR(INDEX('SCORING MASTER'!$D$54:$D$57,MATCH('STUDENT SCREENING'!AI13,'SCORING MASTER'!$C$54:$C$57,0)),""))</f>
        <v/>
      </c>
      <c r="AK13" s="58" t="str">
        <f aca="false">IF('STUDENT SCREENING'!AJ13="","",IFERROR(INDEX('SCORING MASTER'!$D$59:$D$60,MATCH('STUDENT SCREENING'!AJ13,'SCORING MASTER'!$C$59:$C$60,0)),""))</f>
        <v/>
      </c>
      <c r="AL13" s="58" t="str">
        <f aca="false">IF('STUDENT SCREENING'!AK13="","",IFERROR(INDEX('SCORING MASTER'!$D$62:$D$63,MATCH('STUDENT SCREENING'!AK13,'SCORING MASTER'!$C$62:$C$63,0)),""))</f>
        <v/>
      </c>
      <c r="AM13" s="58" t="str">
        <f aca="false">IF('STUDENT SCREENING'!AL13="","",IFERROR(INDEX('SCORING MASTER'!$D$65:$D$66,MATCH('STUDENT SCREENING'!AL13,'SCORING MASTER'!$C$65:$C$66,0)),""))</f>
        <v/>
      </c>
      <c r="AN13" s="58" t="str">
        <f aca="false">IF('STUDENT SCREENING'!AM13="","",IFERROR(INDEX('SCORING MASTER'!$D$68:$D$69,MATCH('STUDENT SCREENING'!AM13,'SCORING MASTER'!$C$68:$C$69,0)),""))</f>
        <v/>
      </c>
      <c r="AO13" s="58" t="str">
        <f aca="false">IF('STUDENT SCREENING'!AN13="","",IFERROR(INDEX('SCORING MASTER'!$D$71:$D$72,MATCH('STUDENT SCREENING'!AN13,'SCORING MASTER'!$C$71:$C$72,0)),""))</f>
        <v/>
      </c>
      <c r="AP13" s="58" t="str">
        <f aca="false">IF('STUDENT SCREENING'!AO13="","",IFERROR(INDEX('SCORING MASTER'!$D$74:$D$75,MATCH('STUDENT SCREENING'!AO13,'SCORING MASTER'!$C$74:$C$75,0)),""))</f>
        <v/>
      </c>
      <c r="AQ13" s="58" t="str">
        <f aca="false">IF('STUDENT SCREENING'!AP13="","",IFERROR(INDEX('SCORING MASTER'!$D$77:$D$78,MATCH('STUDENT SCREENING'!AP13,'SCORING MASTER'!$C$77:$C$78,0)),""))</f>
        <v/>
      </c>
      <c r="AR13" s="58" t="str">
        <f aca="false">IF('STUDENT SCREENING'!AQ13="","",IFERROR(INDEX('SCORING MASTER'!$D$80:$D$82,MATCH('STUDENT SCREENING'!AQ13,'SCORING MASTER'!$C$80:$C$82,0)),""))</f>
        <v/>
      </c>
      <c r="AS13" s="58" t="str">
        <f aca="false">IF('STUDENT SCREENING'!AR13="","",IFERROR(INDEX('SCORING MASTER'!$D$84:$D$86,MATCH('STUDENT SCREENING'!AR13,'SCORING MASTER'!$C$84:$C$86,0)),""))</f>
        <v/>
      </c>
      <c r="AT13" s="58" t="str">
        <f aca="false">IF('STUDENT SCREENING'!AS13="","",IFERROR(INDEX('SCORING MASTER'!$D$88:$D$90,MATCH('STUDENT SCREENING'!AS13,'SCORING MASTER'!$C$88:$C$90,0)),""))</f>
        <v/>
      </c>
      <c r="AU13" s="58" t="str">
        <f aca="false">IF('STUDENT SCREENING'!AT13="","",IFERROR(INDEX('SCORING MASTER'!$D$92:$D$93,MATCH('STUDENT SCREENING'!AT13,'SCORING MASTER'!$C$92:$C$93,0)),""))</f>
        <v/>
      </c>
      <c r="AV13" s="58" t="str">
        <f aca="false">IF('STUDENT SCREENING'!AU13="","",IFERROR(INDEX('SCORING MASTER'!$D$95:$D$96,MATCH('STUDENT SCREENING'!AU13,'SCORING MASTER'!$C$95:$C$96,0)),""))</f>
        <v/>
      </c>
      <c r="AW13" s="58" t="str">
        <f aca="false">IF('STUDENT SCREENING'!AV13="","",IFERROR(INDEX('SCORING MASTER'!$D$98:$D$99,MATCH('STUDENT SCREENING'!AV13,'SCORING MASTER'!$C$98:$C$99,0)),""))</f>
        <v/>
      </c>
      <c r="AX13" s="58" t="str">
        <f aca="false">IF('STUDENT SCREENING'!AW13="","",IFERROR(INDEX('SCORING MASTER'!$D$101:$D$102,MATCH('STUDENT SCREENING'!AW13,'SCORING MASTER'!$C$101:$C$102,0)),""))</f>
        <v/>
      </c>
      <c r="AY13" s="58" t="str">
        <f aca="false">IF('STUDENT SCREENING'!AX13="","",IFERROR(INDEX('SCORING MASTER'!$D$104:$D$105,MATCH('STUDENT SCREENING'!AX13,'SCORING MASTER'!$C$104:$C$105,0)),""))</f>
        <v/>
      </c>
      <c r="AZ13" s="58" t="str">
        <f aca="false">IF('STUDENT SCREENING'!AY13="","",IFERROR(INDEX('SCORING MASTER'!$D$107:$D$108,MATCH('STUDENT SCREENING'!AY13,'SCORING MASTER'!$C$107:$C$108,0)),""))</f>
        <v/>
      </c>
      <c r="BA13" s="58" t="str">
        <f aca="false">IF('STUDENT SCREENING'!AZ13="","",IFERROR(INDEX('SCORING MASTER'!$D$110:$D$111,MATCH('STUDENT SCREENING'!AZ13,'SCORING MASTER'!$C$110:$C$111,0)),""))</f>
        <v/>
      </c>
      <c r="BB13" s="58" t="str">
        <f aca="false">IF('STUDENT SCREENING'!BA13="","",IFERROR(INDEX('SCORING MASTER'!$D$113:$D$115,MATCH('STUDENT SCREENING'!BA13,'SCORING MASTER'!$C$113:$C$115,0)),""))</f>
        <v/>
      </c>
      <c r="BC13" s="58" t="str">
        <f aca="false">IF('STUDENT SCREENING'!BB13="","",IFERROR(INDEX('SCORING MASTER'!$D$117:$D$119,MATCH('STUDENT SCREENING'!BB13,'SCORING MASTER'!$C$117:$C$119,0)),""))</f>
        <v/>
      </c>
      <c r="BD13" s="58" t="str">
        <f aca="false">IF('STUDENT SCREENING'!BC13="","",IFERROR(INDEX('SCORING MASTER'!$D$121:$D$123,MATCH('STUDENT SCREENING'!BC13,'SCORING MASTER'!$C$121:$C$123,0)),""))</f>
        <v/>
      </c>
      <c r="BE13" s="58" t="str">
        <f aca="false">IF('STUDENT SCREENING'!BD13="","",IFERROR(INDEX('SCORING MASTER'!$D$125:$D$126,MATCH('STUDENT SCREENING'!BD13,'SCORING MASTER'!$C$125:$C$126,0)),""))</f>
        <v/>
      </c>
      <c r="BF13" s="58" t="str">
        <f aca="false">IF('STUDENT SCREENING'!BE13="","",IFERROR(INDEX('SCORING MASTER'!$D$128:$D$129,MATCH('STUDENT SCREENING'!BE13,'SCORING MASTER'!$C$128:$C$129,0)),""))</f>
        <v/>
      </c>
      <c r="BG13" s="58" t="str">
        <f aca="false">IF('STUDENT SCREENING'!BP13="","",IFERROR(MATCH('STUDENT SCREENING'!BP13,{"Red - High Risk","Orange - Moderate Risk","Yellow - Mild Risk","Light Green - Mild Watch","Green - Healthy"},0)-1,""))</f>
        <v/>
      </c>
      <c r="BH13" s="58" t="str">
        <f aca="false">IF('STUDENT SCREENING'!BQ13="","",IF('STUDENT SCREENING'!BQ13="Yes",1,0))</f>
        <v/>
      </c>
      <c r="BI13" s="58" t="str">
        <f aca="false">IF('STUDENT SCREENING'!BR13="","",IF('STUDENT SCREENING'!BR13="Yes",1,0))</f>
        <v/>
      </c>
    </row>
    <row r="14" customFormat="false" ht="15" hidden="false" customHeight="false" outlineLevel="0" collapsed="false">
      <c r="A14" s="57" t="str">
        <f aca="false">'STUDENT SCREENING'!A14</f>
        <v/>
      </c>
      <c r="B14" s="57" t="n">
        <f aca="false">'STUDENT SCREENING'!C14</f>
        <v>0</v>
      </c>
      <c r="C14" s="57" t="n">
        <f aca="false">'STUDENT SCREENING'!D14</f>
        <v>0</v>
      </c>
      <c r="D14" s="57" t="n">
        <f aca="false">'STUDENT SCREENING'!E14</f>
        <v>0</v>
      </c>
      <c r="E14" s="57" t="n">
        <f aca="false">'STUDENT SCREENING'!F14</f>
        <v>0</v>
      </c>
      <c r="F14" s="57" t="n">
        <f aca="false">'STUDENT SCREENING'!K14</f>
        <v>0</v>
      </c>
      <c r="G14" s="57" t="n">
        <f aca="false">'STUDENT SCREENING'!J14</f>
        <v>0</v>
      </c>
      <c r="H14" s="57" t="str">
        <f aca="false">IF('STUDENT SCREENING'!K14="","",IFERROR(MATCH('STUDENT SCREENING'!K14,Adm_Gender,0),""))</f>
        <v/>
      </c>
      <c r="I14" s="57" t="n">
        <f aca="false">'STUDENT SCREENING'!Q14</f>
        <v>0</v>
      </c>
      <c r="J14" s="57" t="n">
        <f aca="false">'STUDENT SCREENING'!R14</f>
        <v>0</v>
      </c>
      <c r="K14" s="57" t="str">
        <f aca="false">'STUDENT SCREENING'!S14</f>
        <v/>
      </c>
      <c r="L14" s="57" t="n">
        <f aca="false">'STUDENT SCREENING'!U14</f>
        <v>0</v>
      </c>
      <c r="M14" s="57" t="n">
        <f aca="false">'STUDENT SCREENING'!V14</f>
        <v>0</v>
      </c>
      <c r="N14" s="57" t="str">
        <f aca="false">'STUDENT SCREENING'!BF14</f>
        <v/>
      </c>
      <c r="O14" s="57" t="str">
        <f aca="false">'STUDENT SCREENING'!BG14</f>
        <v/>
      </c>
      <c r="P14" s="57" t="str">
        <f aca="false">'STUDENT SCREENING'!BH14</f>
        <v/>
      </c>
      <c r="Q14" s="57" t="str">
        <f aca="false">'STUDENT SCREENING'!BI14</f>
        <v/>
      </c>
      <c r="R14" s="57" t="str">
        <f aca="false">'STUDENT SCREENING'!BJ14</f>
        <v/>
      </c>
      <c r="S14" s="57" t="str">
        <f aca="false">'STUDENT SCREENING'!BK14</f>
        <v/>
      </c>
      <c r="T14" s="57" t="str">
        <f aca="false">'STUDENT SCREENING'!BL14</f>
        <v/>
      </c>
      <c r="U14" s="57" t="str">
        <f aca="false">'STUDENT SCREENING'!BM14</f>
        <v/>
      </c>
      <c r="V14" s="57" t="str">
        <f aca="false">'STUDENT SCREENING'!BN14</f>
        <v/>
      </c>
      <c r="W14" s="57" t="str">
        <f aca="false">'STUDENT SCREENING'!BO14</f>
        <v/>
      </c>
      <c r="X14" s="57" t="str">
        <f aca="false">IF('STUDENT SCREENING'!W14="","",IFERROR(INDEX('SCORING MASTER'!$D$5:$D$7,MATCH('STUDENT SCREENING'!W14,'SCORING MASTER'!$C$5:$C$7,0)),""))</f>
        <v/>
      </c>
      <c r="Y14" s="57" t="str">
        <f aca="false">IF('STUDENT SCREENING'!X14="","",IFERROR(INDEX('SCORING MASTER'!$D$9:$D$11,MATCH('STUDENT SCREENING'!X14,'SCORING MASTER'!$C$9:$C$11,0)),""))</f>
        <v/>
      </c>
      <c r="Z14" s="57" t="str">
        <f aca="false">IF('STUDENT SCREENING'!Y14="","",IFERROR(INDEX('SCORING MASTER'!$D$13:$D$15,MATCH('STUDENT SCREENING'!Y14,'SCORING MASTER'!$C$13:$C$15,0)),""))</f>
        <v/>
      </c>
      <c r="AA14" s="57" t="str">
        <f aca="false">IF('STUDENT SCREENING'!Z14="","",IFERROR(INDEX('SCORING MASTER'!$D$17:$D$19,MATCH('STUDENT SCREENING'!Z14,'SCORING MASTER'!$C$17:$C$19,0)),""))</f>
        <v/>
      </c>
      <c r="AB14" s="57" t="str">
        <f aca="false">IF('STUDENT SCREENING'!AA14="","",IFERROR(INDEX('SCORING MASTER'!$D$21:$D$23,MATCH('STUDENT SCREENING'!AA14,'SCORING MASTER'!$C$21:$C$23,0)),""))</f>
        <v/>
      </c>
      <c r="AC14" s="57" t="str">
        <f aca="false">IF('STUDENT SCREENING'!AB14="","",IFERROR(INDEX('SCORING MASTER'!$D$25:$D$27,MATCH('STUDENT SCREENING'!AB14,'SCORING MASTER'!$C$25:$C$27,0)),""))</f>
        <v/>
      </c>
      <c r="AD14" s="57" t="str">
        <f aca="false">IF('STUDENT SCREENING'!AC14="","",IFERROR(INDEX('SCORING MASTER'!$D$29:$D$31,MATCH('STUDENT SCREENING'!AC14,'SCORING MASTER'!$C$29:$C$31,0)),""))</f>
        <v/>
      </c>
      <c r="AE14" s="57" t="str">
        <f aca="false">IF('STUDENT SCREENING'!AD14="","",IFERROR(INDEX('SCORING MASTER'!$D$33:$D$35,MATCH('STUDENT SCREENING'!AD14,'SCORING MASTER'!$C$33:$C$35,0)),""))</f>
        <v/>
      </c>
      <c r="AF14" s="57" t="str">
        <f aca="false">IF('STUDENT SCREENING'!AE14="","",IFERROR(INDEX('SCORING MASTER'!$D$37:$D$39,MATCH('STUDENT SCREENING'!AE14,'SCORING MASTER'!$C$37:$C$39,0)),""))</f>
        <v/>
      </c>
      <c r="AG14" s="57" t="str">
        <f aca="false">IF('STUDENT SCREENING'!AF14="","",IFERROR(INDEX('SCORING MASTER'!$D$41:$D$43,MATCH('STUDENT SCREENING'!AF14,'SCORING MASTER'!$C$41:$C$43,0)),""))</f>
        <v/>
      </c>
      <c r="AH14" s="57" t="str">
        <f aca="false">IF('STUDENT SCREENING'!AG14="","",IFERROR(INDEX('SCORING MASTER'!$D$45:$D$47,MATCH('STUDENT SCREENING'!AG14,'SCORING MASTER'!$C$45:$C$47,0)),""))</f>
        <v/>
      </c>
      <c r="AI14" s="57" t="str">
        <f aca="false">IF('STUDENT SCREENING'!AH14="","",IFERROR(INDEX('SCORING MASTER'!$D$49:$D$52,MATCH('STUDENT SCREENING'!AH14,'SCORING MASTER'!$C$49:$C$52,0)),""))</f>
        <v/>
      </c>
      <c r="AJ14" s="57" t="str">
        <f aca="false">IF('STUDENT SCREENING'!AI14="","",IFERROR(INDEX('SCORING MASTER'!$D$54:$D$57,MATCH('STUDENT SCREENING'!AI14,'SCORING MASTER'!$C$54:$C$57,0)),""))</f>
        <v/>
      </c>
      <c r="AK14" s="57" t="str">
        <f aca="false">IF('STUDENT SCREENING'!AJ14="","",IFERROR(INDEX('SCORING MASTER'!$D$59:$D$60,MATCH('STUDENT SCREENING'!AJ14,'SCORING MASTER'!$C$59:$C$60,0)),""))</f>
        <v/>
      </c>
      <c r="AL14" s="57" t="str">
        <f aca="false">IF('STUDENT SCREENING'!AK14="","",IFERROR(INDEX('SCORING MASTER'!$D$62:$D$63,MATCH('STUDENT SCREENING'!AK14,'SCORING MASTER'!$C$62:$C$63,0)),""))</f>
        <v/>
      </c>
      <c r="AM14" s="57" t="str">
        <f aca="false">IF('STUDENT SCREENING'!AL14="","",IFERROR(INDEX('SCORING MASTER'!$D$65:$D$66,MATCH('STUDENT SCREENING'!AL14,'SCORING MASTER'!$C$65:$C$66,0)),""))</f>
        <v/>
      </c>
      <c r="AN14" s="57" t="str">
        <f aca="false">IF('STUDENT SCREENING'!AM14="","",IFERROR(INDEX('SCORING MASTER'!$D$68:$D$69,MATCH('STUDENT SCREENING'!AM14,'SCORING MASTER'!$C$68:$C$69,0)),""))</f>
        <v/>
      </c>
      <c r="AO14" s="57" t="str">
        <f aca="false">IF('STUDENT SCREENING'!AN14="","",IFERROR(INDEX('SCORING MASTER'!$D$71:$D$72,MATCH('STUDENT SCREENING'!AN14,'SCORING MASTER'!$C$71:$C$72,0)),""))</f>
        <v/>
      </c>
      <c r="AP14" s="57" t="str">
        <f aca="false">IF('STUDENT SCREENING'!AO14="","",IFERROR(INDEX('SCORING MASTER'!$D$74:$D$75,MATCH('STUDENT SCREENING'!AO14,'SCORING MASTER'!$C$74:$C$75,0)),""))</f>
        <v/>
      </c>
      <c r="AQ14" s="57" t="str">
        <f aca="false">IF('STUDENT SCREENING'!AP14="","",IFERROR(INDEX('SCORING MASTER'!$D$77:$D$78,MATCH('STUDENT SCREENING'!AP14,'SCORING MASTER'!$C$77:$C$78,0)),""))</f>
        <v/>
      </c>
      <c r="AR14" s="57" t="str">
        <f aca="false">IF('STUDENT SCREENING'!AQ14="","",IFERROR(INDEX('SCORING MASTER'!$D$80:$D$82,MATCH('STUDENT SCREENING'!AQ14,'SCORING MASTER'!$C$80:$C$82,0)),""))</f>
        <v/>
      </c>
      <c r="AS14" s="57" t="str">
        <f aca="false">IF('STUDENT SCREENING'!AR14="","",IFERROR(INDEX('SCORING MASTER'!$D$84:$D$86,MATCH('STUDENT SCREENING'!AR14,'SCORING MASTER'!$C$84:$C$86,0)),""))</f>
        <v/>
      </c>
      <c r="AT14" s="57" t="str">
        <f aca="false">IF('STUDENT SCREENING'!AS14="","",IFERROR(INDEX('SCORING MASTER'!$D$88:$D$90,MATCH('STUDENT SCREENING'!AS14,'SCORING MASTER'!$C$88:$C$90,0)),""))</f>
        <v/>
      </c>
      <c r="AU14" s="57" t="str">
        <f aca="false">IF('STUDENT SCREENING'!AT14="","",IFERROR(INDEX('SCORING MASTER'!$D$92:$D$93,MATCH('STUDENT SCREENING'!AT14,'SCORING MASTER'!$C$92:$C$93,0)),""))</f>
        <v/>
      </c>
      <c r="AV14" s="57" t="str">
        <f aca="false">IF('STUDENT SCREENING'!AU14="","",IFERROR(INDEX('SCORING MASTER'!$D$95:$D$96,MATCH('STUDENT SCREENING'!AU14,'SCORING MASTER'!$C$95:$C$96,0)),""))</f>
        <v/>
      </c>
      <c r="AW14" s="57" t="str">
        <f aca="false">IF('STUDENT SCREENING'!AV14="","",IFERROR(INDEX('SCORING MASTER'!$D$98:$D$99,MATCH('STUDENT SCREENING'!AV14,'SCORING MASTER'!$C$98:$C$99,0)),""))</f>
        <v/>
      </c>
      <c r="AX14" s="57" t="str">
        <f aca="false">IF('STUDENT SCREENING'!AW14="","",IFERROR(INDEX('SCORING MASTER'!$D$101:$D$102,MATCH('STUDENT SCREENING'!AW14,'SCORING MASTER'!$C$101:$C$102,0)),""))</f>
        <v/>
      </c>
      <c r="AY14" s="57" t="str">
        <f aca="false">IF('STUDENT SCREENING'!AX14="","",IFERROR(INDEX('SCORING MASTER'!$D$104:$D$105,MATCH('STUDENT SCREENING'!AX14,'SCORING MASTER'!$C$104:$C$105,0)),""))</f>
        <v/>
      </c>
      <c r="AZ14" s="57" t="str">
        <f aca="false">IF('STUDENT SCREENING'!AY14="","",IFERROR(INDEX('SCORING MASTER'!$D$107:$D$108,MATCH('STUDENT SCREENING'!AY14,'SCORING MASTER'!$C$107:$C$108,0)),""))</f>
        <v/>
      </c>
      <c r="BA14" s="57" t="str">
        <f aca="false">IF('STUDENT SCREENING'!AZ14="","",IFERROR(INDEX('SCORING MASTER'!$D$110:$D$111,MATCH('STUDENT SCREENING'!AZ14,'SCORING MASTER'!$C$110:$C$111,0)),""))</f>
        <v/>
      </c>
      <c r="BB14" s="57" t="str">
        <f aca="false">IF('STUDENT SCREENING'!BA14="","",IFERROR(INDEX('SCORING MASTER'!$D$113:$D$115,MATCH('STUDENT SCREENING'!BA14,'SCORING MASTER'!$C$113:$C$115,0)),""))</f>
        <v/>
      </c>
      <c r="BC14" s="57" t="str">
        <f aca="false">IF('STUDENT SCREENING'!BB14="","",IFERROR(INDEX('SCORING MASTER'!$D$117:$D$119,MATCH('STUDENT SCREENING'!BB14,'SCORING MASTER'!$C$117:$C$119,0)),""))</f>
        <v/>
      </c>
      <c r="BD14" s="57" t="str">
        <f aca="false">IF('STUDENT SCREENING'!BC14="","",IFERROR(INDEX('SCORING MASTER'!$D$121:$D$123,MATCH('STUDENT SCREENING'!BC14,'SCORING MASTER'!$C$121:$C$123,0)),""))</f>
        <v/>
      </c>
      <c r="BE14" s="57" t="str">
        <f aca="false">IF('STUDENT SCREENING'!BD14="","",IFERROR(INDEX('SCORING MASTER'!$D$125:$D$126,MATCH('STUDENT SCREENING'!BD14,'SCORING MASTER'!$C$125:$C$126,0)),""))</f>
        <v/>
      </c>
      <c r="BF14" s="57" t="str">
        <f aca="false">IF('STUDENT SCREENING'!BE14="","",IFERROR(INDEX('SCORING MASTER'!$D$128:$D$129,MATCH('STUDENT SCREENING'!BE14,'SCORING MASTER'!$C$128:$C$129,0)),""))</f>
        <v/>
      </c>
      <c r="BG14" s="57" t="str">
        <f aca="false">IF('STUDENT SCREENING'!BP14="","",IFERROR(MATCH('STUDENT SCREENING'!BP14,{"Red - High Risk","Orange - Moderate Risk","Yellow - Mild Risk","Light Green - Mild Watch","Green - Healthy"},0)-1,""))</f>
        <v/>
      </c>
      <c r="BH14" s="57" t="str">
        <f aca="false">IF('STUDENT SCREENING'!BQ14="","",IF('STUDENT SCREENING'!BQ14="Yes",1,0))</f>
        <v/>
      </c>
      <c r="BI14" s="57" t="str">
        <f aca="false">IF('STUDENT SCREENING'!BR14="","",IF('STUDENT SCREENING'!BR14="Yes",1,0))</f>
        <v/>
      </c>
    </row>
    <row r="15" customFormat="false" ht="15" hidden="false" customHeight="false" outlineLevel="0" collapsed="false">
      <c r="A15" s="58" t="str">
        <f aca="false">'STUDENT SCREENING'!A15</f>
        <v/>
      </c>
      <c r="B15" s="58" t="n">
        <f aca="false">'STUDENT SCREENING'!C15</f>
        <v>0</v>
      </c>
      <c r="C15" s="58" t="n">
        <f aca="false">'STUDENT SCREENING'!D15</f>
        <v>0</v>
      </c>
      <c r="D15" s="58" t="n">
        <f aca="false">'STUDENT SCREENING'!E15</f>
        <v>0</v>
      </c>
      <c r="E15" s="58" t="n">
        <f aca="false">'STUDENT SCREENING'!F15</f>
        <v>0</v>
      </c>
      <c r="F15" s="58" t="n">
        <f aca="false">'STUDENT SCREENING'!K15</f>
        <v>0</v>
      </c>
      <c r="G15" s="58" t="n">
        <f aca="false">'STUDENT SCREENING'!J15</f>
        <v>0</v>
      </c>
      <c r="H15" s="58" t="str">
        <f aca="false">IF('STUDENT SCREENING'!K15="","",IFERROR(MATCH('STUDENT SCREENING'!K15,Adm_Gender,0),""))</f>
        <v/>
      </c>
      <c r="I15" s="58" t="n">
        <f aca="false">'STUDENT SCREENING'!Q15</f>
        <v>0</v>
      </c>
      <c r="J15" s="58" t="n">
        <f aca="false">'STUDENT SCREENING'!R15</f>
        <v>0</v>
      </c>
      <c r="K15" s="58" t="str">
        <f aca="false">'STUDENT SCREENING'!S15</f>
        <v/>
      </c>
      <c r="L15" s="58" t="n">
        <f aca="false">'STUDENT SCREENING'!U15</f>
        <v>0</v>
      </c>
      <c r="M15" s="58" t="n">
        <f aca="false">'STUDENT SCREENING'!V15</f>
        <v>0</v>
      </c>
      <c r="N15" s="58" t="str">
        <f aca="false">'STUDENT SCREENING'!BF15</f>
        <v/>
      </c>
      <c r="O15" s="58" t="str">
        <f aca="false">'STUDENT SCREENING'!BG15</f>
        <v/>
      </c>
      <c r="P15" s="58" t="str">
        <f aca="false">'STUDENT SCREENING'!BH15</f>
        <v/>
      </c>
      <c r="Q15" s="58" t="str">
        <f aca="false">'STUDENT SCREENING'!BI15</f>
        <v/>
      </c>
      <c r="R15" s="58" t="str">
        <f aca="false">'STUDENT SCREENING'!BJ15</f>
        <v/>
      </c>
      <c r="S15" s="58" t="str">
        <f aca="false">'STUDENT SCREENING'!BK15</f>
        <v/>
      </c>
      <c r="T15" s="58" t="str">
        <f aca="false">'STUDENT SCREENING'!BL15</f>
        <v/>
      </c>
      <c r="U15" s="58" t="str">
        <f aca="false">'STUDENT SCREENING'!BM15</f>
        <v/>
      </c>
      <c r="V15" s="58" t="str">
        <f aca="false">'STUDENT SCREENING'!BN15</f>
        <v/>
      </c>
      <c r="W15" s="58" t="str">
        <f aca="false">'STUDENT SCREENING'!BO15</f>
        <v/>
      </c>
      <c r="X15" s="58" t="str">
        <f aca="false">IF('STUDENT SCREENING'!W15="","",IFERROR(INDEX('SCORING MASTER'!$D$5:$D$7,MATCH('STUDENT SCREENING'!W15,'SCORING MASTER'!$C$5:$C$7,0)),""))</f>
        <v/>
      </c>
      <c r="Y15" s="58" t="str">
        <f aca="false">IF('STUDENT SCREENING'!X15="","",IFERROR(INDEX('SCORING MASTER'!$D$9:$D$11,MATCH('STUDENT SCREENING'!X15,'SCORING MASTER'!$C$9:$C$11,0)),""))</f>
        <v/>
      </c>
      <c r="Z15" s="58" t="str">
        <f aca="false">IF('STUDENT SCREENING'!Y15="","",IFERROR(INDEX('SCORING MASTER'!$D$13:$D$15,MATCH('STUDENT SCREENING'!Y15,'SCORING MASTER'!$C$13:$C$15,0)),""))</f>
        <v/>
      </c>
      <c r="AA15" s="58" t="str">
        <f aca="false">IF('STUDENT SCREENING'!Z15="","",IFERROR(INDEX('SCORING MASTER'!$D$17:$D$19,MATCH('STUDENT SCREENING'!Z15,'SCORING MASTER'!$C$17:$C$19,0)),""))</f>
        <v/>
      </c>
      <c r="AB15" s="58" t="str">
        <f aca="false">IF('STUDENT SCREENING'!AA15="","",IFERROR(INDEX('SCORING MASTER'!$D$21:$D$23,MATCH('STUDENT SCREENING'!AA15,'SCORING MASTER'!$C$21:$C$23,0)),""))</f>
        <v/>
      </c>
      <c r="AC15" s="58" t="str">
        <f aca="false">IF('STUDENT SCREENING'!AB15="","",IFERROR(INDEX('SCORING MASTER'!$D$25:$D$27,MATCH('STUDENT SCREENING'!AB15,'SCORING MASTER'!$C$25:$C$27,0)),""))</f>
        <v/>
      </c>
      <c r="AD15" s="58" t="str">
        <f aca="false">IF('STUDENT SCREENING'!AC15="","",IFERROR(INDEX('SCORING MASTER'!$D$29:$D$31,MATCH('STUDENT SCREENING'!AC15,'SCORING MASTER'!$C$29:$C$31,0)),""))</f>
        <v/>
      </c>
      <c r="AE15" s="58" t="str">
        <f aca="false">IF('STUDENT SCREENING'!AD15="","",IFERROR(INDEX('SCORING MASTER'!$D$33:$D$35,MATCH('STUDENT SCREENING'!AD15,'SCORING MASTER'!$C$33:$C$35,0)),""))</f>
        <v/>
      </c>
      <c r="AF15" s="58" t="str">
        <f aca="false">IF('STUDENT SCREENING'!AE15="","",IFERROR(INDEX('SCORING MASTER'!$D$37:$D$39,MATCH('STUDENT SCREENING'!AE15,'SCORING MASTER'!$C$37:$C$39,0)),""))</f>
        <v/>
      </c>
      <c r="AG15" s="58" t="str">
        <f aca="false">IF('STUDENT SCREENING'!AF15="","",IFERROR(INDEX('SCORING MASTER'!$D$41:$D$43,MATCH('STUDENT SCREENING'!AF15,'SCORING MASTER'!$C$41:$C$43,0)),""))</f>
        <v/>
      </c>
      <c r="AH15" s="58" t="str">
        <f aca="false">IF('STUDENT SCREENING'!AG15="","",IFERROR(INDEX('SCORING MASTER'!$D$45:$D$47,MATCH('STUDENT SCREENING'!AG15,'SCORING MASTER'!$C$45:$C$47,0)),""))</f>
        <v/>
      </c>
      <c r="AI15" s="58" t="str">
        <f aca="false">IF('STUDENT SCREENING'!AH15="","",IFERROR(INDEX('SCORING MASTER'!$D$49:$D$52,MATCH('STUDENT SCREENING'!AH15,'SCORING MASTER'!$C$49:$C$52,0)),""))</f>
        <v/>
      </c>
      <c r="AJ15" s="58" t="str">
        <f aca="false">IF('STUDENT SCREENING'!AI15="","",IFERROR(INDEX('SCORING MASTER'!$D$54:$D$57,MATCH('STUDENT SCREENING'!AI15,'SCORING MASTER'!$C$54:$C$57,0)),""))</f>
        <v/>
      </c>
      <c r="AK15" s="58" t="str">
        <f aca="false">IF('STUDENT SCREENING'!AJ15="","",IFERROR(INDEX('SCORING MASTER'!$D$59:$D$60,MATCH('STUDENT SCREENING'!AJ15,'SCORING MASTER'!$C$59:$C$60,0)),""))</f>
        <v/>
      </c>
      <c r="AL15" s="58" t="str">
        <f aca="false">IF('STUDENT SCREENING'!AK15="","",IFERROR(INDEX('SCORING MASTER'!$D$62:$D$63,MATCH('STUDENT SCREENING'!AK15,'SCORING MASTER'!$C$62:$C$63,0)),""))</f>
        <v/>
      </c>
      <c r="AM15" s="58" t="str">
        <f aca="false">IF('STUDENT SCREENING'!AL15="","",IFERROR(INDEX('SCORING MASTER'!$D$65:$D$66,MATCH('STUDENT SCREENING'!AL15,'SCORING MASTER'!$C$65:$C$66,0)),""))</f>
        <v/>
      </c>
      <c r="AN15" s="58" t="str">
        <f aca="false">IF('STUDENT SCREENING'!AM15="","",IFERROR(INDEX('SCORING MASTER'!$D$68:$D$69,MATCH('STUDENT SCREENING'!AM15,'SCORING MASTER'!$C$68:$C$69,0)),""))</f>
        <v/>
      </c>
      <c r="AO15" s="58" t="str">
        <f aca="false">IF('STUDENT SCREENING'!AN15="","",IFERROR(INDEX('SCORING MASTER'!$D$71:$D$72,MATCH('STUDENT SCREENING'!AN15,'SCORING MASTER'!$C$71:$C$72,0)),""))</f>
        <v/>
      </c>
      <c r="AP15" s="58" t="str">
        <f aca="false">IF('STUDENT SCREENING'!AO15="","",IFERROR(INDEX('SCORING MASTER'!$D$74:$D$75,MATCH('STUDENT SCREENING'!AO15,'SCORING MASTER'!$C$74:$C$75,0)),""))</f>
        <v/>
      </c>
      <c r="AQ15" s="58" t="str">
        <f aca="false">IF('STUDENT SCREENING'!AP15="","",IFERROR(INDEX('SCORING MASTER'!$D$77:$D$78,MATCH('STUDENT SCREENING'!AP15,'SCORING MASTER'!$C$77:$C$78,0)),""))</f>
        <v/>
      </c>
      <c r="AR15" s="58" t="str">
        <f aca="false">IF('STUDENT SCREENING'!AQ15="","",IFERROR(INDEX('SCORING MASTER'!$D$80:$D$82,MATCH('STUDENT SCREENING'!AQ15,'SCORING MASTER'!$C$80:$C$82,0)),""))</f>
        <v/>
      </c>
      <c r="AS15" s="58" t="str">
        <f aca="false">IF('STUDENT SCREENING'!AR15="","",IFERROR(INDEX('SCORING MASTER'!$D$84:$D$86,MATCH('STUDENT SCREENING'!AR15,'SCORING MASTER'!$C$84:$C$86,0)),""))</f>
        <v/>
      </c>
      <c r="AT15" s="58" t="str">
        <f aca="false">IF('STUDENT SCREENING'!AS15="","",IFERROR(INDEX('SCORING MASTER'!$D$88:$D$90,MATCH('STUDENT SCREENING'!AS15,'SCORING MASTER'!$C$88:$C$90,0)),""))</f>
        <v/>
      </c>
      <c r="AU15" s="58" t="str">
        <f aca="false">IF('STUDENT SCREENING'!AT15="","",IFERROR(INDEX('SCORING MASTER'!$D$92:$D$93,MATCH('STUDENT SCREENING'!AT15,'SCORING MASTER'!$C$92:$C$93,0)),""))</f>
        <v/>
      </c>
      <c r="AV15" s="58" t="str">
        <f aca="false">IF('STUDENT SCREENING'!AU15="","",IFERROR(INDEX('SCORING MASTER'!$D$95:$D$96,MATCH('STUDENT SCREENING'!AU15,'SCORING MASTER'!$C$95:$C$96,0)),""))</f>
        <v/>
      </c>
      <c r="AW15" s="58" t="str">
        <f aca="false">IF('STUDENT SCREENING'!AV15="","",IFERROR(INDEX('SCORING MASTER'!$D$98:$D$99,MATCH('STUDENT SCREENING'!AV15,'SCORING MASTER'!$C$98:$C$99,0)),""))</f>
        <v/>
      </c>
      <c r="AX15" s="58" t="str">
        <f aca="false">IF('STUDENT SCREENING'!AW15="","",IFERROR(INDEX('SCORING MASTER'!$D$101:$D$102,MATCH('STUDENT SCREENING'!AW15,'SCORING MASTER'!$C$101:$C$102,0)),""))</f>
        <v/>
      </c>
      <c r="AY15" s="58" t="str">
        <f aca="false">IF('STUDENT SCREENING'!AX15="","",IFERROR(INDEX('SCORING MASTER'!$D$104:$D$105,MATCH('STUDENT SCREENING'!AX15,'SCORING MASTER'!$C$104:$C$105,0)),""))</f>
        <v/>
      </c>
      <c r="AZ15" s="58" t="str">
        <f aca="false">IF('STUDENT SCREENING'!AY15="","",IFERROR(INDEX('SCORING MASTER'!$D$107:$D$108,MATCH('STUDENT SCREENING'!AY15,'SCORING MASTER'!$C$107:$C$108,0)),""))</f>
        <v/>
      </c>
      <c r="BA15" s="58" t="str">
        <f aca="false">IF('STUDENT SCREENING'!AZ15="","",IFERROR(INDEX('SCORING MASTER'!$D$110:$D$111,MATCH('STUDENT SCREENING'!AZ15,'SCORING MASTER'!$C$110:$C$111,0)),""))</f>
        <v/>
      </c>
      <c r="BB15" s="58" t="str">
        <f aca="false">IF('STUDENT SCREENING'!BA15="","",IFERROR(INDEX('SCORING MASTER'!$D$113:$D$115,MATCH('STUDENT SCREENING'!BA15,'SCORING MASTER'!$C$113:$C$115,0)),""))</f>
        <v/>
      </c>
      <c r="BC15" s="58" t="str">
        <f aca="false">IF('STUDENT SCREENING'!BB15="","",IFERROR(INDEX('SCORING MASTER'!$D$117:$D$119,MATCH('STUDENT SCREENING'!BB15,'SCORING MASTER'!$C$117:$C$119,0)),""))</f>
        <v/>
      </c>
      <c r="BD15" s="58" t="str">
        <f aca="false">IF('STUDENT SCREENING'!BC15="","",IFERROR(INDEX('SCORING MASTER'!$D$121:$D$123,MATCH('STUDENT SCREENING'!BC15,'SCORING MASTER'!$C$121:$C$123,0)),""))</f>
        <v/>
      </c>
      <c r="BE15" s="58" t="str">
        <f aca="false">IF('STUDENT SCREENING'!BD15="","",IFERROR(INDEX('SCORING MASTER'!$D$125:$D$126,MATCH('STUDENT SCREENING'!BD15,'SCORING MASTER'!$C$125:$C$126,0)),""))</f>
        <v/>
      </c>
      <c r="BF15" s="58" t="str">
        <f aca="false">IF('STUDENT SCREENING'!BE15="","",IFERROR(INDEX('SCORING MASTER'!$D$128:$D$129,MATCH('STUDENT SCREENING'!BE15,'SCORING MASTER'!$C$128:$C$129,0)),""))</f>
        <v/>
      </c>
      <c r="BG15" s="58" t="str">
        <f aca="false">IF('STUDENT SCREENING'!BP15="","",IFERROR(MATCH('STUDENT SCREENING'!BP15,{"Red - High Risk","Orange - Moderate Risk","Yellow - Mild Risk","Light Green - Mild Watch","Green - Healthy"},0)-1,""))</f>
        <v/>
      </c>
      <c r="BH15" s="58" t="str">
        <f aca="false">IF('STUDENT SCREENING'!BQ15="","",IF('STUDENT SCREENING'!BQ15="Yes",1,0))</f>
        <v/>
      </c>
      <c r="BI15" s="58" t="str">
        <f aca="false">IF('STUDENT SCREENING'!BR15="","",IF('STUDENT SCREENING'!BR15="Yes",1,0))</f>
        <v/>
      </c>
    </row>
    <row r="16" customFormat="false" ht="15" hidden="false" customHeight="false" outlineLevel="0" collapsed="false">
      <c r="A16" s="57" t="str">
        <f aca="false">'STUDENT SCREENING'!A16</f>
        <v/>
      </c>
      <c r="B16" s="57" t="n">
        <f aca="false">'STUDENT SCREENING'!C16</f>
        <v>0</v>
      </c>
      <c r="C16" s="57" t="n">
        <f aca="false">'STUDENT SCREENING'!D16</f>
        <v>0</v>
      </c>
      <c r="D16" s="57" t="n">
        <f aca="false">'STUDENT SCREENING'!E16</f>
        <v>0</v>
      </c>
      <c r="E16" s="57" t="n">
        <f aca="false">'STUDENT SCREENING'!F16</f>
        <v>0</v>
      </c>
      <c r="F16" s="57" t="n">
        <f aca="false">'STUDENT SCREENING'!K16</f>
        <v>0</v>
      </c>
      <c r="G16" s="57" t="n">
        <f aca="false">'STUDENT SCREENING'!J16</f>
        <v>0</v>
      </c>
      <c r="H16" s="57" t="str">
        <f aca="false">IF('STUDENT SCREENING'!K16="","",IFERROR(MATCH('STUDENT SCREENING'!K16,Adm_Gender,0),""))</f>
        <v/>
      </c>
      <c r="I16" s="57" t="n">
        <f aca="false">'STUDENT SCREENING'!Q16</f>
        <v>0</v>
      </c>
      <c r="J16" s="57" t="n">
        <f aca="false">'STUDENT SCREENING'!R16</f>
        <v>0</v>
      </c>
      <c r="K16" s="57" t="str">
        <f aca="false">'STUDENT SCREENING'!S16</f>
        <v/>
      </c>
      <c r="L16" s="57" t="n">
        <f aca="false">'STUDENT SCREENING'!U16</f>
        <v>0</v>
      </c>
      <c r="M16" s="57" t="n">
        <f aca="false">'STUDENT SCREENING'!V16</f>
        <v>0</v>
      </c>
      <c r="N16" s="57" t="str">
        <f aca="false">'STUDENT SCREENING'!BF16</f>
        <v/>
      </c>
      <c r="O16" s="57" t="str">
        <f aca="false">'STUDENT SCREENING'!BG16</f>
        <v/>
      </c>
      <c r="P16" s="57" t="str">
        <f aca="false">'STUDENT SCREENING'!BH16</f>
        <v/>
      </c>
      <c r="Q16" s="57" t="str">
        <f aca="false">'STUDENT SCREENING'!BI16</f>
        <v/>
      </c>
      <c r="R16" s="57" t="str">
        <f aca="false">'STUDENT SCREENING'!BJ16</f>
        <v/>
      </c>
      <c r="S16" s="57" t="str">
        <f aca="false">'STUDENT SCREENING'!BK16</f>
        <v/>
      </c>
      <c r="T16" s="57" t="str">
        <f aca="false">'STUDENT SCREENING'!BL16</f>
        <v/>
      </c>
      <c r="U16" s="57" t="str">
        <f aca="false">'STUDENT SCREENING'!BM16</f>
        <v/>
      </c>
      <c r="V16" s="57" t="str">
        <f aca="false">'STUDENT SCREENING'!BN16</f>
        <v/>
      </c>
      <c r="W16" s="57" t="str">
        <f aca="false">'STUDENT SCREENING'!BO16</f>
        <v/>
      </c>
      <c r="X16" s="57" t="str">
        <f aca="false">IF('STUDENT SCREENING'!W16="","",IFERROR(INDEX('SCORING MASTER'!$D$5:$D$7,MATCH('STUDENT SCREENING'!W16,'SCORING MASTER'!$C$5:$C$7,0)),""))</f>
        <v/>
      </c>
      <c r="Y16" s="57" t="str">
        <f aca="false">IF('STUDENT SCREENING'!X16="","",IFERROR(INDEX('SCORING MASTER'!$D$9:$D$11,MATCH('STUDENT SCREENING'!X16,'SCORING MASTER'!$C$9:$C$11,0)),""))</f>
        <v/>
      </c>
      <c r="Z16" s="57" t="str">
        <f aca="false">IF('STUDENT SCREENING'!Y16="","",IFERROR(INDEX('SCORING MASTER'!$D$13:$D$15,MATCH('STUDENT SCREENING'!Y16,'SCORING MASTER'!$C$13:$C$15,0)),""))</f>
        <v/>
      </c>
      <c r="AA16" s="57" t="str">
        <f aca="false">IF('STUDENT SCREENING'!Z16="","",IFERROR(INDEX('SCORING MASTER'!$D$17:$D$19,MATCH('STUDENT SCREENING'!Z16,'SCORING MASTER'!$C$17:$C$19,0)),""))</f>
        <v/>
      </c>
      <c r="AB16" s="57" t="str">
        <f aca="false">IF('STUDENT SCREENING'!AA16="","",IFERROR(INDEX('SCORING MASTER'!$D$21:$D$23,MATCH('STUDENT SCREENING'!AA16,'SCORING MASTER'!$C$21:$C$23,0)),""))</f>
        <v/>
      </c>
      <c r="AC16" s="57" t="str">
        <f aca="false">IF('STUDENT SCREENING'!AB16="","",IFERROR(INDEX('SCORING MASTER'!$D$25:$D$27,MATCH('STUDENT SCREENING'!AB16,'SCORING MASTER'!$C$25:$C$27,0)),""))</f>
        <v/>
      </c>
      <c r="AD16" s="57" t="str">
        <f aca="false">IF('STUDENT SCREENING'!AC16="","",IFERROR(INDEX('SCORING MASTER'!$D$29:$D$31,MATCH('STUDENT SCREENING'!AC16,'SCORING MASTER'!$C$29:$C$31,0)),""))</f>
        <v/>
      </c>
      <c r="AE16" s="57" t="str">
        <f aca="false">IF('STUDENT SCREENING'!AD16="","",IFERROR(INDEX('SCORING MASTER'!$D$33:$D$35,MATCH('STUDENT SCREENING'!AD16,'SCORING MASTER'!$C$33:$C$35,0)),""))</f>
        <v/>
      </c>
      <c r="AF16" s="57" t="str">
        <f aca="false">IF('STUDENT SCREENING'!AE16="","",IFERROR(INDEX('SCORING MASTER'!$D$37:$D$39,MATCH('STUDENT SCREENING'!AE16,'SCORING MASTER'!$C$37:$C$39,0)),""))</f>
        <v/>
      </c>
      <c r="AG16" s="57" t="str">
        <f aca="false">IF('STUDENT SCREENING'!AF16="","",IFERROR(INDEX('SCORING MASTER'!$D$41:$D$43,MATCH('STUDENT SCREENING'!AF16,'SCORING MASTER'!$C$41:$C$43,0)),""))</f>
        <v/>
      </c>
      <c r="AH16" s="57" t="str">
        <f aca="false">IF('STUDENT SCREENING'!AG16="","",IFERROR(INDEX('SCORING MASTER'!$D$45:$D$47,MATCH('STUDENT SCREENING'!AG16,'SCORING MASTER'!$C$45:$C$47,0)),""))</f>
        <v/>
      </c>
      <c r="AI16" s="57" t="str">
        <f aca="false">IF('STUDENT SCREENING'!AH16="","",IFERROR(INDEX('SCORING MASTER'!$D$49:$D$52,MATCH('STUDENT SCREENING'!AH16,'SCORING MASTER'!$C$49:$C$52,0)),""))</f>
        <v/>
      </c>
      <c r="AJ16" s="57" t="str">
        <f aca="false">IF('STUDENT SCREENING'!AI16="","",IFERROR(INDEX('SCORING MASTER'!$D$54:$D$57,MATCH('STUDENT SCREENING'!AI16,'SCORING MASTER'!$C$54:$C$57,0)),""))</f>
        <v/>
      </c>
      <c r="AK16" s="57" t="str">
        <f aca="false">IF('STUDENT SCREENING'!AJ16="","",IFERROR(INDEX('SCORING MASTER'!$D$59:$D$60,MATCH('STUDENT SCREENING'!AJ16,'SCORING MASTER'!$C$59:$C$60,0)),""))</f>
        <v/>
      </c>
      <c r="AL16" s="57" t="str">
        <f aca="false">IF('STUDENT SCREENING'!AK16="","",IFERROR(INDEX('SCORING MASTER'!$D$62:$D$63,MATCH('STUDENT SCREENING'!AK16,'SCORING MASTER'!$C$62:$C$63,0)),""))</f>
        <v/>
      </c>
      <c r="AM16" s="57" t="str">
        <f aca="false">IF('STUDENT SCREENING'!AL16="","",IFERROR(INDEX('SCORING MASTER'!$D$65:$D$66,MATCH('STUDENT SCREENING'!AL16,'SCORING MASTER'!$C$65:$C$66,0)),""))</f>
        <v/>
      </c>
      <c r="AN16" s="57" t="str">
        <f aca="false">IF('STUDENT SCREENING'!AM16="","",IFERROR(INDEX('SCORING MASTER'!$D$68:$D$69,MATCH('STUDENT SCREENING'!AM16,'SCORING MASTER'!$C$68:$C$69,0)),""))</f>
        <v/>
      </c>
      <c r="AO16" s="57" t="str">
        <f aca="false">IF('STUDENT SCREENING'!AN16="","",IFERROR(INDEX('SCORING MASTER'!$D$71:$D$72,MATCH('STUDENT SCREENING'!AN16,'SCORING MASTER'!$C$71:$C$72,0)),""))</f>
        <v/>
      </c>
      <c r="AP16" s="57" t="str">
        <f aca="false">IF('STUDENT SCREENING'!AO16="","",IFERROR(INDEX('SCORING MASTER'!$D$74:$D$75,MATCH('STUDENT SCREENING'!AO16,'SCORING MASTER'!$C$74:$C$75,0)),""))</f>
        <v/>
      </c>
      <c r="AQ16" s="57" t="str">
        <f aca="false">IF('STUDENT SCREENING'!AP16="","",IFERROR(INDEX('SCORING MASTER'!$D$77:$D$78,MATCH('STUDENT SCREENING'!AP16,'SCORING MASTER'!$C$77:$C$78,0)),""))</f>
        <v/>
      </c>
      <c r="AR16" s="57" t="str">
        <f aca="false">IF('STUDENT SCREENING'!AQ16="","",IFERROR(INDEX('SCORING MASTER'!$D$80:$D$82,MATCH('STUDENT SCREENING'!AQ16,'SCORING MASTER'!$C$80:$C$82,0)),""))</f>
        <v/>
      </c>
      <c r="AS16" s="57" t="str">
        <f aca="false">IF('STUDENT SCREENING'!AR16="","",IFERROR(INDEX('SCORING MASTER'!$D$84:$D$86,MATCH('STUDENT SCREENING'!AR16,'SCORING MASTER'!$C$84:$C$86,0)),""))</f>
        <v/>
      </c>
      <c r="AT16" s="57" t="str">
        <f aca="false">IF('STUDENT SCREENING'!AS16="","",IFERROR(INDEX('SCORING MASTER'!$D$88:$D$90,MATCH('STUDENT SCREENING'!AS16,'SCORING MASTER'!$C$88:$C$90,0)),""))</f>
        <v/>
      </c>
      <c r="AU16" s="57" t="str">
        <f aca="false">IF('STUDENT SCREENING'!AT16="","",IFERROR(INDEX('SCORING MASTER'!$D$92:$D$93,MATCH('STUDENT SCREENING'!AT16,'SCORING MASTER'!$C$92:$C$93,0)),""))</f>
        <v/>
      </c>
      <c r="AV16" s="57" t="str">
        <f aca="false">IF('STUDENT SCREENING'!AU16="","",IFERROR(INDEX('SCORING MASTER'!$D$95:$D$96,MATCH('STUDENT SCREENING'!AU16,'SCORING MASTER'!$C$95:$C$96,0)),""))</f>
        <v/>
      </c>
      <c r="AW16" s="57" t="str">
        <f aca="false">IF('STUDENT SCREENING'!AV16="","",IFERROR(INDEX('SCORING MASTER'!$D$98:$D$99,MATCH('STUDENT SCREENING'!AV16,'SCORING MASTER'!$C$98:$C$99,0)),""))</f>
        <v/>
      </c>
      <c r="AX16" s="57" t="str">
        <f aca="false">IF('STUDENT SCREENING'!AW16="","",IFERROR(INDEX('SCORING MASTER'!$D$101:$D$102,MATCH('STUDENT SCREENING'!AW16,'SCORING MASTER'!$C$101:$C$102,0)),""))</f>
        <v/>
      </c>
      <c r="AY16" s="57" t="str">
        <f aca="false">IF('STUDENT SCREENING'!AX16="","",IFERROR(INDEX('SCORING MASTER'!$D$104:$D$105,MATCH('STUDENT SCREENING'!AX16,'SCORING MASTER'!$C$104:$C$105,0)),""))</f>
        <v/>
      </c>
      <c r="AZ16" s="57" t="str">
        <f aca="false">IF('STUDENT SCREENING'!AY16="","",IFERROR(INDEX('SCORING MASTER'!$D$107:$D$108,MATCH('STUDENT SCREENING'!AY16,'SCORING MASTER'!$C$107:$C$108,0)),""))</f>
        <v/>
      </c>
      <c r="BA16" s="57" t="str">
        <f aca="false">IF('STUDENT SCREENING'!AZ16="","",IFERROR(INDEX('SCORING MASTER'!$D$110:$D$111,MATCH('STUDENT SCREENING'!AZ16,'SCORING MASTER'!$C$110:$C$111,0)),""))</f>
        <v/>
      </c>
      <c r="BB16" s="57" t="str">
        <f aca="false">IF('STUDENT SCREENING'!BA16="","",IFERROR(INDEX('SCORING MASTER'!$D$113:$D$115,MATCH('STUDENT SCREENING'!BA16,'SCORING MASTER'!$C$113:$C$115,0)),""))</f>
        <v/>
      </c>
      <c r="BC16" s="57" t="str">
        <f aca="false">IF('STUDENT SCREENING'!BB16="","",IFERROR(INDEX('SCORING MASTER'!$D$117:$D$119,MATCH('STUDENT SCREENING'!BB16,'SCORING MASTER'!$C$117:$C$119,0)),""))</f>
        <v/>
      </c>
      <c r="BD16" s="57" t="str">
        <f aca="false">IF('STUDENT SCREENING'!BC16="","",IFERROR(INDEX('SCORING MASTER'!$D$121:$D$123,MATCH('STUDENT SCREENING'!BC16,'SCORING MASTER'!$C$121:$C$123,0)),""))</f>
        <v/>
      </c>
      <c r="BE16" s="57" t="str">
        <f aca="false">IF('STUDENT SCREENING'!BD16="","",IFERROR(INDEX('SCORING MASTER'!$D$125:$D$126,MATCH('STUDENT SCREENING'!BD16,'SCORING MASTER'!$C$125:$C$126,0)),""))</f>
        <v/>
      </c>
      <c r="BF16" s="57" t="str">
        <f aca="false">IF('STUDENT SCREENING'!BE16="","",IFERROR(INDEX('SCORING MASTER'!$D$128:$D$129,MATCH('STUDENT SCREENING'!BE16,'SCORING MASTER'!$C$128:$C$129,0)),""))</f>
        <v/>
      </c>
      <c r="BG16" s="57" t="str">
        <f aca="false">IF('STUDENT SCREENING'!BP16="","",IFERROR(MATCH('STUDENT SCREENING'!BP16,{"Red - High Risk","Orange - Moderate Risk","Yellow - Mild Risk","Light Green - Mild Watch","Green - Healthy"},0)-1,""))</f>
        <v/>
      </c>
      <c r="BH16" s="57" t="str">
        <f aca="false">IF('STUDENT SCREENING'!BQ16="","",IF('STUDENT SCREENING'!BQ16="Yes",1,0))</f>
        <v/>
      </c>
      <c r="BI16" s="57" t="str">
        <f aca="false">IF('STUDENT SCREENING'!BR16="","",IF('STUDENT SCREENING'!BR16="Yes",1,0))</f>
        <v/>
      </c>
    </row>
    <row r="17" customFormat="false" ht="15" hidden="false" customHeight="false" outlineLevel="0" collapsed="false">
      <c r="A17" s="58" t="str">
        <f aca="false">'STUDENT SCREENING'!A17</f>
        <v/>
      </c>
      <c r="B17" s="58" t="n">
        <f aca="false">'STUDENT SCREENING'!C17</f>
        <v>0</v>
      </c>
      <c r="C17" s="58" t="n">
        <f aca="false">'STUDENT SCREENING'!D17</f>
        <v>0</v>
      </c>
      <c r="D17" s="58" t="n">
        <f aca="false">'STUDENT SCREENING'!E17</f>
        <v>0</v>
      </c>
      <c r="E17" s="58" t="n">
        <f aca="false">'STUDENT SCREENING'!F17</f>
        <v>0</v>
      </c>
      <c r="F17" s="58" t="n">
        <f aca="false">'STUDENT SCREENING'!K17</f>
        <v>0</v>
      </c>
      <c r="G17" s="58" t="n">
        <f aca="false">'STUDENT SCREENING'!J17</f>
        <v>0</v>
      </c>
      <c r="H17" s="58" t="str">
        <f aca="false">IF('STUDENT SCREENING'!K17="","",IFERROR(MATCH('STUDENT SCREENING'!K17,Adm_Gender,0),""))</f>
        <v/>
      </c>
      <c r="I17" s="58" t="n">
        <f aca="false">'STUDENT SCREENING'!Q17</f>
        <v>0</v>
      </c>
      <c r="J17" s="58" t="n">
        <f aca="false">'STUDENT SCREENING'!R17</f>
        <v>0</v>
      </c>
      <c r="K17" s="58" t="str">
        <f aca="false">'STUDENT SCREENING'!S17</f>
        <v/>
      </c>
      <c r="L17" s="58" t="n">
        <f aca="false">'STUDENT SCREENING'!U17</f>
        <v>0</v>
      </c>
      <c r="M17" s="58" t="n">
        <f aca="false">'STUDENT SCREENING'!V17</f>
        <v>0</v>
      </c>
      <c r="N17" s="58" t="str">
        <f aca="false">'STUDENT SCREENING'!BF17</f>
        <v/>
      </c>
      <c r="O17" s="58" t="str">
        <f aca="false">'STUDENT SCREENING'!BG17</f>
        <v/>
      </c>
      <c r="P17" s="58" t="str">
        <f aca="false">'STUDENT SCREENING'!BH17</f>
        <v/>
      </c>
      <c r="Q17" s="58" t="str">
        <f aca="false">'STUDENT SCREENING'!BI17</f>
        <v/>
      </c>
      <c r="R17" s="58" t="str">
        <f aca="false">'STUDENT SCREENING'!BJ17</f>
        <v/>
      </c>
      <c r="S17" s="58" t="str">
        <f aca="false">'STUDENT SCREENING'!BK17</f>
        <v/>
      </c>
      <c r="T17" s="58" t="str">
        <f aca="false">'STUDENT SCREENING'!BL17</f>
        <v/>
      </c>
      <c r="U17" s="58" t="str">
        <f aca="false">'STUDENT SCREENING'!BM17</f>
        <v/>
      </c>
      <c r="V17" s="58" t="str">
        <f aca="false">'STUDENT SCREENING'!BN17</f>
        <v/>
      </c>
      <c r="W17" s="58" t="str">
        <f aca="false">'STUDENT SCREENING'!BO17</f>
        <v/>
      </c>
      <c r="X17" s="58" t="str">
        <f aca="false">IF('STUDENT SCREENING'!W17="","",IFERROR(INDEX('SCORING MASTER'!$D$5:$D$7,MATCH('STUDENT SCREENING'!W17,'SCORING MASTER'!$C$5:$C$7,0)),""))</f>
        <v/>
      </c>
      <c r="Y17" s="58" t="str">
        <f aca="false">IF('STUDENT SCREENING'!X17="","",IFERROR(INDEX('SCORING MASTER'!$D$9:$D$11,MATCH('STUDENT SCREENING'!X17,'SCORING MASTER'!$C$9:$C$11,0)),""))</f>
        <v/>
      </c>
      <c r="Z17" s="58" t="str">
        <f aca="false">IF('STUDENT SCREENING'!Y17="","",IFERROR(INDEX('SCORING MASTER'!$D$13:$D$15,MATCH('STUDENT SCREENING'!Y17,'SCORING MASTER'!$C$13:$C$15,0)),""))</f>
        <v/>
      </c>
      <c r="AA17" s="58" t="str">
        <f aca="false">IF('STUDENT SCREENING'!Z17="","",IFERROR(INDEX('SCORING MASTER'!$D$17:$D$19,MATCH('STUDENT SCREENING'!Z17,'SCORING MASTER'!$C$17:$C$19,0)),""))</f>
        <v/>
      </c>
      <c r="AB17" s="58" t="str">
        <f aca="false">IF('STUDENT SCREENING'!AA17="","",IFERROR(INDEX('SCORING MASTER'!$D$21:$D$23,MATCH('STUDENT SCREENING'!AA17,'SCORING MASTER'!$C$21:$C$23,0)),""))</f>
        <v/>
      </c>
      <c r="AC17" s="58" t="str">
        <f aca="false">IF('STUDENT SCREENING'!AB17="","",IFERROR(INDEX('SCORING MASTER'!$D$25:$D$27,MATCH('STUDENT SCREENING'!AB17,'SCORING MASTER'!$C$25:$C$27,0)),""))</f>
        <v/>
      </c>
      <c r="AD17" s="58" t="str">
        <f aca="false">IF('STUDENT SCREENING'!AC17="","",IFERROR(INDEX('SCORING MASTER'!$D$29:$D$31,MATCH('STUDENT SCREENING'!AC17,'SCORING MASTER'!$C$29:$C$31,0)),""))</f>
        <v/>
      </c>
      <c r="AE17" s="58" t="str">
        <f aca="false">IF('STUDENT SCREENING'!AD17="","",IFERROR(INDEX('SCORING MASTER'!$D$33:$D$35,MATCH('STUDENT SCREENING'!AD17,'SCORING MASTER'!$C$33:$C$35,0)),""))</f>
        <v/>
      </c>
      <c r="AF17" s="58" t="str">
        <f aca="false">IF('STUDENT SCREENING'!AE17="","",IFERROR(INDEX('SCORING MASTER'!$D$37:$D$39,MATCH('STUDENT SCREENING'!AE17,'SCORING MASTER'!$C$37:$C$39,0)),""))</f>
        <v/>
      </c>
      <c r="AG17" s="58" t="str">
        <f aca="false">IF('STUDENT SCREENING'!AF17="","",IFERROR(INDEX('SCORING MASTER'!$D$41:$D$43,MATCH('STUDENT SCREENING'!AF17,'SCORING MASTER'!$C$41:$C$43,0)),""))</f>
        <v/>
      </c>
      <c r="AH17" s="58" t="str">
        <f aca="false">IF('STUDENT SCREENING'!AG17="","",IFERROR(INDEX('SCORING MASTER'!$D$45:$D$47,MATCH('STUDENT SCREENING'!AG17,'SCORING MASTER'!$C$45:$C$47,0)),""))</f>
        <v/>
      </c>
      <c r="AI17" s="58" t="str">
        <f aca="false">IF('STUDENT SCREENING'!AH17="","",IFERROR(INDEX('SCORING MASTER'!$D$49:$D$52,MATCH('STUDENT SCREENING'!AH17,'SCORING MASTER'!$C$49:$C$52,0)),""))</f>
        <v/>
      </c>
      <c r="AJ17" s="58" t="str">
        <f aca="false">IF('STUDENT SCREENING'!AI17="","",IFERROR(INDEX('SCORING MASTER'!$D$54:$D$57,MATCH('STUDENT SCREENING'!AI17,'SCORING MASTER'!$C$54:$C$57,0)),""))</f>
        <v/>
      </c>
      <c r="AK17" s="58" t="str">
        <f aca="false">IF('STUDENT SCREENING'!AJ17="","",IFERROR(INDEX('SCORING MASTER'!$D$59:$D$60,MATCH('STUDENT SCREENING'!AJ17,'SCORING MASTER'!$C$59:$C$60,0)),""))</f>
        <v/>
      </c>
      <c r="AL17" s="58" t="str">
        <f aca="false">IF('STUDENT SCREENING'!AK17="","",IFERROR(INDEX('SCORING MASTER'!$D$62:$D$63,MATCH('STUDENT SCREENING'!AK17,'SCORING MASTER'!$C$62:$C$63,0)),""))</f>
        <v/>
      </c>
      <c r="AM17" s="58" t="str">
        <f aca="false">IF('STUDENT SCREENING'!AL17="","",IFERROR(INDEX('SCORING MASTER'!$D$65:$D$66,MATCH('STUDENT SCREENING'!AL17,'SCORING MASTER'!$C$65:$C$66,0)),""))</f>
        <v/>
      </c>
      <c r="AN17" s="58" t="str">
        <f aca="false">IF('STUDENT SCREENING'!AM17="","",IFERROR(INDEX('SCORING MASTER'!$D$68:$D$69,MATCH('STUDENT SCREENING'!AM17,'SCORING MASTER'!$C$68:$C$69,0)),""))</f>
        <v/>
      </c>
      <c r="AO17" s="58" t="str">
        <f aca="false">IF('STUDENT SCREENING'!AN17="","",IFERROR(INDEX('SCORING MASTER'!$D$71:$D$72,MATCH('STUDENT SCREENING'!AN17,'SCORING MASTER'!$C$71:$C$72,0)),""))</f>
        <v/>
      </c>
      <c r="AP17" s="58" t="str">
        <f aca="false">IF('STUDENT SCREENING'!AO17="","",IFERROR(INDEX('SCORING MASTER'!$D$74:$D$75,MATCH('STUDENT SCREENING'!AO17,'SCORING MASTER'!$C$74:$C$75,0)),""))</f>
        <v/>
      </c>
      <c r="AQ17" s="58" t="str">
        <f aca="false">IF('STUDENT SCREENING'!AP17="","",IFERROR(INDEX('SCORING MASTER'!$D$77:$D$78,MATCH('STUDENT SCREENING'!AP17,'SCORING MASTER'!$C$77:$C$78,0)),""))</f>
        <v/>
      </c>
      <c r="AR17" s="58" t="str">
        <f aca="false">IF('STUDENT SCREENING'!AQ17="","",IFERROR(INDEX('SCORING MASTER'!$D$80:$D$82,MATCH('STUDENT SCREENING'!AQ17,'SCORING MASTER'!$C$80:$C$82,0)),""))</f>
        <v/>
      </c>
      <c r="AS17" s="58" t="str">
        <f aca="false">IF('STUDENT SCREENING'!AR17="","",IFERROR(INDEX('SCORING MASTER'!$D$84:$D$86,MATCH('STUDENT SCREENING'!AR17,'SCORING MASTER'!$C$84:$C$86,0)),""))</f>
        <v/>
      </c>
      <c r="AT17" s="58" t="str">
        <f aca="false">IF('STUDENT SCREENING'!AS17="","",IFERROR(INDEX('SCORING MASTER'!$D$88:$D$90,MATCH('STUDENT SCREENING'!AS17,'SCORING MASTER'!$C$88:$C$90,0)),""))</f>
        <v/>
      </c>
      <c r="AU17" s="58" t="str">
        <f aca="false">IF('STUDENT SCREENING'!AT17="","",IFERROR(INDEX('SCORING MASTER'!$D$92:$D$93,MATCH('STUDENT SCREENING'!AT17,'SCORING MASTER'!$C$92:$C$93,0)),""))</f>
        <v/>
      </c>
      <c r="AV17" s="58" t="str">
        <f aca="false">IF('STUDENT SCREENING'!AU17="","",IFERROR(INDEX('SCORING MASTER'!$D$95:$D$96,MATCH('STUDENT SCREENING'!AU17,'SCORING MASTER'!$C$95:$C$96,0)),""))</f>
        <v/>
      </c>
      <c r="AW17" s="58" t="str">
        <f aca="false">IF('STUDENT SCREENING'!AV17="","",IFERROR(INDEX('SCORING MASTER'!$D$98:$D$99,MATCH('STUDENT SCREENING'!AV17,'SCORING MASTER'!$C$98:$C$99,0)),""))</f>
        <v/>
      </c>
      <c r="AX17" s="58" t="str">
        <f aca="false">IF('STUDENT SCREENING'!AW17="","",IFERROR(INDEX('SCORING MASTER'!$D$101:$D$102,MATCH('STUDENT SCREENING'!AW17,'SCORING MASTER'!$C$101:$C$102,0)),""))</f>
        <v/>
      </c>
      <c r="AY17" s="58" t="str">
        <f aca="false">IF('STUDENT SCREENING'!AX17="","",IFERROR(INDEX('SCORING MASTER'!$D$104:$D$105,MATCH('STUDENT SCREENING'!AX17,'SCORING MASTER'!$C$104:$C$105,0)),""))</f>
        <v/>
      </c>
      <c r="AZ17" s="58" t="str">
        <f aca="false">IF('STUDENT SCREENING'!AY17="","",IFERROR(INDEX('SCORING MASTER'!$D$107:$D$108,MATCH('STUDENT SCREENING'!AY17,'SCORING MASTER'!$C$107:$C$108,0)),""))</f>
        <v/>
      </c>
      <c r="BA17" s="58" t="str">
        <f aca="false">IF('STUDENT SCREENING'!AZ17="","",IFERROR(INDEX('SCORING MASTER'!$D$110:$D$111,MATCH('STUDENT SCREENING'!AZ17,'SCORING MASTER'!$C$110:$C$111,0)),""))</f>
        <v/>
      </c>
      <c r="BB17" s="58" t="str">
        <f aca="false">IF('STUDENT SCREENING'!BA17="","",IFERROR(INDEX('SCORING MASTER'!$D$113:$D$115,MATCH('STUDENT SCREENING'!BA17,'SCORING MASTER'!$C$113:$C$115,0)),""))</f>
        <v/>
      </c>
      <c r="BC17" s="58" t="str">
        <f aca="false">IF('STUDENT SCREENING'!BB17="","",IFERROR(INDEX('SCORING MASTER'!$D$117:$D$119,MATCH('STUDENT SCREENING'!BB17,'SCORING MASTER'!$C$117:$C$119,0)),""))</f>
        <v/>
      </c>
      <c r="BD17" s="58" t="str">
        <f aca="false">IF('STUDENT SCREENING'!BC17="","",IFERROR(INDEX('SCORING MASTER'!$D$121:$D$123,MATCH('STUDENT SCREENING'!BC17,'SCORING MASTER'!$C$121:$C$123,0)),""))</f>
        <v/>
      </c>
      <c r="BE17" s="58" t="str">
        <f aca="false">IF('STUDENT SCREENING'!BD17="","",IFERROR(INDEX('SCORING MASTER'!$D$125:$D$126,MATCH('STUDENT SCREENING'!BD17,'SCORING MASTER'!$C$125:$C$126,0)),""))</f>
        <v/>
      </c>
      <c r="BF17" s="58" t="str">
        <f aca="false">IF('STUDENT SCREENING'!BE17="","",IFERROR(INDEX('SCORING MASTER'!$D$128:$D$129,MATCH('STUDENT SCREENING'!BE17,'SCORING MASTER'!$C$128:$C$129,0)),""))</f>
        <v/>
      </c>
      <c r="BG17" s="58" t="str">
        <f aca="false">IF('STUDENT SCREENING'!BP17="","",IFERROR(MATCH('STUDENT SCREENING'!BP17,{"Red - High Risk","Orange - Moderate Risk","Yellow - Mild Risk","Light Green - Mild Watch","Green - Healthy"},0)-1,""))</f>
        <v/>
      </c>
      <c r="BH17" s="58" t="str">
        <f aca="false">IF('STUDENT SCREENING'!BQ17="","",IF('STUDENT SCREENING'!BQ17="Yes",1,0))</f>
        <v/>
      </c>
      <c r="BI17" s="58" t="str">
        <f aca="false">IF('STUDENT SCREENING'!BR17="","",IF('STUDENT SCREENING'!BR17="Yes",1,0))</f>
        <v/>
      </c>
    </row>
    <row r="18" customFormat="false" ht="15" hidden="false" customHeight="false" outlineLevel="0" collapsed="false">
      <c r="A18" s="57" t="str">
        <f aca="false">'STUDENT SCREENING'!A18</f>
        <v/>
      </c>
      <c r="B18" s="57" t="n">
        <f aca="false">'STUDENT SCREENING'!C18</f>
        <v>0</v>
      </c>
      <c r="C18" s="57" t="n">
        <f aca="false">'STUDENT SCREENING'!D18</f>
        <v>0</v>
      </c>
      <c r="D18" s="57" t="n">
        <f aca="false">'STUDENT SCREENING'!E18</f>
        <v>0</v>
      </c>
      <c r="E18" s="57" t="n">
        <f aca="false">'STUDENT SCREENING'!F18</f>
        <v>0</v>
      </c>
      <c r="F18" s="57" t="n">
        <f aca="false">'STUDENT SCREENING'!K18</f>
        <v>0</v>
      </c>
      <c r="G18" s="57" t="n">
        <f aca="false">'STUDENT SCREENING'!J18</f>
        <v>0</v>
      </c>
      <c r="H18" s="57" t="str">
        <f aca="false">IF('STUDENT SCREENING'!K18="","",IFERROR(MATCH('STUDENT SCREENING'!K18,Adm_Gender,0),""))</f>
        <v/>
      </c>
      <c r="I18" s="57" t="n">
        <f aca="false">'STUDENT SCREENING'!Q18</f>
        <v>0</v>
      </c>
      <c r="J18" s="57" t="n">
        <f aca="false">'STUDENT SCREENING'!R18</f>
        <v>0</v>
      </c>
      <c r="K18" s="57" t="str">
        <f aca="false">'STUDENT SCREENING'!S18</f>
        <v/>
      </c>
      <c r="L18" s="57" t="n">
        <f aca="false">'STUDENT SCREENING'!U18</f>
        <v>0</v>
      </c>
      <c r="M18" s="57" t="n">
        <f aca="false">'STUDENT SCREENING'!V18</f>
        <v>0</v>
      </c>
      <c r="N18" s="57" t="str">
        <f aca="false">'STUDENT SCREENING'!BF18</f>
        <v/>
      </c>
      <c r="O18" s="57" t="str">
        <f aca="false">'STUDENT SCREENING'!BG18</f>
        <v/>
      </c>
      <c r="P18" s="57" t="str">
        <f aca="false">'STUDENT SCREENING'!BH18</f>
        <v/>
      </c>
      <c r="Q18" s="57" t="str">
        <f aca="false">'STUDENT SCREENING'!BI18</f>
        <v/>
      </c>
      <c r="R18" s="57" t="str">
        <f aca="false">'STUDENT SCREENING'!BJ18</f>
        <v/>
      </c>
      <c r="S18" s="57" t="str">
        <f aca="false">'STUDENT SCREENING'!BK18</f>
        <v/>
      </c>
      <c r="T18" s="57" t="str">
        <f aca="false">'STUDENT SCREENING'!BL18</f>
        <v/>
      </c>
      <c r="U18" s="57" t="str">
        <f aca="false">'STUDENT SCREENING'!BM18</f>
        <v/>
      </c>
      <c r="V18" s="57" t="str">
        <f aca="false">'STUDENT SCREENING'!BN18</f>
        <v/>
      </c>
      <c r="W18" s="57" t="str">
        <f aca="false">'STUDENT SCREENING'!BO18</f>
        <v/>
      </c>
      <c r="X18" s="57" t="str">
        <f aca="false">IF('STUDENT SCREENING'!W18="","",IFERROR(INDEX('SCORING MASTER'!$D$5:$D$7,MATCH('STUDENT SCREENING'!W18,'SCORING MASTER'!$C$5:$C$7,0)),""))</f>
        <v/>
      </c>
      <c r="Y18" s="57" t="str">
        <f aca="false">IF('STUDENT SCREENING'!X18="","",IFERROR(INDEX('SCORING MASTER'!$D$9:$D$11,MATCH('STUDENT SCREENING'!X18,'SCORING MASTER'!$C$9:$C$11,0)),""))</f>
        <v/>
      </c>
      <c r="Z18" s="57" t="str">
        <f aca="false">IF('STUDENT SCREENING'!Y18="","",IFERROR(INDEX('SCORING MASTER'!$D$13:$D$15,MATCH('STUDENT SCREENING'!Y18,'SCORING MASTER'!$C$13:$C$15,0)),""))</f>
        <v/>
      </c>
      <c r="AA18" s="57" t="str">
        <f aca="false">IF('STUDENT SCREENING'!Z18="","",IFERROR(INDEX('SCORING MASTER'!$D$17:$D$19,MATCH('STUDENT SCREENING'!Z18,'SCORING MASTER'!$C$17:$C$19,0)),""))</f>
        <v/>
      </c>
      <c r="AB18" s="57" t="str">
        <f aca="false">IF('STUDENT SCREENING'!AA18="","",IFERROR(INDEX('SCORING MASTER'!$D$21:$D$23,MATCH('STUDENT SCREENING'!AA18,'SCORING MASTER'!$C$21:$C$23,0)),""))</f>
        <v/>
      </c>
      <c r="AC18" s="57" t="str">
        <f aca="false">IF('STUDENT SCREENING'!AB18="","",IFERROR(INDEX('SCORING MASTER'!$D$25:$D$27,MATCH('STUDENT SCREENING'!AB18,'SCORING MASTER'!$C$25:$C$27,0)),""))</f>
        <v/>
      </c>
      <c r="AD18" s="57" t="str">
        <f aca="false">IF('STUDENT SCREENING'!AC18="","",IFERROR(INDEX('SCORING MASTER'!$D$29:$D$31,MATCH('STUDENT SCREENING'!AC18,'SCORING MASTER'!$C$29:$C$31,0)),""))</f>
        <v/>
      </c>
      <c r="AE18" s="57" t="str">
        <f aca="false">IF('STUDENT SCREENING'!AD18="","",IFERROR(INDEX('SCORING MASTER'!$D$33:$D$35,MATCH('STUDENT SCREENING'!AD18,'SCORING MASTER'!$C$33:$C$35,0)),""))</f>
        <v/>
      </c>
      <c r="AF18" s="57" t="str">
        <f aca="false">IF('STUDENT SCREENING'!AE18="","",IFERROR(INDEX('SCORING MASTER'!$D$37:$D$39,MATCH('STUDENT SCREENING'!AE18,'SCORING MASTER'!$C$37:$C$39,0)),""))</f>
        <v/>
      </c>
      <c r="AG18" s="57" t="str">
        <f aca="false">IF('STUDENT SCREENING'!AF18="","",IFERROR(INDEX('SCORING MASTER'!$D$41:$D$43,MATCH('STUDENT SCREENING'!AF18,'SCORING MASTER'!$C$41:$C$43,0)),""))</f>
        <v/>
      </c>
      <c r="AH18" s="57" t="str">
        <f aca="false">IF('STUDENT SCREENING'!AG18="","",IFERROR(INDEX('SCORING MASTER'!$D$45:$D$47,MATCH('STUDENT SCREENING'!AG18,'SCORING MASTER'!$C$45:$C$47,0)),""))</f>
        <v/>
      </c>
      <c r="AI18" s="57" t="str">
        <f aca="false">IF('STUDENT SCREENING'!AH18="","",IFERROR(INDEX('SCORING MASTER'!$D$49:$D$52,MATCH('STUDENT SCREENING'!AH18,'SCORING MASTER'!$C$49:$C$52,0)),""))</f>
        <v/>
      </c>
      <c r="AJ18" s="57" t="str">
        <f aca="false">IF('STUDENT SCREENING'!AI18="","",IFERROR(INDEX('SCORING MASTER'!$D$54:$D$57,MATCH('STUDENT SCREENING'!AI18,'SCORING MASTER'!$C$54:$C$57,0)),""))</f>
        <v/>
      </c>
      <c r="AK18" s="57" t="str">
        <f aca="false">IF('STUDENT SCREENING'!AJ18="","",IFERROR(INDEX('SCORING MASTER'!$D$59:$D$60,MATCH('STUDENT SCREENING'!AJ18,'SCORING MASTER'!$C$59:$C$60,0)),""))</f>
        <v/>
      </c>
      <c r="AL18" s="57" t="str">
        <f aca="false">IF('STUDENT SCREENING'!AK18="","",IFERROR(INDEX('SCORING MASTER'!$D$62:$D$63,MATCH('STUDENT SCREENING'!AK18,'SCORING MASTER'!$C$62:$C$63,0)),""))</f>
        <v/>
      </c>
      <c r="AM18" s="57" t="str">
        <f aca="false">IF('STUDENT SCREENING'!AL18="","",IFERROR(INDEX('SCORING MASTER'!$D$65:$D$66,MATCH('STUDENT SCREENING'!AL18,'SCORING MASTER'!$C$65:$C$66,0)),""))</f>
        <v/>
      </c>
      <c r="AN18" s="57" t="str">
        <f aca="false">IF('STUDENT SCREENING'!AM18="","",IFERROR(INDEX('SCORING MASTER'!$D$68:$D$69,MATCH('STUDENT SCREENING'!AM18,'SCORING MASTER'!$C$68:$C$69,0)),""))</f>
        <v/>
      </c>
      <c r="AO18" s="57" t="str">
        <f aca="false">IF('STUDENT SCREENING'!AN18="","",IFERROR(INDEX('SCORING MASTER'!$D$71:$D$72,MATCH('STUDENT SCREENING'!AN18,'SCORING MASTER'!$C$71:$C$72,0)),""))</f>
        <v/>
      </c>
      <c r="AP18" s="57" t="str">
        <f aca="false">IF('STUDENT SCREENING'!AO18="","",IFERROR(INDEX('SCORING MASTER'!$D$74:$D$75,MATCH('STUDENT SCREENING'!AO18,'SCORING MASTER'!$C$74:$C$75,0)),""))</f>
        <v/>
      </c>
      <c r="AQ18" s="57" t="str">
        <f aca="false">IF('STUDENT SCREENING'!AP18="","",IFERROR(INDEX('SCORING MASTER'!$D$77:$D$78,MATCH('STUDENT SCREENING'!AP18,'SCORING MASTER'!$C$77:$C$78,0)),""))</f>
        <v/>
      </c>
      <c r="AR18" s="57" t="str">
        <f aca="false">IF('STUDENT SCREENING'!AQ18="","",IFERROR(INDEX('SCORING MASTER'!$D$80:$D$82,MATCH('STUDENT SCREENING'!AQ18,'SCORING MASTER'!$C$80:$C$82,0)),""))</f>
        <v/>
      </c>
      <c r="AS18" s="57" t="str">
        <f aca="false">IF('STUDENT SCREENING'!AR18="","",IFERROR(INDEX('SCORING MASTER'!$D$84:$D$86,MATCH('STUDENT SCREENING'!AR18,'SCORING MASTER'!$C$84:$C$86,0)),""))</f>
        <v/>
      </c>
      <c r="AT18" s="57" t="str">
        <f aca="false">IF('STUDENT SCREENING'!AS18="","",IFERROR(INDEX('SCORING MASTER'!$D$88:$D$90,MATCH('STUDENT SCREENING'!AS18,'SCORING MASTER'!$C$88:$C$90,0)),""))</f>
        <v/>
      </c>
      <c r="AU18" s="57" t="str">
        <f aca="false">IF('STUDENT SCREENING'!AT18="","",IFERROR(INDEX('SCORING MASTER'!$D$92:$D$93,MATCH('STUDENT SCREENING'!AT18,'SCORING MASTER'!$C$92:$C$93,0)),""))</f>
        <v/>
      </c>
      <c r="AV18" s="57" t="str">
        <f aca="false">IF('STUDENT SCREENING'!AU18="","",IFERROR(INDEX('SCORING MASTER'!$D$95:$D$96,MATCH('STUDENT SCREENING'!AU18,'SCORING MASTER'!$C$95:$C$96,0)),""))</f>
        <v/>
      </c>
      <c r="AW18" s="57" t="str">
        <f aca="false">IF('STUDENT SCREENING'!AV18="","",IFERROR(INDEX('SCORING MASTER'!$D$98:$D$99,MATCH('STUDENT SCREENING'!AV18,'SCORING MASTER'!$C$98:$C$99,0)),""))</f>
        <v/>
      </c>
      <c r="AX18" s="57" t="str">
        <f aca="false">IF('STUDENT SCREENING'!AW18="","",IFERROR(INDEX('SCORING MASTER'!$D$101:$D$102,MATCH('STUDENT SCREENING'!AW18,'SCORING MASTER'!$C$101:$C$102,0)),""))</f>
        <v/>
      </c>
      <c r="AY18" s="57" t="str">
        <f aca="false">IF('STUDENT SCREENING'!AX18="","",IFERROR(INDEX('SCORING MASTER'!$D$104:$D$105,MATCH('STUDENT SCREENING'!AX18,'SCORING MASTER'!$C$104:$C$105,0)),""))</f>
        <v/>
      </c>
      <c r="AZ18" s="57" t="str">
        <f aca="false">IF('STUDENT SCREENING'!AY18="","",IFERROR(INDEX('SCORING MASTER'!$D$107:$D$108,MATCH('STUDENT SCREENING'!AY18,'SCORING MASTER'!$C$107:$C$108,0)),""))</f>
        <v/>
      </c>
      <c r="BA18" s="57" t="str">
        <f aca="false">IF('STUDENT SCREENING'!AZ18="","",IFERROR(INDEX('SCORING MASTER'!$D$110:$D$111,MATCH('STUDENT SCREENING'!AZ18,'SCORING MASTER'!$C$110:$C$111,0)),""))</f>
        <v/>
      </c>
      <c r="BB18" s="57" t="str">
        <f aca="false">IF('STUDENT SCREENING'!BA18="","",IFERROR(INDEX('SCORING MASTER'!$D$113:$D$115,MATCH('STUDENT SCREENING'!BA18,'SCORING MASTER'!$C$113:$C$115,0)),""))</f>
        <v/>
      </c>
      <c r="BC18" s="57" t="str">
        <f aca="false">IF('STUDENT SCREENING'!BB18="","",IFERROR(INDEX('SCORING MASTER'!$D$117:$D$119,MATCH('STUDENT SCREENING'!BB18,'SCORING MASTER'!$C$117:$C$119,0)),""))</f>
        <v/>
      </c>
      <c r="BD18" s="57" t="str">
        <f aca="false">IF('STUDENT SCREENING'!BC18="","",IFERROR(INDEX('SCORING MASTER'!$D$121:$D$123,MATCH('STUDENT SCREENING'!BC18,'SCORING MASTER'!$C$121:$C$123,0)),""))</f>
        <v/>
      </c>
      <c r="BE18" s="57" t="str">
        <f aca="false">IF('STUDENT SCREENING'!BD18="","",IFERROR(INDEX('SCORING MASTER'!$D$125:$D$126,MATCH('STUDENT SCREENING'!BD18,'SCORING MASTER'!$C$125:$C$126,0)),""))</f>
        <v/>
      </c>
      <c r="BF18" s="57" t="str">
        <f aca="false">IF('STUDENT SCREENING'!BE18="","",IFERROR(INDEX('SCORING MASTER'!$D$128:$D$129,MATCH('STUDENT SCREENING'!BE18,'SCORING MASTER'!$C$128:$C$129,0)),""))</f>
        <v/>
      </c>
      <c r="BG18" s="57" t="str">
        <f aca="false">IF('STUDENT SCREENING'!BP18="","",IFERROR(MATCH('STUDENT SCREENING'!BP18,{"Red - High Risk","Orange - Moderate Risk","Yellow - Mild Risk","Light Green - Mild Watch","Green - Healthy"},0)-1,""))</f>
        <v/>
      </c>
      <c r="BH18" s="57" t="str">
        <f aca="false">IF('STUDENT SCREENING'!BQ18="","",IF('STUDENT SCREENING'!BQ18="Yes",1,0))</f>
        <v/>
      </c>
      <c r="BI18" s="57" t="str">
        <f aca="false">IF('STUDENT SCREENING'!BR18="","",IF('STUDENT SCREENING'!BR18="Yes",1,0))</f>
        <v/>
      </c>
    </row>
    <row r="19" customFormat="false" ht="15" hidden="false" customHeight="false" outlineLevel="0" collapsed="false">
      <c r="A19" s="58" t="str">
        <f aca="false">'STUDENT SCREENING'!A19</f>
        <v/>
      </c>
      <c r="B19" s="58" t="n">
        <f aca="false">'STUDENT SCREENING'!C19</f>
        <v>0</v>
      </c>
      <c r="C19" s="58" t="n">
        <f aca="false">'STUDENT SCREENING'!D19</f>
        <v>0</v>
      </c>
      <c r="D19" s="58" t="n">
        <f aca="false">'STUDENT SCREENING'!E19</f>
        <v>0</v>
      </c>
      <c r="E19" s="58" t="n">
        <f aca="false">'STUDENT SCREENING'!F19</f>
        <v>0</v>
      </c>
      <c r="F19" s="58" t="n">
        <f aca="false">'STUDENT SCREENING'!K19</f>
        <v>0</v>
      </c>
      <c r="G19" s="58" t="n">
        <f aca="false">'STUDENT SCREENING'!J19</f>
        <v>0</v>
      </c>
      <c r="H19" s="58" t="str">
        <f aca="false">IF('STUDENT SCREENING'!K19="","",IFERROR(MATCH('STUDENT SCREENING'!K19,Adm_Gender,0),""))</f>
        <v/>
      </c>
      <c r="I19" s="58" t="n">
        <f aca="false">'STUDENT SCREENING'!Q19</f>
        <v>0</v>
      </c>
      <c r="J19" s="58" t="n">
        <f aca="false">'STUDENT SCREENING'!R19</f>
        <v>0</v>
      </c>
      <c r="K19" s="58" t="str">
        <f aca="false">'STUDENT SCREENING'!S19</f>
        <v/>
      </c>
      <c r="L19" s="58" t="n">
        <f aca="false">'STUDENT SCREENING'!U19</f>
        <v>0</v>
      </c>
      <c r="M19" s="58" t="n">
        <f aca="false">'STUDENT SCREENING'!V19</f>
        <v>0</v>
      </c>
      <c r="N19" s="58" t="str">
        <f aca="false">'STUDENT SCREENING'!BF19</f>
        <v/>
      </c>
      <c r="O19" s="58" t="str">
        <f aca="false">'STUDENT SCREENING'!BG19</f>
        <v/>
      </c>
      <c r="P19" s="58" t="str">
        <f aca="false">'STUDENT SCREENING'!BH19</f>
        <v/>
      </c>
      <c r="Q19" s="58" t="str">
        <f aca="false">'STUDENT SCREENING'!BI19</f>
        <v/>
      </c>
      <c r="R19" s="58" t="str">
        <f aca="false">'STUDENT SCREENING'!BJ19</f>
        <v/>
      </c>
      <c r="S19" s="58" t="str">
        <f aca="false">'STUDENT SCREENING'!BK19</f>
        <v/>
      </c>
      <c r="T19" s="58" t="str">
        <f aca="false">'STUDENT SCREENING'!BL19</f>
        <v/>
      </c>
      <c r="U19" s="58" t="str">
        <f aca="false">'STUDENT SCREENING'!BM19</f>
        <v/>
      </c>
      <c r="V19" s="58" t="str">
        <f aca="false">'STUDENT SCREENING'!BN19</f>
        <v/>
      </c>
      <c r="W19" s="58" t="str">
        <f aca="false">'STUDENT SCREENING'!BO19</f>
        <v/>
      </c>
      <c r="X19" s="58" t="str">
        <f aca="false">IF('STUDENT SCREENING'!W19="","",IFERROR(INDEX('SCORING MASTER'!$D$5:$D$7,MATCH('STUDENT SCREENING'!W19,'SCORING MASTER'!$C$5:$C$7,0)),""))</f>
        <v/>
      </c>
      <c r="Y19" s="58" t="str">
        <f aca="false">IF('STUDENT SCREENING'!X19="","",IFERROR(INDEX('SCORING MASTER'!$D$9:$D$11,MATCH('STUDENT SCREENING'!X19,'SCORING MASTER'!$C$9:$C$11,0)),""))</f>
        <v/>
      </c>
      <c r="Z19" s="58" t="str">
        <f aca="false">IF('STUDENT SCREENING'!Y19="","",IFERROR(INDEX('SCORING MASTER'!$D$13:$D$15,MATCH('STUDENT SCREENING'!Y19,'SCORING MASTER'!$C$13:$C$15,0)),""))</f>
        <v/>
      </c>
      <c r="AA19" s="58" t="str">
        <f aca="false">IF('STUDENT SCREENING'!Z19="","",IFERROR(INDEX('SCORING MASTER'!$D$17:$D$19,MATCH('STUDENT SCREENING'!Z19,'SCORING MASTER'!$C$17:$C$19,0)),""))</f>
        <v/>
      </c>
      <c r="AB19" s="58" t="str">
        <f aca="false">IF('STUDENT SCREENING'!AA19="","",IFERROR(INDEX('SCORING MASTER'!$D$21:$D$23,MATCH('STUDENT SCREENING'!AA19,'SCORING MASTER'!$C$21:$C$23,0)),""))</f>
        <v/>
      </c>
      <c r="AC19" s="58" t="str">
        <f aca="false">IF('STUDENT SCREENING'!AB19="","",IFERROR(INDEX('SCORING MASTER'!$D$25:$D$27,MATCH('STUDENT SCREENING'!AB19,'SCORING MASTER'!$C$25:$C$27,0)),""))</f>
        <v/>
      </c>
      <c r="AD19" s="58" t="str">
        <f aca="false">IF('STUDENT SCREENING'!AC19="","",IFERROR(INDEX('SCORING MASTER'!$D$29:$D$31,MATCH('STUDENT SCREENING'!AC19,'SCORING MASTER'!$C$29:$C$31,0)),""))</f>
        <v/>
      </c>
      <c r="AE19" s="58" t="str">
        <f aca="false">IF('STUDENT SCREENING'!AD19="","",IFERROR(INDEX('SCORING MASTER'!$D$33:$D$35,MATCH('STUDENT SCREENING'!AD19,'SCORING MASTER'!$C$33:$C$35,0)),""))</f>
        <v/>
      </c>
      <c r="AF19" s="58" t="str">
        <f aca="false">IF('STUDENT SCREENING'!AE19="","",IFERROR(INDEX('SCORING MASTER'!$D$37:$D$39,MATCH('STUDENT SCREENING'!AE19,'SCORING MASTER'!$C$37:$C$39,0)),""))</f>
        <v/>
      </c>
      <c r="AG19" s="58" t="str">
        <f aca="false">IF('STUDENT SCREENING'!AF19="","",IFERROR(INDEX('SCORING MASTER'!$D$41:$D$43,MATCH('STUDENT SCREENING'!AF19,'SCORING MASTER'!$C$41:$C$43,0)),""))</f>
        <v/>
      </c>
      <c r="AH19" s="58" t="str">
        <f aca="false">IF('STUDENT SCREENING'!AG19="","",IFERROR(INDEX('SCORING MASTER'!$D$45:$D$47,MATCH('STUDENT SCREENING'!AG19,'SCORING MASTER'!$C$45:$C$47,0)),""))</f>
        <v/>
      </c>
      <c r="AI19" s="58" t="str">
        <f aca="false">IF('STUDENT SCREENING'!AH19="","",IFERROR(INDEX('SCORING MASTER'!$D$49:$D$52,MATCH('STUDENT SCREENING'!AH19,'SCORING MASTER'!$C$49:$C$52,0)),""))</f>
        <v/>
      </c>
      <c r="AJ19" s="58" t="str">
        <f aca="false">IF('STUDENT SCREENING'!AI19="","",IFERROR(INDEX('SCORING MASTER'!$D$54:$D$57,MATCH('STUDENT SCREENING'!AI19,'SCORING MASTER'!$C$54:$C$57,0)),""))</f>
        <v/>
      </c>
      <c r="AK19" s="58" t="str">
        <f aca="false">IF('STUDENT SCREENING'!AJ19="","",IFERROR(INDEX('SCORING MASTER'!$D$59:$D$60,MATCH('STUDENT SCREENING'!AJ19,'SCORING MASTER'!$C$59:$C$60,0)),""))</f>
        <v/>
      </c>
      <c r="AL19" s="58" t="str">
        <f aca="false">IF('STUDENT SCREENING'!AK19="","",IFERROR(INDEX('SCORING MASTER'!$D$62:$D$63,MATCH('STUDENT SCREENING'!AK19,'SCORING MASTER'!$C$62:$C$63,0)),""))</f>
        <v/>
      </c>
      <c r="AM19" s="58" t="str">
        <f aca="false">IF('STUDENT SCREENING'!AL19="","",IFERROR(INDEX('SCORING MASTER'!$D$65:$D$66,MATCH('STUDENT SCREENING'!AL19,'SCORING MASTER'!$C$65:$C$66,0)),""))</f>
        <v/>
      </c>
      <c r="AN19" s="58" t="str">
        <f aca="false">IF('STUDENT SCREENING'!AM19="","",IFERROR(INDEX('SCORING MASTER'!$D$68:$D$69,MATCH('STUDENT SCREENING'!AM19,'SCORING MASTER'!$C$68:$C$69,0)),""))</f>
        <v/>
      </c>
      <c r="AO19" s="58" t="str">
        <f aca="false">IF('STUDENT SCREENING'!AN19="","",IFERROR(INDEX('SCORING MASTER'!$D$71:$D$72,MATCH('STUDENT SCREENING'!AN19,'SCORING MASTER'!$C$71:$C$72,0)),""))</f>
        <v/>
      </c>
      <c r="AP19" s="58" t="str">
        <f aca="false">IF('STUDENT SCREENING'!AO19="","",IFERROR(INDEX('SCORING MASTER'!$D$74:$D$75,MATCH('STUDENT SCREENING'!AO19,'SCORING MASTER'!$C$74:$C$75,0)),""))</f>
        <v/>
      </c>
      <c r="AQ19" s="58" t="str">
        <f aca="false">IF('STUDENT SCREENING'!AP19="","",IFERROR(INDEX('SCORING MASTER'!$D$77:$D$78,MATCH('STUDENT SCREENING'!AP19,'SCORING MASTER'!$C$77:$C$78,0)),""))</f>
        <v/>
      </c>
      <c r="AR19" s="58" t="str">
        <f aca="false">IF('STUDENT SCREENING'!AQ19="","",IFERROR(INDEX('SCORING MASTER'!$D$80:$D$82,MATCH('STUDENT SCREENING'!AQ19,'SCORING MASTER'!$C$80:$C$82,0)),""))</f>
        <v/>
      </c>
      <c r="AS19" s="58" t="str">
        <f aca="false">IF('STUDENT SCREENING'!AR19="","",IFERROR(INDEX('SCORING MASTER'!$D$84:$D$86,MATCH('STUDENT SCREENING'!AR19,'SCORING MASTER'!$C$84:$C$86,0)),""))</f>
        <v/>
      </c>
      <c r="AT19" s="58" t="str">
        <f aca="false">IF('STUDENT SCREENING'!AS19="","",IFERROR(INDEX('SCORING MASTER'!$D$88:$D$90,MATCH('STUDENT SCREENING'!AS19,'SCORING MASTER'!$C$88:$C$90,0)),""))</f>
        <v/>
      </c>
      <c r="AU19" s="58" t="str">
        <f aca="false">IF('STUDENT SCREENING'!AT19="","",IFERROR(INDEX('SCORING MASTER'!$D$92:$D$93,MATCH('STUDENT SCREENING'!AT19,'SCORING MASTER'!$C$92:$C$93,0)),""))</f>
        <v/>
      </c>
      <c r="AV19" s="58" t="str">
        <f aca="false">IF('STUDENT SCREENING'!AU19="","",IFERROR(INDEX('SCORING MASTER'!$D$95:$D$96,MATCH('STUDENT SCREENING'!AU19,'SCORING MASTER'!$C$95:$C$96,0)),""))</f>
        <v/>
      </c>
      <c r="AW19" s="58" t="str">
        <f aca="false">IF('STUDENT SCREENING'!AV19="","",IFERROR(INDEX('SCORING MASTER'!$D$98:$D$99,MATCH('STUDENT SCREENING'!AV19,'SCORING MASTER'!$C$98:$C$99,0)),""))</f>
        <v/>
      </c>
      <c r="AX19" s="58" t="str">
        <f aca="false">IF('STUDENT SCREENING'!AW19="","",IFERROR(INDEX('SCORING MASTER'!$D$101:$D$102,MATCH('STUDENT SCREENING'!AW19,'SCORING MASTER'!$C$101:$C$102,0)),""))</f>
        <v/>
      </c>
      <c r="AY19" s="58" t="str">
        <f aca="false">IF('STUDENT SCREENING'!AX19="","",IFERROR(INDEX('SCORING MASTER'!$D$104:$D$105,MATCH('STUDENT SCREENING'!AX19,'SCORING MASTER'!$C$104:$C$105,0)),""))</f>
        <v/>
      </c>
      <c r="AZ19" s="58" t="str">
        <f aca="false">IF('STUDENT SCREENING'!AY19="","",IFERROR(INDEX('SCORING MASTER'!$D$107:$D$108,MATCH('STUDENT SCREENING'!AY19,'SCORING MASTER'!$C$107:$C$108,0)),""))</f>
        <v/>
      </c>
      <c r="BA19" s="58" t="str">
        <f aca="false">IF('STUDENT SCREENING'!AZ19="","",IFERROR(INDEX('SCORING MASTER'!$D$110:$D$111,MATCH('STUDENT SCREENING'!AZ19,'SCORING MASTER'!$C$110:$C$111,0)),""))</f>
        <v/>
      </c>
      <c r="BB19" s="58" t="str">
        <f aca="false">IF('STUDENT SCREENING'!BA19="","",IFERROR(INDEX('SCORING MASTER'!$D$113:$D$115,MATCH('STUDENT SCREENING'!BA19,'SCORING MASTER'!$C$113:$C$115,0)),""))</f>
        <v/>
      </c>
      <c r="BC19" s="58" t="str">
        <f aca="false">IF('STUDENT SCREENING'!BB19="","",IFERROR(INDEX('SCORING MASTER'!$D$117:$D$119,MATCH('STUDENT SCREENING'!BB19,'SCORING MASTER'!$C$117:$C$119,0)),""))</f>
        <v/>
      </c>
      <c r="BD19" s="58" t="str">
        <f aca="false">IF('STUDENT SCREENING'!BC19="","",IFERROR(INDEX('SCORING MASTER'!$D$121:$D$123,MATCH('STUDENT SCREENING'!BC19,'SCORING MASTER'!$C$121:$C$123,0)),""))</f>
        <v/>
      </c>
      <c r="BE19" s="58" t="str">
        <f aca="false">IF('STUDENT SCREENING'!BD19="","",IFERROR(INDEX('SCORING MASTER'!$D$125:$D$126,MATCH('STUDENT SCREENING'!BD19,'SCORING MASTER'!$C$125:$C$126,0)),""))</f>
        <v/>
      </c>
      <c r="BF19" s="58" t="str">
        <f aca="false">IF('STUDENT SCREENING'!BE19="","",IFERROR(INDEX('SCORING MASTER'!$D$128:$D$129,MATCH('STUDENT SCREENING'!BE19,'SCORING MASTER'!$C$128:$C$129,0)),""))</f>
        <v/>
      </c>
      <c r="BG19" s="58" t="str">
        <f aca="false">IF('STUDENT SCREENING'!BP19="","",IFERROR(MATCH('STUDENT SCREENING'!BP19,{"Red - High Risk","Orange - Moderate Risk","Yellow - Mild Risk","Light Green - Mild Watch","Green - Healthy"},0)-1,""))</f>
        <v/>
      </c>
      <c r="BH19" s="58" t="str">
        <f aca="false">IF('STUDENT SCREENING'!BQ19="","",IF('STUDENT SCREENING'!BQ19="Yes",1,0))</f>
        <v/>
      </c>
      <c r="BI19" s="58" t="str">
        <f aca="false">IF('STUDENT SCREENING'!BR19="","",IF('STUDENT SCREENING'!BR19="Yes",1,0))</f>
        <v/>
      </c>
    </row>
    <row r="20" customFormat="false" ht="15" hidden="false" customHeight="false" outlineLevel="0" collapsed="false">
      <c r="A20" s="57" t="str">
        <f aca="false">'STUDENT SCREENING'!A20</f>
        <v/>
      </c>
      <c r="B20" s="57" t="n">
        <f aca="false">'STUDENT SCREENING'!C20</f>
        <v>0</v>
      </c>
      <c r="C20" s="57" t="n">
        <f aca="false">'STUDENT SCREENING'!D20</f>
        <v>0</v>
      </c>
      <c r="D20" s="57" t="n">
        <f aca="false">'STUDENT SCREENING'!E20</f>
        <v>0</v>
      </c>
      <c r="E20" s="57" t="n">
        <f aca="false">'STUDENT SCREENING'!F20</f>
        <v>0</v>
      </c>
      <c r="F20" s="57" t="n">
        <f aca="false">'STUDENT SCREENING'!K20</f>
        <v>0</v>
      </c>
      <c r="G20" s="57" t="n">
        <f aca="false">'STUDENT SCREENING'!J20</f>
        <v>0</v>
      </c>
      <c r="H20" s="57" t="str">
        <f aca="false">IF('STUDENT SCREENING'!K20="","",IFERROR(MATCH('STUDENT SCREENING'!K20,Adm_Gender,0),""))</f>
        <v/>
      </c>
      <c r="I20" s="57" t="n">
        <f aca="false">'STUDENT SCREENING'!Q20</f>
        <v>0</v>
      </c>
      <c r="J20" s="57" t="n">
        <f aca="false">'STUDENT SCREENING'!R20</f>
        <v>0</v>
      </c>
      <c r="K20" s="57" t="str">
        <f aca="false">'STUDENT SCREENING'!S20</f>
        <v/>
      </c>
      <c r="L20" s="57" t="n">
        <f aca="false">'STUDENT SCREENING'!U20</f>
        <v>0</v>
      </c>
      <c r="M20" s="57" t="n">
        <f aca="false">'STUDENT SCREENING'!V20</f>
        <v>0</v>
      </c>
      <c r="N20" s="57" t="str">
        <f aca="false">'STUDENT SCREENING'!BF20</f>
        <v/>
      </c>
      <c r="O20" s="57" t="str">
        <f aca="false">'STUDENT SCREENING'!BG20</f>
        <v/>
      </c>
      <c r="P20" s="57" t="str">
        <f aca="false">'STUDENT SCREENING'!BH20</f>
        <v/>
      </c>
      <c r="Q20" s="57" t="str">
        <f aca="false">'STUDENT SCREENING'!BI20</f>
        <v/>
      </c>
      <c r="R20" s="57" t="str">
        <f aca="false">'STUDENT SCREENING'!BJ20</f>
        <v/>
      </c>
      <c r="S20" s="57" t="str">
        <f aca="false">'STUDENT SCREENING'!BK20</f>
        <v/>
      </c>
      <c r="T20" s="57" t="str">
        <f aca="false">'STUDENT SCREENING'!BL20</f>
        <v/>
      </c>
      <c r="U20" s="57" t="str">
        <f aca="false">'STUDENT SCREENING'!BM20</f>
        <v/>
      </c>
      <c r="V20" s="57" t="str">
        <f aca="false">'STUDENT SCREENING'!BN20</f>
        <v/>
      </c>
      <c r="W20" s="57" t="str">
        <f aca="false">'STUDENT SCREENING'!BO20</f>
        <v/>
      </c>
      <c r="X20" s="57" t="str">
        <f aca="false">IF('STUDENT SCREENING'!W20="","",IFERROR(INDEX('SCORING MASTER'!$D$5:$D$7,MATCH('STUDENT SCREENING'!W20,'SCORING MASTER'!$C$5:$C$7,0)),""))</f>
        <v/>
      </c>
      <c r="Y20" s="57" t="str">
        <f aca="false">IF('STUDENT SCREENING'!X20="","",IFERROR(INDEX('SCORING MASTER'!$D$9:$D$11,MATCH('STUDENT SCREENING'!X20,'SCORING MASTER'!$C$9:$C$11,0)),""))</f>
        <v/>
      </c>
      <c r="Z20" s="57" t="str">
        <f aca="false">IF('STUDENT SCREENING'!Y20="","",IFERROR(INDEX('SCORING MASTER'!$D$13:$D$15,MATCH('STUDENT SCREENING'!Y20,'SCORING MASTER'!$C$13:$C$15,0)),""))</f>
        <v/>
      </c>
      <c r="AA20" s="57" t="str">
        <f aca="false">IF('STUDENT SCREENING'!Z20="","",IFERROR(INDEX('SCORING MASTER'!$D$17:$D$19,MATCH('STUDENT SCREENING'!Z20,'SCORING MASTER'!$C$17:$C$19,0)),""))</f>
        <v/>
      </c>
      <c r="AB20" s="57" t="str">
        <f aca="false">IF('STUDENT SCREENING'!AA20="","",IFERROR(INDEX('SCORING MASTER'!$D$21:$D$23,MATCH('STUDENT SCREENING'!AA20,'SCORING MASTER'!$C$21:$C$23,0)),""))</f>
        <v/>
      </c>
      <c r="AC20" s="57" t="str">
        <f aca="false">IF('STUDENT SCREENING'!AB20="","",IFERROR(INDEX('SCORING MASTER'!$D$25:$D$27,MATCH('STUDENT SCREENING'!AB20,'SCORING MASTER'!$C$25:$C$27,0)),""))</f>
        <v/>
      </c>
      <c r="AD20" s="57" t="str">
        <f aca="false">IF('STUDENT SCREENING'!AC20="","",IFERROR(INDEX('SCORING MASTER'!$D$29:$D$31,MATCH('STUDENT SCREENING'!AC20,'SCORING MASTER'!$C$29:$C$31,0)),""))</f>
        <v/>
      </c>
      <c r="AE20" s="57" t="str">
        <f aca="false">IF('STUDENT SCREENING'!AD20="","",IFERROR(INDEX('SCORING MASTER'!$D$33:$D$35,MATCH('STUDENT SCREENING'!AD20,'SCORING MASTER'!$C$33:$C$35,0)),""))</f>
        <v/>
      </c>
      <c r="AF20" s="57" t="str">
        <f aca="false">IF('STUDENT SCREENING'!AE20="","",IFERROR(INDEX('SCORING MASTER'!$D$37:$D$39,MATCH('STUDENT SCREENING'!AE20,'SCORING MASTER'!$C$37:$C$39,0)),""))</f>
        <v/>
      </c>
      <c r="AG20" s="57" t="str">
        <f aca="false">IF('STUDENT SCREENING'!AF20="","",IFERROR(INDEX('SCORING MASTER'!$D$41:$D$43,MATCH('STUDENT SCREENING'!AF20,'SCORING MASTER'!$C$41:$C$43,0)),""))</f>
        <v/>
      </c>
      <c r="AH20" s="57" t="str">
        <f aca="false">IF('STUDENT SCREENING'!AG20="","",IFERROR(INDEX('SCORING MASTER'!$D$45:$D$47,MATCH('STUDENT SCREENING'!AG20,'SCORING MASTER'!$C$45:$C$47,0)),""))</f>
        <v/>
      </c>
      <c r="AI20" s="57" t="str">
        <f aca="false">IF('STUDENT SCREENING'!AH20="","",IFERROR(INDEX('SCORING MASTER'!$D$49:$D$52,MATCH('STUDENT SCREENING'!AH20,'SCORING MASTER'!$C$49:$C$52,0)),""))</f>
        <v/>
      </c>
      <c r="AJ20" s="57" t="str">
        <f aca="false">IF('STUDENT SCREENING'!AI20="","",IFERROR(INDEX('SCORING MASTER'!$D$54:$D$57,MATCH('STUDENT SCREENING'!AI20,'SCORING MASTER'!$C$54:$C$57,0)),""))</f>
        <v/>
      </c>
      <c r="AK20" s="57" t="str">
        <f aca="false">IF('STUDENT SCREENING'!AJ20="","",IFERROR(INDEX('SCORING MASTER'!$D$59:$D$60,MATCH('STUDENT SCREENING'!AJ20,'SCORING MASTER'!$C$59:$C$60,0)),""))</f>
        <v/>
      </c>
      <c r="AL20" s="57" t="str">
        <f aca="false">IF('STUDENT SCREENING'!AK20="","",IFERROR(INDEX('SCORING MASTER'!$D$62:$D$63,MATCH('STUDENT SCREENING'!AK20,'SCORING MASTER'!$C$62:$C$63,0)),""))</f>
        <v/>
      </c>
      <c r="AM20" s="57" t="str">
        <f aca="false">IF('STUDENT SCREENING'!AL20="","",IFERROR(INDEX('SCORING MASTER'!$D$65:$D$66,MATCH('STUDENT SCREENING'!AL20,'SCORING MASTER'!$C$65:$C$66,0)),""))</f>
        <v/>
      </c>
      <c r="AN20" s="57" t="str">
        <f aca="false">IF('STUDENT SCREENING'!AM20="","",IFERROR(INDEX('SCORING MASTER'!$D$68:$D$69,MATCH('STUDENT SCREENING'!AM20,'SCORING MASTER'!$C$68:$C$69,0)),""))</f>
        <v/>
      </c>
      <c r="AO20" s="57" t="str">
        <f aca="false">IF('STUDENT SCREENING'!AN20="","",IFERROR(INDEX('SCORING MASTER'!$D$71:$D$72,MATCH('STUDENT SCREENING'!AN20,'SCORING MASTER'!$C$71:$C$72,0)),""))</f>
        <v/>
      </c>
      <c r="AP20" s="57" t="str">
        <f aca="false">IF('STUDENT SCREENING'!AO20="","",IFERROR(INDEX('SCORING MASTER'!$D$74:$D$75,MATCH('STUDENT SCREENING'!AO20,'SCORING MASTER'!$C$74:$C$75,0)),""))</f>
        <v/>
      </c>
      <c r="AQ20" s="57" t="str">
        <f aca="false">IF('STUDENT SCREENING'!AP20="","",IFERROR(INDEX('SCORING MASTER'!$D$77:$D$78,MATCH('STUDENT SCREENING'!AP20,'SCORING MASTER'!$C$77:$C$78,0)),""))</f>
        <v/>
      </c>
      <c r="AR20" s="57" t="str">
        <f aca="false">IF('STUDENT SCREENING'!AQ20="","",IFERROR(INDEX('SCORING MASTER'!$D$80:$D$82,MATCH('STUDENT SCREENING'!AQ20,'SCORING MASTER'!$C$80:$C$82,0)),""))</f>
        <v/>
      </c>
      <c r="AS20" s="57" t="str">
        <f aca="false">IF('STUDENT SCREENING'!AR20="","",IFERROR(INDEX('SCORING MASTER'!$D$84:$D$86,MATCH('STUDENT SCREENING'!AR20,'SCORING MASTER'!$C$84:$C$86,0)),""))</f>
        <v/>
      </c>
      <c r="AT20" s="57" t="str">
        <f aca="false">IF('STUDENT SCREENING'!AS20="","",IFERROR(INDEX('SCORING MASTER'!$D$88:$D$90,MATCH('STUDENT SCREENING'!AS20,'SCORING MASTER'!$C$88:$C$90,0)),""))</f>
        <v/>
      </c>
      <c r="AU20" s="57" t="str">
        <f aca="false">IF('STUDENT SCREENING'!AT20="","",IFERROR(INDEX('SCORING MASTER'!$D$92:$D$93,MATCH('STUDENT SCREENING'!AT20,'SCORING MASTER'!$C$92:$C$93,0)),""))</f>
        <v/>
      </c>
      <c r="AV20" s="57" t="str">
        <f aca="false">IF('STUDENT SCREENING'!AU20="","",IFERROR(INDEX('SCORING MASTER'!$D$95:$D$96,MATCH('STUDENT SCREENING'!AU20,'SCORING MASTER'!$C$95:$C$96,0)),""))</f>
        <v/>
      </c>
      <c r="AW20" s="57" t="str">
        <f aca="false">IF('STUDENT SCREENING'!AV20="","",IFERROR(INDEX('SCORING MASTER'!$D$98:$D$99,MATCH('STUDENT SCREENING'!AV20,'SCORING MASTER'!$C$98:$C$99,0)),""))</f>
        <v/>
      </c>
      <c r="AX20" s="57" t="str">
        <f aca="false">IF('STUDENT SCREENING'!AW20="","",IFERROR(INDEX('SCORING MASTER'!$D$101:$D$102,MATCH('STUDENT SCREENING'!AW20,'SCORING MASTER'!$C$101:$C$102,0)),""))</f>
        <v/>
      </c>
      <c r="AY20" s="57" t="str">
        <f aca="false">IF('STUDENT SCREENING'!AX20="","",IFERROR(INDEX('SCORING MASTER'!$D$104:$D$105,MATCH('STUDENT SCREENING'!AX20,'SCORING MASTER'!$C$104:$C$105,0)),""))</f>
        <v/>
      </c>
      <c r="AZ20" s="57" t="str">
        <f aca="false">IF('STUDENT SCREENING'!AY20="","",IFERROR(INDEX('SCORING MASTER'!$D$107:$D$108,MATCH('STUDENT SCREENING'!AY20,'SCORING MASTER'!$C$107:$C$108,0)),""))</f>
        <v/>
      </c>
      <c r="BA20" s="57" t="str">
        <f aca="false">IF('STUDENT SCREENING'!AZ20="","",IFERROR(INDEX('SCORING MASTER'!$D$110:$D$111,MATCH('STUDENT SCREENING'!AZ20,'SCORING MASTER'!$C$110:$C$111,0)),""))</f>
        <v/>
      </c>
      <c r="BB20" s="57" t="str">
        <f aca="false">IF('STUDENT SCREENING'!BA20="","",IFERROR(INDEX('SCORING MASTER'!$D$113:$D$115,MATCH('STUDENT SCREENING'!BA20,'SCORING MASTER'!$C$113:$C$115,0)),""))</f>
        <v/>
      </c>
      <c r="BC20" s="57" t="str">
        <f aca="false">IF('STUDENT SCREENING'!BB20="","",IFERROR(INDEX('SCORING MASTER'!$D$117:$D$119,MATCH('STUDENT SCREENING'!BB20,'SCORING MASTER'!$C$117:$C$119,0)),""))</f>
        <v/>
      </c>
      <c r="BD20" s="57" t="str">
        <f aca="false">IF('STUDENT SCREENING'!BC20="","",IFERROR(INDEX('SCORING MASTER'!$D$121:$D$123,MATCH('STUDENT SCREENING'!BC20,'SCORING MASTER'!$C$121:$C$123,0)),""))</f>
        <v/>
      </c>
      <c r="BE20" s="57" t="str">
        <f aca="false">IF('STUDENT SCREENING'!BD20="","",IFERROR(INDEX('SCORING MASTER'!$D$125:$D$126,MATCH('STUDENT SCREENING'!BD20,'SCORING MASTER'!$C$125:$C$126,0)),""))</f>
        <v/>
      </c>
      <c r="BF20" s="57" t="str">
        <f aca="false">IF('STUDENT SCREENING'!BE20="","",IFERROR(INDEX('SCORING MASTER'!$D$128:$D$129,MATCH('STUDENT SCREENING'!BE20,'SCORING MASTER'!$C$128:$C$129,0)),""))</f>
        <v/>
      </c>
      <c r="BG20" s="57" t="str">
        <f aca="false">IF('STUDENT SCREENING'!BP20="","",IFERROR(MATCH('STUDENT SCREENING'!BP20,{"Red - High Risk","Orange - Moderate Risk","Yellow - Mild Risk","Light Green - Mild Watch","Green - Healthy"},0)-1,""))</f>
        <v/>
      </c>
      <c r="BH20" s="57" t="str">
        <f aca="false">IF('STUDENT SCREENING'!BQ20="","",IF('STUDENT SCREENING'!BQ20="Yes",1,0))</f>
        <v/>
      </c>
      <c r="BI20" s="57" t="str">
        <f aca="false">IF('STUDENT SCREENING'!BR20="","",IF('STUDENT SCREENING'!BR20="Yes",1,0))</f>
        <v/>
      </c>
    </row>
    <row r="21" customFormat="false" ht="15" hidden="false" customHeight="false" outlineLevel="0" collapsed="false">
      <c r="A21" s="58" t="str">
        <f aca="false">'STUDENT SCREENING'!A21</f>
        <v/>
      </c>
      <c r="B21" s="58" t="n">
        <f aca="false">'STUDENT SCREENING'!C21</f>
        <v>0</v>
      </c>
      <c r="C21" s="58" t="n">
        <f aca="false">'STUDENT SCREENING'!D21</f>
        <v>0</v>
      </c>
      <c r="D21" s="58" t="n">
        <f aca="false">'STUDENT SCREENING'!E21</f>
        <v>0</v>
      </c>
      <c r="E21" s="58" t="n">
        <f aca="false">'STUDENT SCREENING'!F21</f>
        <v>0</v>
      </c>
      <c r="F21" s="58" t="n">
        <f aca="false">'STUDENT SCREENING'!K21</f>
        <v>0</v>
      </c>
      <c r="G21" s="58" t="n">
        <f aca="false">'STUDENT SCREENING'!J21</f>
        <v>0</v>
      </c>
      <c r="H21" s="58" t="str">
        <f aca="false">IF('STUDENT SCREENING'!K21="","",IFERROR(MATCH('STUDENT SCREENING'!K21,Adm_Gender,0),""))</f>
        <v/>
      </c>
      <c r="I21" s="58" t="n">
        <f aca="false">'STUDENT SCREENING'!Q21</f>
        <v>0</v>
      </c>
      <c r="J21" s="58" t="n">
        <f aca="false">'STUDENT SCREENING'!R21</f>
        <v>0</v>
      </c>
      <c r="K21" s="58" t="str">
        <f aca="false">'STUDENT SCREENING'!S21</f>
        <v/>
      </c>
      <c r="L21" s="58" t="n">
        <f aca="false">'STUDENT SCREENING'!U21</f>
        <v>0</v>
      </c>
      <c r="M21" s="58" t="n">
        <f aca="false">'STUDENT SCREENING'!V21</f>
        <v>0</v>
      </c>
      <c r="N21" s="58" t="str">
        <f aca="false">'STUDENT SCREENING'!BF21</f>
        <v/>
      </c>
      <c r="O21" s="58" t="str">
        <f aca="false">'STUDENT SCREENING'!BG21</f>
        <v/>
      </c>
      <c r="P21" s="58" t="str">
        <f aca="false">'STUDENT SCREENING'!BH21</f>
        <v/>
      </c>
      <c r="Q21" s="58" t="str">
        <f aca="false">'STUDENT SCREENING'!BI21</f>
        <v/>
      </c>
      <c r="R21" s="58" t="str">
        <f aca="false">'STUDENT SCREENING'!BJ21</f>
        <v/>
      </c>
      <c r="S21" s="58" t="str">
        <f aca="false">'STUDENT SCREENING'!BK21</f>
        <v/>
      </c>
      <c r="T21" s="58" t="str">
        <f aca="false">'STUDENT SCREENING'!BL21</f>
        <v/>
      </c>
      <c r="U21" s="58" t="str">
        <f aca="false">'STUDENT SCREENING'!BM21</f>
        <v/>
      </c>
      <c r="V21" s="58" t="str">
        <f aca="false">'STUDENT SCREENING'!BN21</f>
        <v/>
      </c>
      <c r="W21" s="58" t="str">
        <f aca="false">'STUDENT SCREENING'!BO21</f>
        <v/>
      </c>
      <c r="X21" s="58" t="str">
        <f aca="false">IF('STUDENT SCREENING'!W21="","",IFERROR(INDEX('SCORING MASTER'!$D$5:$D$7,MATCH('STUDENT SCREENING'!W21,'SCORING MASTER'!$C$5:$C$7,0)),""))</f>
        <v/>
      </c>
      <c r="Y21" s="58" t="str">
        <f aca="false">IF('STUDENT SCREENING'!X21="","",IFERROR(INDEX('SCORING MASTER'!$D$9:$D$11,MATCH('STUDENT SCREENING'!X21,'SCORING MASTER'!$C$9:$C$11,0)),""))</f>
        <v/>
      </c>
      <c r="Z21" s="58" t="str">
        <f aca="false">IF('STUDENT SCREENING'!Y21="","",IFERROR(INDEX('SCORING MASTER'!$D$13:$D$15,MATCH('STUDENT SCREENING'!Y21,'SCORING MASTER'!$C$13:$C$15,0)),""))</f>
        <v/>
      </c>
      <c r="AA21" s="58" t="str">
        <f aca="false">IF('STUDENT SCREENING'!Z21="","",IFERROR(INDEX('SCORING MASTER'!$D$17:$D$19,MATCH('STUDENT SCREENING'!Z21,'SCORING MASTER'!$C$17:$C$19,0)),""))</f>
        <v/>
      </c>
      <c r="AB21" s="58" t="str">
        <f aca="false">IF('STUDENT SCREENING'!AA21="","",IFERROR(INDEX('SCORING MASTER'!$D$21:$D$23,MATCH('STUDENT SCREENING'!AA21,'SCORING MASTER'!$C$21:$C$23,0)),""))</f>
        <v/>
      </c>
      <c r="AC21" s="58" t="str">
        <f aca="false">IF('STUDENT SCREENING'!AB21="","",IFERROR(INDEX('SCORING MASTER'!$D$25:$D$27,MATCH('STUDENT SCREENING'!AB21,'SCORING MASTER'!$C$25:$C$27,0)),""))</f>
        <v/>
      </c>
      <c r="AD21" s="58" t="str">
        <f aca="false">IF('STUDENT SCREENING'!AC21="","",IFERROR(INDEX('SCORING MASTER'!$D$29:$D$31,MATCH('STUDENT SCREENING'!AC21,'SCORING MASTER'!$C$29:$C$31,0)),""))</f>
        <v/>
      </c>
      <c r="AE21" s="58" t="str">
        <f aca="false">IF('STUDENT SCREENING'!AD21="","",IFERROR(INDEX('SCORING MASTER'!$D$33:$D$35,MATCH('STUDENT SCREENING'!AD21,'SCORING MASTER'!$C$33:$C$35,0)),""))</f>
        <v/>
      </c>
      <c r="AF21" s="58" t="str">
        <f aca="false">IF('STUDENT SCREENING'!AE21="","",IFERROR(INDEX('SCORING MASTER'!$D$37:$D$39,MATCH('STUDENT SCREENING'!AE21,'SCORING MASTER'!$C$37:$C$39,0)),""))</f>
        <v/>
      </c>
      <c r="AG21" s="58" t="str">
        <f aca="false">IF('STUDENT SCREENING'!AF21="","",IFERROR(INDEX('SCORING MASTER'!$D$41:$D$43,MATCH('STUDENT SCREENING'!AF21,'SCORING MASTER'!$C$41:$C$43,0)),""))</f>
        <v/>
      </c>
      <c r="AH21" s="58" t="str">
        <f aca="false">IF('STUDENT SCREENING'!AG21="","",IFERROR(INDEX('SCORING MASTER'!$D$45:$D$47,MATCH('STUDENT SCREENING'!AG21,'SCORING MASTER'!$C$45:$C$47,0)),""))</f>
        <v/>
      </c>
      <c r="AI21" s="58" t="str">
        <f aca="false">IF('STUDENT SCREENING'!AH21="","",IFERROR(INDEX('SCORING MASTER'!$D$49:$D$52,MATCH('STUDENT SCREENING'!AH21,'SCORING MASTER'!$C$49:$C$52,0)),""))</f>
        <v/>
      </c>
      <c r="AJ21" s="58" t="str">
        <f aca="false">IF('STUDENT SCREENING'!AI21="","",IFERROR(INDEX('SCORING MASTER'!$D$54:$D$57,MATCH('STUDENT SCREENING'!AI21,'SCORING MASTER'!$C$54:$C$57,0)),""))</f>
        <v/>
      </c>
      <c r="AK21" s="58" t="str">
        <f aca="false">IF('STUDENT SCREENING'!AJ21="","",IFERROR(INDEX('SCORING MASTER'!$D$59:$D$60,MATCH('STUDENT SCREENING'!AJ21,'SCORING MASTER'!$C$59:$C$60,0)),""))</f>
        <v/>
      </c>
      <c r="AL21" s="58" t="str">
        <f aca="false">IF('STUDENT SCREENING'!AK21="","",IFERROR(INDEX('SCORING MASTER'!$D$62:$D$63,MATCH('STUDENT SCREENING'!AK21,'SCORING MASTER'!$C$62:$C$63,0)),""))</f>
        <v/>
      </c>
      <c r="AM21" s="58" t="str">
        <f aca="false">IF('STUDENT SCREENING'!AL21="","",IFERROR(INDEX('SCORING MASTER'!$D$65:$D$66,MATCH('STUDENT SCREENING'!AL21,'SCORING MASTER'!$C$65:$C$66,0)),""))</f>
        <v/>
      </c>
      <c r="AN21" s="58" t="str">
        <f aca="false">IF('STUDENT SCREENING'!AM21="","",IFERROR(INDEX('SCORING MASTER'!$D$68:$D$69,MATCH('STUDENT SCREENING'!AM21,'SCORING MASTER'!$C$68:$C$69,0)),""))</f>
        <v/>
      </c>
      <c r="AO21" s="58" t="str">
        <f aca="false">IF('STUDENT SCREENING'!AN21="","",IFERROR(INDEX('SCORING MASTER'!$D$71:$D$72,MATCH('STUDENT SCREENING'!AN21,'SCORING MASTER'!$C$71:$C$72,0)),""))</f>
        <v/>
      </c>
      <c r="AP21" s="58" t="str">
        <f aca="false">IF('STUDENT SCREENING'!AO21="","",IFERROR(INDEX('SCORING MASTER'!$D$74:$D$75,MATCH('STUDENT SCREENING'!AO21,'SCORING MASTER'!$C$74:$C$75,0)),""))</f>
        <v/>
      </c>
      <c r="AQ21" s="58" t="str">
        <f aca="false">IF('STUDENT SCREENING'!AP21="","",IFERROR(INDEX('SCORING MASTER'!$D$77:$D$78,MATCH('STUDENT SCREENING'!AP21,'SCORING MASTER'!$C$77:$C$78,0)),""))</f>
        <v/>
      </c>
      <c r="AR21" s="58" t="str">
        <f aca="false">IF('STUDENT SCREENING'!AQ21="","",IFERROR(INDEX('SCORING MASTER'!$D$80:$D$82,MATCH('STUDENT SCREENING'!AQ21,'SCORING MASTER'!$C$80:$C$82,0)),""))</f>
        <v/>
      </c>
      <c r="AS21" s="58" t="str">
        <f aca="false">IF('STUDENT SCREENING'!AR21="","",IFERROR(INDEX('SCORING MASTER'!$D$84:$D$86,MATCH('STUDENT SCREENING'!AR21,'SCORING MASTER'!$C$84:$C$86,0)),""))</f>
        <v/>
      </c>
      <c r="AT21" s="58" t="str">
        <f aca="false">IF('STUDENT SCREENING'!AS21="","",IFERROR(INDEX('SCORING MASTER'!$D$88:$D$90,MATCH('STUDENT SCREENING'!AS21,'SCORING MASTER'!$C$88:$C$90,0)),""))</f>
        <v/>
      </c>
      <c r="AU21" s="58" t="str">
        <f aca="false">IF('STUDENT SCREENING'!AT21="","",IFERROR(INDEX('SCORING MASTER'!$D$92:$D$93,MATCH('STUDENT SCREENING'!AT21,'SCORING MASTER'!$C$92:$C$93,0)),""))</f>
        <v/>
      </c>
      <c r="AV21" s="58" t="str">
        <f aca="false">IF('STUDENT SCREENING'!AU21="","",IFERROR(INDEX('SCORING MASTER'!$D$95:$D$96,MATCH('STUDENT SCREENING'!AU21,'SCORING MASTER'!$C$95:$C$96,0)),""))</f>
        <v/>
      </c>
      <c r="AW21" s="58" t="str">
        <f aca="false">IF('STUDENT SCREENING'!AV21="","",IFERROR(INDEX('SCORING MASTER'!$D$98:$D$99,MATCH('STUDENT SCREENING'!AV21,'SCORING MASTER'!$C$98:$C$99,0)),""))</f>
        <v/>
      </c>
      <c r="AX21" s="58" t="str">
        <f aca="false">IF('STUDENT SCREENING'!AW21="","",IFERROR(INDEX('SCORING MASTER'!$D$101:$D$102,MATCH('STUDENT SCREENING'!AW21,'SCORING MASTER'!$C$101:$C$102,0)),""))</f>
        <v/>
      </c>
      <c r="AY21" s="58" t="str">
        <f aca="false">IF('STUDENT SCREENING'!AX21="","",IFERROR(INDEX('SCORING MASTER'!$D$104:$D$105,MATCH('STUDENT SCREENING'!AX21,'SCORING MASTER'!$C$104:$C$105,0)),""))</f>
        <v/>
      </c>
      <c r="AZ21" s="58" t="str">
        <f aca="false">IF('STUDENT SCREENING'!AY21="","",IFERROR(INDEX('SCORING MASTER'!$D$107:$D$108,MATCH('STUDENT SCREENING'!AY21,'SCORING MASTER'!$C$107:$C$108,0)),""))</f>
        <v/>
      </c>
      <c r="BA21" s="58" t="str">
        <f aca="false">IF('STUDENT SCREENING'!AZ21="","",IFERROR(INDEX('SCORING MASTER'!$D$110:$D$111,MATCH('STUDENT SCREENING'!AZ21,'SCORING MASTER'!$C$110:$C$111,0)),""))</f>
        <v/>
      </c>
      <c r="BB21" s="58" t="str">
        <f aca="false">IF('STUDENT SCREENING'!BA21="","",IFERROR(INDEX('SCORING MASTER'!$D$113:$D$115,MATCH('STUDENT SCREENING'!BA21,'SCORING MASTER'!$C$113:$C$115,0)),""))</f>
        <v/>
      </c>
      <c r="BC21" s="58" t="str">
        <f aca="false">IF('STUDENT SCREENING'!BB21="","",IFERROR(INDEX('SCORING MASTER'!$D$117:$D$119,MATCH('STUDENT SCREENING'!BB21,'SCORING MASTER'!$C$117:$C$119,0)),""))</f>
        <v/>
      </c>
      <c r="BD21" s="58" t="str">
        <f aca="false">IF('STUDENT SCREENING'!BC21="","",IFERROR(INDEX('SCORING MASTER'!$D$121:$D$123,MATCH('STUDENT SCREENING'!BC21,'SCORING MASTER'!$C$121:$C$123,0)),""))</f>
        <v/>
      </c>
      <c r="BE21" s="58" t="str">
        <f aca="false">IF('STUDENT SCREENING'!BD21="","",IFERROR(INDEX('SCORING MASTER'!$D$125:$D$126,MATCH('STUDENT SCREENING'!BD21,'SCORING MASTER'!$C$125:$C$126,0)),""))</f>
        <v/>
      </c>
      <c r="BF21" s="58" t="str">
        <f aca="false">IF('STUDENT SCREENING'!BE21="","",IFERROR(INDEX('SCORING MASTER'!$D$128:$D$129,MATCH('STUDENT SCREENING'!BE21,'SCORING MASTER'!$C$128:$C$129,0)),""))</f>
        <v/>
      </c>
      <c r="BG21" s="58" t="str">
        <f aca="false">IF('STUDENT SCREENING'!BP21="","",IFERROR(MATCH('STUDENT SCREENING'!BP21,{"Red - High Risk","Orange - Moderate Risk","Yellow - Mild Risk","Light Green - Mild Watch","Green - Healthy"},0)-1,""))</f>
        <v/>
      </c>
      <c r="BH21" s="58" t="str">
        <f aca="false">IF('STUDENT SCREENING'!BQ21="","",IF('STUDENT SCREENING'!BQ21="Yes",1,0))</f>
        <v/>
      </c>
      <c r="BI21" s="58" t="str">
        <f aca="false">IF('STUDENT SCREENING'!BR21="","",IF('STUDENT SCREENING'!BR21="Yes",1,0))</f>
        <v/>
      </c>
    </row>
    <row r="22" customFormat="false" ht="15" hidden="false" customHeight="false" outlineLevel="0" collapsed="false">
      <c r="A22" s="57" t="str">
        <f aca="false">'STUDENT SCREENING'!A22</f>
        <v/>
      </c>
      <c r="B22" s="57" t="n">
        <f aca="false">'STUDENT SCREENING'!C22</f>
        <v>0</v>
      </c>
      <c r="C22" s="57" t="n">
        <f aca="false">'STUDENT SCREENING'!D22</f>
        <v>0</v>
      </c>
      <c r="D22" s="57" t="n">
        <f aca="false">'STUDENT SCREENING'!E22</f>
        <v>0</v>
      </c>
      <c r="E22" s="57" t="n">
        <f aca="false">'STUDENT SCREENING'!F22</f>
        <v>0</v>
      </c>
      <c r="F22" s="57" t="n">
        <f aca="false">'STUDENT SCREENING'!K22</f>
        <v>0</v>
      </c>
      <c r="G22" s="57" t="n">
        <f aca="false">'STUDENT SCREENING'!J22</f>
        <v>0</v>
      </c>
      <c r="H22" s="57" t="str">
        <f aca="false">IF('STUDENT SCREENING'!K22="","",IFERROR(MATCH('STUDENT SCREENING'!K22,Adm_Gender,0),""))</f>
        <v/>
      </c>
      <c r="I22" s="57" t="n">
        <f aca="false">'STUDENT SCREENING'!Q22</f>
        <v>0</v>
      </c>
      <c r="J22" s="57" t="n">
        <f aca="false">'STUDENT SCREENING'!R22</f>
        <v>0</v>
      </c>
      <c r="K22" s="57" t="str">
        <f aca="false">'STUDENT SCREENING'!S22</f>
        <v/>
      </c>
      <c r="L22" s="57" t="n">
        <f aca="false">'STUDENT SCREENING'!U22</f>
        <v>0</v>
      </c>
      <c r="M22" s="57" t="n">
        <f aca="false">'STUDENT SCREENING'!V22</f>
        <v>0</v>
      </c>
      <c r="N22" s="57" t="str">
        <f aca="false">'STUDENT SCREENING'!BF22</f>
        <v/>
      </c>
      <c r="O22" s="57" t="str">
        <f aca="false">'STUDENT SCREENING'!BG22</f>
        <v/>
      </c>
      <c r="P22" s="57" t="str">
        <f aca="false">'STUDENT SCREENING'!BH22</f>
        <v/>
      </c>
      <c r="Q22" s="57" t="str">
        <f aca="false">'STUDENT SCREENING'!BI22</f>
        <v/>
      </c>
      <c r="R22" s="57" t="str">
        <f aca="false">'STUDENT SCREENING'!BJ22</f>
        <v/>
      </c>
      <c r="S22" s="57" t="str">
        <f aca="false">'STUDENT SCREENING'!BK22</f>
        <v/>
      </c>
      <c r="T22" s="57" t="str">
        <f aca="false">'STUDENT SCREENING'!BL22</f>
        <v/>
      </c>
      <c r="U22" s="57" t="str">
        <f aca="false">'STUDENT SCREENING'!BM22</f>
        <v/>
      </c>
      <c r="V22" s="57" t="str">
        <f aca="false">'STUDENT SCREENING'!BN22</f>
        <v/>
      </c>
      <c r="W22" s="57" t="str">
        <f aca="false">'STUDENT SCREENING'!BO22</f>
        <v/>
      </c>
      <c r="X22" s="57" t="str">
        <f aca="false">IF('STUDENT SCREENING'!W22="","",IFERROR(INDEX('SCORING MASTER'!$D$5:$D$7,MATCH('STUDENT SCREENING'!W22,'SCORING MASTER'!$C$5:$C$7,0)),""))</f>
        <v/>
      </c>
      <c r="Y22" s="57" t="str">
        <f aca="false">IF('STUDENT SCREENING'!X22="","",IFERROR(INDEX('SCORING MASTER'!$D$9:$D$11,MATCH('STUDENT SCREENING'!X22,'SCORING MASTER'!$C$9:$C$11,0)),""))</f>
        <v/>
      </c>
      <c r="Z22" s="57" t="str">
        <f aca="false">IF('STUDENT SCREENING'!Y22="","",IFERROR(INDEX('SCORING MASTER'!$D$13:$D$15,MATCH('STUDENT SCREENING'!Y22,'SCORING MASTER'!$C$13:$C$15,0)),""))</f>
        <v/>
      </c>
      <c r="AA22" s="57" t="str">
        <f aca="false">IF('STUDENT SCREENING'!Z22="","",IFERROR(INDEX('SCORING MASTER'!$D$17:$D$19,MATCH('STUDENT SCREENING'!Z22,'SCORING MASTER'!$C$17:$C$19,0)),""))</f>
        <v/>
      </c>
      <c r="AB22" s="57" t="str">
        <f aca="false">IF('STUDENT SCREENING'!AA22="","",IFERROR(INDEX('SCORING MASTER'!$D$21:$D$23,MATCH('STUDENT SCREENING'!AA22,'SCORING MASTER'!$C$21:$C$23,0)),""))</f>
        <v/>
      </c>
      <c r="AC22" s="57" t="str">
        <f aca="false">IF('STUDENT SCREENING'!AB22="","",IFERROR(INDEX('SCORING MASTER'!$D$25:$D$27,MATCH('STUDENT SCREENING'!AB22,'SCORING MASTER'!$C$25:$C$27,0)),""))</f>
        <v/>
      </c>
      <c r="AD22" s="57" t="str">
        <f aca="false">IF('STUDENT SCREENING'!AC22="","",IFERROR(INDEX('SCORING MASTER'!$D$29:$D$31,MATCH('STUDENT SCREENING'!AC22,'SCORING MASTER'!$C$29:$C$31,0)),""))</f>
        <v/>
      </c>
      <c r="AE22" s="57" t="str">
        <f aca="false">IF('STUDENT SCREENING'!AD22="","",IFERROR(INDEX('SCORING MASTER'!$D$33:$D$35,MATCH('STUDENT SCREENING'!AD22,'SCORING MASTER'!$C$33:$C$35,0)),""))</f>
        <v/>
      </c>
      <c r="AF22" s="57" t="str">
        <f aca="false">IF('STUDENT SCREENING'!AE22="","",IFERROR(INDEX('SCORING MASTER'!$D$37:$D$39,MATCH('STUDENT SCREENING'!AE22,'SCORING MASTER'!$C$37:$C$39,0)),""))</f>
        <v/>
      </c>
      <c r="AG22" s="57" t="str">
        <f aca="false">IF('STUDENT SCREENING'!AF22="","",IFERROR(INDEX('SCORING MASTER'!$D$41:$D$43,MATCH('STUDENT SCREENING'!AF22,'SCORING MASTER'!$C$41:$C$43,0)),""))</f>
        <v/>
      </c>
      <c r="AH22" s="57" t="str">
        <f aca="false">IF('STUDENT SCREENING'!AG22="","",IFERROR(INDEX('SCORING MASTER'!$D$45:$D$47,MATCH('STUDENT SCREENING'!AG22,'SCORING MASTER'!$C$45:$C$47,0)),""))</f>
        <v/>
      </c>
      <c r="AI22" s="57" t="str">
        <f aca="false">IF('STUDENT SCREENING'!AH22="","",IFERROR(INDEX('SCORING MASTER'!$D$49:$D$52,MATCH('STUDENT SCREENING'!AH22,'SCORING MASTER'!$C$49:$C$52,0)),""))</f>
        <v/>
      </c>
      <c r="AJ22" s="57" t="str">
        <f aca="false">IF('STUDENT SCREENING'!AI22="","",IFERROR(INDEX('SCORING MASTER'!$D$54:$D$57,MATCH('STUDENT SCREENING'!AI22,'SCORING MASTER'!$C$54:$C$57,0)),""))</f>
        <v/>
      </c>
      <c r="AK22" s="57" t="str">
        <f aca="false">IF('STUDENT SCREENING'!AJ22="","",IFERROR(INDEX('SCORING MASTER'!$D$59:$D$60,MATCH('STUDENT SCREENING'!AJ22,'SCORING MASTER'!$C$59:$C$60,0)),""))</f>
        <v/>
      </c>
      <c r="AL22" s="57" t="str">
        <f aca="false">IF('STUDENT SCREENING'!AK22="","",IFERROR(INDEX('SCORING MASTER'!$D$62:$D$63,MATCH('STUDENT SCREENING'!AK22,'SCORING MASTER'!$C$62:$C$63,0)),""))</f>
        <v/>
      </c>
      <c r="AM22" s="57" t="str">
        <f aca="false">IF('STUDENT SCREENING'!AL22="","",IFERROR(INDEX('SCORING MASTER'!$D$65:$D$66,MATCH('STUDENT SCREENING'!AL22,'SCORING MASTER'!$C$65:$C$66,0)),""))</f>
        <v/>
      </c>
      <c r="AN22" s="57" t="str">
        <f aca="false">IF('STUDENT SCREENING'!AM22="","",IFERROR(INDEX('SCORING MASTER'!$D$68:$D$69,MATCH('STUDENT SCREENING'!AM22,'SCORING MASTER'!$C$68:$C$69,0)),""))</f>
        <v/>
      </c>
      <c r="AO22" s="57" t="str">
        <f aca="false">IF('STUDENT SCREENING'!AN22="","",IFERROR(INDEX('SCORING MASTER'!$D$71:$D$72,MATCH('STUDENT SCREENING'!AN22,'SCORING MASTER'!$C$71:$C$72,0)),""))</f>
        <v/>
      </c>
      <c r="AP22" s="57" t="str">
        <f aca="false">IF('STUDENT SCREENING'!AO22="","",IFERROR(INDEX('SCORING MASTER'!$D$74:$D$75,MATCH('STUDENT SCREENING'!AO22,'SCORING MASTER'!$C$74:$C$75,0)),""))</f>
        <v/>
      </c>
      <c r="AQ22" s="57" t="str">
        <f aca="false">IF('STUDENT SCREENING'!AP22="","",IFERROR(INDEX('SCORING MASTER'!$D$77:$D$78,MATCH('STUDENT SCREENING'!AP22,'SCORING MASTER'!$C$77:$C$78,0)),""))</f>
        <v/>
      </c>
      <c r="AR22" s="57" t="str">
        <f aca="false">IF('STUDENT SCREENING'!AQ22="","",IFERROR(INDEX('SCORING MASTER'!$D$80:$D$82,MATCH('STUDENT SCREENING'!AQ22,'SCORING MASTER'!$C$80:$C$82,0)),""))</f>
        <v/>
      </c>
      <c r="AS22" s="57" t="str">
        <f aca="false">IF('STUDENT SCREENING'!AR22="","",IFERROR(INDEX('SCORING MASTER'!$D$84:$D$86,MATCH('STUDENT SCREENING'!AR22,'SCORING MASTER'!$C$84:$C$86,0)),""))</f>
        <v/>
      </c>
      <c r="AT22" s="57" t="str">
        <f aca="false">IF('STUDENT SCREENING'!AS22="","",IFERROR(INDEX('SCORING MASTER'!$D$88:$D$90,MATCH('STUDENT SCREENING'!AS22,'SCORING MASTER'!$C$88:$C$90,0)),""))</f>
        <v/>
      </c>
      <c r="AU22" s="57" t="str">
        <f aca="false">IF('STUDENT SCREENING'!AT22="","",IFERROR(INDEX('SCORING MASTER'!$D$92:$D$93,MATCH('STUDENT SCREENING'!AT22,'SCORING MASTER'!$C$92:$C$93,0)),""))</f>
        <v/>
      </c>
      <c r="AV22" s="57" t="str">
        <f aca="false">IF('STUDENT SCREENING'!AU22="","",IFERROR(INDEX('SCORING MASTER'!$D$95:$D$96,MATCH('STUDENT SCREENING'!AU22,'SCORING MASTER'!$C$95:$C$96,0)),""))</f>
        <v/>
      </c>
      <c r="AW22" s="57" t="str">
        <f aca="false">IF('STUDENT SCREENING'!AV22="","",IFERROR(INDEX('SCORING MASTER'!$D$98:$D$99,MATCH('STUDENT SCREENING'!AV22,'SCORING MASTER'!$C$98:$C$99,0)),""))</f>
        <v/>
      </c>
      <c r="AX22" s="57" t="str">
        <f aca="false">IF('STUDENT SCREENING'!AW22="","",IFERROR(INDEX('SCORING MASTER'!$D$101:$D$102,MATCH('STUDENT SCREENING'!AW22,'SCORING MASTER'!$C$101:$C$102,0)),""))</f>
        <v/>
      </c>
      <c r="AY22" s="57" t="str">
        <f aca="false">IF('STUDENT SCREENING'!AX22="","",IFERROR(INDEX('SCORING MASTER'!$D$104:$D$105,MATCH('STUDENT SCREENING'!AX22,'SCORING MASTER'!$C$104:$C$105,0)),""))</f>
        <v/>
      </c>
      <c r="AZ22" s="57" t="str">
        <f aca="false">IF('STUDENT SCREENING'!AY22="","",IFERROR(INDEX('SCORING MASTER'!$D$107:$D$108,MATCH('STUDENT SCREENING'!AY22,'SCORING MASTER'!$C$107:$C$108,0)),""))</f>
        <v/>
      </c>
      <c r="BA22" s="57" t="str">
        <f aca="false">IF('STUDENT SCREENING'!AZ22="","",IFERROR(INDEX('SCORING MASTER'!$D$110:$D$111,MATCH('STUDENT SCREENING'!AZ22,'SCORING MASTER'!$C$110:$C$111,0)),""))</f>
        <v/>
      </c>
      <c r="BB22" s="57" t="str">
        <f aca="false">IF('STUDENT SCREENING'!BA22="","",IFERROR(INDEX('SCORING MASTER'!$D$113:$D$115,MATCH('STUDENT SCREENING'!BA22,'SCORING MASTER'!$C$113:$C$115,0)),""))</f>
        <v/>
      </c>
      <c r="BC22" s="57" t="str">
        <f aca="false">IF('STUDENT SCREENING'!BB22="","",IFERROR(INDEX('SCORING MASTER'!$D$117:$D$119,MATCH('STUDENT SCREENING'!BB22,'SCORING MASTER'!$C$117:$C$119,0)),""))</f>
        <v/>
      </c>
      <c r="BD22" s="57" t="str">
        <f aca="false">IF('STUDENT SCREENING'!BC22="","",IFERROR(INDEX('SCORING MASTER'!$D$121:$D$123,MATCH('STUDENT SCREENING'!BC22,'SCORING MASTER'!$C$121:$C$123,0)),""))</f>
        <v/>
      </c>
      <c r="BE22" s="57" t="str">
        <f aca="false">IF('STUDENT SCREENING'!BD22="","",IFERROR(INDEX('SCORING MASTER'!$D$125:$D$126,MATCH('STUDENT SCREENING'!BD22,'SCORING MASTER'!$C$125:$C$126,0)),""))</f>
        <v/>
      </c>
      <c r="BF22" s="57" t="str">
        <f aca="false">IF('STUDENT SCREENING'!BE22="","",IFERROR(INDEX('SCORING MASTER'!$D$128:$D$129,MATCH('STUDENT SCREENING'!BE22,'SCORING MASTER'!$C$128:$C$129,0)),""))</f>
        <v/>
      </c>
      <c r="BG22" s="57" t="str">
        <f aca="false">IF('STUDENT SCREENING'!BP22="","",IFERROR(MATCH('STUDENT SCREENING'!BP22,{"Red - High Risk","Orange - Moderate Risk","Yellow - Mild Risk","Light Green - Mild Watch","Green - Healthy"},0)-1,""))</f>
        <v/>
      </c>
      <c r="BH22" s="57" t="str">
        <f aca="false">IF('STUDENT SCREENING'!BQ22="","",IF('STUDENT SCREENING'!BQ22="Yes",1,0))</f>
        <v/>
      </c>
      <c r="BI22" s="57" t="str">
        <f aca="false">IF('STUDENT SCREENING'!BR22="","",IF('STUDENT SCREENING'!BR22="Yes",1,0))</f>
        <v/>
      </c>
    </row>
    <row r="23" customFormat="false" ht="15" hidden="false" customHeight="false" outlineLevel="0" collapsed="false">
      <c r="A23" s="58" t="str">
        <f aca="false">'STUDENT SCREENING'!A23</f>
        <v/>
      </c>
      <c r="B23" s="58" t="n">
        <f aca="false">'STUDENT SCREENING'!C23</f>
        <v>0</v>
      </c>
      <c r="C23" s="58" t="n">
        <f aca="false">'STUDENT SCREENING'!D23</f>
        <v>0</v>
      </c>
      <c r="D23" s="58" t="n">
        <f aca="false">'STUDENT SCREENING'!E23</f>
        <v>0</v>
      </c>
      <c r="E23" s="58" t="n">
        <f aca="false">'STUDENT SCREENING'!F23</f>
        <v>0</v>
      </c>
      <c r="F23" s="58" t="n">
        <f aca="false">'STUDENT SCREENING'!K23</f>
        <v>0</v>
      </c>
      <c r="G23" s="58" t="n">
        <f aca="false">'STUDENT SCREENING'!J23</f>
        <v>0</v>
      </c>
      <c r="H23" s="58" t="str">
        <f aca="false">IF('STUDENT SCREENING'!K23="","",IFERROR(MATCH('STUDENT SCREENING'!K23,Adm_Gender,0),""))</f>
        <v/>
      </c>
      <c r="I23" s="58" t="n">
        <f aca="false">'STUDENT SCREENING'!Q23</f>
        <v>0</v>
      </c>
      <c r="J23" s="58" t="n">
        <f aca="false">'STUDENT SCREENING'!R23</f>
        <v>0</v>
      </c>
      <c r="K23" s="58" t="str">
        <f aca="false">'STUDENT SCREENING'!S23</f>
        <v/>
      </c>
      <c r="L23" s="58" t="n">
        <f aca="false">'STUDENT SCREENING'!U23</f>
        <v>0</v>
      </c>
      <c r="M23" s="58" t="n">
        <f aca="false">'STUDENT SCREENING'!V23</f>
        <v>0</v>
      </c>
      <c r="N23" s="58" t="str">
        <f aca="false">'STUDENT SCREENING'!BF23</f>
        <v/>
      </c>
      <c r="O23" s="58" t="str">
        <f aca="false">'STUDENT SCREENING'!BG23</f>
        <v/>
      </c>
      <c r="P23" s="58" t="str">
        <f aca="false">'STUDENT SCREENING'!BH23</f>
        <v/>
      </c>
      <c r="Q23" s="58" t="str">
        <f aca="false">'STUDENT SCREENING'!BI23</f>
        <v/>
      </c>
      <c r="R23" s="58" t="str">
        <f aca="false">'STUDENT SCREENING'!BJ23</f>
        <v/>
      </c>
      <c r="S23" s="58" t="str">
        <f aca="false">'STUDENT SCREENING'!BK23</f>
        <v/>
      </c>
      <c r="T23" s="58" t="str">
        <f aca="false">'STUDENT SCREENING'!BL23</f>
        <v/>
      </c>
      <c r="U23" s="58" t="str">
        <f aca="false">'STUDENT SCREENING'!BM23</f>
        <v/>
      </c>
      <c r="V23" s="58" t="str">
        <f aca="false">'STUDENT SCREENING'!BN23</f>
        <v/>
      </c>
      <c r="W23" s="58" t="str">
        <f aca="false">'STUDENT SCREENING'!BO23</f>
        <v/>
      </c>
      <c r="X23" s="58" t="str">
        <f aca="false">IF('STUDENT SCREENING'!W23="","",IFERROR(INDEX('SCORING MASTER'!$D$5:$D$7,MATCH('STUDENT SCREENING'!W23,'SCORING MASTER'!$C$5:$C$7,0)),""))</f>
        <v/>
      </c>
      <c r="Y23" s="58" t="str">
        <f aca="false">IF('STUDENT SCREENING'!X23="","",IFERROR(INDEX('SCORING MASTER'!$D$9:$D$11,MATCH('STUDENT SCREENING'!X23,'SCORING MASTER'!$C$9:$C$11,0)),""))</f>
        <v/>
      </c>
      <c r="Z23" s="58" t="str">
        <f aca="false">IF('STUDENT SCREENING'!Y23="","",IFERROR(INDEX('SCORING MASTER'!$D$13:$D$15,MATCH('STUDENT SCREENING'!Y23,'SCORING MASTER'!$C$13:$C$15,0)),""))</f>
        <v/>
      </c>
      <c r="AA23" s="58" t="str">
        <f aca="false">IF('STUDENT SCREENING'!Z23="","",IFERROR(INDEX('SCORING MASTER'!$D$17:$D$19,MATCH('STUDENT SCREENING'!Z23,'SCORING MASTER'!$C$17:$C$19,0)),""))</f>
        <v/>
      </c>
      <c r="AB23" s="58" t="str">
        <f aca="false">IF('STUDENT SCREENING'!AA23="","",IFERROR(INDEX('SCORING MASTER'!$D$21:$D$23,MATCH('STUDENT SCREENING'!AA23,'SCORING MASTER'!$C$21:$C$23,0)),""))</f>
        <v/>
      </c>
      <c r="AC23" s="58" t="str">
        <f aca="false">IF('STUDENT SCREENING'!AB23="","",IFERROR(INDEX('SCORING MASTER'!$D$25:$D$27,MATCH('STUDENT SCREENING'!AB23,'SCORING MASTER'!$C$25:$C$27,0)),""))</f>
        <v/>
      </c>
      <c r="AD23" s="58" t="str">
        <f aca="false">IF('STUDENT SCREENING'!AC23="","",IFERROR(INDEX('SCORING MASTER'!$D$29:$D$31,MATCH('STUDENT SCREENING'!AC23,'SCORING MASTER'!$C$29:$C$31,0)),""))</f>
        <v/>
      </c>
      <c r="AE23" s="58" t="str">
        <f aca="false">IF('STUDENT SCREENING'!AD23="","",IFERROR(INDEX('SCORING MASTER'!$D$33:$D$35,MATCH('STUDENT SCREENING'!AD23,'SCORING MASTER'!$C$33:$C$35,0)),""))</f>
        <v/>
      </c>
      <c r="AF23" s="58" t="str">
        <f aca="false">IF('STUDENT SCREENING'!AE23="","",IFERROR(INDEX('SCORING MASTER'!$D$37:$D$39,MATCH('STUDENT SCREENING'!AE23,'SCORING MASTER'!$C$37:$C$39,0)),""))</f>
        <v/>
      </c>
      <c r="AG23" s="58" t="str">
        <f aca="false">IF('STUDENT SCREENING'!AF23="","",IFERROR(INDEX('SCORING MASTER'!$D$41:$D$43,MATCH('STUDENT SCREENING'!AF23,'SCORING MASTER'!$C$41:$C$43,0)),""))</f>
        <v/>
      </c>
      <c r="AH23" s="58" t="str">
        <f aca="false">IF('STUDENT SCREENING'!AG23="","",IFERROR(INDEX('SCORING MASTER'!$D$45:$D$47,MATCH('STUDENT SCREENING'!AG23,'SCORING MASTER'!$C$45:$C$47,0)),""))</f>
        <v/>
      </c>
      <c r="AI23" s="58" t="str">
        <f aca="false">IF('STUDENT SCREENING'!AH23="","",IFERROR(INDEX('SCORING MASTER'!$D$49:$D$52,MATCH('STUDENT SCREENING'!AH23,'SCORING MASTER'!$C$49:$C$52,0)),""))</f>
        <v/>
      </c>
      <c r="AJ23" s="58" t="str">
        <f aca="false">IF('STUDENT SCREENING'!AI23="","",IFERROR(INDEX('SCORING MASTER'!$D$54:$D$57,MATCH('STUDENT SCREENING'!AI23,'SCORING MASTER'!$C$54:$C$57,0)),""))</f>
        <v/>
      </c>
      <c r="AK23" s="58" t="str">
        <f aca="false">IF('STUDENT SCREENING'!AJ23="","",IFERROR(INDEX('SCORING MASTER'!$D$59:$D$60,MATCH('STUDENT SCREENING'!AJ23,'SCORING MASTER'!$C$59:$C$60,0)),""))</f>
        <v/>
      </c>
      <c r="AL23" s="58" t="str">
        <f aca="false">IF('STUDENT SCREENING'!AK23="","",IFERROR(INDEX('SCORING MASTER'!$D$62:$D$63,MATCH('STUDENT SCREENING'!AK23,'SCORING MASTER'!$C$62:$C$63,0)),""))</f>
        <v/>
      </c>
      <c r="AM23" s="58" t="str">
        <f aca="false">IF('STUDENT SCREENING'!AL23="","",IFERROR(INDEX('SCORING MASTER'!$D$65:$D$66,MATCH('STUDENT SCREENING'!AL23,'SCORING MASTER'!$C$65:$C$66,0)),""))</f>
        <v/>
      </c>
      <c r="AN23" s="58" t="str">
        <f aca="false">IF('STUDENT SCREENING'!AM23="","",IFERROR(INDEX('SCORING MASTER'!$D$68:$D$69,MATCH('STUDENT SCREENING'!AM23,'SCORING MASTER'!$C$68:$C$69,0)),""))</f>
        <v/>
      </c>
      <c r="AO23" s="58" t="str">
        <f aca="false">IF('STUDENT SCREENING'!AN23="","",IFERROR(INDEX('SCORING MASTER'!$D$71:$D$72,MATCH('STUDENT SCREENING'!AN23,'SCORING MASTER'!$C$71:$C$72,0)),""))</f>
        <v/>
      </c>
      <c r="AP23" s="58" t="str">
        <f aca="false">IF('STUDENT SCREENING'!AO23="","",IFERROR(INDEX('SCORING MASTER'!$D$74:$D$75,MATCH('STUDENT SCREENING'!AO23,'SCORING MASTER'!$C$74:$C$75,0)),""))</f>
        <v/>
      </c>
      <c r="AQ23" s="58" t="str">
        <f aca="false">IF('STUDENT SCREENING'!AP23="","",IFERROR(INDEX('SCORING MASTER'!$D$77:$D$78,MATCH('STUDENT SCREENING'!AP23,'SCORING MASTER'!$C$77:$C$78,0)),""))</f>
        <v/>
      </c>
      <c r="AR23" s="58" t="str">
        <f aca="false">IF('STUDENT SCREENING'!AQ23="","",IFERROR(INDEX('SCORING MASTER'!$D$80:$D$82,MATCH('STUDENT SCREENING'!AQ23,'SCORING MASTER'!$C$80:$C$82,0)),""))</f>
        <v/>
      </c>
      <c r="AS23" s="58" t="str">
        <f aca="false">IF('STUDENT SCREENING'!AR23="","",IFERROR(INDEX('SCORING MASTER'!$D$84:$D$86,MATCH('STUDENT SCREENING'!AR23,'SCORING MASTER'!$C$84:$C$86,0)),""))</f>
        <v/>
      </c>
      <c r="AT23" s="58" t="str">
        <f aca="false">IF('STUDENT SCREENING'!AS23="","",IFERROR(INDEX('SCORING MASTER'!$D$88:$D$90,MATCH('STUDENT SCREENING'!AS23,'SCORING MASTER'!$C$88:$C$90,0)),""))</f>
        <v/>
      </c>
      <c r="AU23" s="58" t="str">
        <f aca="false">IF('STUDENT SCREENING'!AT23="","",IFERROR(INDEX('SCORING MASTER'!$D$92:$D$93,MATCH('STUDENT SCREENING'!AT23,'SCORING MASTER'!$C$92:$C$93,0)),""))</f>
        <v/>
      </c>
      <c r="AV23" s="58" t="str">
        <f aca="false">IF('STUDENT SCREENING'!AU23="","",IFERROR(INDEX('SCORING MASTER'!$D$95:$D$96,MATCH('STUDENT SCREENING'!AU23,'SCORING MASTER'!$C$95:$C$96,0)),""))</f>
        <v/>
      </c>
      <c r="AW23" s="58" t="str">
        <f aca="false">IF('STUDENT SCREENING'!AV23="","",IFERROR(INDEX('SCORING MASTER'!$D$98:$D$99,MATCH('STUDENT SCREENING'!AV23,'SCORING MASTER'!$C$98:$C$99,0)),""))</f>
        <v/>
      </c>
      <c r="AX23" s="58" t="str">
        <f aca="false">IF('STUDENT SCREENING'!AW23="","",IFERROR(INDEX('SCORING MASTER'!$D$101:$D$102,MATCH('STUDENT SCREENING'!AW23,'SCORING MASTER'!$C$101:$C$102,0)),""))</f>
        <v/>
      </c>
      <c r="AY23" s="58" t="str">
        <f aca="false">IF('STUDENT SCREENING'!AX23="","",IFERROR(INDEX('SCORING MASTER'!$D$104:$D$105,MATCH('STUDENT SCREENING'!AX23,'SCORING MASTER'!$C$104:$C$105,0)),""))</f>
        <v/>
      </c>
      <c r="AZ23" s="58" t="str">
        <f aca="false">IF('STUDENT SCREENING'!AY23="","",IFERROR(INDEX('SCORING MASTER'!$D$107:$D$108,MATCH('STUDENT SCREENING'!AY23,'SCORING MASTER'!$C$107:$C$108,0)),""))</f>
        <v/>
      </c>
      <c r="BA23" s="58" t="str">
        <f aca="false">IF('STUDENT SCREENING'!AZ23="","",IFERROR(INDEX('SCORING MASTER'!$D$110:$D$111,MATCH('STUDENT SCREENING'!AZ23,'SCORING MASTER'!$C$110:$C$111,0)),""))</f>
        <v/>
      </c>
      <c r="BB23" s="58" t="str">
        <f aca="false">IF('STUDENT SCREENING'!BA23="","",IFERROR(INDEX('SCORING MASTER'!$D$113:$D$115,MATCH('STUDENT SCREENING'!BA23,'SCORING MASTER'!$C$113:$C$115,0)),""))</f>
        <v/>
      </c>
      <c r="BC23" s="58" t="str">
        <f aca="false">IF('STUDENT SCREENING'!BB23="","",IFERROR(INDEX('SCORING MASTER'!$D$117:$D$119,MATCH('STUDENT SCREENING'!BB23,'SCORING MASTER'!$C$117:$C$119,0)),""))</f>
        <v/>
      </c>
      <c r="BD23" s="58" t="str">
        <f aca="false">IF('STUDENT SCREENING'!BC23="","",IFERROR(INDEX('SCORING MASTER'!$D$121:$D$123,MATCH('STUDENT SCREENING'!BC23,'SCORING MASTER'!$C$121:$C$123,0)),""))</f>
        <v/>
      </c>
      <c r="BE23" s="58" t="str">
        <f aca="false">IF('STUDENT SCREENING'!BD23="","",IFERROR(INDEX('SCORING MASTER'!$D$125:$D$126,MATCH('STUDENT SCREENING'!BD23,'SCORING MASTER'!$C$125:$C$126,0)),""))</f>
        <v/>
      </c>
      <c r="BF23" s="58" t="str">
        <f aca="false">IF('STUDENT SCREENING'!BE23="","",IFERROR(INDEX('SCORING MASTER'!$D$128:$D$129,MATCH('STUDENT SCREENING'!BE23,'SCORING MASTER'!$C$128:$C$129,0)),""))</f>
        <v/>
      </c>
      <c r="BG23" s="58" t="str">
        <f aca="false">IF('STUDENT SCREENING'!BP23="","",IFERROR(MATCH('STUDENT SCREENING'!BP23,{"Red - High Risk","Orange - Moderate Risk","Yellow - Mild Risk","Light Green - Mild Watch","Green - Healthy"},0)-1,""))</f>
        <v/>
      </c>
      <c r="BH23" s="58" t="str">
        <f aca="false">IF('STUDENT SCREENING'!BQ23="","",IF('STUDENT SCREENING'!BQ23="Yes",1,0))</f>
        <v/>
      </c>
      <c r="BI23" s="58" t="str">
        <f aca="false">IF('STUDENT SCREENING'!BR23="","",IF('STUDENT SCREENING'!BR23="Yes",1,0))</f>
        <v/>
      </c>
    </row>
    <row r="24" customFormat="false" ht="15" hidden="false" customHeight="false" outlineLevel="0" collapsed="false">
      <c r="A24" s="57" t="str">
        <f aca="false">'STUDENT SCREENING'!A24</f>
        <v/>
      </c>
      <c r="B24" s="57" t="n">
        <f aca="false">'STUDENT SCREENING'!C24</f>
        <v>0</v>
      </c>
      <c r="C24" s="57" t="n">
        <f aca="false">'STUDENT SCREENING'!D24</f>
        <v>0</v>
      </c>
      <c r="D24" s="57" t="n">
        <f aca="false">'STUDENT SCREENING'!E24</f>
        <v>0</v>
      </c>
      <c r="E24" s="57" t="n">
        <f aca="false">'STUDENT SCREENING'!F24</f>
        <v>0</v>
      </c>
      <c r="F24" s="57" t="n">
        <f aca="false">'STUDENT SCREENING'!K24</f>
        <v>0</v>
      </c>
      <c r="G24" s="57" t="n">
        <f aca="false">'STUDENT SCREENING'!J24</f>
        <v>0</v>
      </c>
      <c r="H24" s="57" t="str">
        <f aca="false">IF('STUDENT SCREENING'!K24="","",IFERROR(MATCH('STUDENT SCREENING'!K24,Adm_Gender,0),""))</f>
        <v/>
      </c>
      <c r="I24" s="57" t="n">
        <f aca="false">'STUDENT SCREENING'!Q24</f>
        <v>0</v>
      </c>
      <c r="J24" s="57" t="n">
        <f aca="false">'STUDENT SCREENING'!R24</f>
        <v>0</v>
      </c>
      <c r="K24" s="57" t="str">
        <f aca="false">'STUDENT SCREENING'!S24</f>
        <v/>
      </c>
      <c r="L24" s="57" t="n">
        <f aca="false">'STUDENT SCREENING'!U24</f>
        <v>0</v>
      </c>
      <c r="M24" s="57" t="n">
        <f aca="false">'STUDENT SCREENING'!V24</f>
        <v>0</v>
      </c>
      <c r="N24" s="57" t="str">
        <f aca="false">'STUDENT SCREENING'!BF24</f>
        <v/>
      </c>
      <c r="O24" s="57" t="str">
        <f aca="false">'STUDENT SCREENING'!BG24</f>
        <v/>
      </c>
      <c r="P24" s="57" t="str">
        <f aca="false">'STUDENT SCREENING'!BH24</f>
        <v/>
      </c>
      <c r="Q24" s="57" t="str">
        <f aca="false">'STUDENT SCREENING'!BI24</f>
        <v/>
      </c>
      <c r="R24" s="57" t="str">
        <f aca="false">'STUDENT SCREENING'!BJ24</f>
        <v/>
      </c>
      <c r="S24" s="57" t="str">
        <f aca="false">'STUDENT SCREENING'!BK24</f>
        <v/>
      </c>
      <c r="T24" s="57" t="str">
        <f aca="false">'STUDENT SCREENING'!BL24</f>
        <v/>
      </c>
      <c r="U24" s="57" t="str">
        <f aca="false">'STUDENT SCREENING'!BM24</f>
        <v/>
      </c>
      <c r="V24" s="57" t="str">
        <f aca="false">'STUDENT SCREENING'!BN24</f>
        <v/>
      </c>
      <c r="W24" s="57" t="str">
        <f aca="false">'STUDENT SCREENING'!BO24</f>
        <v/>
      </c>
      <c r="X24" s="57" t="str">
        <f aca="false">IF('STUDENT SCREENING'!W24="","",IFERROR(INDEX('SCORING MASTER'!$D$5:$D$7,MATCH('STUDENT SCREENING'!W24,'SCORING MASTER'!$C$5:$C$7,0)),""))</f>
        <v/>
      </c>
      <c r="Y24" s="57" t="str">
        <f aca="false">IF('STUDENT SCREENING'!X24="","",IFERROR(INDEX('SCORING MASTER'!$D$9:$D$11,MATCH('STUDENT SCREENING'!X24,'SCORING MASTER'!$C$9:$C$11,0)),""))</f>
        <v/>
      </c>
      <c r="Z24" s="57" t="str">
        <f aca="false">IF('STUDENT SCREENING'!Y24="","",IFERROR(INDEX('SCORING MASTER'!$D$13:$D$15,MATCH('STUDENT SCREENING'!Y24,'SCORING MASTER'!$C$13:$C$15,0)),""))</f>
        <v/>
      </c>
      <c r="AA24" s="57" t="str">
        <f aca="false">IF('STUDENT SCREENING'!Z24="","",IFERROR(INDEX('SCORING MASTER'!$D$17:$D$19,MATCH('STUDENT SCREENING'!Z24,'SCORING MASTER'!$C$17:$C$19,0)),""))</f>
        <v/>
      </c>
      <c r="AB24" s="57" t="str">
        <f aca="false">IF('STUDENT SCREENING'!AA24="","",IFERROR(INDEX('SCORING MASTER'!$D$21:$D$23,MATCH('STUDENT SCREENING'!AA24,'SCORING MASTER'!$C$21:$C$23,0)),""))</f>
        <v/>
      </c>
      <c r="AC24" s="57" t="str">
        <f aca="false">IF('STUDENT SCREENING'!AB24="","",IFERROR(INDEX('SCORING MASTER'!$D$25:$D$27,MATCH('STUDENT SCREENING'!AB24,'SCORING MASTER'!$C$25:$C$27,0)),""))</f>
        <v/>
      </c>
      <c r="AD24" s="57" t="str">
        <f aca="false">IF('STUDENT SCREENING'!AC24="","",IFERROR(INDEX('SCORING MASTER'!$D$29:$D$31,MATCH('STUDENT SCREENING'!AC24,'SCORING MASTER'!$C$29:$C$31,0)),""))</f>
        <v/>
      </c>
      <c r="AE24" s="57" t="str">
        <f aca="false">IF('STUDENT SCREENING'!AD24="","",IFERROR(INDEX('SCORING MASTER'!$D$33:$D$35,MATCH('STUDENT SCREENING'!AD24,'SCORING MASTER'!$C$33:$C$35,0)),""))</f>
        <v/>
      </c>
      <c r="AF24" s="57" t="str">
        <f aca="false">IF('STUDENT SCREENING'!AE24="","",IFERROR(INDEX('SCORING MASTER'!$D$37:$D$39,MATCH('STUDENT SCREENING'!AE24,'SCORING MASTER'!$C$37:$C$39,0)),""))</f>
        <v/>
      </c>
      <c r="AG24" s="57" t="str">
        <f aca="false">IF('STUDENT SCREENING'!AF24="","",IFERROR(INDEX('SCORING MASTER'!$D$41:$D$43,MATCH('STUDENT SCREENING'!AF24,'SCORING MASTER'!$C$41:$C$43,0)),""))</f>
        <v/>
      </c>
      <c r="AH24" s="57" t="str">
        <f aca="false">IF('STUDENT SCREENING'!AG24="","",IFERROR(INDEX('SCORING MASTER'!$D$45:$D$47,MATCH('STUDENT SCREENING'!AG24,'SCORING MASTER'!$C$45:$C$47,0)),""))</f>
        <v/>
      </c>
      <c r="AI24" s="57" t="str">
        <f aca="false">IF('STUDENT SCREENING'!AH24="","",IFERROR(INDEX('SCORING MASTER'!$D$49:$D$52,MATCH('STUDENT SCREENING'!AH24,'SCORING MASTER'!$C$49:$C$52,0)),""))</f>
        <v/>
      </c>
      <c r="AJ24" s="57" t="str">
        <f aca="false">IF('STUDENT SCREENING'!AI24="","",IFERROR(INDEX('SCORING MASTER'!$D$54:$D$57,MATCH('STUDENT SCREENING'!AI24,'SCORING MASTER'!$C$54:$C$57,0)),""))</f>
        <v/>
      </c>
      <c r="AK24" s="57" t="str">
        <f aca="false">IF('STUDENT SCREENING'!AJ24="","",IFERROR(INDEX('SCORING MASTER'!$D$59:$D$60,MATCH('STUDENT SCREENING'!AJ24,'SCORING MASTER'!$C$59:$C$60,0)),""))</f>
        <v/>
      </c>
      <c r="AL24" s="57" t="str">
        <f aca="false">IF('STUDENT SCREENING'!AK24="","",IFERROR(INDEX('SCORING MASTER'!$D$62:$D$63,MATCH('STUDENT SCREENING'!AK24,'SCORING MASTER'!$C$62:$C$63,0)),""))</f>
        <v/>
      </c>
      <c r="AM24" s="57" t="str">
        <f aca="false">IF('STUDENT SCREENING'!AL24="","",IFERROR(INDEX('SCORING MASTER'!$D$65:$D$66,MATCH('STUDENT SCREENING'!AL24,'SCORING MASTER'!$C$65:$C$66,0)),""))</f>
        <v/>
      </c>
      <c r="AN24" s="57" t="str">
        <f aca="false">IF('STUDENT SCREENING'!AM24="","",IFERROR(INDEX('SCORING MASTER'!$D$68:$D$69,MATCH('STUDENT SCREENING'!AM24,'SCORING MASTER'!$C$68:$C$69,0)),""))</f>
        <v/>
      </c>
      <c r="AO24" s="57" t="str">
        <f aca="false">IF('STUDENT SCREENING'!AN24="","",IFERROR(INDEX('SCORING MASTER'!$D$71:$D$72,MATCH('STUDENT SCREENING'!AN24,'SCORING MASTER'!$C$71:$C$72,0)),""))</f>
        <v/>
      </c>
      <c r="AP24" s="57" t="str">
        <f aca="false">IF('STUDENT SCREENING'!AO24="","",IFERROR(INDEX('SCORING MASTER'!$D$74:$D$75,MATCH('STUDENT SCREENING'!AO24,'SCORING MASTER'!$C$74:$C$75,0)),""))</f>
        <v/>
      </c>
      <c r="AQ24" s="57" t="str">
        <f aca="false">IF('STUDENT SCREENING'!AP24="","",IFERROR(INDEX('SCORING MASTER'!$D$77:$D$78,MATCH('STUDENT SCREENING'!AP24,'SCORING MASTER'!$C$77:$C$78,0)),""))</f>
        <v/>
      </c>
      <c r="AR24" s="57" t="str">
        <f aca="false">IF('STUDENT SCREENING'!AQ24="","",IFERROR(INDEX('SCORING MASTER'!$D$80:$D$82,MATCH('STUDENT SCREENING'!AQ24,'SCORING MASTER'!$C$80:$C$82,0)),""))</f>
        <v/>
      </c>
      <c r="AS24" s="57" t="str">
        <f aca="false">IF('STUDENT SCREENING'!AR24="","",IFERROR(INDEX('SCORING MASTER'!$D$84:$D$86,MATCH('STUDENT SCREENING'!AR24,'SCORING MASTER'!$C$84:$C$86,0)),""))</f>
        <v/>
      </c>
      <c r="AT24" s="57" t="str">
        <f aca="false">IF('STUDENT SCREENING'!AS24="","",IFERROR(INDEX('SCORING MASTER'!$D$88:$D$90,MATCH('STUDENT SCREENING'!AS24,'SCORING MASTER'!$C$88:$C$90,0)),""))</f>
        <v/>
      </c>
      <c r="AU24" s="57" t="str">
        <f aca="false">IF('STUDENT SCREENING'!AT24="","",IFERROR(INDEX('SCORING MASTER'!$D$92:$D$93,MATCH('STUDENT SCREENING'!AT24,'SCORING MASTER'!$C$92:$C$93,0)),""))</f>
        <v/>
      </c>
      <c r="AV24" s="57" t="str">
        <f aca="false">IF('STUDENT SCREENING'!AU24="","",IFERROR(INDEX('SCORING MASTER'!$D$95:$D$96,MATCH('STUDENT SCREENING'!AU24,'SCORING MASTER'!$C$95:$C$96,0)),""))</f>
        <v/>
      </c>
      <c r="AW24" s="57" t="str">
        <f aca="false">IF('STUDENT SCREENING'!AV24="","",IFERROR(INDEX('SCORING MASTER'!$D$98:$D$99,MATCH('STUDENT SCREENING'!AV24,'SCORING MASTER'!$C$98:$C$99,0)),""))</f>
        <v/>
      </c>
      <c r="AX24" s="57" t="str">
        <f aca="false">IF('STUDENT SCREENING'!AW24="","",IFERROR(INDEX('SCORING MASTER'!$D$101:$D$102,MATCH('STUDENT SCREENING'!AW24,'SCORING MASTER'!$C$101:$C$102,0)),""))</f>
        <v/>
      </c>
      <c r="AY24" s="57" t="str">
        <f aca="false">IF('STUDENT SCREENING'!AX24="","",IFERROR(INDEX('SCORING MASTER'!$D$104:$D$105,MATCH('STUDENT SCREENING'!AX24,'SCORING MASTER'!$C$104:$C$105,0)),""))</f>
        <v/>
      </c>
      <c r="AZ24" s="57" t="str">
        <f aca="false">IF('STUDENT SCREENING'!AY24="","",IFERROR(INDEX('SCORING MASTER'!$D$107:$D$108,MATCH('STUDENT SCREENING'!AY24,'SCORING MASTER'!$C$107:$C$108,0)),""))</f>
        <v/>
      </c>
      <c r="BA24" s="57" t="str">
        <f aca="false">IF('STUDENT SCREENING'!AZ24="","",IFERROR(INDEX('SCORING MASTER'!$D$110:$D$111,MATCH('STUDENT SCREENING'!AZ24,'SCORING MASTER'!$C$110:$C$111,0)),""))</f>
        <v/>
      </c>
      <c r="BB24" s="57" t="str">
        <f aca="false">IF('STUDENT SCREENING'!BA24="","",IFERROR(INDEX('SCORING MASTER'!$D$113:$D$115,MATCH('STUDENT SCREENING'!BA24,'SCORING MASTER'!$C$113:$C$115,0)),""))</f>
        <v/>
      </c>
      <c r="BC24" s="57" t="str">
        <f aca="false">IF('STUDENT SCREENING'!BB24="","",IFERROR(INDEX('SCORING MASTER'!$D$117:$D$119,MATCH('STUDENT SCREENING'!BB24,'SCORING MASTER'!$C$117:$C$119,0)),""))</f>
        <v/>
      </c>
      <c r="BD24" s="57" t="str">
        <f aca="false">IF('STUDENT SCREENING'!BC24="","",IFERROR(INDEX('SCORING MASTER'!$D$121:$D$123,MATCH('STUDENT SCREENING'!BC24,'SCORING MASTER'!$C$121:$C$123,0)),""))</f>
        <v/>
      </c>
      <c r="BE24" s="57" t="str">
        <f aca="false">IF('STUDENT SCREENING'!BD24="","",IFERROR(INDEX('SCORING MASTER'!$D$125:$D$126,MATCH('STUDENT SCREENING'!BD24,'SCORING MASTER'!$C$125:$C$126,0)),""))</f>
        <v/>
      </c>
      <c r="BF24" s="57" t="str">
        <f aca="false">IF('STUDENT SCREENING'!BE24="","",IFERROR(INDEX('SCORING MASTER'!$D$128:$D$129,MATCH('STUDENT SCREENING'!BE24,'SCORING MASTER'!$C$128:$C$129,0)),""))</f>
        <v/>
      </c>
      <c r="BG24" s="57" t="str">
        <f aca="false">IF('STUDENT SCREENING'!BP24="","",IFERROR(MATCH('STUDENT SCREENING'!BP24,{"Red - High Risk","Orange - Moderate Risk","Yellow - Mild Risk","Light Green - Mild Watch","Green - Healthy"},0)-1,""))</f>
        <v/>
      </c>
      <c r="BH24" s="57" t="str">
        <f aca="false">IF('STUDENT SCREENING'!BQ24="","",IF('STUDENT SCREENING'!BQ24="Yes",1,0))</f>
        <v/>
      </c>
      <c r="BI24" s="57" t="str">
        <f aca="false">IF('STUDENT SCREENING'!BR24="","",IF('STUDENT SCREENING'!BR24="Yes",1,0))</f>
        <v/>
      </c>
    </row>
    <row r="25" customFormat="false" ht="15" hidden="false" customHeight="false" outlineLevel="0" collapsed="false">
      <c r="A25" s="58" t="str">
        <f aca="false">'STUDENT SCREENING'!A25</f>
        <v/>
      </c>
      <c r="B25" s="58" t="n">
        <f aca="false">'STUDENT SCREENING'!C25</f>
        <v>0</v>
      </c>
      <c r="C25" s="58" t="n">
        <f aca="false">'STUDENT SCREENING'!D25</f>
        <v>0</v>
      </c>
      <c r="D25" s="58" t="n">
        <f aca="false">'STUDENT SCREENING'!E25</f>
        <v>0</v>
      </c>
      <c r="E25" s="58" t="n">
        <f aca="false">'STUDENT SCREENING'!F25</f>
        <v>0</v>
      </c>
      <c r="F25" s="58" t="n">
        <f aca="false">'STUDENT SCREENING'!K25</f>
        <v>0</v>
      </c>
      <c r="G25" s="58" t="n">
        <f aca="false">'STUDENT SCREENING'!J25</f>
        <v>0</v>
      </c>
      <c r="H25" s="58" t="str">
        <f aca="false">IF('STUDENT SCREENING'!K25="","",IFERROR(MATCH('STUDENT SCREENING'!K25,Adm_Gender,0),""))</f>
        <v/>
      </c>
      <c r="I25" s="58" t="n">
        <f aca="false">'STUDENT SCREENING'!Q25</f>
        <v>0</v>
      </c>
      <c r="J25" s="58" t="n">
        <f aca="false">'STUDENT SCREENING'!R25</f>
        <v>0</v>
      </c>
      <c r="K25" s="58" t="str">
        <f aca="false">'STUDENT SCREENING'!S25</f>
        <v/>
      </c>
      <c r="L25" s="58" t="n">
        <f aca="false">'STUDENT SCREENING'!U25</f>
        <v>0</v>
      </c>
      <c r="M25" s="58" t="n">
        <f aca="false">'STUDENT SCREENING'!V25</f>
        <v>0</v>
      </c>
      <c r="N25" s="58" t="str">
        <f aca="false">'STUDENT SCREENING'!BF25</f>
        <v/>
      </c>
      <c r="O25" s="58" t="str">
        <f aca="false">'STUDENT SCREENING'!BG25</f>
        <v/>
      </c>
      <c r="P25" s="58" t="str">
        <f aca="false">'STUDENT SCREENING'!BH25</f>
        <v/>
      </c>
      <c r="Q25" s="58" t="str">
        <f aca="false">'STUDENT SCREENING'!BI25</f>
        <v/>
      </c>
      <c r="R25" s="58" t="str">
        <f aca="false">'STUDENT SCREENING'!BJ25</f>
        <v/>
      </c>
      <c r="S25" s="58" t="str">
        <f aca="false">'STUDENT SCREENING'!BK25</f>
        <v/>
      </c>
      <c r="T25" s="58" t="str">
        <f aca="false">'STUDENT SCREENING'!BL25</f>
        <v/>
      </c>
      <c r="U25" s="58" t="str">
        <f aca="false">'STUDENT SCREENING'!BM25</f>
        <v/>
      </c>
      <c r="V25" s="58" t="str">
        <f aca="false">'STUDENT SCREENING'!BN25</f>
        <v/>
      </c>
      <c r="W25" s="58" t="str">
        <f aca="false">'STUDENT SCREENING'!BO25</f>
        <v/>
      </c>
      <c r="X25" s="58" t="str">
        <f aca="false">IF('STUDENT SCREENING'!W25="","",IFERROR(INDEX('SCORING MASTER'!$D$5:$D$7,MATCH('STUDENT SCREENING'!W25,'SCORING MASTER'!$C$5:$C$7,0)),""))</f>
        <v/>
      </c>
      <c r="Y25" s="58" t="str">
        <f aca="false">IF('STUDENT SCREENING'!X25="","",IFERROR(INDEX('SCORING MASTER'!$D$9:$D$11,MATCH('STUDENT SCREENING'!X25,'SCORING MASTER'!$C$9:$C$11,0)),""))</f>
        <v/>
      </c>
      <c r="Z25" s="58" t="str">
        <f aca="false">IF('STUDENT SCREENING'!Y25="","",IFERROR(INDEX('SCORING MASTER'!$D$13:$D$15,MATCH('STUDENT SCREENING'!Y25,'SCORING MASTER'!$C$13:$C$15,0)),""))</f>
        <v/>
      </c>
      <c r="AA25" s="58" t="str">
        <f aca="false">IF('STUDENT SCREENING'!Z25="","",IFERROR(INDEX('SCORING MASTER'!$D$17:$D$19,MATCH('STUDENT SCREENING'!Z25,'SCORING MASTER'!$C$17:$C$19,0)),""))</f>
        <v/>
      </c>
      <c r="AB25" s="58" t="str">
        <f aca="false">IF('STUDENT SCREENING'!AA25="","",IFERROR(INDEX('SCORING MASTER'!$D$21:$D$23,MATCH('STUDENT SCREENING'!AA25,'SCORING MASTER'!$C$21:$C$23,0)),""))</f>
        <v/>
      </c>
      <c r="AC25" s="58" t="str">
        <f aca="false">IF('STUDENT SCREENING'!AB25="","",IFERROR(INDEX('SCORING MASTER'!$D$25:$D$27,MATCH('STUDENT SCREENING'!AB25,'SCORING MASTER'!$C$25:$C$27,0)),""))</f>
        <v/>
      </c>
      <c r="AD25" s="58" t="str">
        <f aca="false">IF('STUDENT SCREENING'!AC25="","",IFERROR(INDEX('SCORING MASTER'!$D$29:$D$31,MATCH('STUDENT SCREENING'!AC25,'SCORING MASTER'!$C$29:$C$31,0)),""))</f>
        <v/>
      </c>
      <c r="AE25" s="58" t="str">
        <f aca="false">IF('STUDENT SCREENING'!AD25="","",IFERROR(INDEX('SCORING MASTER'!$D$33:$D$35,MATCH('STUDENT SCREENING'!AD25,'SCORING MASTER'!$C$33:$C$35,0)),""))</f>
        <v/>
      </c>
      <c r="AF25" s="58" t="str">
        <f aca="false">IF('STUDENT SCREENING'!AE25="","",IFERROR(INDEX('SCORING MASTER'!$D$37:$D$39,MATCH('STUDENT SCREENING'!AE25,'SCORING MASTER'!$C$37:$C$39,0)),""))</f>
        <v/>
      </c>
      <c r="AG25" s="58" t="str">
        <f aca="false">IF('STUDENT SCREENING'!AF25="","",IFERROR(INDEX('SCORING MASTER'!$D$41:$D$43,MATCH('STUDENT SCREENING'!AF25,'SCORING MASTER'!$C$41:$C$43,0)),""))</f>
        <v/>
      </c>
      <c r="AH25" s="58" t="str">
        <f aca="false">IF('STUDENT SCREENING'!AG25="","",IFERROR(INDEX('SCORING MASTER'!$D$45:$D$47,MATCH('STUDENT SCREENING'!AG25,'SCORING MASTER'!$C$45:$C$47,0)),""))</f>
        <v/>
      </c>
      <c r="AI25" s="58" t="str">
        <f aca="false">IF('STUDENT SCREENING'!AH25="","",IFERROR(INDEX('SCORING MASTER'!$D$49:$D$52,MATCH('STUDENT SCREENING'!AH25,'SCORING MASTER'!$C$49:$C$52,0)),""))</f>
        <v/>
      </c>
      <c r="AJ25" s="58" t="str">
        <f aca="false">IF('STUDENT SCREENING'!AI25="","",IFERROR(INDEX('SCORING MASTER'!$D$54:$D$57,MATCH('STUDENT SCREENING'!AI25,'SCORING MASTER'!$C$54:$C$57,0)),""))</f>
        <v/>
      </c>
      <c r="AK25" s="58" t="str">
        <f aca="false">IF('STUDENT SCREENING'!AJ25="","",IFERROR(INDEX('SCORING MASTER'!$D$59:$D$60,MATCH('STUDENT SCREENING'!AJ25,'SCORING MASTER'!$C$59:$C$60,0)),""))</f>
        <v/>
      </c>
      <c r="AL25" s="58" t="str">
        <f aca="false">IF('STUDENT SCREENING'!AK25="","",IFERROR(INDEX('SCORING MASTER'!$D$62:$D$63,MATCH('STUDENT SCREENING'!AK25,'SCORING MASTER'!$C$62:$C$63,0)),""))</f>
        <v/>
      </c>
      <c r="AM25" s="58" t="str">
        <f aca="false">IF('STUDENT SCREENING'!AL25="","",IFERROR(INDEX('SCORING MASTER'!$D$65:$D$66,MATCH('STUDENT SCREENING'!AL25,'SCORING MASTER'!$C$65:$C$66,0)),""))</f>
        <v/>
      </c>
      <c r="AN25" s="58" t="str">
        <f aca="false">IF('STUDENT SCREENING'!AM25="","",IFERROR(INDEX('SCORING MASTER'!$D$68:$D$69,MATCH('STUDENT SCREENING'!AM25,'SCORING MASTER'!$C$68:$C$69,0)),""))</f>
        <v/>
      </c>
      <c r="AO25" s="58" t="str">
        <f aca="false">IF('STUDENT SCREENING'!AN25="","",IFERROR(INDEX('SCORING MASTER'!$D$71:$D$72,MATCH('STUDENT SCREENING'!AN25,'SCORING MASTER'!$C$71:$C$72,0)),""))</f>
        <v/>
      </c>
      <c r="AP25" s="58" t="str">
        <f aca="false">IF('STUDENT SCREENING'!AO25="","",IFERROR(INDEX('SCORING MASTER'!$D$74:$D$75,MATCH('STUDENT SCREENING'!AO25,'SCORING MASTER'!$C$74:$C$75,0)),""))</f>
        <v/>
      </c>
      <c r="AQ25" s="58" t="str">
        <f aca="false">IF('STUDENT SCREENING'!AP25="","",IFERROR(INDEX('SCORING MASTER'!$D$77:$D$78,MATCH('STUDENT SCREENING'!AP25,'SCORING MASTER'!$C$77:$C$78,0)),""))</f>
        <v/>
      </c>
      <c r="AR25" s="58" t="str">
        <f aca="false">IF('STUDENT SCREENING'!AQ25="","",IFERROR(INDEX('SCORING MASTER'!$D$80:$D$82,MATCH('STUDENT SCREENING'!AQ25,'SCORING MASTER'!$C$80:$C$82,0)),""))</f>
        <v/>
      </c>
      <c r="AS25" s="58" t="str">
        <f aca="false">IF('STUDENT SCREENING'!AR25="","",IFERROR(INDEX('SCORING MASTER'!$D$84:$D$86,MATCH('STUDENT SCREENING'!AR25,'SCORING MASTER'!$C$84:$C$86,0)),""))</f>
        <v/>
      </c>
      <c r="AT25" s="58" t="str">
        <f aca="false">IF('STUDENT SCREENING'!AS25="","",IFERROR(INDEX('SCORING MASTER'!$D$88:$D$90,MATCH('STUDENT SCREENING'!AS25,'SCORING MASTER'!$C$88:$C$90,0)),""))</f>
        <v/>
      </c>
      <c r="AU25" s="58" t="str">
        <f aca="false">IF('STUDENT SCREENING'!AT25="","",IFERROR(INDEX('SCORING MASTER'!$D$92:$D$93,MATCH('STUDENT SCREENING'!AT25,'SCORING MASTER'!$C$92:$C$93,0)),""))</f>
        <v/>
      </c>
      <c r="AV25" s="58" t="str">
        <f aca="false">IF('STUDENT SCREENING'!AU25="","",IFERROR(INDEX('SCORING MASTER'!$D$95:$D$96,MATCH('STUDENT SCREENING'!AU25,'SCORING MASTER'!$C$95:$C$96,0)),""))</f>
        <v/>
      </c>
      <c r="AW25" s="58" t="str">
        <f aca="false">IF('STUDENT SCREENING'!AV25="","",IFERROR(INDEX('SCORING MASTER'!$D$98:$D$99,MATCH('STUDENT SCREENING'!AV25,'SCORING MASTER'!$C$98:$C$99,0)),""))</f>
        <v/>
      </c>
      <c r="AX25" s="58" t="str">
        <f aca="false">IF('STUDENT SCREENING'!AW25="","",IFERROR(INDEX('SCORING MASTER'!$D$101:$D$102,MATCH('STUDENT SCREENING'!AW25,'SCORING MASTER'!$C$101:$C$102,0)),""))</f>
        <v/>
      </c>
      <c r="AY25" s="58" t="str">
        <f aca="false">IF('STUDENT SCREENING'!AX25="","",IFERROR(INDEX('SCORING MASTER'!$D$104:$D$105,MATCH('STUDENT SCREENING'!AX25,'SCORING MASTER'!$C$104:$C$105,0)),""))</f>
        <v/>
      </c>
      <c r="AZ25" s="58" t="str">
        <f aca="false">IF('STUDENT SCREENING'!AY25="","",IFERROR(INDEX('SCORING MASTER'!$D$107:$D$108,MATCH('STUDENT SCREENING'!AY25,'SCORING MASTER'!$C$107:$C$108,0)),""))</f>
        <v/>
      </c>
      <c r="BA25" s="58" t="str">
        <f aca="false">IF('STUDENT SCREENING'!AZ25="","",IFERROR(INDEX('SCORING MASTER'!$D$110:$D$111,MATCH('STUDENT SCREENING'!AZ25,'SCORING MASTER'!$C$110:$C$111,0)),""))</f>
        <v/>
      </c>
      <c r="BB25" s="58" t="str">
        <f aca="false">IF('STUDENT SCREENING'!BA25="","",IFERROR(INDEX('SCORING MASTER'!$D$113:$D$115,MATCH('STUDENT SCREENING'!BA25,'SCORING MASTER'!$C$113:$C$115,0)),""))</f>
        <v/>
      </c>
      <c r="BC25" s="58" t="str">
        <f aca="false">IF('STUDENT SCREENING'!BB25="","",IFERROR(INDEX('SCORING MASTER'!$D$117:$D$119,MATCH('STUDENT SCREENING'!BB25,'SCORING MASTER'!$C$117:$C$119,0)),""))</f>
        <v/>
      </c>
      <c r="BD25" s="58" t="str">
        <f aca="false">IF('STUDENT SCREENING'!BC25="","",IFERROR(INDEX('SCORING MASTER'!$D$121:$D$123,MATCH('STUDENT SCREENING'!BC25,'SCORING MASTER'!$C$121:$C$123,0)),""))</f>
        <v/>
      </c>
      <c r="BE25" s="58" t="str">
        <f aca="false">IF('STUDENT SCREENING'!BD25="","",IFERROR(INDEX('SCORING MASTER'!$D$125:$D$126,MATCH('STUDENT SCREENING'!BD25,'SCORING MASTER'!$C$125:$C$126,0)),""))</f>
        <v/>
      </c>
      <c r="BF25" s="58" t="str">
        <f aca="false">IF('STUDENT SCREENING'!BE25="","",IFERROR(INDEX('SCORING MASTER'!$D$128:$D$129,MATCH('STUDENT SCREENING'!BE25,'SCORING MASTER'!$C$128:$C$129,0)),""))</f>
        <v/>
      </c>
      <c r="BG25" s="58" t="str">
        <f aca="false">IF('STUDENT SCREENING'!BP25="","",IFERROR(MATCH('STUDENT SCREENING'!BP25,{"Red - High Risk","Orange - Moderate Risk","Yellow - Mild Risk","Light Green - Mild Watch","Green - Healthy"},0)-1,""))</f>
        <v/>
      </c>
      <c r="BH25" s="58" t="str">
        <f aca="false">IF('STUDENT SCREENING'!BQ25="","",IF('STUDENT SCREENING'!BQ25="Yes",1,0))</f>
        <v/>
      </c>
      <c r="BI25" s="58" t="str">
        <f aca="false">IF('STUDENT SCREENING'!BR25="","",IF('STUDENT SCREENING'!BR25="Yes",1,0))</f>
        <v/>
      </c>
    </row>
    <row r="26" customFormat="false" ht="15" hidden="false" customHeight="false" outlineLevel="0" collapsed="false">
      <c r="A26" s="57" t="str">
        <f aca="false">'STUDENT SCREENING'!A26</f>
        <v/>
      </c>
      <c r="B26" s="57" t="n">
        <f aca="false">'STUDENT SCREENING'!C26</f>
        <v>0</v>
      </c>
      <c r="C26" s="57" t="n">
        <f aca="false">'STUDENT SCREENING'!D26</f>
        <v>0</v>
      </c>
      <c r="D26" s="57" t="n">
        <f aca="false">'STUDENT SCREENING'!E26</f>
        <v>0</v>
      </c>
      <c r="E26" s="57" t="n">
        <f aca="false">'STUDENT SCREENING'!F26</f>
        <v>0</v>
      </c>
      <c r="F26" s="57" t="n">
        <f aca="false">'STUDENT SCREENING'!K26</f>
        <v>0</v>
      </c>
      <c r="G26" s="57" t="n">
        <f aca="false">'STUDENT SCREENING'!J26</f>
        <v>0</v>
      </c>
      <c r="H26" s="57" t="str">
        <f aca="false">IF('STUDENT SCREENING'!K26="","",IFERROR(MATCH('STUDENT SCREENING'!K26,Adm_Gender,0),""))</f>
        <v/>
      </c>
      <c r="I26" s="57" t="n">
        <f aca="false">'STUDENT SCREENING'!Q26</f>
        <v>0</v>
      </c>
      <c r="J26" s="57" t="n">
        <f aca="false">'STUDENT SCREENING'!R26</f>
        <v>0</v>
      </c>
      <c r="K26" s="57" t="str">
        <f aca="false">'STUDENT SCREENING'!S26</f>
        <v/>
      </c>
      <c r="L26" s="57" t="n">
        <f aca="false">'STUDENT SCREENING'!U26</f>
        <v>0</v>
      </c>
      <c r="M26" s="57" t="n">
        <f aca="false">'STUDENT SCREENING'!V26</f>
        <v>0</v>
      </c>
      <c r="N26" s="57" t="str">
        <f aca="false">'STUDENT SCREENING'!BF26</f>
        <v/>
      </c>
      <c r="O26" s="57" t="str">
        <f aca="false">'STUDENT SCREENING'!BG26</f>
        <v/>
      </c>
      <c r="P26" s="57" t="str">
        <f aca="false">'STUDENT SCREENING'!BH26</f>
        <v/>
      </c>
      <c r="Q26" s="57" t="str">
        <f aca="false">'STUDENT SCREENING'!BI26</f>
        <v/>
      </c>
      <c r="R26" s="57" t="str">
        <f aca="false">'STUDENT SCREENING'!BJ26</f>
        <v/>
      </c>
      <c r="S26" s="57" t="str">
        <f aca="false">'STUDENT SCREENING'!BK26</f>
        <v/>
      </c>
      <c r="T26" s="57" t="str">
        <f aca="false">'STUDENT SCREENING'!BL26</f>
        <v/>
      </c>
      <c r="U26" s="57" t="str">
        <f aca="false">'STUDENT SCREENING'!BM26</f>
        <v/>
      </c>
      <c r="V26" s="57" t="str">
        <f aca="false">'STUDENT SCREENING'!BN26</f>
        <v/>
      </c>
      <c r="W26" s="57" t="str">
        <f aca="false">'STUDENT SCREENING'!BO26</f>
        <v/>
      </c>
      <c r="X26" s="57" t="str">
        <f aca="false">IF('STUDENT SCREENING'!W26="","",IFERROR(INDEX('SCORING MASTER'!$D$5:$D$7,MATCH('STUDENT SCREENING'!W26,'SCORING MASTER'!$C$5:$C$7,0)),""))</f>
        <v/>
      </c>
      <c r="Y26" s="57" t="str">
        <f aca="false">IF('STUDENT SCREENING'!X26="","",IFERROR(INDEX('SCORING MASTER'!$D$9:$D$11,MATCH('STUDENT SCREENING'!X26,'SCORING MASTER'!$C$9:$C$11,0)),""))</f>
        <v/>
      </c>
      <c r="Z26" s="57" t="str">
        <f aca="false">IF('STUDENT SCREENING'!Y26="","",IFERROR(INDEX('SCORING MASTER'!$D$13:$D$15,MATCH('STUDENT SCREENING'!Y26,'SCORING MASTER'!$C$13:$C$15,0)),""))</f>
        <v/>
      </c>
      <c r="AA26" s="57" t="str">
        <f aca="false">IF('STUDENT SCREENING'!Z26="","",IFERROR(INDEX('SCORING MASTER'!$D$17:$D$19,MATCH('STUDENT SCREENING'!Z26,'SCORING MASTER'!$C$17:$C$19,0)),""))</f>
        <v/>
      </c>
      <c r="AB26" s="57" t="str">
        <f aca="false">IF('STUDENT SCREENING'!AA26="","",IFERROR(INDEX('SCORING MASTER'!$D$21:$D$23,MATCH('STUDENT SCREENING'!AA26,'SCORING MASTER'!$C$21:$C$23,0)),""))</f>
        <v/>
      </c>
      <c r="AC26" s="57" t="str">
        <f aca="false">IF('STUDENT SCREENING'!AB26="","",IFERROR(INDEX('SCORING MASTER'!$D$25:$D$27,MATCH('STUDENT SCREENING'!AB26,'SCORING MASTER'!$C$25:$C$27,0)),""))</f>
        <v/>
      </c>
      <c r="AD26" s="57" t="str">
        <f aca="false">IF('STUDENT SCREENING'!AC26="","",IFERROR(INDEX('SCORING MASTER'!$D$29:$D$31,MATCH('STUDENT SCREENING'!AC26,'SCORING MASTER'!$C$29:$C$31,0)),""))</f>
        <v/>
      </c>
      <c r="AE26" s="57" t="str">
        <f aca="false">IF('STUDENT SCREENING'!AD26="","",IFERROR(INDEX('SCORING MASTER'!$D$33:$D$35,MATCH('STUDENT SCREENING'!AD26,'SCORING MASTER'!$C$33:$C$35,0)),""))</f>
        <v/>
      </c>
      <c r="AF26" s="57" t="str">
        <f aca="false">IF('STUDENT SCREENING'!AE26="","",IFERROR(INDEX('SCORING MASTER'!$D$37:$D$39,MATCH('STUDENT SCREENING'!AE26,'SCORING MASTER'!$C$37:$C$39,0)),""))</f>
        <v/>
      </c>
      <c r="AG26" s="57" t="str">
        <f aca="false">IF('STUDENT SCREENING'!AF26="","",IFERROR(INDEX('SCORING MASTER'!$D$41:$D$43,MATCH('STUDENT SCREENING'!AF26,'SCORING MASTER'!$C$41:$C$43,0)),""))</f>
        <v/>
      </c>
      <c r="AH26" s="57" t="str">
        <f aca="false">IF('STUDENT SCREENING'!AG26="","",IFERROR(INDEX('SCORING MASTER'!$D$45:$D$47,MATCH('STUDENT SCREENING'!AG26,'SCORING MASTER'!$C$45:$C$47,0)),""))</f>
        <v/>
      </c>
      <c r="AI26" s="57" t="str">
        <f aca="false">IF('STUDENT SCREENING'!AH26="","",IFERROR(INDEX('SCORING MASTER'!$D$49:$D$52,MATCH('STUDENT SCREENING'!AH26,'SCORING MASTER'!$C$49:$C$52,0)),""))</f>
        <v/>
      </c>
      <c r="AJ26" s="57" t="str">
        <f aca="false">IF('STUDENT SCREENING'!AI26="","",IFERROR(INDEX('SCORING MASTER'!$D$54:$D$57,MATCH('STUDENT SCREENING'!AI26,'SCORING MASTER'!$C$54:$C$57,0)),""))</f>
        <v/>
      </c>
      <c r="AK26" s="57" t="str">
        <f aca="false">IF('STUDENT SCREENING'!AJ26="","",IFERROR(INDEX('SCORING MASTER'!$D$59:$D$60,MATCH('STUDENT SCREENING'!AJ26,'SCORING MASTER'!$C$59:$C$60,0)),""))</f>
        <v/>
      </c>
      <c r="AL26" s="57" t="str">
        <f aca="false">IF('STUDENT SCREENING'!AK26="","",IFERROR(INDEX('SCORING MASTER'!$D$62:$D$63,MATCH('STUDENT SCREENING'!AK26,'SCORING MASTER'!$C$62:$C$63,0)),""))</f>
        <v/>
      </c>
      <c r="AM26" s="57" t="str">
        <f aca="false">IF('STUDENT SCREENING'!AL26="","",IFERROR(INDEX('SCORING MASTER'!$D$65:$D$66,MATCH('STUDENT SCREENING'!AL26,'SCORING MASTER'!$C$65:$C$66,0)),""))</f>
        <v/>
      </c>
      <c r="AN26" s="57" t="str">
        <f aca="false">IF('STUDENT SCREENING'!AM26="","",IFERROR(INDEX('SCORING MASTER'!$D$68:$D$69,MATCH('STUDENT SCREENING'!AM26,'SCORING MASTER'!$C$68:$C$69,0)),""))</f>
        <v/>
      </c>
      <c r="AO26" s="57" t="str">
        <f aca="false">IF('STUDENT SCREENING'!AN26="","",IFERROR(INDEX('SCORING MASTER'!$D$71:$D$72,MATCH('STUDENT SCREENING'!AN26,'SCORING MASTER'!$C$71:$C$72,0)),""))</f>
        <v/>
      </c>
      <c r="AP26" s="57" t="str">
        <f aca="false">IF('STUDENT SCREENING'!AO26="","",IFERROR(INDEX('SCORING MASTER'!$D$74:$D$75,MATCH('STUDENT SCREENING'!AO26,'SCORING MASTER'!$C$74:$C$75,0)),""))</f>
        <v/>
      </c>
      <c r="AQ26" s="57" t="str">
        <f aca="false">IF('STUDENT SCREENING'!AP26="","",IFERROR(INDEX('SCORING MASTER'!$D$77:$D$78,MATCH('STUDENT SCREENING'!AP26,'SCORING MASTER'!$C$77:$C$78,0)),""))</f>
        <v/>
      </c>
      <c r="AR26" s="57" t="str">
        <f aca="false">IF('STUDENT SCREENING'!AQ26="","",IFERROR(INDEX('SCORING MASTER'!$D$80:$D$82,MATCH('STUDENT SCREENING'!AQ26,'SCORING MASTER'!$C$80:$C$82,0)),""))</f>
        <v/>
      </c>
      <c r="AS26" s="57" t="str">
        <f aca="false">IF('STUDENT SCREENING'!AR26="","",IFERROR(INDEX('SCORING MASTER'!$D$84:$D$86,MATCH('STUDENT SCREENING'!AR26,'SCORING MASTER'!$C$84:$C$86,0)),""))</f>
        <v/>
      </c>
      <c r="AT26" s="57" t="str">
        <f aca="false">IF('STUDENT SCREENING'!AS26="","",IFERROR(INDEX('SCORING MASTER'!$D$88:$D$90,MATCH('STUDENT SCREENING'!AS26,'SCORING MASTER'!$C$88:$C$90,0)),""))</f>
        <v/>
      </c>
      <c r="AU26" s="57" t="str">
        <f aca="false">IF('STUDENT SCREENING'!AT26="","",IFERROR(INDEX('SCORING MASTER'!$D$92:$D$93,MATCH('STUDENT SCREENING'!AT26,'SCORING MASTER'!$C$92:$C$93,0)),""))</f>
        <v/>
      </c>
      <c r="AV26" s="57" t="str">
        <f aca="false">IF('STUDENT SCREENING'!AU26="","",IFERROR(INDEX('SCORING MASTER'!$D$95:$D$96,MATCH('STUDENT SCREENING'!AU26,'SCORING MASTER'!$C$95:$C$96,0)),""))</f>
        <v/>
      </c>
      <c r="AW26" s="57" t="str">
        <f aca="false">IF('STUDENT SCREENING'!AV26="","",IFERROR(INDEX('SCORING MASTER'!$D$98:$D$99,MATCH('STUDENT SCREENING'!AV26,'SCORING MASTER'!$C$98:$C$99,0)),""))</f>
        <v/>
      </c>
      <c r="AX26" s="57" t="str">
        <f aca="false">IF('STUDENT SCREENING'!AW26="","",IFERROR(INDEX('SCORING MASTER'!$D$101:$D$102,MATCH('STUDENT SCREENING'!AW26,'SCORING MASTER'!$C$101:$C$102,0)),""))</f>
        <v/>
      </c>
      <c r="AY26" s="57" t="str">
        <f aca="false">IF('STUDENT SCREENING'!AX26="","",IFERROR(INDEX('SCORING MASTER'!$D$104:$D$105,MATCH('STUDENT SCREENING'!AX26,'SCORING MASTER'!$C$104:$C$105,0)),""))</f>
        <v/>
      </c>
      <c r="AZ26" s="57" t="str">
        <f aca="false">IF('STUDENT SCREENING'!AY26="","",IFERROR(INDEX('SCORING MASTER'!$D$107:$D$108,MATCH('STUDENT SCREENING'!AY26,'SCORING MASTER'!$C$107:$C$108,0)),""))</f>
        <v/>
      </c>
      <c r="BA26" s="57" t="str">
        <f aca="false">IF('STUDENT SCREENING'!AZ26="","",IFERROR(INDEX('SCORING MASTER'!$D$110:$D$111,MATCH('STUDENT SCREENING'!AZ26,'SCORING MASTER'!$C$110:$C$111,0)),""))</f>
        <v/>
      </c>
      <c r="BB26" s="57" t="str">
        <f aca="false">IF('STUDENT SCREENING'!BA26="","",IFERROR(INDEX('SCORING MASTER'!$D$113:$D$115,MATCH('STUDENT SCREENING'!BA26,'SCORING MASTER'!$C$113:$C$115,0)),""))</f>
        <v/>
      </c>
      <c r="BC26" s="57" t="str">
        <f aca="false">IF('STUDENT SCREENING'!BB26="","",IFERROR(INDEX('SCORING MASTER'!$D$117:$D$119,MATCH('STUDENT SCREENING'!BB26,'SCORING MASTER'!$C$117:$C$119,0)),""))</f>
        <v/>
      </c>
      <c r="BD26" s="57" t="str">
        <f aca="false">IF('STUDENT SCREENING'!BC26="","",IFERROR(INDEX('SCORING MASTER'!$D$121:$D$123,MATCH('STUDENT SCREENING'!BC26,'SCORING MASTER'!$C$121:$C$123,0)),""))</f>
        <v/>
      </c>
      <c r="BE26" s="57" t="str">
        <f aca="false">IF('STUDENT SCREENING'!BD26="","",IFERROR(INDEX('SCORING MASTER'!$D$125:$D$126,MATCH('STUDENT SCREENING'!BD26,'SCORING MASTER'!$C$125:$C$126,0)),""))</f>
        <v/>
      </c>
      <c r="BF26" s="57" t="str">
        <f aca="false">IF('STUDENT SCREENING'!BE26="","",IFERROR(INDEX('SCORING MASTER'!$D$128:$D$129,MATCH('STUDENT SCREENING'!BE26,'SCORING MASTER'!$C$128:$C$129,0)),""))</f>
        <v/>
      </c>
      <c r="BG26" s="57" t="str">
        <f aca="false">IF('STUDENT SCREENING'!BP26="","",IFERROR(MATCH('STUDENT SCREENING'!BP26,{"Red - High Risk","Orange - Moderate Risk","Yellow - Mild Risk","Light Green - Mild Watch","Green - Healthy"},0)-1,""))</f>
        <v/>
      </c>
      <c r="BH26" s="57" t="str">
        <f aca="false">IF('STUDENT SCREENING'!BQ26="","",IF('STUDENT SCREENING'!BQ26="Yes",1,0))</f>
        <v/>
      </c>
      <c r="BI26" s="57" t="str">
        <f aca="false">IF('STUDENT SCREENING'!BR26="","",IF('STUDENT SCREENING'!BR26="Yes",1,0))</f>
        <v/>
      </c>
    </row>
    <row r="27" customFormat="false" ht="15" hidden="false" customHeight="false" outlineLevel="0" collapsed="false">
      <c r="A27" s="58" t="str">
        <f aca="false">'STUDENT SCREENING'!A27</f>
        <v/>
      </c>
      <c r="B27" s="58" t="n">
        <f aca="false">'STUDENT SCREENING'!C27</f>
        <v>0</v>
      </c>
      <c r="C27" s="58" t="n">
        <f aca="false">'STUDENT SCREENING'!D27</f>
        <v>0</v>
      </c>
      <c r="D27" s="58" t="n">
        <f aca="false">'STUDENT SCREENING'!E27</f>
        <v>0</v>
      </c>
      <c r="E27" s="58" t="n">
        <f aca="false">'STUDENT SCREENING'!F27</f>
        <v>0</v>
      </c>
      <c r="F27" s="58" t="n">
        <f aca="false">'STUDENT SCREENING'!K27</f>
        <v>0</v>
      </c>
      <c r="G27" s="58" t="n">
        <f aca="false">'STUDENT SCREENING'!J27</f>
        <v>0</v>
      </c>
      <c r="H27" s="58" t="str">
        <f aca="false">IF('STUDENT SCREENING'!K27="","",IFERROR(MATCH('STUDENT SCREENING'!K27,Adm_Gender,0),""))</f>
        <v/>
      </c>
      <c r="I27" s="58" t="n">
        <f aca="false">'STUDENT SCREENING'!Q27</f>
        <v>0</v>
      </c>
      <c r="J27" s="58" t="n">
        <f aca="false">'STUDENT SCREENING'!R27</f>
        <v>0</v>
      </c>
      <c r="K27" s="58" t="str">
        <f aca="false">'STUDENT SCREENING'!S27</f>
        <v/>
      </c>
      <c r="L27" s="58" t="n">
        <f aca="false">'STUDENT SCREENING'!U27</f>
        <v>0</v>
      </c>
      <c r="M27" s="58" t="n">
        <f aca="false">'STUDENT SCREENING'!V27</f>
        <v>0</v>
      </c>
      <c r="N27" s="58" t="str">
        <f aca="false">'STUDENT SCREENING'!BF27</f>
        <v/>
      </c>
      <c r="O27" s="58" t="str">
        <f aca="false">'STUDENT SCREENING'!BG27</f>
        <v/>
      </c>
      <c r="P27" s="58" t="str">
        <f aca="false">'STUDENT SCREENING'!BH27</f>
        <v/>
      </c>
      <c r="Q27" s="58" t="str">
        <f aca="false">'STUDENT SCREENING'!BI27</f>
        <v/>
      </c>
      <c r="R27" s="58" t="str">
        <f aca="false">'STUDENT SCREENING'!BJ27</f>
        <v/>
      </c>
      <c r="S27" s="58" t="str">
        <f aca="false">'STUDENT SCREENING'!BK27</f>
        <v/>
      </c>
      <c r="T27" s="58" t="str">
        <f aca="false">'STUDENT SCREENING'!BL27</f>
        <v/>
      </c>
      <c r="U27" s="58" t="str">
        <f aca="false">'STUDENT SCREENING'!BM27</f>
        <v/>
      </c>
      <c r="V27" s="58" t="str">
        <f aca="false">'STUDENT SCREENING'!BN27</f>
        <v/>
      </c>
      <c r="W27" s="58" t="str">
        <f aca="false">'STUDENT SCREENING'!BO27</f>
        <v/>
      </c>
      <c r="X27" s="58" t="str">
        <f aca="false">IF('STUDENT SCREENING'!W27="","",IFERROR(INDEX('SCORING MASTER'!$D$5:$D$7,MATCH('STUDENT SCREENING'!W27,'SCORING MASTER'!$C$5:$C$7,0)),""))</f>
        <v/>
      </c>
      <c r="Y27" s="58" t="str">
        <f aca="false">IF('STUDENT SCREENING'!X27="","",IFERROR(INDEX('SCORING MASTER'!$D$9:$D$11,MATCH('STUDENT SCREENING'!X27,'SCORING MASTER'!$C$9:$C$11,0)),""))</f>
        <v/>
      </c>
      <c r="Z27" s="58" t="str">
        <f aca="false">IF('STUDENT SCREENING'!Y27="","",IFERROR(INDEX('SCORING MASTER'!$D$13:$D$15,MATCH('STUDENT SCREENING'!Y27,'SCORING MASTER'!$C$13:$C$15,0)),""))</f>
        <v/>
      </c>
      <c r="AA27" s="58" t="str">
        <f aca="false">IF('STUDENT SCREENING'!Z27="","",IFERROR(INDEX('SCORING MASTER'!$D$17:$D$19,MATCH('STUDENT SCREENING'!Z27,'SCORING MASTER'!$C$17:$C$19,0)),""))</f>
        <v/>
      </c>
      <c r="AB27" s="58" t="str">
        <f aca="false">IF('STUDENT SCREENING'!AA27="","",IFERROR(INDEX('SCORING MASTER'!$D$21:$D$23,MATCH('STUDENT SCREENING'!AA27,'SCORING MASTER'!$C$21:$C$23,0)),""))</f>
        <v/>
      </c>
      <c r="AC27" s="58" t="str">
        <f aca="false">IF('STUDENT SCREENING'!AB27="","",IFERROR(INDEX('SCORING MASTER'!$D$25:$D$27,MATCH('STUDENT SCREENING'!AB27,'SCORING MASTER'!$C$25:$C$27,0)),""))</f>
        <v/>
      </c>
      <c r="AD27" s="58" t="str">
        <f aca="false">IF('STUDENT SCREENING'!AC27="","",IFERROR(INDEX('SCORING MASTER'!$D$29:$D$31,MATCH('STUDENT SCREENING'!AC27,'SCORING MASTER'!$C$29:$C$31,0)),""))</f>
        <v/>
      </c>
      <c r="AE27" s="58" t="str">
        <f aca="false">IF('STUDENT SCREENING'!AD27="","",IFERROR(INDEX('SCORING MASTER'!$D$33:$D$35,MATCH('STUDENT SCREENING'!AD27,'SCORING MASTER'!$C$33:$C$35,0)),""))</f>
        <v/>
      </c>
      <c r="AF27" s="58" t="str">
        <f aca="false">IF('STUDENT SCREENING'!AE27="","",IFERROR(INDEX('SCORING MASTER'!$D$37:$D$39,MATCH('STUDENT SCREENING'!AE27,'SCORING MASTER'!$C$37:$C$39,0)),""))</f>
        <v/>
      </c>
      <c r="AG27" s="58" t="str">
        <f aca="false">IF('STUDENT SCREENING'!AF27="","",IFERROR(INDEX('SCORING MASTER'!$D$41:$D$43,MATCH('STUDENT SCREENING'!AF27,'SCORING MASTER'!$C$41:$C$43,0)),""))</f>
        <v/>
      </c>
      <c r="AH27" s="58" t="str">
        <f aca="false">IF('STUDENT SCREENING'!AG27="","",IFERROR(INDEX('SCORING MASTER'!$D$45:$D$47,MATCH('STUDENT SCREENING'!AG27,'SCORING MASTER'!$C$45:$C$47,0)),""))</f>
        <v/>
      </c>
      <c r="AI27" s="58" t="str">
        <f aca="false">IF('STUDENT SCREENING'!AH27="","",IFERROR(INDEX('SCORING MASTER'!$D$49:$D$52,MATCH('STUDENT SCREENING'!AH27,'SCORING MASTER'!$C$49:$C$52,0)),""))</f>
        <v/>
      </c>
      <c r="AJ27" s="58" t="str">
        <f aca="false">IF('STUDENT SCREENING'!AI27="","",IFERROR(INDEX('SCORING MASTER'!$D$54:$D$57,MATCH('STUDENT SCREENING'!AI27,'SCORING MASTER'!$C$54:$C$57,0)),""))</f>
        <v/>
      </c>
      <c r="AK27" s="58" t="str">
        <f aca="false">IF('STUDENT SCREENING'!AJ27="","",IFERROR(INDEX('SCORING MASTER'!$D$59:$D$60,MATCH('STUDENT SCREENING'!AJ27,'SCORING MASTER'!$C$59:$C$60,0)),""))</f>
        <v/>
      </c>
      <c r="AL27" s="58" t="str">
        <f aca="false">IF('STUDENT SCREENING'!AK27="","",IFERROR(INDEX('SCORING MASTER'!$D$62:$D$63,MATCH('STUDENT SCREENING'!AK27,'SCORING MASTER'!$C$62:$C$63,0)),""))</f>
        <v/>
      </c>
      <c r="AM27" s="58" t="str">
        <f aca="false">IF('STUDENT SCREENING'!AL27="","",IFERROR(INDEX('SCORING MASTER'!$D$65:$D$66,MATCH('STUDENT SCREENING'!AL27,'SCORING MASTER'!$C$65:$C$66,0)),""))</f>
        <v/>
      </c>
      <c r="AN27" s="58" t="str">
        <f aca="false">IF('STUDENT SCREENING'!AM27="","",IFERROR(INDEX('SCORING MASTER'!$D$68:$D$69,MATCH('STUDENT SCREENING'!AM27,'SCORING MASTER'!$C$68:$C$69,0)),""))</f>
        <v/>
      </c>
      <c r="AO27" s="58" t="str">
        <f aca="false">IF('STUDENT SCREENING'!AN27="","",IFERROR(INDEX('SCORING MASTER'!$D$71:$D$72,MATCH('STUDENT SCREENING'!AN27,'SCORING MASTER'!$C$71:$C$72,0)),""))</f>
        <v/>
      </c>
      <c r="AP27" s="58" t="str">
        <f aca="false">IF('STUDENT SCREENING'!AO27="","",IFERROR(INDEX('SCORING MASTER'!$D$74:$D$75,MATCH('STUDENT SCREENING'!AO27,'SCORING MASTER'!$C$74:$C$75,0)),""))</f>
        <v/>
      </c>
      <c r="AQ27" s="58" t="str">
        <f aca="false">IF('STUDENT SCREENING'!AP27="","",IFERROR(INDEX('SCORING MASTER'!$D$77:$D$78,MATCH('STUDENT SCREENING'!AP27,'SCORING MASTER'!$C$77:$C$78,0)),""))</f>
        <v/>
      </c>
      <c r="AR27" s="58" t="str">
        <f aca="false">IF('STUDENT SCREENING'!AQ27="","",IFERROR(INDEX('SCORING MASTER'!$D$80:$D$82,MATCH('STUDENT SCREENING'!AQ27,'SCORING MASTER'!$C$80:$C$82,0)),""))</f>
        <v/>
      </c>
      <c r="AS27" s="58" t="str">
        <f aca="false">IF('STUDENT SCREENING'!AR27="","",IFERROR(INDEX('SCORING MASTER'!$D$84:$D$86,MATCH('STUDENT SCREENING'!AR27,'SCORING MASTER'!$C$84:$C$86,0)),""))</f>
        <v/>
      </c>
      <c r="AT27" s="58" t="str">
        <f aca="false">IF('STUDENT SCREENING'!AS27="","",IFERROR(INDEX('SCORING MASTER'!$D$88:$D$90,MATCH('STUDENT SCREENING'!AS27,'SCORING MASTER'!$C$88:$C$90,0)),""))</f>
        <v/>
      </c>
      <c r="AU27" s="58" t="str">
        <f aca="false">IF('STUDENT SCREENING'!AT27="","",IFERROR(INDEX('SCORING MASTER'!$D$92:$D$93,MATCH('STUDENT SCREENING'!AT27,'SCORING MASTER'!$C$92:$C$93,0)),""))</f>
        <v/>
      </c>
      <c r="AV27" s="58" t="str">
        <f aca="false">IF('STUDENT SCREENING'!AU27="","",IFERROR(INDEX('SCORING MASTER'!$D$95:$D$96,MATCH('STUDENT SCREENING'!AU27,'SCORING MASTER'!$C$95:$C$96,0)),""))</f>
        <v/>
      </c>
      <c r="AW27" s="58" t="str">
        <f aca="false">IF('STUDENT SCREENING'!AV27="","",IFERROR(INDEX('SCORING MASTER'!$D$98:$D$99,MATCH('STUDENT SCREENING'!AV27,'SCORING MASTER'!$C$98:$C$99,0)),""))</f>
        <v/>
      </c>
      <c r="AX27" s="58" t="str">
        <f aca="false">IF('STUDENT SCREENING'!AW27="","",IFERROR(INDEX('SCORING MASTER'!$D$101:$D$102,MATCH('STUDENT SCREENING'!AW27,'SCORING MASTER'!$C$101:$C$102,0)),""))</f>
        <v/>
      </c>
      <c r="AY27" s="58" t="str">
        <f aca="false">IF('STUDENT SCREENING'!AX27="","",IFERROR(INDEX('SCORING MASTER'!$D$104:$D$105,MATCH('STUDENT SCREENING'!AX27,'SCORING MASTER'!$C$104:$C$105,0)),""))</f>
        <v/>
      </c>
      <c r="AZ27" s="58" t="str">
        <f aca="false">IF('STUDENT SCREENING'!AY27="","",IFERROR(INDEX('SCORING MASTER'!$D$107:$D$108,MATCH('STUDENT SCREENING'!AY27,'SCORING MASTER'!$C$107:$C$108,0)),""))</f>
        <v/>
      </c>
      <c r="BA27" s="58" t="str">
        <f aca="false">IF('STUDENT SCREENING'!AZ27="","",IFERROR(INDEX('SCORING MASTER'!$D$110:$D$111,MATCH('STUDENT SCREENING'!AZ27,'SCORING MASTER'!$C$110:$C$111,0)),""))</f>
        <v/>
      </c>
      <c r="BB27" s="58" t="str">
        <f aca="false">IF('STUDENT SCREENING'!BA27="","",IFERROR(INDEX('SCORING MASTER'!$D$113:$D$115,MATCH('STUDENT SCREENING'!BA27,'SCORING MASTER'!$C$113:$C$115,0)),""))</f>
        <v/>
      </c>
      <c r="BC27" s="58" t="str">
        <f aca="false">IF('STUDENT SCREENING'!BB27="","",IFERROR(INDEX('SCORING MASTER'!$D$117:$D$119,MATCH('STUDENT SCREENING'!BB27,'SCORING MASTER'!$C$117:$C$119,0)),""))</f>
        <v/>
      </c>
      <c r="BD27" s="58" t="str">
        <f aca="false">IF('STUDENT SCREENING'!BC27="","",IFERROR(INDEX('SCORING MASTER'!$D$121:$D$123,MATCH('STUDENT SCREENING'!BC27,'SCORING MASTER'!$C$121:$C$123,0)),""))</f>
        <v/>
      </c>
      <c r="BE27" s="58" t="str">
        <f aca="false">IF('STUDENT SCREENING'!BD27="","",IFERROR(INDEX('SCORING MASTER'!$D$125:$D$126,MATCH('STUDENT SCREENING'!BD27,'SCORING MASTER'!$C$125:$C$126,0)),""))</f>
        <v/>
      </c>
      <c r="BF27" s="58" t="str">
        <f aca="false">IF('STUDENT SCREENING'!BE27="","",IFERROR(INDEX('SCORING MASTER'!$D$128:$D$129,MATCH('STUDENT SCREENING'!BE27,'SCORING MASTER'!$C$128:$C$129,0)),""))</f>
        <v/>
      </c>
      <c r="BG27" s="58" t="str">
        <f aca="false">IF('STUDENT SCREENING'!BP27="","",IFERROR(MATCH('STUDENT SCREENING'!BP27,{"Red - High Risk","Orange - Moderate Risk","Yellow - Mild Risk","Light Green - Mild Watch","Green - Healthy"},0)-1,""))</f>
        <v/>
      </c>
      <c r="BH27" s="58" t="str">
        <f aca="false">IF('STUDENT SCREENING'!BQ27="","",IF('STUDENT SCREENING'!BQ27="Yes",1,0))</f>
        <v/>
      </c>
      <c r="BI27" s="58" t="str">
        <f aca="false">IF('STUDENT SCREENING'!BR27="","",IF('STUDENT SCREENING'!BR27="Yes",1,0))</f>
        <v/>
      </c>
    </row>
    <row r="28" customFormat="false" ht="15" hidden="false" customHeight="false" outlineLevel="0" collapsed="false">
      <c r="A28" s="57" t="str">
        <f aca="false">'STUDENT SCREENING'!A28</f>
        <v/>
      </c>
      <c r="B28" s="57" t="n">
        <f aca="false">'STUDENT SCREENING'!C28</f>
        <v>0</v>
      </c>
      <c r="C28" s="57" t="n">
        <f aca="false">'STUDENT SCREENING'!D28</f>
        <v>0</v>
      </c>
      <c r="D28" s="57" t="n">
        <f aca="false">'STUDENT SCREENING'!E28</f>
        <v>0</v>
      </c>
      <c r="E28" s="57" t="n">
        <f aca="false">'STUDENT SCREENING'!F28</f>
        <v>0</v>
      </c>
      <c r="F28" s="57" t="n">
        <f aca="false">'STUDENT SCREENING'!K28</f>
        <v>0</v>
      </c>
      <c r="G28" s="57" t="n">
        <f aca="false">'STUDENT SCREENING'!J28</f>
        <v>0</v>
      </c>
      <c r="H28" s="57" t="str">
        <f aca="false">IF('STUDENT SCREENING'!K28="","",IFERROR(MATCH('STUDENT SCREENING'!K28,Adm_Gender,0),""))</f>
        <v/>
      </c>
      <c r="I28" s="57" t="n">
        <f aca="false">'STUDENT SCREENING'!Q28</f>
        <v>0</v>
      </c>
      <c r="J28" s="57" t="n">
        <f aca="false">'STUDENT SCREENING'!R28</f>
        <v>0</v>
      </c>
      <c r="K28" s="57" t="str">
        <f aca="false">'STUDENT SCREENING'!S28</f>
        <v/>
      </c>
      <c r="L28" s="57" t="n">
        <f aca="false">'STUDENT SCREENING'!U28</f>
        <v>0</v>
      </c>
      <c r="M28" s="57" t="n">
        <f aca="false">'STUDENT SCREENING'!V28</f>
        <v>0</v>
      </c>
      <c r="N28" s="57" t="str">
        <f aca="false">'STUDENT SCREENING'!BF28</f>
        <v/>
      </c>
      <c r="O28" s="57" t="str">
        <f aca="false">'STUDENT SCREENING'!BG28</f>
        <v/>
      </c>
      <c r="P28" s="57" t="str">
        <f aca="false">'STUDENT SCREENING'!BH28</f>
        <v/>
      </c>
      <c r="Q28" s="57" t="str">
        <f aca="false">'STUDENT SCREENING'!BI28</f>
        <v/>
      </c>
      <c r="R28" s="57" t="str">
        <f aca="false">'STUDENT SCREENING'!BJ28</f>
        <v/>
      </c>
      <c r="S28" s="57" t="str">
        <f aca="false">'STUDENT SCREENING'!BK28</f>
        <v/>
      </c>
      <c r="T28" s="57" t="str">
        <f aca="false">'STUDENT SCREENING'!BL28</f>
        <v/>
      </c>
      <c r="U28" s="57" t="str">
        <f aca="false">'STUDENT SCREENING'!BM28</f>
        <v/>
      </c>
      <c r="V28" s="57" t="str">
        <f aca="false">'STUDENT SCREENING'!BN28</f>
        <v/>
      </c>
      <c r="W28" s="57" t="str">
        <f aca="false">'STUDENT SCREENING'!BO28</f>
        <v/>
      </c>
      <c r="X28" s="57" t="str">
        <f aca="false">IF('STUDENT SCREENING'!W28="","",IFERROR(INDEX('SCORING MASTER'!$D$5:$D$7,MATCH('STUDENT SCREENING'!W28,'SCORING MASTER'!$C$5:$C$7,0)),""))</f>
        <v/>
      </c>
      <c r="Y28" s="57" t="str">
        <f aca="false">IF('STUDENT SCREENING'!X28="","",IFERROR(INDEX('SCORING MASTER'!$D$9:$D$11,MATCH('STUDENT SCREENING'!X28,'SCORING MASTER'!$C$9:$C$11,0)),""))</f>
        <v/>
      </c>
      <c r="Z28" s="57" t="str">
        <f aca="false">IF('STUDENT SCREENING'!Y28="","",IFERROR(INDEX('SCORING MASTER'!$D$13:$D$15,MATCH('STUDENT SCREENING'!Y28,'SCORING MASTER'!$C$13:$C$15,0)),""))</f>
        <v/>
      </c>
      <c r="AA28" s="57" t="str">
        <f aca="false">IF('STUDENT SCREENING'!Z28="","",IFERROR(INDEX('SCORING MASTER'!$D$17:$D$19,MATCH('STUDENT SCREENING'!Z28,'SCORING MASTER'!$C$17:$C$19,0)),""))</f>
        <v/>
      </c>
      <c r="AB28" s="57" t="str">
        <f aca="false">IF('STUDENT SCREENING'!AA28="","",IFERROR(INDEX('SCORING MASTER'!$D$21:$D$23,MATCH('STUDENT SCREENING'!AA28,'SCORING MASTER'!$C$21:$C$23,0)),""))</f>
        <v/>
      </c>
      <c r="AC28" s="57" t="str">
        <f aca="false">IF('STUDENT SCREENING'!AB28="","",IFERROR(INDEX('SCORING MASTER'!$D$25:$D$27,MATCH('STUDENT SCREENING'!AB28,'SCORING MASTER'!$C$25:$C$27,0)),""))</f>
        <v/>
      </c>
      <c r="AD28" s="57" t="str">
        <f aca="false">IF('STUDENT SCREENING'!AC28="","",IFERROR(INDEX('SCORING MASTER'!$D$29:$D$31,MATCH('STUDENT SCREENING'!AC28,'SCORING MASTER'!$C$29:$C$31,0)),""))</f>
        <v/>
      </c>
      <c r="AE28" s="57" t="str">
        <f aca="false">IF('STUDENT SCREENING'!AD28="","",IFERROR(INDEX('SCORING MASTER'!$D$33:$D$35,MATCH('STUDENT SCREENING'!AD28,'SCORING MASTER'!$C$33:$C$35,0)),""))</f>
        <v/>
      </c>
      <c r="AF28" s="57" t="str">
        <f aca="false">IF('STUDENT SCREENING'!AE28="","",IFERROR(INDEX('SCORING MASTER'!$D$37:$D$39,MATCH('STUDENT SCREENING'!AE28,'SCORING MASTER'!$C$37:$C$39,0)),""))</f>
        <v/>
      </c>
      <c r="AG28" s="57" t="str">
        <f aca="false">IF('STUDENT SCREENING'!AF28="","",IFERROR(INDEX('SCORING MASTER'!$D$41:$D$43,MATCH('STUDENT SCREENING'!AF28,'SCORING MASTER'!$C$41:$C$43,0)),""))</f>
        <v/>
      </c>
      <c r="AH28" s="57" t="str">
        <f aca="false">IF('STUDENT SCREENING'!AG28="","",IFERROR(INDEX('SCORING MASTER'!$D$45:$D$47,MATCH('STUDENT SCREENING'!AG28,'SCORING MASTER'!$C$45:$C$47,0)),""))</f>
        <v/>
      </c>
      <c r="AI28" s="57" t="str">
        <f aca="false">IF('STUDENT SCREENING'!AH28="","",IFERROR(INDEX('SCORING MASTER'!$D$49:$D$52,MATCH('STUDENT SCREENING'!AH28,'SCORING MASTER'!$C$49:$C$52,0)),""))</f>
        <v/>
      </c>
      <c r="AJ28" s="57" t="str">
        <f aca="false">IF('STUDENT SCREENING'!AI28="","",IFERROR(INDEX('SCORING MASTER'!$D$54:$D$57,MATCH('STUDENT SCREENING'!AI28,'SCORING MASTER'!$C$54:$C$57,0)),""))</f>
        <v/>
      </c>
      <c r="AK28" s="57" t="str">
        <f aca="false">IF('STUDENT SCREENING'!AJ28="","",IFERROR(INDEX('SCORING MASTER'!$D$59:$D$60,MATCH('STUDENT SCREENING'!AJ28,'SCORING MASTER'!$C$59:$C$60,0)),""))</f>
        <v/>
      </c>
      <c r="AL28" s="57" t="str">
        <f aca="false">IF('STUDENT SCREENING'!AK28="","",IFERROR(INDEX('SCORING MASTER'!$D$62:$D$63,MATCH('STUDENT SCREENING'!AK28,'SCORING MASTER'!$C$62:$C$63,0)),""))</f>
        <v/>
      </c>
      <c r="AM28" s="57" t="str">
        <f aca="false">IF('STUDENT SCREENING'!AL28="","",IFERROR(INDEX('SCORING MASTER'!$D$65:$D$66,MATCH('STUDENT SCREENING'!AL28,'SCORING MASTER'!$C$65:$C$66,0)),""))</f>
        <v/>
      </c>
      <c r="AN28" s="57" t="str">
        <f aca="false">IF('STUDENT SCREENING'!AM28="","",IFERROR(INDEX('SCORING MASTER'!$D$68:$D$69,MATCH('STUDENT SCREENING'!AM28,'SCORING MASTER'!$C$68:$C$69,0)),""))</f>
        <v/>
      </c>
      <c r="AO28" s="57" t="str">
        <f aca="false">IF('STUDENT SCREENING'!AN28="","",IFERROR(INDEX('SCORING MASTER'!$D$71:$D$72,MATCH('STUDENT SCREENING'!AN28,'SCORING MASTER'!$C$71:$C$72,0)),""))</f>
        <v/>
      </c>
      <c r="AP28" s="57" t="str">
        <f aca="false">IF('STUDENT SCREENING'!AO28="","",IFERROR(INDEX('SCORING MASTER'!$D$74:$D$75,MATCH('STUDENT SCREENING'!AO28,'SCORING MASTER'!$C$74:$C$75,0)),""))</f>
        <v/>
      </c>
      <c r="AQ28" s="57" t="str">
        <f aca="false">IF('STUDENT SCREENING'!AP28="","",IFERROR(INDEX('SCORING MASTER'!$D$77:$D$78,MATCH('STUDENT SCREENING'!AP28,'SCORING MASTER'!$C$77:$C$78,0)),""))</f>
        <v/>
      </c>
      <c r="AR28" s="57" t="str">
        <f aca="false">IF('STUDENT SCREENING'!AQ28="","",IFERROR(INDEX('SCORING MASTER'!$D$80:$D$82,MATCH('STUDENT SCREENING'!AQ28,'SCORING MASTER'!$C$80:$C$82,0)),""))</f>
        <v/>
      </c>
      <c r="AS28" s="57" t="str">
        <f aca="false">IF('STUDENT SCREENING'!AR28="","",IFERROR(INDEX('SCORING MASTER'!$D$84:$D$86,MATCH('STUDENT SCREENING'!AR28,'SCORING MASTER'!$C$84:$C$86,0)),""))</f>
        <v/>
      </c>
      <c r="AT28" s="57" t="str">
        <f aca="false">IF('STUDENT SCREENING'!AS28="","",IFERROR(INDEX('SCORING MASTER'!$D$88:$D$90,MATCH('STUDENT SCREENING'!AS28,'SCORING MASTER'!$C$88:$C$90,0)),""))</f>
        <v/>
      </c>
      <c r="AU28" s="57" t="str">
        <f aca="false">IF('STUDENT SCREENING'!AT28="","",IFERROR(INDEX('SCORING MASTER'!$D$92:$D$93,MATCH('STUDENT SCREENING'!AT28,'SCORING MASTER'!$C$92:$C$93,0)),""))</f>
        <v/>
      </c>
      <c r="AV28" s="57" t="str">
        <f aca="false">IF('STUDENT SCREENING'!AU28="","",IFERROR(INDEX('SCORING MASTER'!$D$95:$D$96,MATCH('STUDENT SCREENING'!AU28,'SCORING MASTER'!$C$95:$C$96,0)),""))</f>
        <v/>
      </c>
      <c r="AW28" s="57" t="str">
        <f aca="false">IF('STUDENT SCREENING'!AV28="","",IFERROR(INDEX('SCORING MASTER'!$D$98:$D$99,MATCH('STUDENT SCREENING'!AV28,'SCORING MASTER'!$C$98:$C$99,0)),""))</f>
        <v/>
      </c>
      <c r="AX28" s="57" t="str">
        <f aca="false">IF('STUDENT SCREENING'!AW28="","",IFERROR(INDEX('SCORING MASTER'!$D$101:$D$102,MATCH('STUDENT SCREENING'!AW28,'SCORING MASTER'!$C$101:$C$102,0)),""))</f>
        <v/>
      </c>
      <c r="AY28" s="57" t="str">
        <f aca="false">IF('STUDENT SCREENING'!AX28="","",IFERROR(INDEX('SCORING MASTER'!$D$104:$D$105,MATCH('STUDENT SCREENING'!AX28,'SCORING MASTER'!$C$104:$C$105,0)),""))</f>
        <v/>
      </c>
      <c r="AZ28" s="57" t="str">
        <f aca="false">IF('STUDENT SCREENING'!AY28="","",IFERROR(INDEX('SCORING MASTER'!$D$107:$D$108,MATCH('STUDENT SCREENING'!AY28,'SCORING MASTER'!$C$107:$C$108,0)),""))</f>
        <v/>
      </c>
      <c r="BA28" s="57" t="str">
        <f aca="false">IF('STUDENT SCREENING'!AZ28="","",IFERROR(INDEX('SCORING MASTER'!$D$110:$D$111,MATCH('STUDENT SCREENING'!AZ28,'SCORING MASTER'!$C$110:$C$111,0)),""))</f>
        <v/>
      </c>
      <c r="BB28" s="57" t="str">
        <f aca="false">IF('STUDENT SCREENING'!BA28="","",IFERROR(INDEX('SCORING MASTER'!$D$113:$D$115,MATCH('STUDENT SCREENING'!BA28,'SCORING MASTER'!$C$113:$C$115,0)),""))</f>
        <v/>
      </c>
      <c r="BC28" s="57" t="str">
        <f aca="false">IF('STUDENT SCREENING'!BB28="","",IFERROR(INDEX('SCORING MASTER'!$D$117:$D$119,MATCH('STUDENT SCREENING'!BB28,'SCORING MASTER'!$C$117:$C$119,0)),""))</f>
        <v/>
      </c>
      <c r="BD28" s="57" t="str">
        <f aca="false">IF('STUDENT SCREENING'!BC28="","",IFERROR(INDEX('SCORING MASTER'!$D$121:$D$123,MATCH('STUDENT SCREENING'!BC28,'SCORING MASTER'!$C$121:$C$123,0)),""))</f>
        <v/>
      </c>
      <c r="BE28" s="57" t="str">
        <f aca="false">IF('STUDENT SCREENING'!BD28="","",IFERROR(INDEX('SCORING MASTER'!$D$125:$D$126,MATCH('STUDENT SCREENING'!BD28,'SCORING MASTER'!$C$125:$C$126,0)),""))</f>
        <v/>
      </c>
      <c r="BF28" s="57" t="str">
        <f aca="false">IF('STUDENT SCREENING'!BE28="","",IFERROR(INDEX('SCORING MASTER'!$D$128:$D$129,MATCH('STUDENT SCREENING'!BE28,'SCORING MASTER'!$C$128:$C$129,0)),""))</f>
        <v/>
      </c>
      <c r="BG28" s="57" t="str">
        <f aca="false">IF('STUDENT SCREENING'!BP28="","",IFERROR(MATCH('STUDENT SCREENING'!BP28,{"Red - High Risk","Orange - Moderate Risk","Yellow - Mild Risk","Light Green - Mild Watch","Green - Healthy"},0)-1,""))</f>
        <v/>
      </c>
      <c r="BH28" s="57" t="str">
        <f aca="false">IF('STUDENT SCREENING'!BQ28="","",IF('STUDENT SCREENING'!BQ28="Yes",1,0))</f>
        <v/>
      </c>
      <c r="BI28" s="57" t="str">
        <f aca="false">IF('STUDENT SCREENING'!BR28="","",IF('STUDENT SCREENING'!BR28="Yes",1,0))</f>
        <v/>
      </c>
    </row>
    <row r="29" customFormat="false" ht="15" hidden="false" customHeight="false" outlineLevel="0" collapsed="false">
      <c r="A29" s="58" t="str">
        <f aca="false">'STUDENT SCREENING'!A29</f>
        <v/>
      </c>
      <c r="B29" s="58" t="n">
        <f aca="false">'STUDENT SCREENING'!C29</f>
        <v>0</v>
      </c>
      <c r="C29" s="58" t="n">
        <f aca="false">'STUDENT SCREENING'!D29</f>
        <v>0</v>
      </c>
      <c r="D29" s="58" t="n">
        <f aca="false">'STUDENT SCREENING'!E29</f>
        <v>0</v>
      </c>
      <c r="E29" s="58" t="n">
        <f aca="false">'STUDENT SCREENING'!F29</f>
        <v>0</v>
      </c>
      <c r="F29" s="58" t="n">
        <f aca="false">'STUDENT SCREENING'!K29</f>
        <v>0</v>
      </c>
      <c r="G29" s="58" t="n">
        <f aca="false">'STUDENT SCREENING'!J29</f>
        <v>0</v>
      </c>
      <c r="H29" s="58" t="str">
        <f aca="false">IF('STUDENT SCREENING'!K29="","",IFERROR(MATCH('STUDENT SCREENING'!K29,Adm_Gender,0),""))</f>
        <v/>
      </c>
      <c r="I29" s="58" t="n">
        <f aca="false">'STUDENT SCREENING'!Q29</f>
        <v>0</v>
      </c>
      <c r="J29" s="58" t="n">
        <f aca="false">'STUDENT SCREENING'!R29</f>
        <v>0</v>
      </c>
      <c r="K29" s="58" t="str">
        <f aca="false">'STUDENT SCREENING'!S29</f>
        <v/>
      </c>
      <c r="L29" s="58" t="n">
        <f aca="false">'STUDENT SCREENING'!U29</f>
        <v>0</v>
      </c>
      <c r="M29" s="58" t="n">
        <f aca="false">'STUDENT SCREENING'!V29</f>
        <v>0</v>
      </c>
      <c r="N29" s="58" t="str">
        <f aca="false">'STUDENT SCREENING'!BF29</f>
        <v/>
      </c>
      <c r="O29" s="58" t="str">
        <f aca="false">'STUDENT SCREENING'!BG29</f>
        <v/>
      </c>
      <c r="P29" s="58" t="str">
        <f aca="false">'STUDENT SCREENING'!BH29</f>
        <v/>
      </c>
      <c r="Q29" s="58" t="str">
        <f aca="false">'STUDENT SCREENING'!BI29</f>
        <v/>
      </c>
      <c r="R29" s="58" t="str">
        <f aca="false">'STUDENT SCREENING'!BJ29</f>
        <v/>
      </c>
      <c r="S29" s="58" t="str">
        <f aca="false">'STUDENT SCREENING'!BK29</f>
        <v/>
      </c>
      <c r="T29" s="58" t="str">
        <f aca="false">'STUDENT SCREENING'!BL29</f>
        <v/>
      </c>
      <c r="U29" s="58" t="str">
        <f aca="false">'STUDENT SCREENING'!BM29</f>
        <v/>
      </c>
      <c r="V29" s="58" t="str">
        <f aca="false">'STUDENT SCREENING'!BN29</f>
        <v/>
      </c>
      <c r="W29" s="58" t="str">
        <f aca="false">'STUDENT SCREENING'!BO29</f>
        <v/>
      </c>
      <c r="X29" s="58" t="str">
        <f aca="false">IF('STUDENT SCREENING'!W29="","",IFERROR(INDEX('SCORING MASTER'!$D$5:$D$7,MATCH('STUDENT SCREENING'!W29,'SCORING MASTER'!$C$5:$C$7,0)),""))</f>
        <v/>
      </c>
      <c r="Y29" s="58" t="str">
        <f aca="false">IF('STUDENT SCREENING'!X29="","",IFERROR(INDEX('SCORING MASTER'!$D$9:$D$11,MATCH('STUDENT SCREENING'!X29,'SCORING MASTER'!$C$9:$C$11,0)),""))</f>
        <v/>
      </c>
      <c r="Z29" s="58" t="str">
        <f aca="false">IF('STUDENT SCREENING'!Y29="","",IFERROR(INDEX('SCORING MASTER'!$D$13:$D$15,MATCH('STUDENT SCREENING'!Y29,'SCORING MASTER'!$C$13:$C$15,0)),""))</f>
        <v/>
      </c>
      <c r="AA29" s="58" t="str">
        <f aca="false">IF('STUDENT SCREENING'!Z29="","",IFERROR(INDEX('SCORING MASTER'!$D$17:$D$19,MATCH('STUDENT SCREENING'!Z29,'SCORING MASTER'!$C$17:$C$19,0)),""))</f>
        <v/>
      </c>
      <c r="AB29" s="58" t="str">
        <f aca="false">IF('STUDENT SCREENING'!AA29="","",IFERROR(INDEX('SCORING MASTER'!$D$21:$D$23,MATCH('STUDENT SCREENING'!AA29,'SCORING MASTER'!$C$21:$C$23,0)),""))</f>
        <v/>
      </c>
      <c r="AC29" s="58" t="str">
        <f aca="false">IF('STUDENT SCREENING'!AB29="","",IFERROR(INDEX('SCORING MASTER'!$D$25:$D$27,MATCH('STUDENT SCREENING'!AB29,'SCORING MASTER'!$C$25:$C$27,0)),""))</f>
        <v/>
      </c>
      <c r="AD29" s="58" t="str">
        <f aca="false">IF('STUDENT SCREENING'!AC29="","",IFERROR(INDEX('SCORING MASTER'!$D$29:$D$31,MATCH('STUDENT SCREENING'!AC29,'SCORING MASTER'!$C$29:$C$31,0)),""))</f>
        <v/>
      </c>
      <c r="AE29" s="58" t="str">
        <f aca="false">IF('STUDENT SCREENING'!AD29="","",IFERROR(INDEX('SCORING MASTER'!$D$33:$D$35,MATCH('STUDENT SCREENING'!AD29,'SCORING MASTER'!$C$33:$C$35,0)),""))</f>
        <v/>
      </c>
      <c r="AF29" s="58" t="str">
        <f aca="false">IF('STUDENT SCREENING'!AE29="","",IFERROR(INDEX('SCORING MASTER'!$D$37:$D$39,MATCH('STUDENT SCREENING'!AE29,'SCORING MASTER'!$C$37:$C$39,0)),""))</f>
        <v/>
      </c>
      <c r="AG29" s="58" t="str">
        <f aca="false">IF('STUDENT SCREENING'!AF29="","",IFERROR(INDEX('SCORING MASTER'!$D$41:$D$43,MATCH('STUDENT SCREENING'!AF29,'SCORING MASTER'!$C$41:$C$43,0)),""))</f>
        <v/>
      </c>
      <c r="AH29" s="58" t="str">
        <f aca="false">IF('STUDENT SCREENING'!AG29="","",IFERROR(INDEX('SCORING MASTER'!$D$45:$D$47,MATCH('STUDENT SCREENING'!AG29,'SCORING MASTER'!$C$45:$C$47,0)),""))</f>
        <v/>
      </c>
      <c r="AI29" s="58" t="str">
        <f aca="false">IF('STUDENT SCREENING'!AH29="","",IFERROR(INDEX('SCORING MASTER'!$D$49:$D$52,MATCH('STUDENT SCREENING'!AH29,'SCORING MASTER'!$C$49:$C$52,0)),""))</f>
        <v/>
      </c>
      <c r="AJ29" s="58" t="str">
        <f aca="false">IF('STUDENT SCREENING'!AI29="","",IFERROR(INDEX('SCORING MASTER'!$D$54:$D$57,MATCH('STUDENT SCREENING'!AI29,'SCORING MASTER'!$C$54:$C$57,0)),""))</f>
        <v/>
      </c>
      <c r="AK29" s="58" t="str">
        <f aca="false">IF('STUDENT SCREENING'!AJ29="","",IFERROR(INDEX('SCORING MASTER'!$D$59:$D$60,MATCH('STUDENT SCREENING'!AJ29,'SCORING MASTER'!$C$59:$C$60,0)),""))</f>
        <v/>
      </c>
      <c r="AL29" s="58" t="str">
        <f aca="false">IF('STUDENT SCREENING'!AK29="","",IFERROR(INDEX('SCORING MASTER'!$D$62:$D$63,MATCH('STUDENT SCREENING'!AK29,'SCORING MASTER'!$C$62:$C$63,0)),""))</f>
        <v/>
      </c>
      <c r="AM29" s="58" t="str">
        <f aca="false">IF('STUDENT SCREENING'!AL29="","",IFERROR(INDEX('SCORING MASTER'!$D$65:$D$66,MATCH('STUDENT SCREENING'!AL29,'SCORING MASTER'!$C$65:$C$66,0)),""))</f>
        <v/>
      </c>
      <c r="AN29" s="58" t="str">
        <f aca="false">IF('STUDENT SCREENING'!AM29="","",IFERROR(INDEX('SCORING MASTER'!$D$68:$D$69,MATCH('STUDENT SCREENING'!AM29,'SCORING MASTER'!$C$68:$C$69,0)),""))</f>
        <v/>
      </c>
      <c r="AO29" s="58" t="str">
        <f aca="false">IF('STUDENT SCREENING'!AN29="","",IFERROR(INDEX('SCORING MASTER'!$D$71:$D$72,MATCH('STUDENT SCREENING'!AN29,'SCORING MASTER'!$C$71:$C$72,0)),""))</f>
        <v/>
      </c>
      <c r="AP29" s="58" t="str">
        <f aca="false">IF('STUDENT SCREENING'!AO29="","",IFERROR(INDEX('SCORING MASTER'!$D$74:$D$75,MATCH('STUDENT SCREENING'!AO29,'SCORING MASTER'!$C$74:$C$75,0)),""))</f>
        <v/>
      </c>
      <c r="AQ29" s="58" t="str">
        <f aca="false">IF('STUDENT SCREENING'!AP29="","",IFERROR(INDEX('SCORING MASTER'!$D$77:$D$78,MATCH('STUDENT SCREENING'!AP29,'SCORING MASTER'!$C$77:$C$78,0)),""))</f>
        <v/>
      </c>
      <c r="AR29" s="58" t="str">
        <f aca="false">IF('STUDENT SCREENING'!AQ29="","",IFERROR(INDEX('SCORING MASTER'!$D$80:$D$82,MATCH('STUDENT SCREENING'!AQ29,'SCORING MASTER'!$C$80:$C$82,0)),""))</f>
        <v/>
      </c>
      <c r="AS29" s="58" t="str">
        <f aca="false">IF('STUDENT SCREENING'!AR29="","",IFERROR(INDEX('SCORING MASTER'!$D$84:$D$86,MATCH('STUDENT SCREENING'!AR29,'SCORING MASTER'!$C$84:$C$86,0)),""))</f>
        <v/>
      </c>
      <c r="AT29" s="58" t="str">
        <f aca="false">IF('STUDENT SCREENING'!AS29="","",IFERROR(INDEX('SCORING MASTER'!$D$88:$D$90,MATCH('STUDENT SCREENING'!AS29,'SCORING MASTER'!$C$88:$C$90,0)),""))</f>
        <v/>
      </c>
      <c r="AU29" s="58" t="str">
        <f aca="false">IF('STUDENT SCREENING'!AT29="","",IFERROR(INDEX('SCORING MASTER'!$D$92:$D$93,MATCH('STUDENT SCREENING'!AT29,'SCORING MASTER'!$C$92:$C$93,0)),""))</f>
        <v/>
      </c>
      <c r="AV29" s="58" t="str">
        <f aca="false">IF('STUDENT SCREENING'!AU29="","",IFERROR(INDEX('SCORING MASTER'!$D$95:$D$96,MATCH('STUDENT SCREENING'!AU29,'SCORING MASTER'!$C$95:$C$96,0)),""))</f>
        <v/>
      </c>
      <c r="AW29" s="58" t="str">
        <f aca="false">IF('STUDENT SCREENING'!AV29="","",IFERROR(INDEX('SCORING MASTER'!$D$98:$D$99,MATCH('STUDENT SCREENING'!AV29,'SCORING MASTER'!$C$98:$C$99,0)),""))</f>
        <v/>
      </c>
      <c r="AX29" s="58" t="str">
        <f aca="false">IF('STUDENT SCREENING'!AW29="","",IFERROR(INDEX('SCORING MASTER'!$D$101:$D$102,MATCH('STUDENT SCREENING'!AW29,'SCORING MASTER'!$C$101:$C$102,0)),""))</f>
        <v/>
      </c>
      <c r="AY29" s="58" t="str">
        <f aca="false">IF('STUDENT SCREENING'!AX29="","",IFERROR(INDEX('SCORING MASTER'!$D$104:$D$105,MATCH('STUDENT SCREENING'!AX29,'SCORING MASTER'!$C$104:$C$105,0)),""))</f>
        <v/>
      </c>
      <c r="AZ29" s="58" t="str">
        <f aca="false">IF('STUDENT SCREENING'!AY29="","",IFERROR(INDEX('SCORING MASTER'!$D$107:$D$108,MATCH('STUDENT SCREENING'!AY29,'SCORING MASTER'!$C$107:$C$108,0)),""))</f>
        <v/>
      </c>
      <c r="BA29" s="58" t="str">
        <f aca="false">IF('STUDENT SCREENING'!AZ29="","",IFERROR(INDEX('SCORING MASTER'!$D$110:$D$111,MATCH('STUDENT SCREENING'!AZ29,'SCORING MASTER'!$C$110:$C$111,0)),""))</f>
        <v/>
      </c>
      <c r="BB29" s="58" t="str">
        <f aca="false">IF('STUDENT SCREENING'!BA29="","",IFERROR(INDEX('SCORING MASTER'!$D$113:$D$115,MATCH('STUDENT SCREENING'!BA29,'SCORING MASTER'!$C$113:$C$115,0)),""))</f>
        <v/>
      </c>
      <c r="BC29" s="58" t="str">
        <f aca="false">IF('STUDENT SCREENING'!BB29="","",IFERROR(INDEX('SCORING MASTER'!$D$117:$D$119,MATCH('STUDENT SCREENING'!BB29,'SCORING MASTER'!$C$117:$C$119,0)),""))</f>
        <v/>
      </c>
      <c r="BD29" s="58" t="str">
        <f aca="false">IF('STUDENT SCREENING'!BC29="","",IFERROR(INDEX('SCORING MASTER'!$D$121:$D$123,MATCH('STUDENT SCREENING'!BC29,'SCORING MASTER'!$C$121:$C$123,0)),""))</f>
        <v/>
      </c>
      <c r="BE29" s="58" t="str">
        <f aca="false">IF('STUDENT SCREENING'!BD29="","",IFERROR(INDEX('SCORING MASTER'!$D$125:$D$126,MATCH('STUDENT SCREENING'!BD29,'SCORING MASTER'!$C$125:$C$126,0)),""))</f>
        <v/>
      </c>
      <c r="BF29" s="58" t="str">
        <f aca="false">IF('STUDENT SCREENING'!BE29="","",IFERROR(INDEX('SCORING MASTER'!$D$128:$D$129,MATCH('STUDENT SCREENING'!BE29,'SCORING MASTER'!$C$128:$C$129,0)),""))</f>
        <v/>
      </c>
      <c r="BG29" s="58" t="str">
        <f aca="false">IF('STUDENT SCREENING'!BP29="","",IFERROR(MATCH('STUDENT SCREENING'!BP29,{"Red - High Risk","Orange - Moderate Risk","Yellow - Mild Risk","Light Green - Mild Watch","Green - Healthy"},0)-1,""))</f>
        <v/>
      </c>
      <c r="BH29" s="58" t="str">
        <f aca="false">IF('STUDENT SCREENING'!BQ29="","",IF('STUDENT SCREENING'!BQ29="Yes",1,0))</f>
        <v/>
      </c>
      <c r="BI29" s="58" t="str">
        <f aca="false">IF('STUDENT SCREENING'!BR29="","",IF('STUDENT SCREENING'!BR29="Yes",1,0))</f>
        <v/>
      </c>
    </row>
    <row r="30" customFormat="false" ht="15" hidden="false" customHeight="false" outlineLevel="0" collapsed="false">
      <c r="A30" s="57" t="str">
        <f aca="false">'STUDENT SCREENING'!A30</f>
        <v/>
      </c>
      <c r="B30" s="57" t="n">
        <f aca="false">'STUDENT SCREENING'!C30</f>
        <v>0</v>
      </c>
      <c r="C30" s="57" t="n">
        <f aca="false">'STUDENT SCREENING'!D30</f>
        <v>0</v>
      </c>
      <c r="D30" s="57" t="n">
        <f aca="false">'STUDENT SCREENING'!E30</f>
        <v>0</v>
      </c>
      <c r="E30" s="57" t="n">
        <f aca="false">'STUDENT SCREENING'!F30</f>
        <v>0</v>
      </c>
      <c r="F30" s="57" t="n">
        <f aca="false">'STUDENT SCREENING'!K30</f>
        <v>0</v>
      </c>
      <c r="G30" s="57" t="n">
        <f aca="false">'STUDENT SCREENING'!J30</f>
        <v>0</v>
      </c>
      <c r="H30" s="57" t="str">
        <f aca="false">IF('STUDENT SCREENING'!K30="","",IFERROR(MATCH('STUDENT SCREENING'!K30,Adm_Gender,0),""))</f>
        <v/>
      </c>
      <c r="I30" s="57" t="n">
        <f aca="false">'STUDENT SCREENING'!Q30</f>
        <v>0</v>
      </c>
      <c r="J30" s="57" t="n">
        <f aca="false">'STUDENT SCREENING'!R30</f>
        <v>0</v>
      </c>
      <c r="K30" s="57" t="str">
        <f aca="false">'STUDENT SCREENING'!S30</f>
        <v/>
      </c>
      <c r="L30" s="57" t="n">
        <f aca="false">'STUDENT SCREENING'!U30</f>
        <v>0</v>
      </c>
      <c r="M30" s="57" t="n">
        <f aca="false">'STUDENT SCREENING'!V30</f>
        <v>0</v>
      </c>
      <c r="N30" s="57" t="str">
        <f aca="false">'STUDENT SCREENING'!BF30</f>
        <v/>
      </c>
      <c r="O30" s="57" t="str">
        <f aca="false">'STUDENT SCREENING'!BG30</f>
        <v/>
      </c>
      <c r="P30" s="57" t="str">
        <f aca="false">'STUDENT SCREENING'!BH30</f>
        <v/>
      </c>
      <c r="Q30" s="57" t="str">
        <f aca="false">'STUDENT SCREENING'!BI30</f>
        <v/>
      </c>
      <c r="R30" s="57" t="str">
        <f aca="false">'STUDENT SCREENING'!BJ30</f>
        <v/>
      </c>
      <c r="S30" s="57" t="str">
        <f aca="false">'STUDENT SCREENING'!BK30</f>
        <v/>
      </c>
      <c r="T30" s="57" t="str">
        <f aca="false">'STUDENT SCREENING'!BL30</f>
        <v/>
      </c>
      <c r="U30" s="57" t="str">
        <f aca="false">'STUDENT SCREENING'!BM30</f>
        <v/>
      </c>
      <c r="V30" s="57" t="str">
        <f aca="false">'STUDENT SCREENING'!BN30</f>
        <v/>
      </c>
      <c r="W30" s="57" t="str">
        <f aca="false">'STUDENT SCREENING'!BO30</f>
        <v/>
      </c>
      <c r="X30" s="57" t="str">
        <f aca="false">IF('STUDENT SCREENING'!W30="","",IFERROR(INDEX('SCORING MASTER'!$D$5:$D$7,MATCH('STUDENT SCREENING'!W30,'SCORING MASTER'!$C$5:$C$7,0)),""))</f>
        <v/>
      </c>
      <c r="Y30" s="57" t="str">
        <f aca="false">IF('STUDENT SCREENING'!X30="","",IFERROR(INDEX('SCORING MASTER'!$D$9:$D$11,MATCH('STUDENT SCREENING'!X30,'SCORING MASTER'!$C$9:$C$11,0)),""))</f>
        <v/>
      </c>
      <c r="Z30" s="57" t="str">
        <f aca="false">IF('STUDENT SCREENING'!Y30="","",IFERROR(INDEX('SCORING MASTER'!$D$13:$D$15,MATCH('STUDENT SCREENING'!Y30,'SCORING MASTER'!$C$13:$C$15,0)),""))</f>
        <v/>
      </c>
      <c r="AA30" s="57" t="str">
        <f aca="false">IF('STUDENT SCREENING'!Z30="","",IFERROR(INDEX('SCORING MASTER'!$D$17:$D$19,MATCH('STUDENT SCREENING'!Z30,'SCORING MASTER'!$C$17:$C$19,0)),""))</f>
        <v/>
      </c>
      <c r="AB30" s="57" t="str">
        <f aca="false">IF('STUDENT SCREENING'!AA30="","",IFERROR(INDEX('SCORING MASTER'!$D$21:$D$23,MATCH('STUDENT SCREENING'!AA30,'SCORING MASTER'!$C$21:$C$23,0)),""))</f>
        <v/>
      </c>
      <c r="AC30" s="57" t="str">
        <f aca="false">IF('STUDENT SCREENING'!AB30="","",IFERROR(INDEX('SCORING MASTER'!$D$25:$D$27,MATCH('STUDENT SCREENING'!AB30,'SCORING MASTER'!$C$25:$C$27,0)),""))</f>
        <v/>
      </c>
      <c r="AD30" s="57" t="str">
        <f aca="false">IF('STUDENT SCREENING'!AC30="","",IFERROR(INDEX('SCORING MASTER'!$D$29:$D$31,MATCH('STUDENT SCREENING'!AC30,'SCORING MASTER'!$C$29:$C$31,0)),""))</f>
        <v/>
      </c>
      <c r="AE30" s="57" t="str">
        <f aca="false">IF('STUDENT SCREENING'!AD30="","",IFERROR(INDEX('SCORING MASTER'!$D$33:$D$35,MATCH('STUDENT SCREENING'!AD30,'SCORING MASTER'!$C$33:$C$35,0)),""))</f>
        <v/>
      </c>
      <c r="AF30" s="57" t="str">
        <f aca="false">IF('STUDENT SCREENING'!AE30="","",IFERROR(INDEX('SCORING MASTER'!$D$37:$D$39,MATCH('STUDENT SCREENING'!AE30,'SCORING MASTER'!$C$37:$C$39,0)),""))</f>
        <v/>
      </c>
      <c r="AG30" s="57" t="str">
        <f aca="false">IF('STUDENT SCREENING'!AF30="","",IFERROR(INDEX('SCORING MASTER'!$D$41:$D$43,MATCH('STUDENT SCREENING'!AF30,'SCORING MASTER'!$C$41:$C$43,0)),""))</f>
        <v/>
      </c>
      <c r="AH30" s="57" t="str">
        <f aca="false">IF('STUDENT SCREENING'!AG30="","",IFERROR(INDEX('SCORING MASTER'!$D$45:$D$47,MATCH('STUDENT SCREENING'!AG30,'SCORING MASTER'!$C$45:$C$47,0)),""))</f>
        <v/>
      </c>
      <c r="AI30" s="57" t="str">
        <f aca="false">IF('STUDENT SCREENING'!AH30="","",IFERROR(INDEX('SCORING MASTER'!$D$49:$D$52,MATCH('STUDENT SCREENING'!AH30,'SCORING MASTER'!$C$49:$C$52,0)),""))</f>
        <v/>
      </c>
      <c r="AJ30" s="57" t="str">
        <f aca="false">IF('STUDENT SCREENING'!AI30="","",IFERROR(INDEX('SCORING MASTER'!$D$54:$D$57,MATCH('STUDENT SCREENING'!AI30,'SCORING MASTER'!$C$54:$C$57,0)),""))</f>
        <v/>
      </c>
      <c r="AK30" s="57" t="str">
        <f aca="false">IF('STUDENT SCREENING'!AJ30="","",IFERROR(INDEX('SCORING MASTER'!$D$59:$D$60,MATCH('STUDENT SCREENING'!AJ30,'SCORING MASTER'!$C$59:$C$60,0)),""))</f>
        <v/>
      </c>
      <c r="AL30" s="57" t="str">
        <f aca="false">IF('STUDENT SCREENING'!AK30="","",IFERROR(INDEX('SCORING MASTER'!$D$62:$D$63,MATCH('STUDENT SCREENING'!AK30,'SCORING MASTER'!$C$62:$C$63,0)),""))</f>
        <v/>
      </c>
      <c r="AM30" s="57" t="str">
        <f aca="false">IF('STUDENT SCREENING'!AL30="","",IFERROR(INDEX('SCORING MASTER'!$D$65:$D$66,MATCH('STUDENT SCREENING'!AL30,'SCORING MASTER'!$C$65:$C$66,0)),""))</f>
        <v/>
      </c>
      <c r="AN30" s="57" t="str">
        <f aca="false">IF('STUDENT SCREENING'!AM30="","",IFERROR(INDEX('SCORING MASTER'!$D$68:$D$69,MATCH('STUDENT SCREENING'!AM30,'SCORING MASTER'!$C$68:$C$69,0)),""))</f>
        <v/>
      </c>
      <c r="AO30" s="57" t="str">
        <f aca="false">IF('STUDENT SCREENING'!AN30="","",IFERROR(INDEX('SCORING MASTER'!$D$71:$D$72,MATCH('STUDENT SCREENING'!AN30,'SCORING MASTER'!$C$71:$C$72,0)),""))</f>
        <v/>
      </c>
      <c r="AP30" s="57" t="str">
        <f aca="false">IF('STUDENT SCREENING'!AO30="","",IFERROR(INDEX('SCORING MASTER'!$D$74:$D$75,MATCH('STUDENT SCREENING'!AO30,'SCORING MASTER'!$C$74:$C$75,0)),""))</f>
        <v/>
      </c>
      <c r="AQ30" s="57" t="str">
        <f aca="false">IF('STUDENT SCREENING'!AP30="","",IFERROR(INDEX('SCORING MASTER'!$D$77:$D$78,MATCH('STUDENT SCREENING'!AP30,'SCORING MASTER'!$C$77:$C$78,0)),""))</f>
        <v/>
      </c>
      <c r="AR30" s="57" t="str">
        <f aca="false">IF('STUDENT SCREENING'!AQ30="","",IFERROR(INDEX('SCORING MASTER'!$D$80:$D$82,MATCH('STUDENT SCREENING'!AQ30,'SCORING MASTER'!$C$80:$C$82,0)),""))</f>
        <v/>
      </c>
      <c r="AS30" s="57" t="str">
        <f aca="false">IF('STUDENT SCREENING'!AR30="","",IFERROR(INDEX('SCORING MASTER'!$D$84:$D$86,MATCH('STUDENT SCREENING'!AR30,'SCORING MASTER'!$C$84:$C$86,0)),""))</f>
        <v/>
      </c>
      <c r="AT30" s="57" t="str">
        <f aca="false">IF('STUDENT SCREENING'!AS30="","",IFERROR(INDEX('SCORING MASTER'!$D$88:$D$90,MATCH('STUDENT SCREENING'!AS30,'SCORING MASTER'!$C$88:$C$90,0)),""))</f>
        <v/>
      </c>
      <c r="AU30" s="57" t="str">
        <f aca="false">IF('STUDENT SCREENING'!AT30="","",IFERROR(INDEX('SCORING MASTER'!$D$92:$D$93,MATCH('STUDENT SCREENING'!AT30,'SCORING MASTER'!$C$92:$C$93,0)),""))</f>
        <v/>
      </c>
      <c r="AV30" s="57" t="str">
        <f aca="false">IF('STUDENT SCREENING'!AU30="","",IFERROR(INDEX('SCORING MASTER'!$D$95:$D$96,MATCH('STUDENT SCREENING'!AU30,'SCORING MASTER'!$C$95:$C$96,0)),""))</f>
        <v/>
      </c>
      <c r="AW30" s="57" t="str">
        <f aca="false">IF('STUDENT SCREENING'!AV30="","",IFERROR(INDEX('SCORING MASTER'!$D$98:$D$99,MATCH('STUDENT SCREENING'!AV30,'SCORING MASTER'!$C$98:$C$99,0)),""))</f>
        <v/>
      </c>
      <c r="AX30" s="57" t="str">
        <f aca="false">IF('STUDENT SCREENING'!AW30="","",IFERROR(INDEX('SCORING MASTER'!$D$101:$D$102,MATCH('STUDENT SCREENING'!AW30,'SCORING MASTER'!$C$101:$C$102,0)),""))</f>
        <v/>
      </c>
      <c r="AY30" s="57" t="str">
        <f aca="false">IF('STUDENT SCREENING'!AX30="","",IFERROR(INDEX('SCORING MASTER'!$D$104:$D$105,MATCH('STUDENT SCREENING'!AX30,'SCORING MASTER'!$C$104:$C$105,0)),""))</f>
        <v/>
      </c>
      <c r="AZ30" s="57" t="str">
        <f aca="false">IF('STUDENT SCREENING'!AY30="","",IFERROR(INDEX('SCORING MASTER'!$D$107:$D$108,MATCH('STUDENT SCREENING'!AY30,'SCORING MASTER'!$C$107:$C$108,0)),""))</f>
        <v/>
      </c>
      <c r="BA30" s="57" t="str">
        <f aca="false">IF('STUDENT SCREENING'!AZ30="","",IFERROR(INDEX('SCORING MASTER'!$D$110:$D$111,MATCH('STUDENT SCREENING'!AZ30,'SCORING MASTER'!$C$110:$C$111,0)),""))</f>
        <v/>
      </c>
      <c r="BB30" s="57" t="str">
        <f aca="false">IF('STUDENT SCREENING'!BA30="","",IFERROR(INDEX('SCORING MASTER'!$D$113:$D$115,MATCH('STUDENT SCREENING'!BA30,'SCORING MASTER'!$C$113:$C$115,0)),""))</f>
        <v/>
      </c>
      <c r="BC30" s="57" t="str">
        <f aca="false">IF('STUDENT SCREENING'!BB30="","",IFERROR(INDEX('SCORING MASTER'!$D$117:$D$119,MATCH('STUDENT SCREENING'!BB30,'SCORING MASTER'!$C$117:$C$119,0)),""))</f>
        <v/>
      </c>
      <c r="BD30" s="57" t="str">
        <f aca="false">IF('STUDENT SCREENING'!BC30="","",IFERROR(INDEX('SCORING MASTER'!$D$121:$D$123,MATCH('STUDENT SCREENING'!BC30,'SCORING MASTER'!$C$121:$C$123,0)),""))</f>
        <v/>
      </c>
      <c r="BE30" s="57" t="str">
        <f aca="false">IF('STUDENT SCREENING'!BD30="","",IFERROR(INDEX('SCORING MASTER'!$D$125:$D$126,MATCH('STUDENT SCREENING'!BD30,'SCORING MASTER'!$C$125:$C$126,0)),""))</f>
        <v/>
      </c>
      <c r="BF30" s="57" t="str">
        <f aca="false">IF('STUDENT SCREENING'!BE30="","",IFERROR(INDEX('SCORING MASTER'!$D$128:$D$129,MATCH('STUDENT SCREENING'!BE30,'SCORING MASTER'!$C$128:$C$129,0)),""))</f>
        <v/>
      </c>
      <c r="BG30" s="57" t="str">
        <f aca="false">IF('STUDENT SCREENING'!BP30="","",IFERROR(MATCH('STUDENT SCREENING'!BP30,{"Red - High Risk","Orange - Moderate Risk","Yellow - Mild Risk","Light Green - Mild Watch","Green - Healthy"},0)-1,""))</f>
        <v/>
      </c>
      <c r="BH30" s="57" t="str">
        <f aca="false">IF('STUDENT SCREENING'!BQ30="","",IF('STUDENT SCREENING'!BQ30="Yes",1,0))</f>
        <v/>
      </c>
      <c r="BI30" s="57" t="str">
        <f aca="false">IF('STUDENT SCREENING'!BR30="","",IF('STUDENT SCREENING'!BR30="Yes",1,0))</f>
        <v/>
      </c>
    </row>
    <row r="31" customFormat="false" ht="15" hidden="false" customHeight="false" outlineLevel="0" collapsed="false">
      <c r="A31" s="58" t="str">
        <f aca="false">'STUDENT SCREENING'!A31</f>
        <v/>
      </c>
      <c r="B31" s="58" t="n">
        <f aca="false">'STUDENT SCREENING'!C31</f>
        <v>0</v>
      </c>
      <c r="C31" s="58" t="n">
        <f aca="false">'STUDENT SCREENING'!D31</f>
        <v>0</v>
      </c>
      <c r="D31" s="58" t="n">
        <f aca="false">'STUDENT SCREENING'!E31</f>
        <v>0</v>
      </c>
      <c r="E31" s="58" t="n">
        <f aca="false">'STUDENT SCREENING'!F31</f>
        <v>0</v>
      </c>
      <c r="F31" s="58" t="n">
        <f aca="false">'STUDENT SCREENING'!K31</f>
        <v>0</v>
      </c>
      <c r="G31" s="58" t="n">
        <f aca="false">'STUDENT SCREENING'!J31</f>
        <v>0</v>
      </c>
      <c r="H31" s="58" t="str">
        <f aca="false">IF('STUDENT SCREENING'!K31="","",IFERROR(MATCH('STUDENT SCREENING'!K31,Adm_Gender,0),""))</f>
        <v/>
      </c>
      <c r="I31" s="58" t="n">
        <f aca="false">'STUDENT SCREENING'!Q31</f>
        <v>0</v>
      </c>
      <c r="J31" s="58" t="n">
        <f aca="false">'STUDENT SCREENING'!R31</f>
        <v>0</v>
      </c>
      <c r="K31" s="58" t="str">
        <f aca="false">'STUDENT SCREENING'!S31</f>
        <v/>
      </c>
      <c r="L31" s="58" t="n">
        <f aca="false">'STUDENT SCREENING'!U31</f>
        <v>0</v>
      </c>
      <c r="M31" s="58" t="n">
        <f aca="false">'STUDENT SCREENING'!V31</f>
        <v>0</v>
      </c>
      <c r="N31" s="58" t="str">
        <f aca="false">'STUDENT SCREENING'!BF31</f>
        <v/>
      </c>
      <c r="O31" s="58" t="str">
        <f aca="false">'STUDENT SCREENING'!BG31</f>
        <v/>
      </c>
      <c r="P31" s="58" t="str">
        <f aca="false">'STUDENT SCREENING'!BH31</f>
        <v/>
      </c>
      <c r="Q31" s="58" t="str">
        <f aca="false">'STUDENT SCREENING'!BI31</f>
        <v/>
      </c>
      <c r="R31" s="58" t="str">
        <f aca="false">'STUDENT SCREENING'!BJ31</f>
        <v/>
      </c>
      <c r="S31" s="58" t="str">
        <f aca="false">'STUDENT SCREENING'!BK31</f>
        <v/>
      </c>
      <c r="T31" s="58" t="str">
        <f aca="false">'STUDENT SCREENING'!BL31</f>
        <v/>
      </c>
      <c r="U31" s="58" t="str">
        <f aca="false">'STUDENT SCREENING'!BM31</f>
        <v/>
      </c>
      <c r="V31" s="58" t="str">
        <f aca="false">'STUDENT SCREENING'!BN31</f>
        <v/>
      </c>
      <c r="W31" s="58" t="str">
        <f aca="false">'STUDENT SCREENING'!BO31</f>
        <v/>
      </c>
      <c r="X31" s="58" t="str">
        <f aca="false">IF('STUDENT SCREENING'!W31="","",IFERROR(INDEX('SCORING MASTER'!$D$5:$D$7,MATCH('STUDENT SCREENING'!W31,'SCORING MASTER'!$C$5:$C$7,0)),""))</f>
        <v/>
      </c>
      <c r="Y31" s="58" t="str">
        <f aca="false">IF('STUDENT SCREENING'!X31="","",IFERROR(INDEX('SCORING MASTER'!$D$9:$D$11,MATCH('STUDENT SCREENING'!X31,'SCORING MASTER'!$C$9:$C$11,0)),""))</f>
        <v/>
      </c>
      <c r="Z31" s="58" t="str">
        <f aca="false">IF('STUDENT SCREENING'!Y31="","",IFERROR(INDEX('SCORING MASTER'!$D$13:$D$15,MATCH('STUDENT SCREENING'!Y31,'SCORING MASTER'!$C$13:$C$15,0)),""))</f>
        <v/>
      </c>
      <c r="AA31" s="58" t="str">
        <f aca="false">IF('STUDENT SCREENING'!Z31="","",IFERROR(INDEX('SCORING MASTER'!$D$17:$D$19,MATCH('STUDENT SCREENING'!Z31,'SCORING MASTER'!$C$17:$C$19,0)),""))</f>
        <v/>
      </c>
      <c r="AB31" s="58" t="str">
        <f aca="false">IF('STUDENT SCREENING'!AA31="","",IFERROR(INDEX('SCORING MASTER'!$D$21:$D$23,MATCH('STUDENT SCREENING'!AA31,'SCORING MASTER'!$C$21:$C$23,0)),""))</f>
        <v/>
      </c>
      <c r="AC31" s="58" t="str">
        <f aca="false">IF('STUDENT SCREENING'!AB31="","",IFERROR(INDEX('SCORING MASTER'!$D$25:$D$27,MATCH('STUDENT SCREENING'!AB31,'SCORING MASTER'!$C$25:$C$27,0)),""))</f>
        <v/>
      </c>
      <c r="AD31" s="58" t="str">
        <f aca="false">IF('STUDENT SCREENING'!AC31="","",IFERROR(INDEX('SCORING MASTER'!$D$29:$D$31,MATCH('STUDENT SCREENING'!AC31,'SCORING MASTER'!$C$29:$C$31,0)),""))</f>
        <v/>
      </c>
      <c r="AE31" s="58" t="str">
        <f aca="false">IF('STUDENT SCREENING'!AD31="","",IFERROR(INDEX('SCORING MASTER'!$D$33:$D$35,MATCH('STUDENT SCREENING'!AD31,'SCORING MASTER'!$C$33:$C$35,0)),""))</f>
        <v/>
      </c>
      <c r="AF31" s="58" t="str">
        <f aca="false">IF('STUDENT SCREENING'!AE31="","",IFERROR(INDEX('SCORING MASTER'!$D$37:$D$39,MATCH('STUDENT SCREENING'!AE31,'SCORING MASTER'!$C$37:$C$39,0)),""))</f>
        <v/>
      </c>
      <c r="AG31" s="58" t="str">
        <f aca="false">IF('STUDENT SCREENING'!AF31="","",IFERROR(INDEX('SCORING MASTER'!$D$41:$D$43,MATCH('STUDENT SCREENING'!AF31,'SCORING MASTER'!$C$41:$C$43,0)),""))</f>
        <v/>
      </c>
      <c r="AH31" s="58" t="str">
        <f aca="false">IF('STUDENT SCREENING'!AG31="","",IFERROR(INDEX('SCORING MASTER'!$D$45:$D$47,MATCH('STUDENT SCREENING'!AG31,'SCORING MASTER'!$C$45:$C$47,0)),""))</f>
        <v/>
      </c>
      <c r="AI31" s="58" t="str">
        <f aca="false">IF('STUDENT SCREENING'!AH31="","",IFERROR(INDEX('SCORING MASTER'!$D$49:$D$52,MATCH('STUDENT SCREENING'!AH31,'SCORING MASTER'!$C$49:$C$52,0)),""))</f>
        <v/>
      </c>
      <c r="AJ31" s="58" t="str">
        <f aca="false">IF('STUDENT SCREENING'!AI31="","",IFERROR(INDEX('SCORING MASTER'!$D$54:$D$57,MATCH('STUDENT SCREENING'!AI31,'SCORING MASTER'!$C$54:$C$57,0)),""))</f>
        <v/>
      </c>
      <c r="AK31" s="58" t="str">
        <f aca="false">IF('STUDENT SCREENING'!AJ31="","",IFERROR(INDEX('SCORING MASTER'!$D$59:$D$60,MATCH('STUDENT SCREENING'!AJ31,'SCORING MASTER'!$C$59:$C$60,0)),""))</f>
        <v/>
      </c>
      <c r="AL31" s="58" t="str">
        <f aca="false">IF('STUDENT SCREENING'!AK31="","",IFERROR(INDEX('SCORING MASTER'!$D$62:$D$63,MATCH('STUDENT SCREENING'!AK31,'SCORING MASTER'!$C$62:$C$63,0)),""))</f>
        <v/>
      </c>
      <c r="AM31" s="58" t="str">
        <f aca="false">IF('STUDENT SCREENING'!AL31="","",IFERROR(INDEX('SCORING MASTER'!$D$65:$D$66,MATCH('STUDENT SCREENING'!AL31,'SCORING MASTER'!$C$65:$C$66,0)),""))</f>
        <v/>
      </c>
      <c r="AN31" s="58" t="str">
        <f aca="false">IF('STUDENT SCREENING'!AM31="","",IFERROR(INDEX('SCORING MASTER'!$D$68:$D$69,MATCH('STUDENT SCREENING'!AM31,'SCORING MASTER'!$C$68:$C$69,0)),""))</f>
        <v/>
      </c>
      <c r="AO31" s="58" t="str">
        <f aca="false">IF('STUDENT SCREENING'!AN31="","",IFERROR(INDEX('SCORING MASTER'!$D$71:$D$72,MATCH('STUDENT SCREENING'!AN31,'SCORING MASTER'!$C$71:$C$72,0)),""))</f>
        <v/>
      </c>
      <c r="AP31" s="58" t="str">
        <f aca="false">IF('STUDENT SCREENING'!AO31="","",IFERROR(INDEX('SCORING MASTER'!$D$74:$D$75,MATCH('STUDENT SCREENING'!AO31,'SCORING MASTER'!$C$74:$C$75,0)),""))</f>
        <v/>
      </c>
      <c r="AQ31" s="58" t="str">
        <f aca="false">IF('STUDENT SCREENING'!AP31="","",IFERROR(INDEX('SCORING MASTER'!$D$77:$D$78,MATCH('STUDENT SCREENING'!AP31,'SCORING MASTER'!$C$77:$C$78,0)),""))</f>
        <v/>
      </c>
      <c r="AR31" s="58" t="str">
        <f aca="false">IF('STUDENT SCREENING'!AQ31="","",IFERROR(INDEX('SCORING MASTER'!$D$80:$D$82,MATCH('STUDENT SCREENING'!AQ31,'SCORING MASTER'!$C$80:$C$82,0)),""))</f>
        <v/>
      </c>
      <c r="AS31" s="58" t="str">
        <f aca="false">IF('STUDENT SCREENING'!AR31="","",IFERROR(INDEX('SCORING MASTER'!$D$84:$D$86,MATCH('STUDENT SCREENING'!AR31,'SCORING MASTER'!$C$84:$C$86,0)),""))</f>
        <v/>
      </c>
      <c r="AT31" s="58" t="str">
        <f aca="false">IF('STUDENT SCREENING'!AS31="","",IFERROR(INDEX('SCORING MASTER'!$D$88:$D$90,MATCH('STUDENT SCREENING'!AS31,'SCORING MASTER'!$C$88:$C$90,0)),""))</f>
        <v/>
      </c>
      <c r="AU31" s="58" t="str">
        <f aca="false">IF('STUDENT SCREENING'!AT31="","",IFERROR(INDEX('SCORING MASTER'!$D$92:$D$93,MATCH('STUDENT SCREENING'!AT31,'SCORING MASTER'!$C$92:$C$93,0)),""))</f>
        <v/>
      </c>
      <c r="AV31" s="58" t="str">
        <f aca="false">IF('STUDENT SCREENING'!AU31="","",IFERROR(INDEX('SCORING MASTER'!$D$95:$D$96,MATCH('STUDENT SCREENING'!AU31,'SCORING MASTER'!$C$95:$C$96,0)),""))</f>
        <v/>
      </c>
      <c r="AW31" s="58" t="str">
        <f aca="false">IF('STUDENT SCREENING'!AV31="","",IFERROR(INDEX('SCORING MASTER'!$D$98:$D$99,MATCH('STUDENT SCREENING'!AV31,'SCORING MASTER'!$C$98:$C$99,0)),""))</f>
        <v/>
      </c>
      <c r="AX31" s="58" t="str">
        <f aca="false">IF('STUDENT SCREENING'!AW31="","",IFERROR(INDEX('SCORING MASTER'!$D$101:$D$102,MATCH('STUDENT SCREENING'!AW31,'SCORING MASTER'!$C$101:$C$102,0)),""))</f>
        <v/>
      </c>
      <c r="AY31" s="58" t="str">
        <f aca="false">IF('STUDENT SCREENING'!AX31="","",IFERROR(INDEX('SCORING MASTER'!$D$104:$D$105,MATCH('STUDENT SCREENING'!AX31,'SCORING MASTER'!$C$104:$C$105,0)),""))</f>
        <v/>
      </c>
      <c r="AZ31" s="58" t="str">
        <f aca="false">IF('STUDENT SCREENING'!AY31="","",IFERROR(INDEX('SCORING MASTER'!$D$107:$D$108,MATCH('STUDENT SCREENING'!AY31,'SCORING MASTER'!$C$107:$C$108,0)),""))</f>
        <v/>
      </c>
      <c r="BA31" s="58" t="str">
        <f aca="false">IF('STUDENT SCREENING'!AZ31="","",IFERROR(INDEX('SCORING MASTER'!$D$110:$D$111,MATCH('STUDENT SCREENING'!AZ31,'SCORING MASTER'!$C$110:$C$111,0)),""))</f>
        <v/>
      </c>
      <c r="BB31" s="58" t="str">
        <f aca="false">IF('STUDENT SCREENING'!BA31="","",IFERROR(INDEX('SCORING MASTER'!$D$113:$D$115,MATCH('STUDENT SCREENING'!BA31,'SCORING MASTER'!$C$113:$C$115,0)),""))</f>
        <v/>
      </c>
      <c r="BC31" s="58" t="str">
        <f aca="false">IF('STUDENT SCREENING'!BB31="","",IFERROR(INDEX('SCORING MASTER'!$D$117:$D$119,MATCH('STUDENT SCREENING'!BB31,'SCORING MASTER'!$C$117:$C$119,0)),""))</f>
        <v/>
      </c>
      <c r="BD31" s="58" t="str">
        <f aca="false">IF('STUDENT SCREENING'!BC31="","",IFERROR(INDEX('SCORING MASTER'!$D$121:$D$123,MATCH('STUDENT SCREENING'!BC31,'SCORING MASTER'!$C$121:$C$123,0)),""))</f>
        <v/>
      </c>
      <c r="BE31" s="58" t="str">
        <f aca="false">IF('STUDENT SCREENING'!BD31="","",IFERROR(INDEX('SCORING MASTER'!$D$125:$D$126,MATCH('STUDENT SCREENING'!BD31,'SCORING MASTER'!$C$125:$C$126,0)),""))</f>
        <v/>
      </c>
      <c r="BF31" s="58" t="str">
        <f aca="false">IF('STUDENT SCREENING'!BE31="","",IFERROR(INDEX('SCORING MASTER'!$D$128:$D$129,MATCH('STUDENT SCREENING'!BE31,'SCORING MASTER'!$C$128:$C$129,0)),""))</f>
        <v/>
      </c>
      <c r="BG31" s="58" t="str">
        <f aca="false">IF('STUDENT SCREENING'!BP31="","",IFERROR(MATCH('STUDENT SCREENING'!BP31,{"Red - High Risk","Orange - Moderate Risk","Yellow - Mild Risk","Light Green - Mild Watch","Green - Healthy"},0)-1,""))</f>
        <v/>
      </c>
      <c r="BH31" s="58" t="str">
        <f aca="false">IF('STUDENT SCREENING'!BQ31="","",IF('STUDENT SCREENING'!BQ31="Yes",1,0))</f>
        <v/>
      </c>
      <c r="BI31" s="58" t="str">
        <f aca="false">IF('STUDENT SCREENING'!BR31="","",IF('STUDENT SCREENING'!BR31="Yes",1,0))</f>
        <v/>
      </c>
    </row>
    <row r="32" customFormat="false" ht="15" hidden="false" customHeight="false" outlineLevel="0" collapsed="false">
      <c r="A32" s="57" t="str">
        <f aca="false">'STUDENT SCREENING'!A32</f>
        <v/>
      </c>
      <c r="B32" s="57" t="n">
        <f aca="false">'STUDENT SCREENING'!C32</f>
        <v>0</v>
      </c>
      <c r="C32" s="57" t="n">
        <f aca="false">'STUDENT SCREENING'!D32</f>
        <v>0</v>
      </c>
      <c r="D32" s="57" t="n">
        <f aca="false">'STUDENT SCREENING'!E32</f>
        <v>0</v>
      </c>
      <c r="E32" s="57" t="n">
        <f aca="false">'STUDENT SCREENING'!F32</f>
        <v>0</v>
      </c>
      <c r="F32" s="57" t="n">
        <f aca="false">'STUDENT SCREENING'!K32</f>
        <v>0</v>
      </c>
      <c r="G32" s="57" t="n">
        <f aca="false">'STUDENT SCREENING'!J32</f>
        <v>0</v>
      </c>
      <c r="H32" s="57" t="str">
        <f aca="false">IF('STUDENT SCREENING'!K32="","",IFERROR(MATCH('STUDENT SCREENING'!K32,Adm_Gender,0),""))</f>
        <v/>
      </c>
      <c r="I32" s="57" t="n">
        <f aca="false">'STUDENT SCREENING'!Q32</f>
        <v>0</v>
      </c>
      <c r="J32" s="57" t="n">
        <f aca="false">'STUDENT SCREENING'!R32</f>
        <v>0</v>
      </c>
      <c r="K32" s="57" t="str">
        <f aca="false">'STUDENT SCREENING'!S32</f>
        <v/>
      </c>
      <c r="L32" s="57" t="n">
        <f aca="false">'STUDENT SCREENING'!U32</f>
        <v>0</v>
      </c>
      <c r="M32" s="57" t="n">
        <f aca="false">'STUDENT SCREENING'!V32</f>
        <v>0</v>
      </c>
      <c r="N32" s="57" t="str">
        <f aca="false">'STUDENT SCREENING'!BF32</f>
        <v/>
      </c>
      <c r="O32" s="57" t="str">
        <f aca="false">'STUDENT SCREENING'!BG32</f>
        <v/>
      </c>
      <c r="P32" s="57" t="str">
        <f aca="false">'STUDENT SCREENING'!BH32</f>
        <v/>
      </c>
      <c r="Q32" s="57" t="str">
        <f aca="false">'STUDENT SCREENING'!BI32</f>
        <v/>
      </c>
      <c r="R32" s="57" t="str">
        <f aca="false">'STUDENT SCREENING'!BJ32</f>
        <v/>
      </c>
      <c r="S32" s="57" t="str">
        <f aca="false">'STUDENT SCREENING'!BK32</f>
        <v/>
      </c>
      <c r="T32" s="57" t="str">
        <f aca="false">'STUDENT SCREENING'!BL32</f>
        <v/>
      </c>
      <c r="U32" s="57" t="str">
        <f aca="false">'STUDENT SCREENING'!BM32</f>
        <v/>
      </c>
      <c r="V32" s="57" t="str">
        <f aca="false">'STUDENT SCREENING'!BN32</f>
        <v/>
      </c>
      <c r="W32" s="57" t="str">
        <f aca="false">'STUDENT SCREENING'!BO32</f>
        <v/>
      </c>
      <c r="X32" s="57" t="str">
        <f aca="false">IF('STUDENT SCREENING'!W32="","",IFERROR(INDEX('SCORING MASTER'!$D$5:$D$7,MATCH('STUDENT SCREENING'!W32,'SCORING MASTER'!$C$5:$C$7,0)),""))</f>
        <v/>
      </c>
      <c r="Y32" s="57" t="str">
        <f aca="false">IF('STUDENT SCREENING'!X32="","",IFERROR(INDEX('SCORING MASTER'!$D$9:$D$11,MATCH('STUDENT SCREENING'!X32,'SCORING MASTER'!$C$9:$C$11,0)),""))</f>
        <v/>
      </c>
      <c r="Z32" s="57" t="str">
        <f aca="false">IF('STUDENT SCREENING'!Y32="","",IFERROR(INDEX('SCORING MASTER'!$D$13:$D$15,MATCH('STUDENT SCREENING'!Y32,'SCORING MASTER'!$C$13:$C$15,0)),""))</f>
        <v/>
      </c>
      <c r="AA32" s="57" t="str">
        <f aca="false">IF('STUDENT SCREENING'!Z32="","",IFERROR(INDEX('SCORING MASTER'!$D$17:$D$19,MATCH('STUDENT SCREENING'!Z32,'SCORING MASTER'!$C$17:$C$19,0)),""))</f>
        <v/>
      </c>
      <c r="AB32" s="57" t="str">
        <f aca="false">IF('STUDENT SCREENING'!AA32="","",IFERROR(INDEX('SCORING MASTER'!$D$21:$D$23,MATCH('STUDENT SCREENING'!AA32,'SCORING MASTER'!$C$21:$C$23,0)),""))</f>
        <v/>
      </c>
      <c r="AC32" s="57" t="str">
        <f aca="false">IF('STUDENT SCREENING'!AB32="","",IFERROR(INDEX('SCORING MASTER'!$D$25:$D$27,MATCH('STUDENT SCREENING'!AB32,'SCORING MASTER'!$C$25:$C$27,0)),""))</f>
        <v/>
      </c>
      <c r="AD32" s="57" t="str">
        <f aca="false">IF('STUDENT SCREENING'!AC32="","",IFERROR(INDEX('SCORING MASTER'!$D$29:$D$31,MATCH('STUDENT SCREENING'!AC32,'SCORING MASTER'!$C$29:$C$31,0)),""))</f>
        <v/>
      </c>
      <c r="AE32" s="57" t="str">
        <f aca="false">IF('STUDENT SCREENING'!AD32="","",IFERROR(INDEX('SCORING MASTER'!$D$33:$D$35,MATCH('STUDENT SCREENING'!AD32,'SCORING MASTER'!$C$33:$C$35,0)),""))</f>
        <v/>
      </c>
      <c r="AF32" s="57" t="str">
        <f aca="false">IF('STUDENT SCREENING'!AE32="","",IFERROR(INDEX('SCORING MASTER'!$D$37:$D$39,MATCH('STUDENT SCREENING'!AE32,'SCORING MASTER'!$C$37:$C$39,0)),""))</f>
        <v/>
      </c>
      <c r="AG32" s="57" t="str">
        <f aca="false">IF('STUDENT SCREENING'!AF32="","",IFERROR(INDEX('SCORING MASTER'!$D$41:$D$43,MATCH('STUDENT SCREENING'!AF32,'SCORING MASTER'!$C$41:$C$43,0)),""))</f>
        <v/>
      </c>
      <c r="AH32" s="57" t="str">
        <f aca="false">IF('STUDENT SCREENING'!AG32="","",IFERROR(INDEX('SCORING MASTER'!$D$45:$D$47,MATCH('STUDENT SCREENING'!AG32,'SCORING MASTER'!$C$45:$C$47,0)),""))</f>
        <v/>
      </c>
      <c r="AI32" s="57" t="str">
        <f aca="false">IF('STUDENT SCREENING'!AH32="","",IFERROR(INDEX('SCORING MASTER'!$D$49:$D$52,MATCH('STUDENT SCREENING'!AH32,'SCORING MASTER'!$C$49:$C$52,0)),""))</f>
        <v/>
      </c>
      <c r="AJ32" s="57" t="str">
        <f aca="false">IF('STUDENT SCREENING'!AI32="","",IFERROR(INDEX('SCORING MASTER'!$D$54:$D$57,MATCH('STUDENT SCREENING'!AI32,'SCORING MASTER'!$C$54:$C$57,0)),""))</f>
        <v/>
      </c>
      <c r="AK32" s="57" t="str">
        <f aca="false">IF('STUDENT SCREENING'!AJ32="","",IFERROR(INDEX('SCORING MASTER'!$D$59:$D$60,MATCH('STUDENT SCREENING'!AJ32,'SCORING MASTER'!$C$59:$C$60,0)),""))</f>
        <v/>
      </c>
      <c r="AL32" s="57" t="str">
        <f aca="false">IF('STUDENT SCREENING'!AK32="","",IFERROR(INDEX('SCORING MASTER'!$D$62:$D$63,MATCH('STUDENT SCREENING'!AK32,'SCORING MASTER'!$C$62:$C$63,0)),""))</f>
        <v/>
      </c>
      <c r="AM32" s="57" t="str">
        <f aca="false">IF('STUDENT SCREENING'!AL32="","",IFERROR(INDEX('SCORING MASTER'!$D$65:$D$66,MATCH('STUDENT SCREENING'!AL32,'SCORING MASTER'!$C$65:$C$66,0)),""))</f>
        <v/>
      </c>
      <c r="AN32" s="57" t="str">
        <f aca="false">IF('STUDENT SCREENING'!AM32="","",IFERROR(INDEX('SCORING MASTER'!$D$68:$D$69,MATCH('STUDENT SCREENING'!AM32,'SCORING MASTER'!$C$68:$C$69,0)),""))</f>
        <v/>
      </c>
      <c r="AO32" s="57" t="str">
        <f aca="false">IF('STUDENT SCREENING'!AN32="","",IFERROR(INDEX('SCORING MASTER'!$D$71:$D$72,MATCH('STUDENT SCREENING'!AN32,'SCORING MASTER'!$C$71:$C$72,0)),""))</f>
        <v/>
      </c>
      <c r="AP32" s="57" t="str">
        <f aca="false">IF('STUDENT SCREENING'!AO32="","",IFERROR(INDEX('SCORING MASTER'!$D$74:$D$75,MATCH('STUDENT SCREENING'!AO32,'SCORING MASTER'!$C$74:$C$75,0)),""))</f>
        <v/>
      </c>
      <c r="AQ32" s="57" t="str">
        <f aca="false">IF('STUDENT SCREENING'!AP32="","",IFERROR(INDEX('SCORING MASTER'!$D$77:$D$78,MATCH('STUDENT SCREENING'!AP32,'SCORING MASTER'!$C$77:$C$78,0)),""))</f>
        <v/>
      </c>
      <c r="AR32" s="57" t="str">
        <f aca="false">IF('STUDENT SCREENING'!AQ32="","",IFERROR(INDEX('SCORING MASTER'!$D$80:$D$82,MATCH('STUDENT SCREENING'!AQ32,'SCORING MASTER'!$C$80:$C$82,0)),""))</f>
        <v/>
      </c>
      <c r="AS32" s="57" t="str">
        <f aca="false">IF('STUDENT SCREENING'!AR32="","",IFERROR(INDEX('SCORING MASTER'!$D$84:$D$86,MATCH('STUDENT SCREENING'!AR32,'SCORING MASTER'!$C$84:$C$86,0)),""))</f>
        <v/>
      </c>
      <c r="AT32" s="57" t="str">
        <f aca="false">IF('STUDENT SCREENING'!AS32="","",IFERROR(INDEX('SCORING MASTER'!$D$88:$D$90,MATCH('STUDENT SCREENING'!AS32,'SCORING MASTER'!$C$88:$C$90,0)),""))</f>
        <v/>
      </c>
      <c r="AU32" s="57" t="str">
        <f aca="false">IF('STUDENT SCREENING'!AT32="","",IFERROR(INDEX('SCORING MASTER'!$D$92:$D$93,MATCH('STUDENT SCREENING'!AT32,'SCORING MASTER'!$C$92:$C$93,0)),""))</f>
        <v/>
      </c>
      <c r="AV32" s="57" t="str">
        <f aca="false">IF('STUDENT SCREENING'!AU32="","",IFERROR(INDEX('SCORING MASTER'!$D$95:$D$96,MATCH('STUDENT SCREENING'!AU32,'SCORING MASTER'!$C$95:$C$96,0)),""))</f>
        <v/>
      </c>
      <c r="AW32" s="57" t="str">
        <f aca="false">IF('STUDENT SCREENING'!AV32="","",IFERROR(INDEX('SCORING MASTER'!$D$98:$D$99,MATCH('STUDENT SCREENING'!AV32,'SCORING MASTER'!$C$98:$C$99,0)),""))</f>
        <v/>
      </c>
      <c r="AX32" s="57" t="str">
        <f aca="false">IF('STUDENT SCREENING'!AW32="","",IFERROR(INDEX('SCORING MASTER'!$D$101:$D$102,MATCH('STUDENT SCREENING'!AW32,'SCORING MASTER'!$C$101:$C$102,0)),""))</f>
        <v/>
      </c>
      <c r="AY32" s="57" t="str">
        <f aca="false">IF('STUDENT SCREENING'!AX32="","",IFERROR(INDEX('SCORING MASTER'!$D$104:$D$105,MATCH('STUDENT SCREENING'!AX32,'SCORING MASTER'!$C$104:$C$105,0)),""))</f>
        <v/>
      </c>
      <c r="AZ32" s="57" t="str">
        <f aca="false">IF('STUDENT SCREENING'!AY32="","",IFERROR(INDEX('SCORING MASTER'!$D$107:$D$108,MATCH('STUDENT SCREENING'!AY32,'SCORING MASTER'!$C$107:$C$108,0)),""))</f>
        <v/>
      </c>
      <c r="BA32" s="57" t="str">
        <f aca="false">IF('STUDENT SCREENING'!AZ32="","",IFERROR(INDEX('SCORING MASTER'!$D$110:$D$111,MATCH('STUDENT SCREENING'!AZ32,'SCORING MASTER'!$C$110:$C$111,0)),""))</f>
        <v/>
      </c>
      <c r="BB32" s="57" t="str">
        <f aca="false">IF('STUDENT SCREENING'!BA32="","",IFERROR(INDEX('SCORING MASTER'!$D$113:$D$115,MATCH('STUDENT SCREENING'!BA32,'SCORING MASTER'!$C$113:$C$115,0)),""))</f>
        <v/>
      </c>
      <c r="BC32" s="57" t="str">
        <f aca="false">IF('STUDENT SCREENING'!BB32="","",IFERROR(INDEX('SCORING MASTER'!$D$117:$D$119,MATCH('STUDENT SCREENING'!BB32,'SCORING MASTER'!$C$117:$C$119,0)),""))</f>
        <v/>
      </c>
      <c r="BD32" s="57" t="str">
        <f aca="false">IF('STUDENT SCREENING'!BC32="","",IFERROR(INDEX('SCORING MASTER'!$D$121:$D$123,MATCH('STUDENT SCREENING'!BC32,'SCORING MASTER'!$C$121:$C$123,0)),""))</f>
        <v/>
      </c>
      <c r="BE32" s="57" t="str">
        <f aca="false">IF('STUDENT SCREENING'!BD32="","",IFERROR(INDEX('SCORING MASTER'!$D$125:$D$126,MATCH('STUDENT SCREENING'!BD32,'SCORING MASTER'!$C$125:$C$126,0)),""))</f>
        <v/>
      </c>
      <c r="BF32" s="57" t="str">
        <f aca="false">IF('STUDENT SCREENING'!BE32="","",IFERROR(INDEX('SCORING MASTER'!$D$128:$D$129,MATCH('STUDENT SCREENING'!BE32,'SCORING MASTER'!$C$128:$C$129,0)),""))</f>
        <v/>
      </c>
      <c r="BG32" s="57" t="str">
        <f aca="false">IF('STUDENT SCREENING'!BP32="","",IFERROR(MATCH('STUDENT SCREENING'!BP32,{"Red - High Risk","Orange - Moderate Risk","Yellow - Mild Risk","Light Green - Mild Watch","Green - Healthy"},0)-1,""))</f>
        <v/>
      </c>
      <c r="BH32" s="57" t="str">
        <f aca="false">IF('STUDENT SCREENING'!BQ32="","",IF('STUDENT SCREENING'!BQ32="Yes",1,0))</f>
        <v/>
      </c>
      <c r="BI32" s="57" t="str">
        <f aca="false">IF('STUDENT SCREENING'!BR32="","",IF('STUDENT SCREENING'!BR32="Yes",1,0))</f>
        <v/>
      </c>
    </row>
    <row r="33" customFormat="false" ht="15" hidden="false" customHeight="false" outlineLevel="0" collapsed="false">
      <c r="A33" s="58" t="str">
        <f aca="false">'STUDENT SCREENING'!A33</f>
        <v/>
      </c>
      <c r="B33" s="58" t="n">
        <f aca="false">'STUDENT SCREENING'!C33</f>
        <v>0</v>
      </c>
      <c r="C33" s="58" t="n">
        <f aca="false">'STUDENT SCREENING'!D33</f>
        <v>0</v>
      </c>
      <c r="D33" s="58" t="n">
        <f aca="false">'STUDENT SCREENING'!E33</f>
        <v>0</v>
      </c>
      <c r="E33" s="58" t="n">
        <f aca="false">'STUDENT SCREENING'!F33</f>
        <v>0</v>
      </c>
      <c r="F33" s="58" t="n">
        <f aca="false">'STUDENT SCREENING'!K33</f>
        <v>0</v>
      </c>
      <c r="G33" s="58" t="n">
        <f aca="false">'STUDENT SCREENING'!J33</f>
        <v>0</v>
      </c>
      <c r="H33" s="58" t="str">
        <f aca="false">IF('STUDENT SCREENING'!K33="","",IFERROR(MATCH('STUDENT SCREENING'!K33,Adm_Gender,0),""))</f>
        <v/>
      </c>
      <c r="I33" s="58" t="n">
        <f aca="false">'STUDENT SCREENING'!Q33</f>
        <v>0</v>
      </c>
      <c r="J33" s="58" t="n">
        <f aca="false">'STUDENT SCREENING'!R33</f>
        <v>0</v>
      </c>
      <c r="K33" s="58" t="str">
        <f aca="false">'STUDENT SCREENING'!S33</f>
        <v/>
      </c>
      <c r="L33" s="58" t="n">
        <f aca="false">'STUDENT SCREENING'!U33</f>
        <v>0</v>
      </c>
      <c r="M33" s="58" t="n">
        <f aca="false">'STUDENT SCREENING'!V33</f>
        <v>0</v>
      </c>
      <c r="N33" s="58" t="str">
        <f aca="false">'STUDENT SCREENING'!BF33</f>
        <v/>
      </c>
      <c r="O33" s="58" t="str">
        <f aca="false">'STUDENT SCREENING'!BG33</f>
        <v/>
      </c>
      <c r="P33" s="58" t="str">
        <f aca="false">'STUDENT SCREENING'!BH33</f>
        <v/>
      </c>
      <c r="Q33" s="58" t="str">
        <f aca="false">'STUDENT SCREENING'!BI33</f>
        <v/>
      </c>
      <c r="R33" s="58" t="str">
        <f aca="false">'STUDENT SCREENING'!BJ33</f>
        <v/>
      </c>
      <c r="S33" s="58" t="str">
        <f aca="false">'STUDENT SCREENING'!BK33</f>
        <v/>
      </c>
      <c r="T33" s="58" t="str">
        <f aca="false">'STUDENT SCREENING'!BL33</f>
        <v/>
      </c>
      <c r="U33" s="58" t="str">
        <f aca="false">'STUDENT SCREENING'!BM33</f>
        <v/>
      </c>
      <c r="V33" s="58" t="str">
        <f aca="false">'STUDENT SCREENING'!BN33</f>
        <v/>
      </c>
      <c r="W33" s="58" t="str">
        <f aca="false">'STUDENT SCREENING'!BO33</f>
        <v/>
      </c>
      <c r="X33" s="58" t="str">
        <f aca="false">IF('STUDENT SCREENING'!W33="","",IFERROR(INDEX('SCORING MASTER'!$D$5:$D$7,MATCH('STUDENT SCREENING'!W33,'SCORING MASTER'!$C$5:$C$7,0)),""))</f>
        <v/>
      </c>
      <c r="Y33" s="58" t="str">
        <f aca="false">IF('STUDENT SCREENING'!X33="","",IFERROR(INDEX('SCORING MASTER'!$D$9:$D$11,MATCH('STUDENT SCREENING'!X33,'SCORING MASTER'!$C$9:$C$11,0)),""))</f>
        <v/>
      </c>
      <c r="Z33" s="58" t="str">
        <f aca="false">IF('STUDENT SCREENING'!Y33="","",IFERROR(INDEX('SCORING MASTER'!$D$13:$D$15,MATCH('STUDENT SCREENING'!Y33,'SCORING MASTER'!$C$13:$C$15,0)),""))</f>
        <v/>
      </c>
      <c r="AA33" s="58" t="str">
        <f aca="false">IF('STUDENT SCREENING'!Z33="","",IFERROR(INDEX('SCORING MASTER'!$D$17:$D$19,MATCH('STUDENT SCREENING'!Z33,'SCORING MASTER'!$C$17:$C$19,0)),""))</f>
        <v/>
      </c>
      <c r="AB33" s="58" t="str">
        <f aca="false">IF('STUDENT SCREENING'!AA33="","",IFERROR(INDEX('SCORING MASTER'!$D$21:$D$23,MATCH('STUDENT SCREENING'!AA33,'SCORING MASTER'!$C$21:$C$23,0)),""))</f>
        <v/>
      </c>
      <c r="AC33" s="58" t="str">
        <f aca="false">IF('STUDENT SCREENING'!AB33="","",IFERROR(INDEX('SCORING MASTER'!$D$25:$D$27,MATCH('STUDENT SCREENING'!AB33,'SCORING MASTER'!$C$25:$C$27,0)),""))</f>
        <v/>
      </c>
      <c r="AD33" s="58" t="str">
        <f aca="false">IF('STUDENT SCREENING'!AC33="","",IFERROR(INDEX('SCORING MASTER'!$D$29:$D$31,MATCH('STUDENT SCREENING'!AC33,'SCORING MASTER'!$C$29:$C$31,0)),""))</f>
        <v/>
      </c>
      <c r="AE33" s="58" t="str">
        <f aca="false">IF('STUDENT SCREENING'!AD33="","",IFERROR(INDEX('SCORING MASTER'!$D$33:$D$35,MATCH('STUDENT SCREENING'!AD33,'SCORING MASTER'!$C$33:$C$35,0)),""))</f>
        <v/>
      </c>
      <c r="AF33" s="58" t="str">
        <f aca="false">IF('STUDENT SCREENING'!AE33="","",IFERROR(INDEX('SCORING MASTER'!$D$37:$D$39,MATCH('STUDENT SCREENING'!AE33,'SCORING MASTER'!$C$37:$C$39,0)),""))</f>
        <v/>
      </c>
      <c r="AG33" s="58" t="str">
        <f aca="false">IF('STUDENT SCREENING'!AF33="","",IFERROR(INDEX('SCORING MASTER'!$D$41:$D$43,MATCH('STUDENT SCREENING'!AF33,'SCORING MASTER'!$C$41:$C$43,0)),""))</f>
        <v/>
      </c>
      <c r="AH33" s="58" t="str">
        <f aca="false">IF('STUDENT SCREENING'!AG33="","",IFERROR(INDEX('SCORING MASTER'!$D$45:$D$47,MATCH('STUDENT SCREENING'!AG33,'SCORING MASTER'!$C$45:$C$47,0)),""))</f>
        <v/>
      </c>
      <c r="AI33" s="58" t="str">
        <f aca="false">IF('STUDENT SCREENING'!AH33="","",IFERROR(INDEX('SCORING MASTER'!$D$49:$D$52,MATCH('STUDENT SCREENING'!AH33,'SCORING MASTER'!$C$49:$C$52,0)),""))</f>
        <v/>
      </c>
      <c r="AJ33" s="58" t="str">
        <f aca="false">IF('STUDENT SCREENING'!AI33="","",IFERROR(INDEX('SCORING MASTER'!$D$54:$D$57,MATCH('STUDENT SCREENING'!AI33,'SCORING MASTER'!$C$54:$C$57,0)),""))</f>
        <v/>
      </c>
      <c r="AK33" s="58" t="str">
        <f aca="false">IF('STUDENT SCREENING'!AJ33="","",IFERROR(INDEX('SCORING MASTER'!$D$59:$D$60,MATCH('STUDENT SCREENING'!AJ33,'SCORING MASTER'!$C$59:$C$60,0)),""))</f>
        <v/>
      </c>
      <c r="AL33" s="58" t="str">
        <f aca="false">IF('STUDENT SCREENING'!AK33="","",IFERROR(INDEX('SCORING MASTER'!$D$62:$D$63,MATCH('STUDENT SCREENING'!AK33,'SCORING MASTER'!$C$62:$C$63,0)),""))</f>
        <v/>
      </c>
      <c r="AM33" s="58" t="str">
        <f aca="false">IF('STUDENT SCREENING'!AL33="","",IFERROR(INDEX('SCORING MASTER'!$D$65:$D$66,MATCH('STUDENT SCREENING'!AL33,'SCORING MASTER'!$C$65:$C$66,0)),""))</f>
        <v/>
      </c>
      <c r="AN33" s="58" t="str">
        <f aca="false">IF('STUDENT SCREENING'!AM33="","",IFERROR(INDEX('SCORING MASTER'!$D$68:$D$69,MATCH('STUDENT SCREENING'!AM33,'SCORING MASTER'!$C$68:$C$69,0)),""))</f>
        <v/>
      </c>
      <c r="AO33" s="58" t="str">
        <f aca="false">IF('STUDENT SCREENING'!AN33="","",IFERROR(INDEX('SCORING MASTER'!$D$71:$D$72,MATCH('STUDENT SCREENING'!AN33,'SCORING MASTER'!$C$71:$C$72,0)),""))</f>
        <v/>
      </c>
      <c r="AP33" s="58" t="str">
        <f aca="false">IF('STUDENT SCREENING'!AO33="","",IFERROR(INDEX('SCORING MASTER'!$D$74:$D$75,MATCH('STUDENT SCREENING'!AO33,'SCORING MASTER'!$C$74:$C$75,0)),""))</f>
        <v/>
      </c>
      <c r="AQ33" s="58" t="str">
        <f aca="false">IF('STUDENT SCREENING'!AP33="","",IFERROR(INDEX('SCORING MASTER'!$D$77:$D$78,MATCH('STUDENT SCREENING'!AP33,'SCORING MASTER'!$C$77:$C$78,0)),""))</f>
        <v/>
      </c>
      <c r="AR33" s="58" t="str">
        <f aca="false">IF('STUDENT SCREENING'!AQ33="","",IFERROR(INDEX('SCORING MASTER'!$D$80:$D$82,MATCH('STUDENT SCREENING'!AQ33,'SCORING MASTER'!$C$80:$C$82,0)),""))</f>
        <v/>
      </c>
      <c r="AS33" s="58" t="str">
        <f aca="false">IF('STUDENT SCREENING'!AR33="","",IFERROR(INDEX('SCORING MASTER'!$D$84:$D$86,MATCH('STUDENT SCREENING'!AR33,'SCORING MASTER'!$C$84:$C$86,0)),""))</f>
        <v/>
      </c>
      <c r="AT33" s="58" t="str">
        <f aca="false">IF('STUDENT SCREENING'!AS33="","",IFERROR(INDEX('SCORING MASTER'!$D$88:$D$90,MATCH('STUDENT SCREENING'!AS33,'SCORING MASTER'!$C$88:$C$90,0)),""))</f>
        <v/>
      </c>
      <c r="AU33" s="58" t="str">
        <f aca="false">IF('STUDENT SCREENING'!AT33="","",IFERROR(INDEX('SCORING MASTER'!$D$92:$D$93,MATCH('STUDENT SCREENING'!AT33,'SCORING MASTER'!$C$92:$C$93,0)),""))</f>
        <v/>
      </c>
      <c r="AV33" s="58" t="str">
        <f aca="false">IF('STUDENT SCREENING'!AU33="","",IFERROR(INDEX('SCORING MASTER'!$D$95:$D$96,MATCH('STUDENT SCREENING'!AU33,'SCORING MASTER'!$C$95:$C$96,0)),""))</f>
        <v/>
      </c>
      <c r="AW33" s="58" t="str">
        <f aca="false">IF('STUDENT SCREENING'!AV33="","",IFERROR(INDEX('SCORING MASTER'!$D$98:$D$99,MATCH('STUDENT SCREENING'!AV33,'SCORING MASTER'!$C$98:$C$99,0)),""))</f>
        <v/>
      </c>
      <c r="AX33" s="58" t="str">
        <f aca="false">IF('STUDENT SCREENING'!AW33="","",IFERROR(INDEX('SCORING MASTER'!$D$101:$D$102,MATCH('STUDENT SCREENING'!AW33,'SCORING MASTER'!$C$101:$C$102,0)),""))</f>
        <v/>
      </c>
      <c r="AY33" s="58" t="str">
        <f aca="false">IF('STUDENT SCREENING'!AX33="","",IFERROR(INDEX('SCORING MASTER'!$D$104:$D$105,MATCH('STUDENT SCREENING'!AX33,'SCORING MASTER'!$C$104:$C$105,0)),""))</f>
        <v/>
      </c>
      <c r="AZ33" s="58" t="str">
        <f aca="false">IF('STUDENT SCREENING'!AY33="","",IFERROR(INDEX('SCORING MASTER'!$D$107:$D$108,MATCH('STUDENT SCREENING'!AY33,'SCORING MASTER'!$C$107:$C$108,0)),""))</f>
        <v/>
      </c>
      <c r="BA33" s="58" t="str">
        <f aca="false">IF('STUDENT SCREENING'!AZ33="","",IFERROR(INDEX('SCORING MASTER'!$D$110:$D$111,MATCH('STUDENT SCREENING'!AZ33,'SCORING MASTER'!$C$110:$C$111,0)),""))</f>
        <v/>
      </c>
      <c r="BB33" s="58" t="str">
        <f aca="false">IF('STUDENT SCREENING'!BA33="","",IFERROR(INDEX('SCORING MASTER'!$D$113:$D$115,MATCH('STUDENT SCREENING'!BA33,'SCORING MASTER'!$C$113:$C$115,0)),""))</f>
        <v/>
      </c>
      <c r="BC33" s="58" t="str">
        <f aca="false">IF('STUDENT SCREENING'!BB33="","",IFERROR(INDEX('SCORING MASTER'!$D$117:$D$119,MATCH('STUDENT SCREENING'!BB33,'SCORING MASTER'!$C$117:$C$119,0)),""))</f>
        <v/>
      </c>
      <c r="BD33" s="58" t="str">
        <f aca="false">IF('STUDENT SCREENING'!BC33="","",IFERROR(INDEX('SCORING MASTER'!$D$121:$D$123,MATCH('STUDENT SCREENING'!BC33,'SCORING MASTER'!$C$121:$C$123,0)),""))</f>
        <v/>
      </c>
      <c r="BE33" s="58" t="str">
        <f aca="false">IF('STUDENT SCREENING'!BD33="","",IFERROR(INDEX('SCORING MASTER'!$D$125:$D$126,MATCH('STUDENT SCREENING'!BD33,'SCORING MASTER'!$C$125:$C$126,0)),""))</f>
        <v/>
      </c>
      <c r="BF33" s="58" t="str">
        <f aca="false">IF('STUDENT SCREENING'!BE33="","",IFERROR(INDEX('SCORING MASTER'!$D$128:$D$129,MATCH('STUDENT SCREENING'!BE33,'SCORING MASTER'!$C$128:$C$129,0)),""))</f>
        <v/>
      </c>
      <c r="BG33" s="58" t="str">
        <f aca="false">IF('STUDENT SCREENING'!BP33="","",IFERROR(MATCH('STUDENT SCREENING'!BP33,{"Red - High Risk","Orange - Moderate Risk","Yellow - Mild Risk","Light Green - Mild Watch","Green - Healthy"},0)-1,""))</f>
        <v/>
      </c>
      <c r="BH33" s="58" t="str">
        <f aca="false">IF('STUDENT SCREENING'!BQ33="","",IF('STUDENT SCREENING'!BQ33="Yes",1,0))</f>
        <v/>
      </c>
      <c r="BI33" s="58" t="str">
        <f aca="false">IF('STUDENT SCREENING'!BR33="","",IF('STUDENT SCREENING'!BR33="Yes",1,0))</f>
        <v/>
      </c>
    </row>
    <row r="34" customFormat="false" ht="15" hidden="false" customHeight="false" outlineLevel="0" collapsed="false">
      <c r="A34" s="57" t="str">
        <f aca="false">'STUDENT SCREENING'!A34</f>
        <v/>
      </c>
      <c r="B34" s="57" t="n">
        <f aca="false">'STUDENT SCREENING'!C34</f>
        <v>0</v>
      </c>
      <c r="C34" s="57" t="n">
        <f aca="false">'STUDENT SCREENING'!D34</f>
        <v>0</v>
      </c>
      <c r="D34" s="57" t="n">
        <f aca="false">'STUDENT SCREENING'!E34</f>
        <v>0</v>
      </c>
      <c r="E34" s="57" t="n">
        <f aca="false">'STUDENT SCREENING'!F34</f>
        <v>0</v>
      </c>
      <c r="F34" s="57" t="n">
        <f aca="false">'STUDENT SCREENING'!K34</f>
        <v>0</v>
      </c>
      <c r="G34" s="57" t="n">
        <f aca="false">'STUDENT SCREENING'!J34</f>
        <v>0</v>
      </c>
      <c r="H34" s="57" t="str">
        <f aca="false">IF('STUDENT SCREENING'!K34="","",IFERROR(MATCH('STUDENT SCREENING'!K34,Adm_Gender,0),""))</f>
        <v/>
      </c>
      <c r="I34" s="57" t="n">
        <f aca="false">'STUDENT SCREENING'!Q34</f>
        <v>0</v>
      </c>
      <c r="J34" s="57" t="n">
        <f aca="false">'STUDENT SCREENING'!R34</f>
        <v>0</v>
      </c>
      <c r="K34" s="57" t="str">
        <f aca="false">'STUDENT SCREENING'!S34</f>
        <v/>
      </c>
      <c r="L34" s="57" t="n">
        <f aca="false">'STUDENT SCREENING'!U34</f>
        <v>0</v>
      </c>
      <c r="M34" s="57" t="n">
        <f aca="false">'STUDENT SCREENING'!V34</f>
        <v>0</v>
      </c>
      <c r="N34" s="57" t="str">
        <f aca="false">'STUDENT SCREENING'!BF34</f>
        <v/>
      </c>
      <c r="O34" s="57" t="str">
        <f aca="false">'STUDENT SCREENING'!BG34</f>
        <v/>
      </c>
      <c r="P34" s="57" t="str">
        <f aca="false">'STUDENT SCREENING'!BH34</f>
        <v/>
      </c>
      <c r="Q34" s="57" t="str">
        <f aca="false">'STUDENT SCREENING'!BI34</f>
        <v/>
      </c>
      <c r="R34" s="57" t="str">
        <f aca="false">'STUDENT SCREENING'!BJ34</f>
        <v/>
      </c>
      <c r="S34" s="57" t="str">
        <f aca="false">'STUDENT SCREENING'!BK34</f>
        <v/>
      </c>
      <c r="T34" s="57" t="str">
        <f aca="false">'STUDENT SCREENING'!BL34</f>
        <v/>
      </c>
      <c r="U34" s="57" t="str">
        <f aca="false">'STUDENT SCREENING'!BM34</f>
        <v/>
      </c>
      <c r="V34" s="57" t="str">
        <f aca="false">'STUDENT SCREENING'!BN34</f>
        <v/>
      </c>
      <c r="W34" s="57" t="str">
        <f aca="false">'STUDENT SCREENING'!BO34</f>
        <v/>
      </c>
      <c r="X34" s="57" t="str">
        <f aca="false">IF('STUDENT SCREENING'!W34="","",IFERROR(INDEX('SCORING MASTER'!$D$5:$D$7,MATCH('STUDENT SCREENING'!W34,'SCORING MASTER'!$C$5:$C$7,0)),""))</f>
        <v/>
      </c>
      <c r="Y34" s="57" t="str">
        <f aca="false">IF('STUDENT SCREENING'!X34="","",IFERROR(INDEX('SCORING MASTER'!$D$9:$D$11,MATCH('STUDENT SCREENING'!X34,'SCORING MASTER'!$C$9:$C$11,0)),""))</f>
        <v/>
      </c>
      <c r="Z34" s="57" t="str">
        <f aca="false">IF('STUDENT SCREENING'!Y34="","",IFERROR(INDEX('SCORING MASTER'!$D$13:$D$15,MATCH('STUDENT SCREENING'!Y34,'SCORING MASTER'!$C$13:$C$15,0)),""))</f>
        <v/>
      </c>
      <c r="AA34" s="57" t="str">
        <f aca="false">IF('STUDENT SCREENING'!Z34="","",IFERROR(INDEX('SCORING MASTER'!$D$17:$D$19,MATCH('STUDENT SCREENING'!Z34,'SCORING MASTER'!$C$17:$C$19,0)),""))</f>
        <v/>
      </c>
      <c r="AB34" s="57" t="str">
        <f aca="false">IF('STUDENT SCREENING'!AA34="","",IFERROR(INDEX('SCORING MASTER'!$D$21:$D$23,MATCH('STUDENT SCREENING'!AA34,'SCORING MASTER'!$C$21:$C$23,0)),""))</f>
        <v/>
      </c>
      <c r="AC34" s="57" t="str">
        <f aca="false">IF('STUDENT SCREENING'!AB34="","",IFERROR(INDEX('SCORING MASTER'!$D$25:$D$27,MATCH('STUDENT SCREENING'!AB34,'SCORING MASTER'!$C$25:$C$27,0)),""))</f>
        <v/>
      </c>
      <c r="AD34" s="57" t="str">
        <f aca="false">IF('STUDENT SCREENING'!AC34="","",IFERROR(INDEX('SCORING MASTER'!$D$29:$D$31,MATCH('STUDENT SCREENING'!AC34,'SCORING MASTER'!$C$29:$C$31,0)),""))</f>
        <v/>
      </c>
      <c r="AE34" s="57" t="str">
        <f aca="false">IF('STUDENT SCREENING'!AD34="","",IFERROR(INDEX('SCORING MASTER'!$D$33:$D$35,MATCH('STUDENT SCREENING'!AD34,'SCORING MASTER'!$C$33:$C$35,0)),""))</f>
        <v/>
      </c>
      <c r="AF34" s="57" t="str">
        <f aca="false">IF('STUDENT SCREENING'!AE34="","",IFERROR(INDEX('SCORING MASTER'!$D$37:$D$39,MATCH('STUDENT SCREENING'!AE34,'SCORING MASTER'!$C$37:$C$39,0)),""))</f>
        <v/>
      </c>
      <c r="AG34" s="57" t="str">
        <f aca="false">IF('STUDENT SCREENING'!AF34="","",IFERROR(INDEX('SCORING MASTER'!$D$41:$D$43,MATCH('STUDENT SCREENING'!AF34,'SCORING MASTER'!$C$41:$C$43,0)),""))</f>
        <v/>
      </c>
      <c r="AH34" s="57" t="str">
        <f aca="false">IF('STUDENT SCREENING'!AG34="","",IFERROR(INDEX('SCORING MASTER'!$D$45:$D$47,MATCH('STUDENT SCREENING'!AG34,'SCORING MASTER'!$C$45:$C$47,0)),""))</f>
        <v/>
      </c>
      <c r="AI34" s="57" t="str">
        <f aca="false">IF('STUDENT SCREENING'!AH34="","",IFERROR(INDEX('SCORING MASTER'!$D$49:$D$52,MATCH('STUDENT SCREENING'!AH34,'SCORING MASTER'!$C$49:$C$52,0)),""))</f>
        <v/>
      </c>
      <c r="AJ34" s="57" t="str">
        <f aca="false">IF('STUDENT SCREENING'!AI34="","",IFERROR(INDEX('SCORING MASTER'!$D$54:$D$57,MATCH('STUDENT SCREENING'!AI34,'SCORING MASTER'!$C$54:$C$57,0)),""))</f>
        <v/>
      </c>
      <c r="AK34" s="57" t="str">
        <f aca="false">IF('STUDENT SCREENING'!AJ34="","",IFERROR(INDEX('SCORING MASTER'!$D$59:$D$60,MATCH('STUDENT SCREENING'!AJ34,'SCORING MASTER'!$C$59:$C$60,0)),""))</f>
        <v/>
      </c>
      <c r="AL34" s="57" t="str">
        <f aca="false">IF('STUDENT SCREENING'!AK34="","",IFERROR(INDEX('SCORING MASTER'!$D$62:$D$63,MATCH('STUDENT SCREENING'!AK34,'SCORING MASTER'!$C$62:$C$63,0)),""))</f>
        <v/>
      </c>
      <c r="AM34" s="57" t="str">
        <f aca="false">IF('STUDENT SCREENING'!AL34="","",IFERROR(INDEX('SCORING MASTER'!$D$65:$D$66,MATCH('STUDENT SCREENING'!AL34,'SCORING MASTER'!$C$65:$C$66,0)),""))</f>
        <v/>
      </c>
      <c r="AN34" s="57" t="str">
        <f aca="false">IF('STUDENT SCREENING'!AM34="","",IFERROR(INDEX('SCORING MASTER'!$D$68:$D$69,MATCH('STUDENT SCREENING'!AM34,'SCORING MASTER'!$C$68:$C$69,0)),""))</f>
        <v/>
      </c>
      <c r="AO34" s="57" t="str">
        <f aca="false">IF('STUDENT SCREENING'!AN34="","",IFERROR(INDEX('SCORING MASTER'!$D$71:$D$72,MATCH('STUDENT SCREENING'!AN34,'SCORING MASTER'!$C$71:$C$72,0)),""))</f>
        <v/>
      </c>
      <c r="AP34" s="57" t="str">
        <f aca="false">IF('STUDENT SCREENING'!AO34="","",IFERROR(INDEX('SCORING MASTER'!$D$74:$D$75,MATCH('STUDENT SCREENING'!AO34,'SCORING MASTER'!$C$74:$C$75,0)),""))</f>
        <v/>
      </c>
      <c r="AQ34" s="57" t="str">
        <f aca="false">IF('STUDENT SCREENING'!AP34="","",IFERROR(INDEX('SCORING MASTER'!$D$77:$D$78,MATCH('STUDENT SCREENING'!AP34,'SCORING MASTER'!$C$77:$C$78,0)),""))</f>
        <v/>
      </c>
      <c r="AR34" s="57" t="str">
        <f aca="false">IF('STUDENT SCREENING'!AQ34="","",IFERROR(INDEX('SCORING MASTER'!$D$80:$D$82,MATCH('STUDENT SCREENING'!AQ34,'SCORING MASTER'!$C$80:$C$82,0)),""))</f>
        <v/>
      </c>
      <c r="AS34" s="57" t="str">
        <f aca="false">IF('STUDENT SCREENING'!AR34="","",IFERROR(INDEX('SCORING MASTER'!$D$84:$D$86,MATCH('STUDENT SCREENING'!AR34,'SCORING MASTER'!$C$84:$C$86,0)),""))</f>
        <v/>
      </c>
      <c r="AT34" s="57" t="str">
        <f aca="false">IF('STUDENT SCREENING'!AS34="","",IFERROR(INDEX('SCORING MASTER'!$D$88:$D$90,MATCH('STUDENT SCREENING'!AS34,'SCORING MASTER'!$C$88:$C$90,0)),""))</f>
        <v/>
      </c>
      <c r="AU34" s="57" t="str">
        <f aca="false">IF('STUDENT SCREENING'!AT34="","",IFERROR(INDEX('SCORING MASTER'!$D$92:$D$93,MATCH('STUDENT SCREENING'!AT34,'SCORING MASTER'!$C$92:$C$93,0)),""))</f>
        <v/>
      </c>
      <c r="AV34" s="57" t="str">
        <f aca="false">IF('STUDENT SCREENING'!AU34="","",IFERROR(INDEX('SCORING MASTER'!$D$95:$D$96,MATCH('STUDENT SCREENING'!AU34,'SCORING MASTER'!$C$95:$C$96,0)),""))</f>
        <v/>
      </c>
      <c r="AW34" s="57" t="str">
        <f aca="false">IF('STUDENT SCREENING'!AV34="","",IFERROR(INDEX('SCORING MASTER'!$D$98:$D$99,MATCH('STUDENT SCREENING'!AV34,'SCORING MASTER'!$C$98:$C$99,0)),""))</f>
        <v/>
      </c>
      <c r="AX34" s="57" t="str">
        <f aca="false">IF('STUDENT SCREENING'!AW34="","",IFERROR(INDEX('SCORING MASTER'!$D$101:$D$102,MATCH('STUDENT SCREENING'!AW34,'SCORING MASTER'!$C$101:$C$102,0)),""))</f>
        <v/>
      </c>
      <c r="AY34" s="57" t="str">
        <f aca="false">IF('STUDENT SCREENING'!AX34="","",IFERROR(INDEX('SCORING MASTER'!$D$104:$D$105,MATCH('STUDENT SCREENING'!AX34,'SCORING MASTER'!$C$104:$C$105,0)),""))</f>
        <v/>
      </c>
      <c r="AZ34" s="57" t="str">
        <f aca="false">IF('STUDENT SCREENING'!AY34="","",IFERROR(INDEX('SCORING MASTER'!$D$107:$D$108,MATCH('STUDENT SCREENING'!AY34,'SCORING MASTER'!$C$107:$C$108,0)),""))</f>
        <v/>
      </c>
      <c r="BA34" s="57" t="str">
        <f aca="false">IF('STUDENT SCREENING'!AZ34="","",IFERROR(INDEX('SCORING MASTER'!$D$110:$D$111,MATCH('STUDENT SCREENING'!AZ34,'SCORING MASTER'!$C$110:$C$111,0)),""))</f>
        <v/>
      </c>
      <c r="BB34" s="57" t="str">
        <f aca="false">IF('STUDENT SCREENING'!BA34="","",IFERROR(INDEX('SCORING MASTER'!$D$113:$D$115,MATCH('STUDENT SCREENING'!BA34,'SCORING MASTER'!$C$113:$C$115,0)),""))</f>
        <v/>
      </c>
      <c r="BC34" s="57" t="str">
        <f aca="false">IF('STUDENT SCREENING'!BB34="","",IFERROR(INDEX('SCORING MASTER'!$D$117:$D$119,MATCH('STUDENT SCREENING'!BB34,'SCORING MASTER'!$C$117:$C$119,0)),""))</f>
        <v/>
      </c>
      <c r="BD34" s="57" t="str">
        <f aca="false">IF('STUDENT SCREENING'!BC34="","",IFERROR(INDEX('SCORING MASTER'!$D$121:$D$123,MATCH('STUDENT SCREENING'!BC34,'SCORING MASTER'!$C$121:$C$123,0)),""))</f>
        <v/>
      </c>
      <c r="BE34" s="57" t="str">
        <f aca="false">IF('STUDENT SCREENING'!BD34="","",IFERROR(INDEX('SCORING MASTER'!$D$125:$D$126,MATCH('STUDENT SCREENING'!BD34,'SCORING MASTER'!$C$125:$C$126,0)),""))</f>
        <v/>
      </c>
      <c r="BF34" s="57" t="str">
        <f aca="false">IF('STUDENT SCREENING'!BE34="","",IFERROR(INDEX('SCORING MASTER'!$D$128:$D$129,MATCH('STUDENT SCREENING'!BE34,'SCORING MASTER'!$C$128:$C$129,0)),""))</f>
        <v/>
      </c>
      <c r="BG34" s="57" t="str">
        <f aca="false">IF('STUDENT SCREENING'!BP34="","",IFERROR(MATCH('STUDENT SCREENING'!BP34,{"Red - High Risk","Orange - Moderate Risk","Yellow - Mild Risk","Light Green - Mild Watch","Green - Healthy"},0)-1,""))</f>
        <v/>
      </c>
      <c r="BH34" s="57" t="str">
        <f aca="false">IF('STUDENT SCREENING'!BQ34="","",IF('STUDENT SCREENING'!BQ34="Yes",1,0))</f>
        <v/>
      </c>
      <c r="BI34" s="57" t="str">
        <f aca="false">IF('STUDENT SCREENING'!BR34="","",IF('STUDENT SCREENING'!BR34="Yes",1,0))</f>
        <v/>
      </c>
    </row>
    <row r="35" customFormat="false" ht="15" hidden="false" customHeight="false" outlineLevel="0" collapsed="false">
      <c r="A35" s="58" t="str">
        <f aca="false">'STUDENT SCREENING'!A35</f>
        <v/>
      </c>
      <c r="B35" s="58" t="n">
        <f aca="false">'STUDENT SCREENING'!C35</f>
        <v>0</v>
      </c>
      <c r="C35" s="58" t="n">
        <f aca="false">'STUDENT SCREENING'!D35</f>
        <v>0</v>
      </c>
      <c r="D35" s="58" t="n">
        <f aca="false">'STUDENT SCREENING'!E35</f>
        <v>0</v>
      </c>
      <c r="E35" s="58" t="n">
        <f aca="false">'STUDENT SCREENING'!F35</f>
        <v>0</v>
      </c>
      <c r="F35" s="58" t="n">
        <f aca="false">'STUDENT SCREENING'!K35</f>
        <v>0</v>
      </c>
      <c r="G35" s="58" t="n">
        <f aca="false">'STUDENT SCREENING'!J35</f>
        <v>0</v>
      </c>
      <c r="H35" s="58" t="str">
        <f aca="false">IF('STUDENT SCREENING'!K35="","",IFERROR(MATCH('STUDENT SCREENING'!K35,Adm_Gender,0),""))</f>
        <v/>
      </c>
      <c r="I35" s="58" t="n">
        <f aca="false">'STUDENT SCREENING'!Q35</f>
        <v>0</v>
      </c>
      <c r="J35" s="58" t="n">
        <f aca="false">'STUDENT SCREENING'!R35</f>
        <v>0</v>
      </c>
      <c r="K35" s="58" t="str">
        <f aca="false">'STUDENT SCREENING'!S35</f>
        <v/>
      </c>
      <c r="L35" s="58" t="n">
        <f aca="false">'STUDENT SCREENING'!U35</f>
        <v>0</v>
      </c>
      <c r="M35" s="58" t="n">
        <f aca="false">'STUDENT SCREENING'!V35</f>
        <v>0</v>
      </c>
      <c r="N35" s="58" t="str">
        <f aca="false">'STUDENT SCREENING'!BF35</f>
        <v/>
      </c>
      <c r="O35" s="58" t="str">
        <f aca="false">'STUDENT SCREENING'!BG35</f>
        <v/>
      </c>
      <c r="P35" s="58" t="str">
        <f aca="false">'STUDENT SCREENING'!BH35</f>
        <v/>
      </c>
      <c r="Q35" s="58" t="str">
        <f aca="false">'STUDENT SCREENING'!BI35</f>
        <v/>
      </c>
      <c r="R35" s="58" t="str">
        <f aca="false">'STUDENT SCREENING'!BJ35</f>
        <v/>
      </c>
      <c r="S35" s="58" t="str">
        <f aca="false">'STUDENT SCREENING'!BK35</f>
        <v/>
      </c>
      <c r="T35" s="58" t="str">
        <f aca="false">'STUDENT SCREENING'!BL35</f>
        <v/>
      </c>
      <c r="U35" s="58" t="str">
        <f aca="false">'STUDENT SCREENING'!BM35</f>
        <v/>
      </c>
      <c r="V35" s="58" t="str">
        <f aca="false">'STUDENT SCREENING'!BN35</f>
        <v/>
      </c>
      <c r="W35" s="58" t="str">
        <f aca="false">'STUDENT SCREENING'!BO35</f>
        <v/>
      </c>
      <c r="X35" s="58" t="str">
        <f aca="false">IF('STUDENT SCREENING'!W35="","",IFERROR(INDEX('SCORING MASTER'!$D$5:$D$7,MATCH('STUDENT SCREENING'!W35,'SCORING MASTER'!$C$5:$C$7,0)),""))</f>
        <v/>
      </c>
      <c r="Y35" s="58" t="str">
        <f aca="false">IF('STUDENT SCREENING'!X35="","",IFERROR(INDEX('SCORING MASTER'!$D$9:$D$11,MATCH('STUDENT SCREENING'!X35,'SCORING MASTER'!$C$9:$C$11,0)),""))</f>
        <v/>
      </c>
      <c r="Z35" s="58" t="str">
        <f aca="false">IF('STUDENT SCREENING'!Y35="","",IFERROR(INDEX('SCORING MASTER'!$D$13:$D$15,MATCH('STUDENT SCREENING'!Y35,'SCORING MASTER'!$C$13:$C$15,0)),""))</f>
        <v/>
      </c>
      <c r="AA35" s="58" t="str">
        <f aca="false">IF('STUDENT SCREENING'!Z35="","",IFERROR(INDEX('SCORING MASTER'!$D$17:$D$19,MATCH('STUDENT SCREENING'!Z35,'SCORING MASTER'!$C$17:$C$19,0)),""))</f>
        <v/>
      </c>
      <c r="AB35" s="58" t="str">
        <f aca="false">IF('STUDENT SCREENING'!AA35="","",IFERROR(INDEX('SCORING MASTER'!$D$21:$D$23,MATCH('STUDENT SCREENING'!AA35,'SCORING MASTER'!$C$21:$C$23,0)),""))</f>
        <v/>
      </c>
      <c r="AC35" s="58" t="str">
        <f aca="false">IF('STUDENT SCREENING'!AB35="","",IFERROR(INDEX('SCORING MASTER'!$D$25:$D$27,MATCH('STUDENT SCREENING'!AB35,'SCORING MASTER'!$C$25:$C$27,0)),""))</f>
        <v/>
      </c>
      <c r="AD35" s="58" t="str">
        <f aca="false">IF('STUDENT SCREENING'!AC35="","",IFERROR(INDEX('SCORING MASTER'!$D$29:$D$31,MATCH('STUDENT SCREENING'!AC35,'SCORING MASTER'!$C$29:$C$31,0)),""))</f>
        <v/>
      </c>
      <c r="AE35" s="58" t="str">
        <f aca="false">IF('STUDENT SCREENING'!AD35="","",IFERROR(INDEX('SCORING MASTER'!$D$33:$D$35,MATCH('STUDENT SCREENING'!AD35,'SCORING MASTER'!$C$33:$C$35,0)),""))</f>
        <v/>
      </c>
      <c r="AF35" s="58" t="str">
        <f aca="false">IF('STUDENT SCREENING'!AE35="","",IFERROR(INDEX('SCORING MASTER'!$D$37:$D$39,MATCH('STUDENT SCREENING'!AE35,'SCORING MASTER'!$C$37:$C$39,0)),""))</f>
        <v/>
      </c>
      <c r="AG35" s="58" t="str">
        <f aca="false">IF('STUDENT SCREENING'!AF35="","",IFERROR(INDEX('SCORING MASTER'!$D$41:$D$43,MATCH('STUDENT SCREENING'!AF35,'SCORING MASTER'!$C$41:$C$43,0)),""))</f>
        <v/>
      </c>
      <c r="AH35" s="58" t="str">
        <f aca="false">IF('STUDENT SCREENING'!AG35="","",IFERROR(INDEX('SCORING MASTER'!$D$45:$D$47,MATCH('STUDENT SCREENING'!AG35,'SCORING MASTER'!$C$45:$C$47,0)),""))</f>
        <v/>
      </c>
      <c r="AI35" s="58" t="str">
        <f aca="false">IF('STUDENT SCREENING'!AH35="","",IFERROR(INDEX('SCORING MASTER'!$D$49:$D$52,MATCH('STUDENT SCREENING'!AH35,'SCORING MASTER'!$C$49:$C$52,0)),""))</f>
        <v/>
      </c>
      <c r="AJ35" s="58" t="str">
        <f aca="false">IF('STUDENT SCREENING'!AI35="","",IFERROR(INDEX('SCORING MASTER'!$D$54:$D$57,MATCH('STUDENT SCREENING'!AI35,'SCORING MASTER'!$C$54:$C$57,0)),""))</f>
        <v/>
      </c>
      <c r="AK35" s="58" t="str">
        <f aca="false">IF('STUDENT SCREENING'!AJ35="","",IFERROR(INDEX('SCORING MASTER'!$D$59:$D$60,MATCH('STUDENT SCREENING'!AJ35,'SCORING MASTER'!$C$59:$C$60,0)),""))</f>
        <v/>
      </c>
      <c r="AL35" s="58" t="str">
        <f aca="false">IF('STUDENT SCREENING'!AK35="","",IFERROR(INDEX('SCORING MASTER'!$D$62:$D$63,MATCH('STUDENT SCREENING'!AK35,'SCORING MASTER'!$C$62:$C$63,0)),""))</f>
        <v/>
      </c>
      <c r="AM35" s="58" t="str">
        <f aca="false">IF('STUDENT SCREENING'!AL35="","",IFERROR(INDEX('SCORING MASTER'!$D$65:$D$66,MATCH('STUDENT SCREENING'!AL35,'SCORING MASTER'!$C$65:$C$66,0)),""))</f>
        <v/>
      </c>
      <c r="AN35" s="58" t="str">
        <f aca="false">IF('STUDENT SCREENING'!AM35="","",IFERROR(INDEX('SCORING MASTER'!$D$68:$D$69,MATCH('STUDENT SCREENING'!AM35,'SCORING MASTER'!$C$68:$C$69,0)),""))</f>
        <v/>
      </c>
      <c r="AO35" s="58" t="str">
        <f aca="false">IF('STUDENT SCREENING'!AN35="","",IFERROR(INDEX('SCORING MASTER'!$D$71:$D$72,MATCH('STUDENT SCREENING'!AN35,'SCORING MASTER'!$C$71:$C$72,0)),""))</f>
        <v/>
      </c>
      <c r="AP35" s="58" t="str">
        <f aca="false">IF('STUDENT SCREENING'!AO35="","",IFERROR(INDEX('SCORING MASTER'!$D$74:$D$75,MATCH('STUDENT SCREENING'!AO35,'SCORING MASTER'!$C$74:$C$75,0)),""))</f>
        <v/>
      </c>
      <c r="AQ35" s="58" t="str">
        <f aca="false">IF('STUDENT SCREENING'!AP35="","",IFERROR(INDEX('SCORING MASTER'!$D$77:$D$78,MATCH('STUDENT SCREENING'!AP35,'SCORING MASTER'!$C$77:$C$78,0)),""))</f>
        <v/>
      </c>
      <c r="AR35" s="58" t="str">
        <f aca="false">IF('STUDENT SCREENING'!AQ35="","",IFERROR(INDEX('SCORING MASTER'!$D$80:$D$82,MATCH('STUDENT SCREENING'!AQ35,'SCORING MASTER'!$C$80:$C$82,0)),""))</f>
        <v/>
      </c>
      <c r="AS35" s="58" t="str">
        <f aca="false">IF('STUDENT SCREENING'!AR35="","",IFERROR(INDEX('SCORING MASTER'!$D$84:$D$86,MATCH('STUDENT SCREENING'!AR35,'SCORING MASTER'!$C$84:$C$86,0)),""))</f>
        <v/>
      </c>
      <c r="AT35" s="58" t="str">
        <f aca="false">IF('STUDENT SCREENING'!AS35="","",IFERROR(INDEX('SCORING MASTER'!$D$88:$D$90,MATCH('STUDENT SCREENING'!AS35,'SCORING MASTER'!$C$88:$C$90,0)),""))</f>
        <v/>
      </c>
      <c r="AU35" s="58" t="str">
        <f aca="false">IF('STUDENT SCREENING'!AT35="","",IFERROR(INDEX('SCORING MASTER'!$D$92:$D$93,MATCH('STUDENT SCREENING'!AT35,'SCORING MASTER'!$C$92:$C$93,0)),""))</f>
        <v/>
      </c>
      <c r="AV35" s="58" t="str">
        <f aca="false">IF('STUDENT SCREENING'!AU35="","",IFERROR(INDEX('SCORING MASTER'!$D$95:$D$96,MATCH('STUDENT SCREENING'!AU35,'SCORING MASTER'!$C$95:$C$96,0)),""))</f>
        <v/>
      </c>
      <c r="AW35" s="58" t="str">
        <f aca="false">IF('STUDENT SCREENING'!AV35="","",IFERROR(INDEX('SCORING MASTER'!$D$98:$D$99,MATCH('STUDENT SCREENING'!AV35,'SCORING MASTER'!$C$98:$C$99,0)),""))</f>
        <v/>
      </c>
      <c r="AX35" s="58" t="str">
        <f aca="false">IF('STUDENT SCREENING'!AW35="","",IFERROR(INDEX('SCORING MASTER'!$D$101:$D$102,MATCH('STUDENT SCREENING'!AW35,'SCORING MASTER'!$C$101:$C$102,0)),""))</f>
        <v/>
      </c>
      <c r="AY35" s="58" t="str">
        <f aca="false">IF('STUDENT SCREENING'!AX35="","",IFERROR(INDEX('SCORING MASTER'!$D$104:$D$105,MATCH('STUDENT SCREENING'!AX35,'SCORING MASTER'!$C$104:$C$105,0)),""))</f>
        <v/>
      </c>
      <c r="AZ35" s="58" t="str">
        <f aca="false">IF('STUDENT SCREENING'!AY35="","",IFERROR(INDEX('SCORING MASTER'!$D$107:$D$108,MATCH('STUDENT SCREENING'!AY35,'SCORING MASTER'!$C$107:$C$108,0)),""))</f>
        <v/>
      </c>
      <c r="BA35" s="58" t="str">
        <f aca="false">IF('STUDENT SCREENING'!AZ35="","",IFERROR(INDEX('SCORING MASTER'!$D$110:$D$111,MATCH('STUDENT SCREENING'!AZ35,'SCORING MASTER'!$C$110:$C$111,0)),""))</f>
        <v/>
      </c>
      <c r="BB35" s="58" t="str">
        <f aca="false">IF('STUDENT SCREENING'!BA35="","",IFERROR(INDEX('SCORING MASTER'!$D$113:$D$115,MATCH('STUDENT SCREENING'!BA35,'SCORING MASTER'!$C$113:$C$115,0)),""))</f>
        <v/>
      </c>
      <c r="BC35" s="58" t="str">
        <f aca="false">IF('STUDENT SCREENING'!BB35="","",IFERROR(INDEX('SCORING MASTER'!$D$117:$D$119,MATCH('STUDENT SCREENING'!BB35,'SCORING MASTER'!$C$117:$C$119,0)),""))</f>
        <v/>
      </c>
      <c r="BD35" s="58" t="str">
        <f aca="false">IF('STUDENT SCREENING'!BC35="","",IFERROR(INDEX('SCORING MASTER'!$D$121:$D$123,MATCH('STUDENT SCREENING'!BC35,'SCORING MASTER'!$C$121:$C$123,0)),""))</f>
        <v/>
      </c>
      <c r="BE35" s="58" t="str">
        <f aca="false">IF('STUDENT SCREENING'!BD35="","",IFERROR(INDEX('SCORING MASTER'!$D$125:$D$126,MATCH('STUDENT SCREENING'!BD35,'SCORING MASTER'!$C$125:$C$126,0)),""))</f>
        <v/>
      </c>
      <c r="BF35" s="58" t="str">
        <f aca="false">IF('STUDENT SCREENING'!BE35="","",IFERROR(INDEX('SCORING MASTER'!$D$128:$D$129,MATCH('STUDENT SCREENING'!BE35,'SCORING MASTER'!$C$128:$C$129,0)),""))</f>
        <v/>
      </c>
      <c r="BG35" s="58" t="str">
        <f aca="false">IF('STUDENT SCREENING'!BP35="","",IFERROR(MATCH('STUDENT SCREENING'!BP35,{"Red - High Risk","Orange - Moderate Risk","Yellow - Mild Risk","Light Green - Mild Watch","Green - Healthy"},0)-1,""))</f>
        <v/>
      </c>
      <c r="BH35" s="58" t="str">
        <f aca="false">IF('STUDENT SCREENING'!BQ35="","",IF('STUDENT SCREENING'!BQ35="Yes",1,0))</f>
        <v/>
      </c>
      <c r="BI35" s="58" t="str">
        <f aca="false">IF('STUDENT SCREENING'!BR35="","",IF('STUDENT SCREENING'!BR35="Yes",1,0))</f>
        <v/>
      </c>
    </row>
    <row r="36" customFormat="false" ht="15" hidden="false" customHeight="false" outlineLevel="0" collapsed="false">
      <c r="A36" s="57" t="str">
        <f aca="false">'STUDENT SCREENING'!A36</f>
        <v/>
      </c>
      <c r="B36" s="57" t="n">
        <f aca="false">'STUDENT SCREENING'!C36</f>
        <v>0</v>
      </c>
      <c r="C36" s="57" t="n">
        <f aca="false">'STUDENT SCREENING'!D36</f>
        <v>0</v>
      </c>
      <c r="D36" s="57" t="n">
        <f aca="false">'STUDENT SCREENING'!E36</f>
        <v>0</v>
      </c>
      <c r="E36" s="57" t="n">
        <f aca="false">'STUDENT SCREENING'!F36</f>
        <v>0</v>
      </c>
      <c r="F36" s="57" t="n">
        <f aca="false">'STUDENT SCREENING'!K36</f>
        <v>0</v>
      </c>
      <c r="G36" s="57" t="n">
        <f aca="false">'STUDENT SCREENING'!J36</f>
        <v>0</v>
      </c>
      <c r="H36" s="57" t="str">
        <f aca="false">IF('STUDENT SCREENING'!K36="","",IFERROR(MATCH('STUDENT SCREENING'!K36,Adm_Gender,0),""))</f>
        <v/>
      </c>
      <c r="I36" s="57" t="n">
        <f aca="false">'STUDENT SCREENING'!Q36</f>
        <v>0</v>
      </c>
      <c r="J36" s="57" t="n">
        <f aca="false">'STUDENT SCREENING'!R36</f>
        <v>0</v>
      </c>
      <c r="K36" s="57" t="str">
        <f aca="false">'STUDENT SCREENING'!S36</f>
        <v/>
      </c>
      <c r="L36" s="57" t="n">
        <f aca="false">'STUDENT SCREENING'!U36</f>
        <v>0</v>
      </c>
      <c r="M36" s="57" t="n">
        <f aca="false">'STUDENT SCREENING'!V36</f>
        <v>0</v>
      </c>
      <c r="N36" s="57" t="str">
        <f aca="false">'STUDENT SCREENING'!BF36</f>
        <v/>
      </c>
      <c r="O36" s="57" t="str">
        <f aca="false">'STUDENT SCREENING'!BG36</f>
        <v/>
      </c>
      <c r="P36" s="57" t="str">
        <f aca="false">'STUDENT SCREENING'!BH36</f>
        <v/>
      </c>
      <c r="Q36" s="57" t="str">
        <f aca="false">'STUDENT SCREENING'!BI36</f>
        <v/>
      </c>
      <c r="R36" s="57" t="str">
        <f aca="false">'STUDENT SCREENING'!BJ36</f>
        <v/>
      </c>
      <c r="S36" s="57" t="str">
        <f aca="false">'STUDENT SCREENING'!BK36</f>
        <v/>
      </c>
      <c r="T36" s="57" t="str">
        <f aca="false">'STUDENT SCREENING'!BL36</f>
        <v/>
      </c>
      <c r="U36" s="57" t="str">
        <f aca="false">'STUDENT SCREENING'!BM36</f>
        <v/>
      </c>
      <c r="V36" s="57" t="str">
        <f aca="false">'STUDENT SCREENING'!BN36</f>
        <v/>
      </c>
      <c r="W36" s="57" t="str">
        <f aca="false">'STUDENT SCREENING'!BO36</f>
        <v/>
      </c>
      <c r="X36" s="57" t="str">
        <f aca="false">IF('STUDENT SCREENING'!W36="","",IFERROR(INDEX('SCORING MASTER'!$D$5:$D$7,MATCH('STUDENT SCREENING'!W36,'SCORING MASTER'!$C$5:$C$7,0)),""))</f>
        <v/>
      </c>
      <c r="Y36" s="57" t="str">
        <f aca="false">IF('STUDENT SCREENING'!X36="","",IFERROR(INDEX('SCORING MASTER'!$D$9:$D$11,MATCH('STUDENT SCREENING'!X36,'SCORING MASTER'!$C$9:$C$11,0)),""))</f>
        <v/>
      </c>
      <c r="Z36" s="57" t="str">
        <f aca="false">IF('STUDENT SCREENING'!Y36="","",IFERROR(INDEX('SCORING MASTER'!$D$13:$D$15,MATCH('STUDENT SCREENING'!Y36,'SCORING MASTER'!$C$13:$C$15,0)),""))</f>
        <v/>
      </c>
      <c r="AA36" s="57" t="str">
        <f aca="false">IF('STUDENT SCREENING'!Z36="","",IFERROR(INDEX('SCORING MASTER'!$D$17:$D$19,MATCH('STUDENT SCREENING'!Z36,'SCORING MASTER'!$C$17:$C$19,0)),""))</f>
        <v/>
      </c>
      <c r="AB36" s="57" t="str">
        <f aca="false">IF('STUDENT SCREENING'!AA36="","",IFERROR(INDEX('SCORING MASTER'!$D$21:$D$23,MATCH('STUDENT SCREENING'!AA36,'SCORING MASTER'!$C$21:$C$23,0)),""))</f>
        <v/>
      </c>
      <c r="AC36" s="57" t="str">
        <f aca="false">IF('STUDENT SCREENING'!AB36="","",IFERROR(INDEX('SCORING MASTER'!$D$25:$D$27,MATCH('STUDENT SCREENING'!AB36,'SCORING MASTER'!$C$25:$C$27,0)),""))</f>
        <v/>
      </c>
      <c r="AD36" s="57" t="str">
        <f aca="false">IF('STUDENT SCREENING'!AC36="","",IFERROR(INDEX('SCORING MASTER'!$D$29:$D$31,MATCH('STUDENT SCREENING'!AC36,'SCORING MASTER'!$C$29:$C$31,0)),""))</f>
        <v/>
      </c>
      <c r="AE36" s="57" t="str">
        <f aca="false">IF('STUDENT SCREENING'!AD36="","",IFERROR(INDEX('SCORING MASTER'!$D$33:$D$35,MATCH('STUDENT SCREENING'!AD36,'SCORING MASTER'!$C$33:$C$35,0)),""))</f>
        <v/>
      </c>
      <c r="AF36" s="57" t="str">
        <f aca="false">IF('STUDENT SCREENING'!AE36="","",IFERROR(INDEX('SCORING MASTER'!$D$37:$D$39,MATCH('STUDENT SCREENING'!AE36,'SCORING MASTER'!$C$37:$C$39,0)),""))</f>
        <v/>
      </c>
      <c r="AG36" s="57" t="str">
        <f aca="false">IF('STUDENT SCREENING'!AF36="","",IFERROR(INDEX('SCORING MASTER'!$D$41:$D$43,MATCH('STUDENT SCREENING'!AF36,'SCORING MASTER'!$C$41:$C$43,0)),""))</f>
        <v/>
      </c>
      <c r="AH36" s="57" t="str">
        <f aca="false">IF('STUDENT SCREENING'!AG36="","",IFERROR(INDEX('SCORING MASTER'!$D$45:$D$47,MATCH('STUDENT SCREENING'!AG36,'SCORING MASTER'!$C$45:$C$47,0)),""))</f>
        <v/>
      </c>
      <c r="AI36" s="57" t="str">
        <f aca="false">IF('STUDENT SCREENING'!AH36="","",IFERROR(INDEX('SCORING MASTER'!$D$49:$D$52,MATCH('STUDENT SCREENING'!AH36,'SCORING MASTER'!$C$49:$C$52,0)),""))</f>
        <v/>
      </c>
      <c r="AJ36" s="57" t="str">
        <f aca="false">IF('STUDENT SCREENING'!AI36="","",IFERROR(INDEX('SCORING MASTER'!$D$54:$D$57,MATCH('STUDENT SCREENING'!AI36,'SCORING MASTER'!$C$54:$C$57,0)),""))</f>
        <v/>
      </c>
      <c r="AK36" s="57" t="str">
        <f aca="false">IF('STUDENT SCREENING'!AJ36="","",IFERROR(INDEX('SCORING MASTER'!$D$59:$D$60,MATCH('STUDENT SCREENING'!AJ36,'SCORING MASTER'!$C$59:$C$60,0)),""))</f>
        <v/>
      </c>
      <c r="AL36" s="57" t="str">
        <f aca="false">IF('STUDENT SCREENING'!AK36="","",IFERROR(INDEX('SCORING MASTER'!$D$62:$D$63,MATCH('STUDENT SCREENING'!AK36,'SCORING MASTER'!$C$62:$C$63,0)),""))</f>
        <v/>
      </c>
      <c r="AM36" s="57" t="str">
        <f aca="false">IF('STUDENT SCREENING'!AL36="","",IFERROR(INDEX('SCORING MASTER'!$D$65:$D$66,MATCH('STUDENT SCREENING'!AL36,'SCORING MASTER'!$C$65:$C$66,0)),""))</f>
        <v/>
      </c>
      <c r="AN36" s="57" t="str">
        <f aca="false">IF('STUDENT SCREENING'!AM36="","",IFERROR(INDEX('SCORING MASTER'!$D$68:$D$69,MATCH('STUDENT SCREENING'!AM36,'SCORING MASTER'!$C$68:$C$69,0)),""))</f>
        <v/>
      </c>
      <c r="AO36" s="57" t="str">
        <f aca="false">IF('STUDENT SCREENING'!AN36="","",IFERROR(INDEX('SCORING MASTER'!$D$71:$D$72,MATCH('STUDENT SCREENING'!AN36,'SCORING MASTER'!$C$71:$C$72,0)),""))</f>
        <v/>
      </c>
      <c r="AP36" s="57" t="str">
        <f aca="false">IF('STUDENT SCREENING'!AO36="","",IFERROR(INDEX('SCORING MASTER'!$D$74:$D$75,MATCH('STUDENT SCREENING'!AO36,'SCORING MASTER'!$C$74:$C$75,0)),""))</f>
        <v/>
      </c>
      <c r="AQ36" s="57" t="str">
        <f aca="false">IF('STUDENT SCREENING'!AP36="","",IFERROR(INDEX('SCORING MASTER'!$D$77:$D$78,MATCH('STUDENT SCREENING'!AP36,'SCORING MASTER'!$C$77:$C$78,0)),""))</f>
        <v/>
      </c>
      <c r="AR36" s="57" t="str">
        <f aca="false">IF('STUDENT SCREENING'!AQ36="","",IFERROR(INDEX('SCORING MASTER'!$D$80:$D$82,MATCH('STUDENT SCREENING'!AQ36,'SCORING MASTER'!$C$80:$C$82,0)),""))</f>
        <v/>
      </c>
      <c r="AS36" s="57" t="str">
        <f aca="false">IF('STUDENT SCREENING'!AR36="","",IFERROR(INDEX('SCORING MASTER'!$D$84:$D$86,MATCH('STUDENT SCREENING'!AR36,'SCORING MASTER'!$C$84:$C$86,0)),""))</f>
        <v/>
      </c>
      <c r="AT36" s="57" t="str">
        <f aca="false">IF('STUDENT SCREENING'!AS36="","",IFERROR(INDEX('SCORING MASTER'!$D$88:$D$90,MATCH('STUDENT SCREENING'!AS36,'SCORING MASTER'!$C$88:$C$90,0)),""))</f>
        <v/>
      </c>
      <c r="AU36" s="57" t="str">
        <f aca="false">IF('STUDENT SCREENING'!AT36="","",IFERROR(INDEX('SCORING MASTER'!$D$92:$D$93,MATCH('STUDENT SCREENING'!AT36,'SCORING MASTER'!$C$92:$C$93,0)),""))</f>
        <v/>
      </c>
      <c r="AV36" s="57" t="str">
        <f aca="false">IF('STUDENT SCREENING'!AU36="","",IFERROR(INDEX('SCORING MASTER'!$D$95:$D$96,MATCH('STUDENT SCREENING'!AU36,'SCORING MASTER'!$C$95:$C$96,0)),""))</f>
        <v/>
      </c>
      <c r="AW36" s="57" t="str">
        <f aca="false">IF('STUDENT SCREENING'!AV36="","",IFERROR(INDEX('SCORING MASTER'!$D$98:$D$99,MATCH('STUDENT SCREENING'!AV36,'SCORING MASTER'!$C$98:$C$99,0)),""))</f>
        <v/>
      </c>
      <c r="AX36" s="57" t="str">
        <f aca="false">IF('STUDENT SCREENING'!AW36="","",IFERROR(INDEX('SCORING MASTER'!$D$101:$D$102,MATCH('STUDENT SCREENING'!AW36,'SCORING MASTER'!$C$101:$C$102,0)),""))</f>
        <v/>
      </c>
      <c r="AY36" s="57" t="str">
        <f aca="false">IF('STUDENT SCREENING'!AX36="","",IFERROR(INDEX('SCORING MASTER'!$D$104:$D$105,MATCH('STUDENT SCREENING'!AX36,'SCORING MASTER'!$C$104:$C$105,0)),""))</f>
        <v/>
      </c>
      <c r="AZ36" s="57" t="str">
        <f aca="false">IF('STUDENT SCREENING'!AY36="","",IFERROR(INDEX('SCORING MASTER'!$D$107:$D$108,MATCH('STUDENT SCREENING'!AY36,'SCORING MASTER'!$C$107:$C$108,0)),""))</f>
        <v/>
      </c>
      <c r="BA36" s="57" t="str">
        <f aca="false">IF('STUDENT SCREENING'!AZ36="","",IFERROR(INDEX('SCORING MASTER'!$D$110:$D$111,MATCH('STUDENT SCREENING'!AZ36,'SCORING MASTER'!$C$110:$C$111,0)),""))</f>
        <v/>
      </c>
      <c r="BB36" s="57" t="str">
        <f aca="false">IF('STUDENT SCREENING'!BA36="","",IFERROR(INDEX('SCORING MASTER'!$D$113:$D$115,MATCH('STUDENT SCREENING'!BA36,'SCORING MASTER'!$C$113:$C$115,0)),""))</f>
        <v/>
      </c>
      <c r="BC36" s="57" t="str">
        <f aca="false">IF('STUDENT SCREENING'!BB36="","",IFERROR(INDEX('SCORING MASTER'!$D$117:$D$119,MATCH('STUDENT SCREENING'!BB36,'SCORING MASTER'!$C$117:$C$119,0)),""))</f>
        <v/>
      </c>
      <c r="BD36" s="57" t="str">
        <f aca="false">IF('STUDENT SCREENING'!BC36="","",IFERROR(INDEX('SCORING MASTER'!$D$121:$D$123,MATCH('STUDENT SCREENING'!BC36,'SCORING MASTER'!$C$121:$C$123,0)),""))</f>
        <v/>
      </c>
      <c r="BE36" s="57" t="str">
        <f aca="false">IF('STUDENT SCREENING'!BD36="","",IFERROR(INDEX('SCORING MASTER'!$D$125:$D$126,MATCH('STUDENT SCREENING'!BD36,'SCORING MASTER'!$C$125:$C$126,0)),""))</f>
        <v/>
      </c>
      <c r="BF36" s="57" t="str">
        <f aca="false">IF('STUDENT SCREENING'!BE36="","",IFERROR(INDEX('SCORING MASTER'!$D$128:$D$129,MATCH('STUDENT SCREENING'!BE36,'SCORING MASTER'!$C$128:$C$129,0)),""))</f>
        <v/>
      </c>
      <c r="BG36" s="57" t="str">
        <f aca="false">IF('STUDENT SCREENING'!BP36="","",IFERROR(MATCH('STUDENT SCREENING'!BP36,{"Red - High Risk","Orange - Moderate Risk","Yellow - Mild Risk","Light Green - Mild Watch","Green - Healthy"},0)-1,""))</f>
        <v/>
      </c>
      <c r="BH36" s="57" t="str">
        <f aca="false">IF('STUDENT SCREENING'!BQ36="","",IF('STUDENT SCREENING'!BQ36="Yes",1,0))</f>
        <v/>
      </c>
      <c r="BI36" s="57" t="str">
        <f aca="false">IF('STUDENT SCREENING'!BR36="","",IF('STUDENT SCREENING'!BR36="Yes",1,0))</f>
        <v/>
      </c>
    </row>
    <row r="37" customFormat="false" ht="15" hidden="false" customHeight="false" outlineLevel="0" collapsed="false">
      <c r="A37" s="58" t="str">
        <f aca="false">'STUDENT SCREENING'!A37</f>
        <v/>
      </c>
      <c r="B37" s="58" t="n">
        <f aca="false">'STUDENT SCREENING'!C37</f>
        <v>0</v>
      </c>
      <c r="C37" s="58" t="n">
        <f aca="false">'STUDENT SCREENING'!D37</f>
        <v>0</v>
      </c>
      <c r="D37" s="58" t="n">
        <f aca="false">'STUDENT SCREENING'!E37</f>
        <v>0</v>
      </c>
      <c r="E37" s="58" t="n">
        <f aca="false">'STUDENT SCREENING'!F37</f>
        <v>0</v>
      </c>
      <c r="F37" s="58" t="n">
        <f aca="false">'STUDENT SCREENING'!K37</f>
        <v>0</v>
      </c>
      <c r="G37" s="58" t="n">
        <f aca="false">'STUDENT SCREENING'!J37</f>
        <v>0</v>
      </c>
      <c r="H37" s="58" t="str">
        <f aca="false">IF('STUDENT SCREENING'!K37="","",IFERROR(MATCH('STUDENT SCREENING'!K37,Adm_Gender,0),""))</f>
        <v/>
      </c>
      <c r="I37" s="58" t="n">
        <f aca="false">'STUDENT SCREENING'!Q37</f>
        <v>0</v>
      </c>
      <c r="J37" s="58" t="n">
        <f aca="false">'STUDENT SCREENING'!R37</f>
        <v>0</v>
      </c>
      <c r="K37" s="58" t="str">
        <f aca="false">'STUDENT SCREENING'!S37</f>
        <v/>
      </c>
      <c r="L37" s="58" t="n">
        <f aca="false">'STUDENT SCREENING'!U37</f>
        <v>0</v>
      </c>
      <c r="M37" s="58" t="n">
        <f aca="false">'STUDENT SCREENING'!V37</f>
        <v>0</v>
      </c>
      <c r="N37" s="58" t="str">
        <f aca="false">'STUDENT SCREENING'!BF37</f>
        <v/>
      </c>
      <c r="O37" s="58" t="str">
        <f aca="false">'STUDENT SCREENING'!BG37</f>
        <v/>
      </c>
      <c r="P37" s="58" t="str">
        <f aca="false">'STUDENT SCREENING'!BH37</f>
        <v/>
      </c>
      <c r="Q37" s="58" t="str">
        <f aca="false">'STUDENT SCREENING'!BI37</f>
        <v/>
      </c>
      <c r="R37" s="58" t="str">
        <f aca="false">'STUDENT SCREENING'!BJ37</f>
        <v/>
      </c>
      <c r="S37" s="58" t="str">
        <f aca="false">'STUDENT SCREENING'!BK37</f>
        <v/>
      </c>
      <c r="T37" s="58" t="str">
        <f aca="false">'STUDENT SCREENING'!BL37</f>
        <v/>
      </c>
      <c r="U37" s="58" t="str">
        <f aca="false">'STUDENT SCREENING'!BM37</f>
        <v/>
      </c>
      <c r="V37" s="58" t="str">
        <f aca="false">'STUDENT SCREENING'!BN37</f>
        <v/>
      </c>
      <c r="W37" s="58" t="str">
        <f aca="false">'STUDENT SCREENING'!BO37</f>
        <v/>
      </c>
      <c r="X37" s="58" t="str">
        <f aca="false">IF('STUDENT SCREENING'!W37="","",IFERROR(INDEX('SCORING MASTER'!$D$5:$D$7,MATCH('STUDENT SCREENING'!W37,'SCORING MASTER'!$C$5:$C$7,0)),""))</f>
        <v/>
      </c>
      <c r="Y37" s="58" t="str">
        <f aca="false">IF('STUDENT SCREENING'!X37="","",IFERROR(INDEX('SCORING MASTER'!$D$9:$D$11,MATCH('STUDENT SCREENING'!X37,'SCORING MASTER'!$C$9:$C$11,0)),""))</f>
        <v/>
      </c>
      <c r="Z37" s="58" t="str">
        <f aca="false">IF('STUDENT SCREENING'!Y37="","",IFERROR(INDEX('SCORING MASTER'!$D$13:$D$15,MATCH('STUDENT SCREENING'!Y37,'SCORING MASTER'!$C$13:$C$15,0)),""))</f>
        <v/>
      </c>
      <c r="AA37" s="58" t="str">
        <f aca="false">IF('STUDENT SCREENING'!Z37="","",IFERROR(INDEX('SCORING MASTER'!$D$17:$D$19,MATCH('STUDENT SCREENING'!Z37,'SCORING MASTER'!$C$17:$C$19,0)),""))</f>
        <v/>
      </c>
      <c r="AB37" s="58" t="str">
        <f aca="false">IF('STUDENT SCREENING'!AA37="","",IFERROR(INDEX('SCORING MASTER'!$D$21:$D$23,MATCH('STUDENT SCREENING'!AA37,'SCORING MASTER'!$C$21:$C$23,0)),""))</f>
        <v/>
      </c>
      <c r="AC37" s="58" t="str">
        <f aca="false">IF('STUDENT SCREENING'!AB37="","",IFERROR(INDEX('SCORING MASTER'!$D$25:$D$27,MATCH('STUDENT SCREENING'!AB37,'SCORING MASTER'!$C$25:$C$27,0)),""))</f>
        <v/>
      </c>
      <c r="AD37" s="58" t="str">
        <f aca="false">IF('STUDENT SCREENING'!AC37="","",IFERROR(INDEX('SCORING MASTER'!$D$29:$D$31,MATCH('STUDENT SCREENING'!AC37,'SCORING MASTER'!$C$29:$C$31,0)),""))</f>
        <v/>
      </c>
      <c r="AE37" s="58" t="str">
        <f aca="false">IF('STUDENT SCREENING'!AD37="","",IFERROR(INDEX('SCORING MASTER'!$D$33:$D$35,MATCH('STUDENT SCREENING'!AD37,'SCORING MASTER'!$C$33:$C$35,0)),""))</f>
        <v/>
      </c>
      <c r="AF37" s="58" t="str">
        <f aca="false">IF('STUDENT SCREENING'!AE37="","",IFERROR(INDEX('SCORING MASTER'!$D$37:$D$39,MATCH('STUDENT SCREENING'!AE37,'SCORING MASTER'!$C$37:$C$39,0)),""))</f>
        <v/>
      </c>
      <c r="AG37" s="58" t="str">
        <f aca="false">IF('STUDENT SCREENING'!AF37="","",IFERROR(INDEX('SCORING MASTER'!$D$41:$D$43,MATCH('STUDENT SCREENING'!AF37,'SCORING MASTER'!$C$41:$C$43,0)),""))</f>
        <v/>
      </c>
      <c r="AH37" s="58" t="str">
        <f aca="false">IF('STUDENT SCREENING'!AG37="","",IFERROR(INDEX('SCORING MASTER'!$D$45:$D$47,MATCH('STUDENT SCREENING'!AG37,'SCORING MASTER'!$C$45:$C$47,0)),""))</f>
        <v/>
      </c>
      <c r="AI37" s="58" t="str">
        <f aca="false">IF('STUDENT SCREENING'!AH37="","",IFERROR(INDEX('SCORING MASTER'!$D$49:$D$52,MATCH('STUDENT SCREENING'!AH37,'SCORING MASTER'!$C$49:$C$52,0)),""))</f>
        <v/>
      </c>
      <c r="AJ37" s="58" t="str">
        <f aca="false">IF('STUDENT SCREENING'!AI37="","",IFERROR(INDEX('SCORING MASTER'!$D$54:$D$57,MATCH('STUDENT SCREENING'!AI37,'SCORING MASTER'!$C$54:$C$57,0)),""))</f>
        <v/>
      </c>
      <c r="AK37" s="58" t="str">
        <f aca="false">IF('STUDENT SCREENING'!AJ37="","",IFERROR(INDEX('SCORING MASTER'!$D$59:$D$60,MATCH('STUDENT SCREENING'!AJ37,'SCORING MASTER'!$C$59:$C$60,0)),""))</f>
        <v/>
      </c>
      <c r="AL37" s="58" t="str">
        <f aca="false">IF('STUDENT SCREENING'!AK37="","",IFERROR(INDEX('SCORING MASTER'!$D$62:$D$63,MATCH('STUDENT SCREENING'!AK37,'SCORING MASTER'!$C$62:$C$63,0)),""))</f>
        <v/>
      </c>
      <c r="AM37" s="58" t="str">
        <f aca="false">IF('STUDENT SCREENING'!AL37="","",IFERROR(INDEX('SCORING MASTER'!$D$65:$D$66,MATCH('STUDENT SCREENING'!AL37,'SCORING MASTER'!$C$65:$C$66,0)),""))</f>
        <v/>
      </c>
      <c r="AN37" s="58" t="str">
        <f aca="false">IF('STUDENT SCREENING'!AM37="","",IFERROR(INDEX('SCORING MASTER'!$D$68:$D$69,MATCH('STUDENT SCREENING'!AM37,'SCORING MASTER'!$C$68:$C$69,0)),""))</f>
        <v/>
      </c>
      <c r="AO37" s="58" t="str">
        <f aca="false">IF('STUDENT SCREENING'!AN37="","",IFERROR(INDEX('SCORING MASTER'!$D$71:$D$72,MATCH('STUDENT SCREENING'!AN37,'SCORING MASTER'!$C$71:$C$72,0)),""))</f>
        <v/>
      </c>
      <c r="AP37" s="58" t="str">
        <f aca="false">IF('STUDENT SCREENING'!AO37="","",IFERROR(INDEX('SCORING MASTER'!$D$74:$D$75,MATCH('STUDENT SCREENING'!AO37,'SCORING MASTER'!$C$74:$C$75,0)),""))</f>
        <v/>
      </c>
      <c r="AQ37" s="58" t="str">
        <f aca="false">IF('STUDENT SCREENING'!AP37="","",IFERROR(INDEX('SCORING MASTER'!$D$77:$D$78,MATCH('STUDENT SCREENING'!AP37,'SCORING MASTER'!$C$77:$C$78,0)),""))</f>
        <v/>
      </c>
      <c r="AR37" s="58" t="str">
        <f aca="false">IF('STUDENT SCREENING'!AQ37="","",IFERROR(INDEX('SCORING MASTER'!$D$80:$D$82,MATCH('STUDENT SCREENING'!AQ37,'SCORING MASTER'!$C$80:$C$82,0)),""))</f>
        <v/>
      </c>
      <c r="AS37" s="58" t="str">
        <f aca="false">IF('STUDENT SCREENING'!AR37="","",IFERROR(INDEX('SCORING MASTER'!$D$84:$D$86,MATCH('STUDENT SCREENING'!AR37,'SCORING MASTER'!$C$84:$C$86,0)),""))</f>
        <v/>
      </c>
      <c r="AT37" s="58" t="str">
        <f aca="false">IF('STUDENT SCREENING'!AS37="","",IFERROR(INDEX('SCORING MASTER'!$D$88:$D$90,MATCH('STUDENT SCREENING'!AS37,'SCORING MASTER'!$C$88:$C$90,0)),""))</f>
        <v/>
      </c>
      <c r="AU37" s="58" t="str">
        <f aca="false">IF('STUDENT SCREENING'!AT37="","",IFERROR(INDEX('SCORING MASTER'!$D$92:$D$93,MATCH('STUDENT SCREENING'!AT37,'SCORING MASTER'!$C$92:$C$93,0)),""))</f>
        <v/>
      </c>
      <c r="AV37" s="58" t="str">
        <f aca="false">IF('STUDENT SCREENING'!AU37="","",IFERROR(INDEX('SCORING MASTER'!$D$95:$D$96,MATCH('STUDENT SCREENING'!AU37,'SCORING MASTER'!$C$95:$C$96,0)),""))</f>
        <v/>
      </c>
      <c r="AW37" s="58" t="str">
        <f aca="false">IF('STUDENT SCREENING'!AV37="","",IFERROR(INDEX('SCORING MASTER'!$D$98:$D$99,MATCH('STUDENT SCREENING'!AV37,'SCORING MASTER'!$C$98:$C$99,0)),""))</f>
        <v/>
      </c>
      <c r="AX37" s="58" t="str">
        <f aca="false">IF('STUDENT SCREENING'!AW37="","",IFERROR(INDEX('SCORING MASTER'!$D$101:$D$102,MATCH('STUDENT SCREENING'!AW37,'SCORING MASTER'!$C$101:$C$102,0)),""))</f>
        <v/>
      </c>
      <c r="AY37" s="58" t="str">
        <f aca="false">IF('STUDENT SCREENING'!AX37="","",IFERROR(INDEX('SCORING MASTER'!$D$104:$D$105,MATCH('STUDENT SCREENING'!AX37,'SCORING MASTER'!$C$104:$C$105,0)),""))</f>
        <v/>
      </c>
      <c r="AZ37" s="58" t="str">
        <f aca="false">IF('STUDENT SCREENING'!AY37="","",IFERROR(INDEX('SCORING MASTER'!$D$107:$D$108,MATCH('STUDENT SCREENING'!AY37,'SCORING MASTER'!$C$107:$C$108,0)),""))</f>
        <v/>
      </c>
      <c r="BA37" s="58" t="str">
        <f aca="false">IF('STUDENT SCREENING'!AZ37="","",IFERROR(INDEX('SCORING MASTER'!$D$110:$D$111,MATCH('STUDENT SCREENING'!AZ37,'SCORING MASTER'!$C$110:$C$111,0)),""))</f>
        <v/>
      </c>
      <c r="BB37" s="58" t="str">
        <f aca="false">IF('STUDENT SCREENING'!BA37="","",IFERROR(INDEX('SCORING MASTER'!$D$113:$D$115,MATCH('STUDENT SCREENING'!BA37,'SCORING MASTER'!$C$113:$C$115,0)),""))</f>
        <v/>
      </c>
      <c r="BC37" s="58" t="str">
        <f aca="false">IF('STUDENT SCREENING'!BB37="","",IFERROR(INDEX('SCORING MASTER'!$D$117:$D$119,MATCH('STUDENT SCREENING'!BB37,'SCORING MASTER'!$C$117:$C$119,0)),""))</f>
        <v/>
      </c>
      <c r="BD37" s="58" t="str">
        <f aca="false">IF('STUDENT SCREENING'!BC37="","",IFERROR(INDEX('SCORING MASTER'!$D$121:$D$123,MATCH('STUDENT SCREENING'!BC37,'SCORING MASTER'!$C$121:$C$123,0)),""))</f>
        <v/>
      </c>
      <c r="BE37" s="58" t="str">
        <f aca="false">IF('STUDENT SCREENING'!BD37="","",IFERROR(INDEX('SCORING MASTER'!$D$125:$D$126,MATCH('STUDENT SCREENING'!BD37,'SCORING MASTER'!$C$125:$C$126,0)),""))</f>
        <v/>
      </c>
      <c r="BF37" s="58" t="str">
        <f aca="false">IF('STUDENT SCREENING'!BE37="","",IFERROR(INDEX('SCORING MASTER'!$D$128:$D$129,MATCH('STUDENT SCREENING'!BE37,'SCORING MASTER'!$C$128:$C$129,0)),""))</f>
        <v/>
      </c>
      <c r="BG37" s="58" t="str">
        <f aca="false">IF('STUDENT SCREENING'!BP37="","",IFERROR(MATCH('STUDENT SCREENING'!BP37,{"Red - High Risk","Orange - Moderate Risk","Yellow - Mild Risk","Light Green - Mild Watch","Green - Healthy"},0)-1,""))</f>
        <v/>
      </c>
      <c r="BH37" s="58" t="str">
        <f aca="false">IF('STUDENT SCREENING'!BQ37="","",IF('STUDENT SCREENING'!BQ37="Yes",1,0))</f>
        <v/>
      </c>
      <c r="BI37" s="58" t="str">
        <f aca="false">IF('STUDENT SCREENING'!BR37="","",IF('STUDENT SCREENING'!BR37="Yes",1,0))</f>
        <v/>
      </c>
    </row>
    <row r="38" customFormat="false" ht="15" hidden="false" customHeight="false" outlineLevel="0" collapsed="false">
      <c r="A38" s="57" t="str">
        <f aca="false">'STUDENT SCREENING'!A38</f>
        <v/>
      </c>
      <c r="B38" s="57" t="n">
        <f aca="false">'STUDENT SCREENING'!C38</f>
        <v>0</v>
      </c>
      <c r="C38" s="57" t="n">
        <f aca="false">'STUDENT SCREENING'!D38</f>
        <v>0</v>
      </c>
      <c r="D38" s="57" t="n">
        <f aca="false">'STUDENT SCREENING'!E38</f>
        <v>0</v>
      </c>
      <c r="E38" s="57" t="n">
        <f aca="false">'STUDENT SCREENING'!F38</f>
        <v>0</v>
      </c>
      <c r="F38" s="57" t="n">
        <f aca="false">'STUDENT SCREENING'!K38</f>
        <v>0</v>
      </c>
      <c r="G38" s="57" t="n">
        <f aca="false">'STUDENT SCREENING'!J38</f>
        <v>0</v>
      </c>
      <c r="H38" s="57" t="str">
        <f aca="false">IF('STUDENT SCREENING'!K38="","",IFERROR(MATCH('STUDENT SCREENING'!K38,Adm_Gender,0),""))</f>
        <v/>
      </c>
      <c r="I38" s="57" t="n">
        <f aca="false">'STUDENT SCREENING'!Q38</f>
        <v>0</v>
      </c>
      <c r="J38" s="57" t="n">
        <f aca="false">'STUDENT SCREENING'!R38</f>
        <v>0</v>
      </c>
      <c r="K38" s="57" t="str">
        <f aca="false">'STUDENT SCREENING'!S38</f>
        <v/>
      </c>
      <c r="L38" s="57" t="n">
        <f aca="false">'STUDENT SCREENING'!U38</f>
        <v>0</v>
      </c>
      <c r="M38" s="57" t="n">
        <f aca="false">'STUDENT SCREENING'!V38</f>
        <v>0</v>
      </c>
      <c r="N38" s="57" t="str">
        <f aca="false">'STUDENT SCREENING'!BF38</f>
        <v/>
      </c>
      <c r="O38" s="57" t="str">
        <f aca="false">'STUDENT SCREENING'!BG38</f>
        <v/>
      </c>
      <c r="P38" s="57" t="str">
        <f aca="false">'STUDENT SCREENING'!BH38</f>
        <v/>
      </c>
      <c r="Q38" s="57" t="str">
        <f aca="false">'STUDENT SCREENING'!BI38</f>
        <v/>
      </c>
      <c r="R38" s="57" t="str">
        <f aca="false">'STUDENT SCREENING'!BJ38</f>
        <v/>
      </c>
      <c r="S38" s="57" t="str">
        <f aca="false">'STUDENT SCREENING'!BK38</f>
        <v/>
      </c>
      <c r="T38" s="57" t="str">
        <f aca="false">'STUDENT SCREENING'!BL38</f>
        <v/>
      </c>
      <c r="U38" s="57" t="str">
        <f aca="false">'STUDENT SCREENING'!BM38</f>
        <v/>
      </c>
      <c r="V38" s="57" t="str">
        <f aca="false">'STUDENT SCREENING'!BN38</f>
        <v/>
      </c>
      <c r="W38" s="57" t="str">
        <f aca="false">'STUDENT SCREENING'!BO38</f>
        <v/>
      </c>
      <c r="X38" s="57" t="str">
        <f aca="false">IF('STUDENT SCREENING'!W38="","",IFERROR(INDEX('SCORING MASTER'!$D$5:$D$7,MATCH('STUDENT SCREENING'!W38,'SCORING MASTER'!$C$5:$C$7,0)),""))</f>
        <v/>
      </c>
      <c r="Y38" s="57" t="str">
        <f aca="false">IF('STUDENT SCREENING'!X38="","",IFERROR(INDEX('SCORING MASTER'!$D$9:$D$11,MATCH('STUDENT SCREENING'!X38,'SCORING MASTER'!$C$9:$C$11,0)),""))</f>
        <v/>
      </c>
      <c r="Z38" s="57" t="str">
        <f aca="false">IF('STUDENT SCREENING'!Y38="","",IFERROR(INDEX('SCORING MASTER'!$D$13:$D$15,MATCH('STUDENT SCREENING'!Y38,'SCORING MASTER'!$C$13:$C$15,0)),""))</f>
        <v/>
      </c>
      <c r="AA38" s="57" t="str">
        <f aca="false">IF('STUDENT SCREENING'!Z38="","",IFERROR(INDEX('SCORING MASTER'!$D$17:$D$19,MATCH('STUDENT SCREENING'!Z38,'SCORING MASTER'!$C$17:$C$19,0)),""))</f>
        <v/>
      </c>
      <c r="AB38" s="57" t="str">
        <f aca="false">IF('STUDENT SCREENING'!AA38="","",IFERROR(INDEX('SCORING MASTER'!$D$21:$D$23,MATCH('STUDENT SCREENING'!AA38,'SCORING MASTER'!$C$21:$C$23,0)),""))</f>
        <v/>
      </c>
      <c r="AC38" s="57" t="str">
        <f aca="false">IF('STUDENT SCREENING'!AB38="","",IFERROR(INDEX('SCORING MASTER'!$D$25:$D$27,MATCH('STUDENT SCREENING'!AB38,'SCORING MASTER'!$C$25:$C$27,0)),""))</f>
        <v/>
      </c>
      <c r="AD38" s="57" t="str">
        <f aca="false">IF('STUDENT SCREENING'!AC38="","",IFERROR(INDEX('SCORING MASTER'!$D$29:$D$31,MATCH('STUDENT SCREENING'!AC38,'SCORING MASTER'!$C$29:$C$31,0)),""))</f>
        <v/>
      </c>
      <c r="AE38" s="57" t="str">
        <f aca="false">IF('STUDENT SCREENING'!AD38="","",IFERROR(INDEX('SCORING MASTER'!$D$33:$D$35,MATCH('STUDENT SCREENING'!AD38,'SCORING MASTER'!$C$33:$C$35,0)),""))</f>
        <v/>
      </c>
      <c r="AF38" s="57" t="str">
        <f aca="false">IF('STUDENT SCREENING'!AE38="","",IFERROR(INDEX('SCORING MASTER'!$D$37:$D$39,MATCH('STUDENT SCREENING'!AE38,'SCORING MASTER'!$C$37:$C$39,0)),""))</f>
        <v/>
      </c>
      <c r="AG38" s="57" t="str">
        <f aca="false">IF('STUDENT SCREENING'!AF38="","",IFERROR(INDEX('SCORING MASTER'!$D$41:$D$43,MATCH('STUDENT SCREENING'!AF38,'SCORING MASTER'!$C$41:$C$43,0)),""))</f>
        <v/>
      </c>
      <c r="AH38" s="57" t="str">
        <f aca="false">IF('STUDENT SCREENING'!AG38="","",IFERROR(INDEX('SCORING MASTER'!$D$45:$D$47,MATCH('STUDENT SCREENING'!AG38,'SCORING MASTER'!$C$45:$C$47,0)),""))</f>
        <v/>
      </c>
      <c r="AI38" s="57" t="str">
        <f aca="false">IF('STUDENT SCREENING'!AH38="","",IFERROR(INDEX('SCORING MASTER'!$D$49:$D$52,MATCH('STUDENT SCREENING'!AH38,'SCORING MASTER'!$C$49:$C$52,0)),""))</f>
        <v/>
      </c>
      <c r="AJ38" s="57" t="str">
        <f aca="false">IF('STUDENT SCREENING'!AI38="","",IFERROR(INDEX('SCORING MASTER'!$D$54:$D$57,MATCH('STUDENT SCREENING'!AI38,'SCORING MASTER'!$C$54:$C$57,0)),""))</f>
        <v/>
      </c>
      <c r="AK38" s="57" t="str">
        <f aca="false">IF('STUDENT SCREENING'!AJ38="","",IFERROR(INDEX('SCORING MASTER'!$D$59:$D$60,MATCH('STUDENT SCREENING'!AJ38,'SCORING MASTER'!$C$59:$C$60,0)),""))</f>
        <v/>
      </c>
      <c r="AL38" s="57" t="str">
        <f aca="false">IF('STUDENT SCREENING'!AK38="","",IFERROR(INDEX('SCORING MASTER'!$D$62:$D$63,MATCH('STUDENT SCREENING'!AK38,'SCORING MASTER'!$C$62:$C$63,0)),""))</f>
        <v/>
      </c>
      <c r="AM38" s="57" t="str">
        <f aca="false">IF('STUDENT SCREENING'!AL38="","",IFERROR(INDEX('SCORING MASTER'!$D$65:$D$66,MATCH('STUDENT SCREENING'!AL38,'SCORING MASTER'!$C$65:$C$66,0)),""))</f>
        <v/>
      </c>
      <c r="AN38" s="57" t="str">
        <f aca="false">IF('STUDENT SCREENING'!AM38="","",IFERROR(INDEX('SCORING MASTER'!$D$68:$D$69,MATCH('STUDENT SCREENING'!AM38,'SCORING MASTER'!$C$68:$C$69,0)),""))</f>
        <v/>
      </c>
      <c r="AO38" s="57" t="str">
        <f aca="false">IF('STUDENT SCREENING'!AN38="","",IFERROR(INDEX('SCORING MASTER'!$D$71:$D$72,MATCH('STUDENT SCREENING'!AN38,'SCORING MASTER'!$C$71:$C$72,0)),""))</f>
        <v/>
      </c>
      <c r="AP38" s="57" t="str">
        <f aca="false">IF('STUDENT SCREENING'!AO38="","",IFERROR(INDEX('SCORING MASTER'!$D$74:$D$75,MATCH('STUDENT SCREENING'!AO38,'SCORING MASTER'!$C$74:$C$75,0)),""))</f>
        <v/>
      </c>
      <c r="AQ38" s="57" t="str">
        <f aca="false">IF('STUDENT SCREENING'!AP38="","",IFERROR(INDEX('SCORING MASTER'!$D$77:$D$78,MATCH('STUDENT SCREENING'!AP38,'SCORING MASTER'!$C$77:$C$78,0)),""))</f>
        <v/>
      </c>
      <c r="AR38" s="57" t="str">
        <f aca="false">IF('STUDENT SCREENING'!AQ38="","",IFERROR(INDEX('SCORING MASTER'!$D$80:$D$82,MATCH('STUDENT SCREENING'!AQ38,'SCORING MASTER'!$C$80:$C$82,0)),""))</f>
        <v/>
      </c>
      <c r="AS38" s="57" t="str">
        <f aca="false">IF('STUDENT SCREENING'!AR38="","",IFERROR(INDEX('SCORING MASTER'!$D$84:$D$86,MATCH('STUDENT SCREENING'!AR38,'SCORING MASTER'!$C$84:$C$86,0)),""))</f>
        <v/>
      </c>
      <c r="AT38" s="57" t="str">
        <f aca="false">IF('STUDENT SCREENING'!AS38="","",IFERROR(INDEX('SCORING MASTER'!$D$88:$D$90,MATCH('STUDENT SCREENING'!AS38,'SCORING MASTER'!$C$88:$C$90,0)),""))</f>
        <v/>
      </c>
      <c r="AU38" s="57" t="str">
        <f aca="false">IF('STUDENT SCREENING'!AT38="","",IFERROR(INDEX('SCORING MASTER'!$D$92:$D$93,MATCH('STUDENT SCREENING'!AT38,'SCORING MASTER'!$C$92:$C$93,0)),""))</f>
        <v/>
      </c>
      <c r="AV38" s="57" t="str">
        <f aca="false">IF('STUDENT SCREENING'!AU38="","",IFERROR(INDEX('SCORING MASTER'!$D$95:$D$96,MATCH('STUDENT SCREENING'!AU38,'SCORING MASTER'!$C$95:$C$96,0)),""))</f>
        <v/>
      </c>
      <c r="AW38" s="57" t="str">
        <f aca="false">IF('STUDENT SCREENING'!AV38="","",IFERROR(INDEX('SCORING MASTER'!$D$98:$D$99,MATCH('STUDENT SCREENING'!AV38,'SCORING MASTER'!$C$98:$C$99,0)),""))</f>
        <v/>
      </c>
      <c r="AX38" s="57" t="str">
        <f aca="false">IF('STUDENT SCREENING'!AW38="","",IFERROR(INDEX('SCORING MASTER'!$D$101:$D$102,MATCH('STUDENT SCREENING'!AW38,'SCORING MASTER'!$C$101:$C$102,0)),""))</f>
        <v/>
      </c>
      <c r="AY38" s="57" t="str">
        <f aca="false">IF('STUDENT SCREENING'!AX38="","",IFERROR(INDEX('SCORING MASTER'!$D$104:$D$105,MATCH('STUDENT SCREENING'!AX38,'SCORING MASTER'!$C$104:$C$105,0)),""))</f>
        <v/>
      </c>
      <c r="AZ38" s="57" t="str">
        <f aca="false">IF('STUDENT SCREENING'!AY38="","",IFERROR(INDEX('SCORING MASTER'!$D$107:$D$108,MATCH('STUDENT SCREENING'!AY38,'SCORING MASTER'!$C$107:$C$108,0)),""))</f>
        <v/>
      </c>
      <c r="BA38" s="57" t="str">
        <f aca="false">IF('STUDENT SCREENING'!AZ38="","",IFERROR(INDEX('SCORING MASTER'!$D$110:$D$111,MATCH('STUDENT SCREENING'!AZ38,'SCORING MASTER'!$C$110:$C$111,0)),""))</f>
        <v/>
      </c>
      <c r="BB38" s="57" t="str">
        <f aca="false">IF('STUDENT SCREENING'!BA38="","",IFERROR(INDEX('SCORING MASTER'!$D$113:$D$115,MATCH('STUDENT SCREENING'!BA38,'SCORING MASTER'!$C$113:$C$115,0)),""))</f>
        <v/>
      </c>
      <c r="BC38" s="57" t="str">
        <f aca="false">IF('STUDENT SCREENING'!BB38="","",IFERROR(INDEX('SCORING MASTER'!$D$117:$D$119,MATCH('STUDENT SCREENING'!BB38,'SCORING MASTER'!$C$117:$C$119,0)),""))</f>
        <v/>
      </c>
      <c r="BD38" s="57" t="str">
        <f aca="false">IF('STUDENT SCREENING'!BC38="","",IFERROR(INDEX('SCORING MASTER'!$D$121:$D$123,MATCH('STUDENT SCREENING'!BC38,'SCORING MASTER'!$C$121:$C$123,0)),""))</f>
        <v/>
      </c>
      <c r="BE38" s="57" t="str">
        <f aca="false">IF('STUDENT SCREENING'!BD38="","",IFERROR(INDEX('SCORING MASTER'!$D$125:$D$126,MATCH('STUDENT SCREENING'!BD38,'SCORING MASTER'!$C$125:$C$126,0)),""))</f>
        <v/>
      </c>
      <c r="BF38" s="57" t="str">
        <f aca="false">IF('STUDENT SCREENING'!BE38="","",IFERROR(INDEX('SCORING MASTER'!$D$128:$D$129,MATCH('STUDENT SCREENING'!BE38,'SCORING MASTER'!$C$128:$C$129,0)),""))</f>
        <v/>
      </c>
      <c r="BG38" s="57" t="str">
        <f aca="false">IF('STUDENT SCREENING'!BP38="","",IFERROR(MATCH('STUDENT SCREENING'!BP38,{"Red - High Risk","Orange - Moderate Risk","Yellow - Mild Risk","Light Green - Mild Watch","Green - Healthy"},0)-1,""))</f>
        <v/>
      </c>
      <c r="BH38" s="57" t="str">
        <f aca="false">IF('STUDENT SCREENING'!BQ38="","",IF('STUDENT SCREENING'!BQ38="Yes",1,0))</f>
        <v/>
      </c>
      <c r="BI38" s="57" t="str">
        <f aca="false">IF('STUDENT SCREENING'!BR38="","",IF('STUDENT SCREENING'!BR38="Yes",1,0))</f>
        <v/>
      </c>
    </row>
    <row r="39" customFormat="false" ht="15" hidden="false" customHeight="false" outlineLevel="0" collapsed="false">
      <c r="A39" s="58" t="str">
        <f aca="false">'STUDENT SCREENING'!A39</f>
        <v/>
      </c>
      <c r="B39" s="58" t="n">
        <f aca="false">'STUDENT SCREENING'!C39</f>
        <v>0</v>
      </c>
      <c r="C39" s="58" t="n">
        <f aca="false">'STUDENT SCREENING'!D39</f>
        <v>0</v>
      </c>
      <c r="D39" s="58" t="n">
        <f aca="false">'STUDENT SCREENING'!E39</f>
        <v>0</v>
      </c>
      <c r="E39" s="58" t="n">
        <f aca="false">'STUDENT SCREENING'!F39</f>
        <v>0</v>
      </c>
      <c r="F39" s="58" t="n">
        <f aca="false">'STUDENT SCREENING'!K39</f>
        <v>0</v>
      </c>
      <c r="G39" s="58" t="n">
        <f aca="false">'STUDENT SCREENING'!J39</f>
        <v>0</v>
      </c>
      <c r="H39" s="58" t="str">
        <f aca="false">IF('STUDENT SCREENING'!K39="","",IFERROR(MATCH('STUDENT SCREENING'!K39,Adm_Gender,0),""))</f>
        <v/>
      </c>
      <c r="I39" s="58" t="n">
        <f aca="false">'STUDENT SCREENING'!Q39</f>
        <v>0</v>
      </c>
      <c r="J39" s="58" t="n">
        <f aca="false">'STUDENT SCREENING'!R39</f>
        <v>0</v>
      </c>
      <c r="K39" s="58" t="str">
        <f aca="false">'STUDENT SCREENING'!S39</f>
        <v/>
      </c>
      <c r="L39" s="58" t="n">
        <f aca="false">'STUDENT SCREENING'!U39</f>
        <v>0</v>
      </c>
      <c r="M39" s="58" t="n">
        <f aca="false">'STUDENT SCREENING'!V39</f>
        <v>0</v>
      </c>
      <c r="N39" s="58" t="str">
        <f aca="false">'STUDENT SCREENING'!BF39</f>
        <v/>
      </c>
      <c r="O39" s="58" t="str">
        <f aca="false">'STUDENT SCREENING'!BG39</f>
        <v/>
      </c>
      <c r="P39" s="58" t="str">
        <f aca="false">'STUDENT SCREENING'!BH39</f>
        <v/>
      </c>
      <c r="Q39" s="58" t="str">
        <f aca="false">'STUDENT SCREENING'!BI39</f>
        <v/>
      </c>
      <c r="R39" s="58" t="str">
        <f aca="false">'STUDENT SCREENING'!BJ39</f>
        <v/>
      </c>
      <c r="S39" s="58" t="str">
        <f aca="false">'STUDENT SCREENING'!BK39</f>
        <v/>
      </c>
      <c r="T39" s="58" t="str">
        <f aca="false">'STUDENT SCREENING'!BL39</f>
        <v/>
      </c>
      <c r="U39" s="58" t="str">
        <f aca="false">'STUDENT SCREENING'!BM39</f>
        <v/>
      </c>
      <c r="V39" s="58" t="str">
        <f aca="false">'STUDENT SCREENING'!BN39</f>
        <v/>
      </c>
      <c r="W39" s="58" t="str">
        <f aca="false">'STUDENT SCREENING'!BO39</f>
        <v/>
      </c>
      <c r="X39" s="58" t="str">
        <f aca="false">IF('STUDENT SCREENING'!W39="","",IFERROR(INDEX('SCORING MASTER'!$D$5:$D$7,MATCH('STUDENT SCREENING'!W39,'SCORING MASTER'!$C$5:$C$7,0)),""))</f>
        <v/>
      </c>
      <c r="Y39" s="58" t="str">
        <f aca="false">IF('STUDENT SCREENING'!X39="","",IFERROR(INDEX('SCORING MASTER'!$D$9:$D$11,MATCH('STUDENT SCREENING'!X39,'SCORING MASTER'!$C$9:$C$11,0)),""))</f>
        <v/>
      </c>
      <c r="Z39" s="58" t="str">
        <f aca="false">IF('STUDENT SCREENING'!Y39="","",IFERROR(INDEX('SCORING MASTER'!$D$13:$D$15,MATCH('STUDENT SCREENING'!Y39,'SCORING MASTER'!$C$13:$C$15,0)),""))</f>
        <v/>
      </c>
      <c r="AA39" s="58" t="str">
        <f aca="false">IF('STUDENT SCREENING'!Z39="","",IFERROR(INDEX('SCORING MASTER'!$D$17:$D$19,MATCH('STUDENT SCREENING'!Z39,'SCORING MASTER'!$C$17:$C$19,0)),""))</f>
        <v/>
      </c>
      <c r="AB39" s="58" t="str">
        <f aca="false">IF('STUDENT SCREENING'!AA39="","",IFERROR(INDEX('SCORING MASTER'!$D$21:$D$23,MATCH('STUDENT SCREENING'!AA39,'SCORING MASTER'!$C$21:$C$23,0)),""))</f>
        <v/>
      </c>
      <c r="AC39" s="58" t="str">
        <f aca="false">IF('STUDENT SCREENING'!AB39="","",IFERROR(INDEX('SCORING MASTER'!$D$25:$D$27,MATCH('STUDENT SCREENING'!AB39,'SCORING MASTER'!$C$25:$C$27,0)),""))</f>
        <v/>
      </c>
      <c r="AD39" s="58" t="str">
        <f aca="false">IF('STUDENT SCREENING'!AC39="","",IFERROR(INDEX('SCORING MASTER'!$D$29:$D$31,MATCH('STUDENT SCREENING'!AC39,'SCORING MASTER'!$C$29:$C$31,0)),""))</f>
        <v/>
      </c>
      <c r="AE39" s="58" t="str">
        <f aca="false">IF('STUDENT SCREENING'!AD39="","",IFERROR(INDEX('SCORING MASTER'!$D$33:$D$35,MATCH('STUDENT SCREENING'!AD39,'SCORING MASTER'!$C$33:$C$35,0)),""))</f>
        <v/>
      </c>
      <c r="AF39" s="58" t="str">
        <f aca="false">IF('STUDENT SCREENING'!AE39="","",IFERROR(INDEX('SCORING MASTER'!$D$37:$D$39,MATCH('STUDENT SCREENING'!AE39,'SCORING MASTER'!$C$37:$C$39,0)),""))</f>
        <v/>
      </c>
      <c r="AG39" s="58" t="str">
        <f aca="false">IF('STUDENT SCREENING'!AF39="","",IFERROR(INDEX('SCORING MASTER'!$D$41:$D$43,MATCH('STUDENT SCREENING'!AF39,'SCORING MASTER'!$C$41:$C$43,0)),""))</f>
        <v/>
      </c>
      <c r="AH39" s="58" t="str">
        <f aca="false">IF('STUDENT SCREENING'!AG39="","",IFERROR(INDEX('SCORING MASTER'!$D$45:$D$47,MATCH('STUDENT SCREENING'!AG39,'SCORING MASTER'!$C$45:$C$47,0)),""))</f>
        <v/>
      </c>
      <c r="AI39" s="58" t="str">
        <f aca="false">IF('STUDENT SCREENING'!AH39="","",IFERROR(INDEX('SCORING MASTER'!$D$49:$D$52,MATCH('STUDENT SCREENING'!AH39,'SCORING MASTER'!$C$49:$C$52,0)),""))</f>
        <v/>
      </c>
      <c r="AJ39" s="58" t="str">
        <f aca="false">IF('STUDENT SCREENING'!AI39="","",IFERROR(INDEX('SCORING MASTER'!$D$54:$D$57,MATCH('STUDENT SCREENING'!AI39,'SCORING MASTER'!$C$54:$C$57,0)),""))</f>
        <v/>
      </c>
      <c r="AK39" s="58" t="str">
        <f aca="false">IF('STUDENT SCREENING'!AJ39="","",IFERROR(INDEX('SCORING MASTER'!$D$59:$D$60,MATCH('STUDENT SCREENING'!AJ39,'SCORING MASTER'!$C$59:$C$60,0)),""))</f>
        <v/>
      </c>
      <c r="AL39" s="58" t="str">
        <f aca="false">IF('STUDENT SCREENING'!AK39="","",IFERROR(INDEX('SCORING MASTER'!$D$62:$D$63,MATCH('STUDENT SCREENING'!AK39,'SCORING MASTER'!$C$62:$C$63,0)),""))</f>
        <v/>
      </c>
      <c r="AM39" s="58" t="str">
        <f aca="false">IF('STUDENT SCREENING'!AL39="","",IFERROR(INDEX('SCORING MASTER'!$D$65:$D$66,MATCH('STUDENT SCREENING'!AL39,'SCORING MASTER'!$C$65:$C$66,0)),""))</f>
        <v/>
      </c>
      <c r="AN39" s="58" t="str">
        <f aca="false">IF('STUDENT SCREENING'!AM39="","",IFERROR(INDEX('SCORING MASTER'!$D$68:$D$69,MATCH('STUDENT SCREENING'!AM39,'SCORING MASTER'!$C$68:$C$69,0)),""))</f>
        <v/>
      </c>
      <c r="AO39" s="58" t="str">
        <f aca="false">IF('STUDENT SCREENING'!AN39="","",IFERROR(INDEX('SCORING MASTER'!$D$71:$D$72,MATCH('STUDENT SCREENING'!AN39,'SCORING MASTER'!$C$71:$C$72,0)),""))</f>
        <v/>
      </c>
      <c r="AP39" s="58" t="str">
        <f aca="false">IF('STUDENT SCREENING'!AO39="","",IFERROR(INDEX('SCORING MASTER'!$D$74:$D$75,MATCH('STUDENT SCREENING'!AO39,'SCORING MASTER'!$C$74:$C$75,0)),""))</f>
        <v/>
      </c>
      <c r="AQ39" s="58" t="str">
        <f aca="false">IF('STUDENT SCREENING'!AP39="","",IFERROR(INDEX('SCORING MASTER'!$D$77:$D$78,MATCH('STUDENT SCREENING'!AP39,'SCORING MASTER'!$C$77:$C$78,0)),""))</f>
        <v/>
      </c>
      <c r="AR39" s="58" t="str">
        <f aca="false">IF('STUDENT SCREENING'!AQ39="","",IFERROR(INDEX('SCORING MASTER'!$D$80:$D$82,MATCH('STUDENT SCREENING'!AQ39,'SCORING MASTER'!$C$80:$C$82,0)),""))</f>
        <v/>
      </c>
      <c r="AS39" s="58" t="str">
        <f aca="false">IF('STUDENT SCREENING'!AR39="","",IFERROR(INDEX('SCORING MASTER'!$D$84:$D$86,MATCH('STUDENT SCREENING'!AR39,'SCORING MASTER'!$C$84:$C$86,0)),""))</f>
        <v/>
      </c>
      <c r="AT39" s="58" t="str">
        <f aca="false">IF('STUDENT SCREENING'!AS39="","",IFERROR(INDEX('SCORING MASTER'!$D$88:$D$90,MATCH('STUDENT SCREENING'!AS39,'SCORING MASTER'!$C$88:$C$90,0)),""))</f>
        <v/>
      </c>
      <c r="AU39" s="58" t="str">
        <f aca="false">IF('STUDENT SCREENING'!AT39="","",IFERROR(INDEX('SCORING MASTER'!$D$92:$D$93,MATCH('STUDENT SCREENING'!AT39,'SCORING MASTER'!$C$92:$C$93,0)),""))</f>
        <v/>
      </c>
      <c r="AV39" s="58" t="str">
        <f aca="false">IF('STUDENT SCREENING'!AU39="","",IFERROR(INDEX('SCORING MASTER'!$D$95:$D$96,MATCH('STUDENT SCREENING'!AU39,'SCORING MASTER'!$C$95:$C$96,0)),""))</f>
        <v/>
      </c>
      <c r="AW39" s="58" t="str">
        <f aca="false">IF('STUDENT SCREENING'!AV39="","",IFERROR(INDEX('SCORING MASTER'!$D$98:$D$99,MATCH('STUDENT SCREENING'!AV39,'SCORING MASTER'!$C$98:$C$99,0)),""))</f>
        <v/>
      </c>
      <c r="AX39" s="58" t="str">
        <f aca="false">IF('STUDENT SCREENING'!AW39="","",IFERROR(INDEX('SCORING MASTER'!$D$101:$D$102,MATCH('STUDENT SCREENING'!AW39,'SCORING MASTER'!$C$101:$C$102,0)),""))</f>
        <v/>
      </c>
      <c r="AY39" s="58" t="str">
        <f aca="false">IF('STUDENT SCREENING'!AX39="","",IFERROR(INDEX('SCORING MASTER'!$D$104:$D$105,MATCH('STUDENT SCREENING'!AX39,'SCORING MASTER'!$C$104:$C$105,0)),""))</f>
        <v/>
      </c>
      <c r="AZ39" s="58" t="str">
        <f aca="false">IF('STUDENT SCREENING'!AY39="","",IFERROR(INDEX('SCORING MASTER'!$D$107:$D$108,MATCH('STUDENT SCREENING'!AY39,'SCORING MASTER'!$C$107:$C$108,0)),""))</f>
        <v/>
      </c>
      <c r="BA39" s="58" t="str">
        <f aca="false">IF('STUDENT SCREENING'!AZ39="","",IFERROR(INDEX('SCORING MASTER'!$D$110:$D$111,MATCH('STUDENT SCREENING'!AZ39,'SCORING MASTER'!$C$110:$C$111,0)),""))</f>
        <v/>
      </c>
      <c r="BB39" s="58" t="str">
        <f aca="false">IF('STUDENT SCREENING'!BA39="","",IFERROR(INDEX('SCORING MASTER'!$D$113:$D$115,MATCH('STUDENT SCREENING'!BA39,'SCORING MASTER'!$C$113:$C$115,0)),""))</f>
        <v/>
      </c>
      <c r="BC39" s="58" t="str">
        <f aca="false">IF('STUDENT SCREENING'!BB39="","",IFERROR(INDEX('SCORING MASTER'!$D$117:$D$119,MATCH('STUDENT SCREENING'!BB39,'SCORING MASTER'!$C$117:$C$119,0)),""))</f>
        <v/>
      </c>
      <c r="BD39" s="58" t="str">
        <f aca="false">IF('STUDENT SCREENING'!BC39="","",IFERROR(INDEX('SCORING MASTER'!$D$121:$D$123,MATCH('STUDENT SCREENING'!BC39,'SCORING MASTER'!$C$121:$C$123,0)),""))</f>
        <v/>
      </c>
      <c r="BE39" s="58" t="str">
        <f aca="false">IF('STUDENT SCREENING'!BD39="","",IFERROR(INDEX('SCORING MASTER'!$D$125:$D$126,MATCH('STUDENT SCREENING'!BD39,'SCORING MASTER'!$C$125:$C$126,0)),""))</f>
        <v/>
      </c>
      <c r="BF39" s="58" t="str">
        <f aca="false">IF('STUDENT SCREENING'!BE39="","",IFERROR(INDEX('SCORING MASTER'!$D$128:$D$129,MATCH('STUDENT SCREENING'!BE39,'SCORING MASTER'!$C$128:$C$129,0)),""))</f>
        <v/>
      </c>
      <c r="BG39" s="58" t="str">
        <f aca="false">IF('STUDENT SCREENING'!BP39="","",IFERROR(MATCH('STUDENT SCREENING'!BP39,{"Red - High Risk","Orange - Moderate Risk","Yellow - Mild Risk","Light Green - Mild Watch","Green - Healthy"},0)-1,""))</f>
        <v/>
      </c>
      <c r="BH39" s="58" t="str">
        <f aca="false">IF('STUDENT SCREENING'!BQ39="","",IF('STUDENT SCREENING'!BQ39="Yes",1,0))</f>
        <v/>
      </c>
      <c r="BI39" s="58" t="str">
        <f aca="false">IF('STUDENT SCREENING'!BR39="","",IF('STUDENT SCREENING'!BR39="Yes",1,0))</f>
        <v/>
      </c>
    </row>
    <row r="40" customFormat="false" ht="15" hidden="false" customHeight="false" outlineLevel="0" collapsed="false">
      <c r="A40" s="57" t="str">
        <f aca="false">'STUDENT SCREENING'!A40</f>
        <v/>
      </c>
      <c r="B40" s="57" t="n">
        <f aca="false">'STUDENT SCREENING'!C40</f>
        <v>0</v>
      </c>
      <c r="C40" s="57" t="n">
        <f aca="false">'STUDENT SCREENING'!D40</f>
        <v>0</v>
      </c>
      <c r="D40" s="57" t="n">
        <f aca="false">'STUDENT SCREENING'!E40</f>
        <v>0</v>
      </c>
      <c r="E40" s="57" t="n">
        <f aca="false">'STUDENT SCREENING'!F40</f>
        <v>0</v>
      </c>
      <c r="F40" s="57" t="n">
        <f aca="false">'STUDENT SCREENING'!K40</f>
        <v>0</v>
      </c>
      <c r="G40" s="57" t="n">
        <f aca="false">'STUDENT SCREENING'!J40</f>
        <v>0</v>
      </c>
      <c r="H40" s="57" t="str">
        <f aca="false">IF('STUDENT SCREENING'!K40="","",IFERROR(MATCH('STUDENT SCREENING'!K40,Adm_Gender,0),""))</f>
        <v/>
      </c>
      <c r="I40" s="57" t="n">
        <f aca="false">'STUDENT SCREENING'!Q40</f>
        <v>0</v>
      </c>
      <c r="J40" s="57" t="n">
        <f aca="false">'STUDENT SCREENING'!R40</f>
        <v>0</v>
      </c>
      <c r="K40" s="57" t="str">
        <f aca="false">'STUDENT SCREENING'!S40</f>
        <v/>
      </c>
      <c r="L40" s="57" t="n">
        <f aca="false">'STUDENT SCREENING'!U40</f>
        <v>0</v>
      </c>
      <c r="M40" s="57" t="n">
        <f aca="false">'STUDENT SCREENING'!V40</f>
        <v>0</v>
      </c>
      <c r="N40" s="57" t="str">
        <f aca="false">'STUDENT SCREENING'!BF40</f>
        <v/>
      </c>
      <c r="O40" s="57" t="str">
        <f aca="false">'STUDENT SCREENING'!BG40</f>
        <v/>
      </c>
      <c r="P40" s="57" t="str">
        <f aca="false">'STUDENT SCREENING'!BH40</f>
        <v/>
      </c>
      <c r="Q40" s="57" t="str">
        <f aca="false">'STUDENT SCREENING'!BI40</f>
        <v/>
      </c>
      <c r="R40" s="57" t="str">
        <f aca="false">'STUDENT SCREENING'!BJ40</f>
        <v/>
      </c>
      <c r="S40" s="57" t="str">
        <f aca="false">'STUDENT SCREENING'!BK40</f>
        <v/>
      </c>
      <c r="T40" s="57" t="str">
        <f aca="false">'STUDENT SCREENING'!BL40</f>
        <v/>
      </c>
      <c r="U40" s="57" t="str">
        <f aca="false">'STUDENT SCREENING'!BM40</f>
        <v/>
      </c>
      <c r="V40" s="57" t="str">
        <f aca="false">'STUDENT SCREENING'!BN40</f>
        <v/>
      </c>
      <c r="W40" s="57" t="str">
        <f aca="false">'STUDENT SCREENING'!BO40</f>
        <v/>
      </c>
      <c r="X40" s="57" t="str">
        <f aca="false">IF('STUDENT SCREENING'!W40="","",IFERROR(INDEX('SCORING MASTER'!$D$5:$D$7,MATCH('STUDENT SCREENING'!W40,'SCORING MASTER'!$C$5:$C$7,0)),""))</f>
        <v/>
      </c>
      <c r="Y40" s="57" t="str">
        <f aca="false">IF('STUDENT SCREENING'!X40="","",IFERROR(INDEX('SCORING MASTER'!$D$9:$D$11,MATCH('STUDENT SCREENING'!X40,'SCORING MASTER'!$C$9:$C$11,0)),""))</f>
        <v/>
      </c>
      <c r="Z40" s="57" t="str">
        <f aca="false">IF('STUDENT SCREENING'!Y40="","",IFERROR(INDEX('SCORING MASTER'!$D$13:$D$15,MATCH('STUDENT SCREENING'!Y40,'SCORING MASTER'!$C$13:$C$15,0)),""))</f>
        <v/>
      </c>
      <c r="AA40" s="57" t="str">
        <f aca="false">IF('STUDENT SCREENING'!Z40="","",IFERROR(INDEX('SCORING MASTER'!$D$17:$D$19,MATCH('STUDENT SCREENING'!Z40,'SCORING MASTER'!$C$17:$C$19,0)),""))</f>
        <v/>
      </c>
      <c r="AB40" s="57" t="str">
        <f aca="false">IF('STUDENT SCREENING'!AA40="","",IFERROR(INDEX('SCORING MASTER'!$D$21:$D$23,MATCH('STUDENT SCREENING'!AA40,'SCORING MASTER'!$C$21:$C$23,0)),""))</f>
        <v/>
      </c>
      <c r="AC40" s="57" t="str">
        <f aca="false">IF('STUDENT SCREENING'!AB40="","",IFERROR(INDEX('SCORING MASTER'!$D$25:$D$27,MATCH('STUDENT SCREENING'!AB40,'SCORING MASTER'!$C$25:$C$27,0)),""))</f>
        <v/>
      </c>
      <c r="AD40" s="57" t="str">
        <f aca="false">IF('STUDENT SCREENING'!AC40="","",IFERROR(INDEX('SCORING MASTER'!$D$29:$D$31,MATCH('STUDENT SCREENING'!AC40,'SCORING MASTER'!$C$29:$C$31,0)),""))</f>
        <v/>
      </c>
      <c r="AE40" s="57" t="str">
        <f aca="false">IF('STUDENT SCREENING'!AD40="","",IFERROR(INDEX('SCORING MASTER'!$D$33:$D$35,MATCH('STUDENT SCREENING'!AD40,'SCORING MASTER'!$C$33:$C$35,0)),""))</f>
        <v/>
      </c>
      <c r="AF40" s="57" t="str">
        <f aca="false">IF('STUDENT SCREENING'!AE40="","",IFERROR(INDEX('SCORING MASTER'!$D$37:$D$39,MATCH('STUDENT SCREENING'!AE40,'SCORING MASTER'!$C$37:$C$39,0)),""))</f>
        <v/>
      </c>
      <c r="AG40" s="57" t="str">
        <f aca="false">IF('STUDENT SCREENING'!AF40="","",IFERROR(INDEX('SCORING MASTER'!$D$41:$D$43,MATCH('STUDENT SCREENING'!AF40,'SCORING MASTER'!$C$41:$C$43,0)),""))</f>
        <v/>
      </c>
      <c r="AH40" s="57" t="str">
        <f aca="false">IF('STUDENT SCREENING'!AG40="","",IFERROR(INDEX('SCORING MASTER'!$D$45:$D$47,MATCH('STUDENT SCREENING'!AG40,'SCORING MASTER'!$C$45:$C$47,0)),""))</f>
        <v/>
      </c>
      <c r="AI40" s="57" t="str">
        <f aca="false">IF('STUDENT SCREENING'!AH40="","",IFERROR(INDEX('SCORING MASTER'!$D$49:$D$52,MATCH('STUDENT SCREENING'!AH40,'SCORING MASTER'!$C$49:$C$52,0)),""))</f>
        <v/>
      </c>
      <c r="AJ40" s="57" t="str">
        <f aca="false">IF('STUDENT SCREENING'!AI40="","",IFERROR(INDEX('SCORING MASTER'!$D$54:$D$57,MATCH('STUDENT SCREENING'!AI40,'SCORING MASTER'!$C$54:$C$57,0)),""))</f>
        <v/>
      </c>
      <c r="AK40" s="57" t="str">
        <f aca="false">IF('STUDENT SCREENING'!AJ40="","",IFERROR(INDEX('SCORING MASTER'!$D$59:$D$60,MATCH('STUDENT SCREENING'!AJ40,'SCORING MASTER'!$C$59:$C$60,0)),""))</f>
        <v/>
      </c>
      <c r="AL40" s="57" t="str">
        <f aca="false">IF('STUDENT SCREENING'!AK40="","",IFERROR(INDEX('SCORING MASTER'!$D$62:$D$63,MATCH('STUDENT SCREENING'!AK40,'SCORING MASTER'!$C$62:$C$63,0)),""))</f>
        <v/>
      </c>
      <c r="AM40" s="57" t="str">
        <f aca="false">IF('STUDENT SCREENING'!AL40="","",IFERROR(INDEX('SCORING MASTER'!$D$65:$D$66,MATCH('STUDENT SCREENING'!AL40,'SCORING MASTER'!$C$65:$C$66,0)),""))</f>
        <v/>
      </c>
      <c r="AN40" s="57" t="str">
        <f aca="false">IF('STUDENT SCREENING'!AM40="","",IFERROR(INDEX('SCORING MASTER'!$D$68:$D$69,MATCH('STUDENT SCREENING'!AM40,'SCORING MASTER'!$C$68:$C$69,0)),""))</f>
        <v/>
      </c>
      <c r="AO40" s="57" t="str">
        <f aca="false">IF('STUDENT SCREENING'!AN40="","",IFERROR(INDEX('SCORING MASTER'!$D$71:$D$72,MATCH('STUDENT SCREENING'!AN40,'SCORING MASTER'!$C$71:$C$72,0)),""))</f>
        <v/>
      </c>
      <c r="AP40" s="57" t="str">
        <f aca="false">IF('STUDENT SCREENING'!AO40="","",IFERROR(INDEX('SCORING MASTER'!$D$74:$D$75,MATCH('STUDENT SCREENING'!AO40,'SCORING MASTER'!$C$74:$C$75,0)),""))</f>
        <v/>
      </c>
      <c r="AQ40" s="57" t="str">
        <f aca="false">IF('STUDENT SCREENING'!AP40="","",IFERROR(INDEX('SCORING MASTER'!$D$77:$D$78,MATCH('STUDENT SCREENING'!AP40,'SCORING MASTER'!$C$77:$C$78,0)),""))</f>
        <v/>
      </c>
      <c r="AR40" s="57" t="str">
        <f aca="false">IF('STUDENT SCREENING'!AQ40="","",IFERROR(INDEX('SCORING MASTER'!$D$80:$D$82,MATCH('STUDENT SCREENING'!AQ40,'SCORING MASTER'!$C$80:$C$82,0)),""))</f>
        <v/>
      </c>
      <c r="AS40" s="57" t="str">
        <f aca="false">IF('STUDENT SCREENING'!AR40="","",IFERROR(INDEX('SCORING MASTER'!$D$84:$D$86,MATCH('STUDENT SCREENING'!AR40,'SCORING MASTER'!$C$84:$C$86,0)),""))</f>
        <v/>
      </c>
      <c r="AT40" s="57" t="str">
        <f aca="false">IF('STUDENT SCREENING'!AS40="","",IFERROR(INDEX('SCORING MASTER'!$D$88:$D$90,MATCH('STUDENT SCREENING'!AS40,'SCORING MASTER'!$C$88:$C$90,0)),""))</f>
        <v/>
      </c>
      <c r="AU40" s="57" t="str">
        <f aca="false">IF('STUDENT SCREENING'!AT40="","",IFERROR(INDEX('SCORING MASTER'!$D$92:$D$93,MATCH('STUDENT SCREENING'!AT40,'SCORING MASTER'!$C$92:$C$93,0)),""))</f>
        <v/>
      </c>
      <c r="AV40" s="57" t="str">
        <f aca="false">IF('STUDENT SCREENING'!AU40="","",IFERROR(INDEX('SCORING MASTER'!$D$95:$D$96,MATCH('STUDENT SCREENING'!AU40,'SCORING MASTER'!$C$95:$C$96,0)),""))</f>
        <v/>
      </c>
      <c r="AW40" s="57" t="str">
        <f aca="false">IF('STUDENT SCREENING'!AV40="","",IFERROR(INDEX('SCORING MASTER'!$D$98:$D$99,MATCH('STUDENT SCREENING'!AV40,'SCORING MASTER'!$C$98:$C$99,0)),""))</f>
        <v/>
      </c>
      <c r="AX40" s="57" t="str">
        <f aca="false">IF('STUDENT SCREENING'!AW40="","",IFERROR(INDEX('SCORING MASTER'!$D$101:$D$102,MATCH('STUDENT SCREENING'!AW40,'SCORING MASTER'!$C$101:$C$102,0)),""))</f>
        <v/>
      </c>
      <c r="AY40" s="57" t="str">
        <f aca="false">IF('STUDENT SCREENING'!AX40="","",IFERROR(INDEX('SCORING MASTER'!$D$104:$D$105,MATCH('STUDENT SCREENING'!AX40,'SCORING MASTER'!$C$104:$C$105,0)),""))</f>
        <v/>
      </c>
      <c r="AZ40" s="57" t="str">
        <f aca="false">IF('STUDENT SCREENING'!AY40="","",IFERROR(INDEX('SCORING MASTER'!$D$107:$D$108,MATCH('STUDENT SCREENING'!AY40,'SCORING MASTER'!$C$107:$C$108,0)),""))</f>
        <v/>
      </c>
      <c r="BA40" s="57" t="str">
        <f aca="false">IF('STUDENT SCREENING'!AZ40="","",IFERROR(INDEX('SCORING MASTER'!$D$110:$D$111,MATCH('STUDENT SCREENING'!AZ40,'SCORING MASTER'!$C$110:$C$111,0)),""))</f>
        <v/>
      </c>
      <c r="BB40" s="57" t="str">
        <f aca="false">IF('STUDENT SCREENING'!BA40="","",IFERROR(INDEX('SCORING MASTER'!$D$113:$D$115,MATCH('STUDENT SCREENING'!BA40,'SCORING MASTER'!$C$113:$C$115,0)),""))</f>
        <v/>
      </c>
      <c r="BC40" s="57" t="str">
        <f aca="false">IF('STUDENT SCREENING'!BB40="","",IFERROR(INDEX('SCORING MASTER'!$D$117:$D$119,MATCH('STUDENT SCREENING'!BB40,'SCORING MASTER'!$C$117:$C$119,0)),""))</f>
        <v/>
      </c>
      <c r="BD40" s="57" t="str">
        <f aca="false">IF('STUDENT SCREENING'!BC40="","",IFERROR(INDEX('SCORING MASTER'!$D$121:$D$123,MATCH('STUDENT SCREENING'!BC40,'SCORING MASTER'!$C$121:$C$123,0)),""))</f>
        <v/>
      </c>
      <c r="BE40" s="57" t="str">
        <f aca="false">IF('STUDENT SCREENING'!BD40="","",IFERROR(INDEX('SCORING MASTER'!$D$125:$D$126,MATCH('STUDENT SCREENING'!BD40,'SCORING MASTER'!$C$125:$C$126,0)),""))</f>
        <v/>
      </c>
      <c r="BF40" s="57" t="str">
        <f aca="false">IF('STUDENT SCREENING'!BE40="","",IFERROR(INDEX('SCORING MASTER'!$D$128:$D$129,MATCH('STUDENT SCREENING'!BE40,'SCORING MASTER'!$C$128:$C$129,0)),""))</f>
        <v/>
      </c>
      <c r="BG40" s="57" t="str">
        <f aca="false">IF('STUDENT SCREENING'!BP40="","",IFERROR(MATCH('STUDENT SCREENING'!BP40,{"Red - High Risk","Orange - Moderate Risk","Yellow - Mild Risk","Light Green - Mild Watch","Green - Healthy"},0)-1,""))</f>
        <v/>
      </c>
      <c r="BH40" s="57" t="str">
        <f aca="false">IF('STUDENT SCREENING'!BQ40="","",IF('STUDENT SCREENING'!BQ40="Yes",1,0))</f>
        <v/>
      </c>
      <c r="BI40" s="57" t="str">
        <f aca="false">IF('STUDENT SCREENING'!BR40="","",IF('STUDENT SCREENING'!BR40="Yes",1,0))</f>
        <v/>
      </c>
    </row>
    <row r="41" customFormat="false" ht="15" hidden="false" customHeight="false" outlineLevel="0" collapsed="false">
      <c r="A41" s="58" t="str">
        <f aca="false">'STUDENT SCREENING'!A41</f>
        <v/>
      </c>
      <c r="B41" s="58" t="n">
        <f aca="false">'STUDENT SCREENING'!C41</f>
        <v>0</v>
      </c>
      <c r="C41" s="58" t="n">
        <f aca="false">'STUDENT SCREENING'!D41</f>
        <v>0</v>
      </c>
      <c r="D41" s="58" t="n">
        <f aca="false">'STUDENT SCREENING'!E41</f>
        <v>0</v>
      </c>
      <c r="E41" s="58" t="n">
        <f aca="false">'STUDENT SCREENING'!F41</f>
        <v>0</v>
      </c>
      <c r="F41" s="58" t="n">
        <f aca="false">'STUDENT SCREENING'!K41</f>
        <v>0</v>
      </c>
      <c r="G41" s="58" t="n">
        <f aca="false">'STUDENT SCREENING'!J41</f>
        <v>0</v>
      </c>
      <c r="H41" s="58" t="str">
        <f aca="false">IF('STUDENT SCREENING'!K41="","",IFERROR(MATCH('STUDENT SCREENING'!K41,Adm_Gender,0),""))</f>
        <v/>
      </c>
      <c r="I41" s="58" t="n">
        <f aca="false">'STUDENT SCREENING'!Q41</f>
        <v>0</v>
      </c>
      <c r="J41" s="58" t="n">
        <f aca="false">'STUDENT SCREENING'!R41</f>
        <v>0</v>
      </c>
      <c r="K41" s="58" t="str">
        <f aca="false">'STUDENT SCREENING'!S41</f>
        <v/>
      </c>
      <c r="L41" s="58" t="n">
        <f aca="false">'STUDENT SCREENING'!U41</f>
        <v>0</v>
      </c>
      <c r="M41" s="58" t="n">
        <f aca="false">'STUDENT SCREENING'!V41</f>
        <v>0</v>
      </c>
      <c r="N41" s="58" t="str">
        <f aca="false">'STUDENT SCREENING'!BF41</f>
        <v/>
      </c>
      <c r="O41" s="58" t="str">
        <f aca="false">'STUDENT SCREENING'!BG41</f>
        <v/>
      </c>
      <c r="P41" s="58" t="str">
        <f aca="false">'STUDENT SCREENING'!BH41</f>
        <v/>
      </c>
      <c r="Q41" s="58" t="str">
        <f aca="false">'STUDENT SCREENING'!BI41</f>
        <v/>
      </c>
      <c r="R41" s="58" t="str">
        <f aca="false">'STUDENT SCREENING'!BJ41</f>
        <v/>
      </c>
      <c r="S41" s="58" t="str">
        <f aca="false">'STUDENT SCREENING'!BK41</f>
        <v/>
      </c>
      <c r="T41" s="58" t="str">
        <f aca="false">'STUDENT SCREENING'!BL41</f>
        <v/>
      </c>
      <c r="U41" s="58" t="str">
        <f aca="false">'STUDENT SCREENING'!BM41</f>
        <v/>
      </c>
      <c r="V41" s="58" t="str">
        <f aca="false">'STUDENT SCREENING'!BN41</f>
        <v/>
      </c>
      <c r="W41" s="58" t="str">
        <f aca="false">'STUDENT SCREENING'!BO41</f>
        <v/>
      </c>
      <c r="X41" s="58" t="str">
        <f aca="false">IF('STUDENT SCREENING'!W41="","",IFERROR(INDEX('SCORING MASTER'!$D$5:$D$7,MATCH('STUDENT SCREENING'!W41,'SCORING MASTER'!$C$5:$C$7,0)),""))</f>
        <v/>
      </c>
      <c r="Y41" s="58" t="str">
        <f aca="false">IF('STUDENT SCREENING'!X41="","",IFERROR(INDEX('SCORING MASTER'!$D$9:$D$11,MATCH('STUDENT SCREENING'!X41,'SCORING MASTER'!$C$9:$C$11,0)),""))</f>
        <v/>
      </c>
      <c r="Z41" s="58" t="str">
        <f aca="false">IF('STUDENT SCREENING'!Y41="","",IFERROR(INDEX('SCORING MASTER'!$D$13:$D$15,MATCH('STUDENT SCREENING'!Y41,'SCORING MASTER'!$C$13:$C$15,0)),""))</f>
        <v/>
      </c>
      <c r="AA41" s="58" t="str">
        <f aca="false">IF('STUDENT SCREENING'!Z41="","",IFERROR(INDEX('SCORING MASTER'!$D$17:$D$19,MATCH('STUDENT SCREENING'!Z41,'SCORING MASTER'!$C$17:$C$19,0)),""))</f>
        <v/>
      </c>
      <c r="AB41" s="58" t="str">
        <f aca="false">IF('STUDENT SCREENING'!AA41="","",IFERROR(INDEX('SCORING MASTER'!$D$21:$D$23,MATCH('STUDENT SCREENING'!AA41,'SCORING MASTER'!$C$21:$C$23,0)),""))</f>
        <v/>
      </c>
      <c r="AC41" s="58" t="str">
        <f aca="false">IF('STUDENT SCREENING'!AB41="","",IFERROR(INDEX('SCORING MASTER'!$D$25:$D$27,MATCH('STUDENT SCREENING'!AB41,'SCORING MASTER'!$C$25:$C$27,0)),""))</f>
        <v/>
      </c>
      <c r="AD41" s="58" t="str">
        <f aca="false">IF('STUDENT SCREENING'!AC41="","",IFERROR(INDEX('SCORING MASTER'!$D$29:$D$31,MATCH('STUDENT SCREENING'!AC41,'SCORING MASTER'!$C$29:$C$31,0)),""))</f>
        <v/>
      </c>
      <c r="AE41" s="58" t="str">
        <f aca="false">IF('STUDENT SCREENING'!AD41="","",IFERROR(INDEX('SCORING MASTER'!$D$33:$D$35,MATCH('STUDENT SCREENING'!AD41,'SCORING MASTER'!$C$33:$C$35,0)),""))</f>
        <v/>
      </c>
      <c r="AF41" s="58" t="str">
        <f aca="false">IF('STUDENT SCREENING'!AE41="","",IFERROR(INDEX('SCORING MASTER'!$D$37:$D$39,MATCH('STUDENT SCREENING'!AE41,'SCORING MASTER'!$C$37:$C$39,0)),""))</f>
        <v/>
      </c>
      <c r="AG41" s="58" t="str">
        <f aca="false">IF('STUDENT SCREENING'!AF41="","",IFERROR(INDEX('SCORING MASTER'!$D$41:$D$43,MATCH('STUDENT SCREENING'!AF41,'SCORING MASTER'!$C$41:$C$43,0)),""))</f>
        <v/>
      </c>
      <c r="AH41" s="58" t="str">
        <f aca="false">IF('STUDENT SCREENING'!AG41="","",IFERROR(INDEX('SCORING MASTER'!$D$45:$D$47,MATCH('STUDENT SCREENING'!AG41,'SCORING MASTER'!$C$45:$C$47,0)),""))</f>
        <v/>
      </c>
      <c r="AI41" s="58" t="str">
        <f aca="false">IF('STUDENT SCREENING'!AH41="","",IFERROR(INDEX('SCORING MASTER'!$D$49:$D$52,MATCH('STUDENT SCREENING'!AH41,'SCORING MASTER'!$C$49:$C$52,0)),""))</f>
        <v/>
      </c>
      <c r="AJ41" s="58" t="str">
        <f aca="false">IF('STUDENT SCREENING'!AI41="","",IFERROR(INDEX('SCORING MASTER'!$D$54:$D$57,MATCH('STUDENT SCREENING'!AI41,'SCORING MASTER'!$C$54:$C$57,0)),""))</f>
        <v/>
      </c>
      <c r="AK41" s="58" t="str">
        <f aca="false">IF('STUDENT SCREENING'!AJ41="","",IFERROR(INDEX('SCORING MASTER'!$D$59:$D$60,MATCH('STUDENT SCREENING'!AJ41,'SCORING MASTER'!$C$59:$C$60,0)),""))</f>
        <v/>
      </c>
      <c r="AL41" s="58" t="str">
        <f aca="false">IF('STUDENT SCREENING'!AK41="","",IFERROR(INDEX('SCORING MASTER'!$D$62:$D$63,MATCH('STUDENT SCREENING'!AK41,'SCORING MASTER'!$C$62:$C$63,0)),""))</f>
        <v/>
      </c>
      <c r="AM41" s="58" t="str">
        <f aca="false">IF('STUDENT SCREENING'!AL41="","",IFERROR(INDEX('SCORING MASTER'!$D$65:$D$66,MATCH('STUDENT SCREENING'!AL41,'SCORING MASTER'!$C$65:$C$66,0)),""))</f>
        <v/>
      </c>
      <c r="AN41" s="58" t="str">
        <f aca="false">IF('STUDENT SCREENING'!AM41="","",IFERROR(INDEX('SCORING MASTER'!$D$68:$D$69,MATCH('STUDENT SCREENING'!AM41,'SCORING MASTER'!$C$68:$C$69,0)),""))</f>
        <v/>
      </c>
      <c r="AO41" s="58" t="str">
        <f aca="false">IF('STUDENT SCREENING'!AN41="","",IFERROR(INDEX('SCORING MASTER'!$D$71:$D$72,MATCH('STUDENT SCREENING'!AN41,'SCORING MASTER'!$C$71:$C$72,0)),""))</f>
        <v/>
      </c>
      <c r="AP41" s="58" t="str">
        <f aca="false">IF('STUDENT SCREENING'!AO41="","",IFERROR(INDEX('SCORING MASTER'!$D$74:$D$75,MATCH('STUDENT SCREENING'!AO41,'SCORING MASTER'!$C$74:$C$75,0)),""))</f>
        <v/>
      </c>
      <c r="AQ41" s="58" t="str">
        <f aca="false">IF('STUDENT SCREENING'!AP41="","",IFERROR(INDEX('SCORING MASTER'!$D$77:$D$78,MATCH('STUDENT SCREENING'!AP41,'SCORING MASTER'!$C$77:$C$78,0)),""))</f>
        <v/>
      </c>
      <c r="AR41" s="58" t="str">
        <f aca="false">IF('STUDENT SCREENING'!AQ41="","",IFERROR(INDEX('SCORING MASTER'!$D$80:$D$82,MATCH('STUDENT SCREENING'!AQ41,'SCORING MASTER'!$C$80:$C$82,0)),""))</f>
        <v/>
      </c>
      <c r="AS41" s="58" t="str">
        <f aca="false">IF('STUDENT SCREENING'!AR41="","",IFERROR(INDEX('SCORING MASTER'!$D$84:$D$86,MATCH('STUDENT SCREENING'!AR41,'SCORING MASTER'!$C$84:$C$86,0)),""))</f>
        <v/>
      </c>
      <c r="AT41" s="58" t="str">
        <f aca="false">IF('STUDENT SCREENING'!AS41="","",IFERROR(INDEX('SCORING MASTER'!$D$88:$D$90,MATCH('STUDENT SCREENING'!AS41,'SCORING MASTER'!$C$88:$C$90,0)),""))</f>
        <v/>
      </c>
      <c r="AU41" s="58" t="str">
        <f aca="false">IF('STUDENT SCREENING'!AT41="","",IFERROR(INDEX('SCORING MASTER'!$D$92:$D$93,MATCH('STUDENT SCREENING'!AT41,'SCORING MASTER'!$C$92:$C$93,0)),""))</f>
        <v/>
      </c>
      <c r="AV41" s="58" t="str">
        <f aca="false">IF('STUDENT SCREENING'!AU41="","",IFERROR(INDEX('SCORING MASTER'!$D$95:$D$96,MATCH('STUDENT SCREENING'!AU41,'SCORING MASTER'!$C$95:$C$96,0)),""))</f>
        <v/>
      </c>
      <c r="AW41" s="58" t="str">
        <f aca="false">IF('STUDENT SCREENING'!AV41="","",IFERROR(INDEX('SCORING MASTER'!$D$98:$D$99,MATCH('STUDENT SCREENING'!AV41,'SCORING MASTER'!$C$98:$C$99,0)),""))</f>
        <v/>
      </c>
      <c r="AX41" s="58" t="str">
        <f aca="false">IF('STUDENT SCREENING'!AW41="","",IFERROR(INDEX('SCORING MASTER'!$D$101:$D$102,MATCH('STUDENT SCREENING'!AW41,'SCORING MASTER'!$C$101:$C$102,0)),""))</f>
        <v/>
      </c>
      <c r="AY41" s="58" t="str">
        <f aca="false">IF('STUDENT SCREENING'!AX41="","",IFERROR(INDEX('SCORING MASTER'!$D$104:$D$105,MATCH('STUDENT SCREENING'!AX41,'SCORING MASTER'!$C$104:$C$105,0)),""))</f>
        <v/>
      </c>
      <c r="AZ41" s="58" t="str">
        <f aca="false">IF('STUDENT SCREENING'!AY41="","",IFERROR(INDEX('SCORING MASTER'!$D$107:$D$108,MATCH('STUDENT SCREENING'!AY41,'SCORING MASTER'!$C$107:$C$108,0)),""))</f>
        <v/>
      </c>
      <c r="BA41" s="58" t="str">
        <f aca="false">IF('STUDENT SCREENING'!AZ41="","",IFERROR(INDEX('SCORING MASTER'!$D$110:$D$111,MATCH('STUDENT SCREENING'!AZ41,'SCORING MASTER'!$C$110:$C$111,0)),""))</f>
        <v/>
      </c>
      <c r="BB41" s="58" t="str">
        <f aca="false">IF('STUDENT SCREENING'!BA41="","",IFERROR(INDEX('SCORING MASTER'!$D$113:$D$115,MATCH('STUDENT SCREENING'!BA41,'SCORING MASTER'!$C$113:$C$115,0)),""))</f>
        <v/>
      </c>
      <c r="BC41" s="58" t="str">
        <f aca="false">IF('STUDENT SCREENING'!BB41="","",IFERROR(INDEX('SCORING MASTER'!$D$117:$D$119,MATCH('STUDENT SCREENING'!BB41,'SCORING MASTER'!$C$117:$C$119,0)),""))</f>
        <v/>
      </c>
      <c r="BD41" s="58" t="str">
        <f aca="false">IF('STUDENT SCREENING'!BC41="","",IFERROR(INDEX('SCORING MASTER'!$D$121:$D$123,MATCH('STUDENT SCREENING'!BC41,'SCORING MASTER'!$C$121:$C$123,0)),""))</f>
        <v/>
      </c>
      <c r="BE41" s="58" t="str">
        <f aca="false">IF('STUDENT SCREENING'!BD41="","",IFERROR(INDEX('SCORING MASTER'!$D$125:$D$126,MATCH('STUDENT SCREENING'!BD41,'SCORING MASTER'!$C$125:$C$126,0)),""))</f>
        <v/>
      </c>
      <c r="BF41" s="58" t="str">
        <f aca="false">IF('STUDENT SCREENING'!BE41="","",IFERROR(INDEX('SCORING MASTER'!$D$128:$D$129,MATCH('STUDENT SCREENING'!BE41,'SCORING MASTER'!$C$128:$C$129,0)),""))</f>
        <v/>
      </c>
      <c r="BG41" s="58" t="str">
        <f aca="false">IF('STUDENT SCREENING'!BP41="","",IFERROR(MATCH('STUDENT SCREENING'!BP41,{"Red - High Risk","Orange - Moderate Risk","Yellow - Mild Risk","Light Green - Mild Watch","Green - Healthy"},0)-1,""))</f>
        <v/>
      </c>
      <c r="BH41" s="58" t="str">
        <f aca="false">IF('STUDENT SCREENING'!BQ41="","",IF('STUDENT SCREENING'!BQ41="Yes",1,0))</f>
        <v/>
      </c>
      <c r="BI41" s="58" t="str">
        <f aca="false">IF('STUDENT SCREENING'!BR41="","",IF('STUDENT SCREENING'!BR41="Yes",1,0))</f>
        <v/>
      </c>
    </row>
    <row r="42" customFormat="false" ht="15" hidden="false" customHeight="false" outlineLevel="0" collapsed="false">
      <c r="A42" s="57" t="str">
        <f aca="false">'STUDENT SCREENING'!A42</f>
        <v/>
      </c>
      <c r="B42" s="57" t="n">
        <f aca="false">'STUDENT SCREENING'!C42</f>
        <v>0</v>
      </c>
      <c r="C42" s="57" t="n">
        <f aca="false">'STUDENT SCREENING'!D42</f>
        <v>0</v>
      </c>
      <c r="D42" s="57" t="n">
        <f aca="false">'STUDENT SCREENING'!E42</f>
        <v>0</v>
      </c>
      <c r="E42" s="57" t="n">
        <f aca="false">'STUDENT SCREENING'!F42</f>
        <v>0</v>
      </c>
      <c r="F42" s="57" t="n">
        <f aca="false">'STUDENT SCREENING'!K42</f>
        <v>0</v>
      </c>
      <c r="G42" s="57" t="n">
        <f aca="false">'STUDENT SCREENING'!J42</f>
        <v>0</v>
      </c>
      <c r="H42" s="57" t="str">
        <f aca="false">IF('STUDENT SCREENING'!K42="","",IFERROR(MATCH('STUDENT SCREENING'!K42,Adm_Gender,0),""))</f>
        <v/>
      </c>
      <c r="I42" s="57" t="n">
        <f aca="false">'STUDENT SCREENING'!Q42</f>
        <v>0</v>
      </c>
      <c r="J42" s="57" t="n">
        <f aca="false">'STUDENT SCREENING'!R42</f>
        <v>0</v>
      </c>
      <c r="K42" s="57" t="str">
        <f aca="false">'STUDENT SCREENING'!S42</f>
        <v/>
      </c>
      <c r="L42" s="57" t="n">
        <f aca="false">'STUDENT SCREENING'!U42</f>
        <v>0</v>
      </c>
      <c r="M42" s="57" t="n">
        <f aca="false">'STUDENT SCREENING'!V42</f>
        <v>0</v>
      </c>
      <c r="N42" s="57" t="str">
        <f aca="false">'STUDENT SCREENING'!BF42</f>
        <v/>
      </c>
      <c r="O42" s="57" t="str">
        <f aca="false">'STUDENT SCREENING'!BG42</f>
        <v/>
      </c>
      <c r="P42" s="57" t="str">
        <f aca="false">'STUDENT SCREENING'!BH42</f>
        <v/>
      </c>
      <c r="Q42" s="57" t="str">
        <f aca="false">'STUDENT SCREENING'!BI42</f>
        <v/>
      </c>
      <c r="R42" s="57" t="str">
        <f aca="false">'STUDENT SCREENING'!BJ42</f>
        <v/>
      </c>
      <c r="S42" s="57" t="str">
        <f aca="false">'STUDENT SCREENING'!BK42</f>
        <v/>
      </c>
      <c r="T42" s="57" t="str">
        <f aca="false">'STUDENT SCREENING'!BL42</f>
        <v/>
      </c>
      <c r="U42" s="57" t="str">
        <f aca="false">'STUDENT SCREENING'!BM42</f>
        <v/>
      </c>
      <c r="V42" s="57" t="str">
        <f aca="false">'STUDENT SCREENING'!BN42</f>
        <v/>
      </c>
      <c r="W42" s="57" t="str">
        <f aca="false">'STUDENT SCREENING'!BO42</f>
        <v/>
      </c>
      <c r="X42" s="57" t="str">
        <f aca="false">IF('STUDENT SCREENING'!W42="","",IFERROR(INDEX('SCORING MASTER'!$D$5:$D$7,MATCH('STUDENT SCREENING'!W42,'SCORING MASTER'!$C$5:$C$7,0)),""))</f>
        <v/>
      </c>
      <c r="Y42" s="57" t="str">
        <f aca="false">IF('STUDENT SCREENING'!X42="","",IFERROR(INDEX('SCORING MASTER'!$D$9:$D$11,MATCH('STUDENT SCREENING'!X42,'SCORING MASTER'!$C$9:$C$11,0)),""))</f>
        <v/>
      </c>
      <c r="Z42" s="57" t="str">
        <f aca="false">IF('STUDENT SCREENING'!Y42="","",IFERROR(INDEX('SCORING MASTER'!$D$13:$D$15,MATCH('STUDENT SCREENING'!Y42,'SCORING MASTER'!$C$13:$C$15,0)),""))</f>
        <v/>
      </c>
      <c r="AA42" s="57" t="str">
        <f aca="false">IF('STUDENT SCREENING'!Z42="","",IFERROR(INDEX('SCORING MASTER'!$D$17:$D$19,MATCH('STUDENT SCREENING'!Z42,'SCORING MASTER'!$C$17:$C$19,0)),""))</f>
        <v/>
      </c>
      <c r="AB42" s="57" t="str">
        <f aca="false">IF('STUDENT SCREENING'!AA42="","",IFERROR(INDEX('SCORING MASTER'!$D$21:$D$23,MATCH('STUDENT SCREENING'!AA42,'SCORING MASTER'!$C$21:$C$23,0)),""))</f>
        <v/>
      </c>
      <c r="AC42" s="57" t="str">
        <f aca="false">IF('STUDENT SCREENING'!AB42="","",IFERROR(INDEX('SCORING MASTER'!$D$25:$D$27,MATCH('STUDENT SCREENING'!AB42,'SCORING MASTER'!$C$25:$C$27,0)),""))</f>
        <v/>
      </c>
      <c r="AD42" s="57" t="str">
        <f aca="false">IF('STUDENT SCREENING'!AC42="","",IFERROR(INDEX('SCORING MASTER'!$D$29:$D$31,MATCH('STUDENT SCREENING'!AC42,'SCORING MASTER'!$C$29:$C$31,0)),""))</f>
        <v/>
      </c>
      <c r="AE42" s="57" t="str">
        <f aca="false">IF('STUDENT SCREENING'!AD42="","",IFERROR(INDEX('SCORING MASTER'!$D$33:$D$35,MATCH('STUDENT SCREENING'!AD42,'SCORING MASTER'!$C$33:$C$35,0)),""))</f>
        <v/>
      </c>
      <c r="AF42" s="57" t="str">
        <f aca="false">IF('STUDENT SCREENING'!AE42="","",IFERROR(INDEX('SCORING MASTER'!$D$37:$D$39,MATCH('STUDENT SCREENING'!AE42,'SCORING MASTER'!$C$37:$C$39,0)),""))</f>
        <v/>
      </c>
      <c r="AG42" s="57" t="str">
        <f aca="false">IF('STUDENT SCREENING'!AF42="","",IFERROR(INDEX('SCORING MASTER'!$D$41:$D$43,MATCH('STUDENT SCREENING'!AF42,'SCORING MASTER'!$C$41:$C$43,0)),""))</f>
        <v/>
      </c>
      <c r="AH42" s="57" t="str">
        <f aca="false">IF('STUDENT SCREENING'!AG42="","",IFERROR(INDEX('SCORING MASTER'!$D$45:$D$47,MATCH('STUDENT SCREENING'!AG42,'SCORING MASTER'!$C$45:$C$47,0)),""))</f>
        <v/>
      </c>
      <c r="AI42" s="57" t="str">
        <f aca="false">IF('STUDENT SCREENING'!AH42="","",IFERROR(INDEX('SCORING MASTER'!$D$49:$D$52,MATCH('STUDENT SCREENING'!AH42,'SCORING MASTER'!$C$49:$C$52,0)),""))</f>
        <v/>
      </c>
      <c r="AJ42" s="57" t="str">
        <f aca="false">IF('STUDENT SCREENING'!AI42="","",IFERROR(INDEX('SCORING MASTER'!$D$54:$D$57,MATCH('STUDENT SCREENING'!AI42,'SCORING MASTER'!$C$54:$C$57,0)),""))</f>
        <v/>
      </c>
      <c r="AK42" s="57" t="str">
        <f aca="false">IF('STUDENT SCREENING'!AJ42="","",IFERROR(INDEX('SCORING MASTER'!$D$59:$D$60,MATCH('STUDENT SCREENING'!AJ42,'SCORING MASTER'!$C$59:$C$60,0)),""))</f>
        <v/>
      </c>
      <c r="AL42" s="57" t="str">
        <f aca="false">IF('STUDENT SCREENING'!AK42="","",IFERROR(INDEX('SCORING MASTER'!$D$62:$D$63,MATCH('STUDENT SCREENING'!AK42,'SCORING MASTER'!$C$62:$C$63,0)),""))</f>
        <v/>
      </c>
      <c r="AM42" s="57" t="str">
        <f aca="false">IF('STUDENT SCREENING'!AL42="","",IFERROR(INDEX('SCORING MASTER'!$D$65:$D$66,MATCH('STUDENT SCREENING'!AL42,'SCORING MASTER'!$C$65:$C$66,0)),""))</f>
        <v/>
      </c>
      <c r="AN42" s="57" t="str">
        <f aca="false">IF('STUDENT SCREENING'!AM42="","",IFERROR(INDEX('SCORING MASTER'!$D$68:$D$69,MATCH('STUDENT SCREENING'!AM42,'SCORING MASTER'!$C$68:$C$69,0)),""))</f>
        <v/>
      </c>
      <c r="AO42" s="57" t="str">
        <f aca="false">IF('STUDENT SCREENING'!AN42="","",IFERROR(INDEX('SCORING MASTER'!$D$71:$D$72,MATCH('STUDENT SCREENING'!AN42,'SCORING MASTER'!$C$71:$C$72,0)),""))</f>
        <v/>
      </c>
      <c r="AP42" s="57" t="str">
        <f aca="false">IF('STUDENT SCREENING'!AO42="","",IFERROR(INDEX('SCORING MASTER'!$D$74:$D$75,MATCH('STUDENT SCREENING'!AO42,'SCORING MASTER'!$C$74:$C$75,0)),""))</f>
        <v/>
      </c>
      <c r="AQ42" s="57" t="str">
        <f aca="false">IF('STUDENT SCREENING'!AP42="","",IFERROR(INDEX('SCORING MASTER'!$D$77:$D$78,MATCH('STUDENT SCREENING'!AP42,'SCORING MASTER'!$C$77:$C$78,0)),""))</f>
        <v/>
      </c>
      <c r="AR42" s="57" t="str">
        <f aca="false">IF('STUDENT SCREENING'!AQ42="","",IFERROR(INDEX('SCORING MASTER'!$D$80:$D$82,MATCH('STUDENT SCREENING'!AQ42,'SCORING MASTER'!$C$80:$C$82,0)),""))</f>
        <v/>
      </c>
      <c r="AS42" s="57" t="str">
        <f aca="false">IF('STUDENT SCREENING'!AR42="","",IFERROR(INDEX('SCORING MASTER'!$D$84:$D$86,MATCH('STUDENT SCREENING'!AR42,'SCORING MASTER'!$C$84:$C$86,0)),""))</f>
        <v/>
      </c>
      <c r="AT42" s="57" t="str">
        <f aca="false">IF('STUDENT SCREENING'!AS42="","",IFERROR(INDEX('SCORING MASTER'!$D$88:$D$90,MATCH('STUDENT SCREENING'!AS42,'SCORING MASTER'!$C$88:$C$90,0)),""))</f>
        <v/>
      </c>
      <c r="AU42" s="57" t="str">
        <f aca="false">IF('STUDENT SCREENING'!AT42="","",IFERROR(INDEX('SCORING MASTER'!$D$92:$D$93,MATCH('STUDENT SCREENING'!AT42,'SCORING MASTER'!$C$92:$C$93,0)),""))</f>
        <v/>
      </c>
      <c r="AV42" s="57" t="str">
        <f aca="false">IF('STUDENT SCREENING'!AU42="","",IFERROR(INDEX('SCORING MASTER'!$D$95:$D$96,MATCH('STUDENT SCREENING'!AU42,'SCORING MASTER'!$C$95:$C$96,0)),""))</f>
        <v/>
      </c>
      <c r="AW42" s="57" t="str">
        <f aca="false">IF('STUDENT SCREENING'!AV42="","",IFERROR(INDEX('SCORING MASTER'!$D$98:$D$99,MATCH('STUDENT SCREENING'!AV42,'SCORING MASTER'!$C$98:$C$99,0)),""))</f>
        <v/>
      </c>
      <c r="AX42" s="57" t="str">
        <f aca="false">IF('STUDENT SCREENING'!AW42="","",IFERROR(INDEX('SCORING MASTER'!$D$101:$D$102,MATCH('STUDENT SCREENING'!AW42,'SCORING MASTER'!$C$101:$C$102,0)),""))</f>
        <v/>
      </c>
      <c r="AY42" s="57" t="str">
        <f aca="false">IF('STUDENT SCREENING'!AX42="","",IFERROR(INDEX('SCORING MASTER'!$D$104:$D$105,MATCH('STUDENT SCREENING'!AX42,'SCORING MASTER'!$C$104:$C$105,0)),""))</f>
        <v/>
      </c>
      <c r="AZ42" s="57" t="str">
        <f aca="false">IF('STUDENT SCREENING'!AY42="","",IFERROR(INDEX('SCORING MASTER'!$D$107:$D$108,MATCH('STUDENT SCREENING'!AY42,'SCORING MASTER'!$C$107:$C$108,0)),""))</f>
        <v/>
      </c>
      <c r="BA42" s="57" t="str">
        <f aca="false">IF('STUDENT SCREENING'!AZ42="","",IFERROR(INDEX('SCORING MASTER'!$D$110:$D$111,MATCH('STUDENT SCREENING'!AZ42,'SCORING MASTER'!$C$110:$C$111,0)),""))</f>
        <v/>
      </c>
      <c r="BB42" s="57" t="str">
        <f aca="false">IF('STUDENT SCREENING'!BA42="","",IFERROR(INDEX('SCORING MASTER'!$D$113:$D$115,MATCH('STUDENT SCREENING'!BA42,'SCORING MASTER'!$C$113:$C$115,0)),""))</f>
        <v/>
      </c>
      <c r="BC42" s="57" t="str">
        <f aca="false">IF('STUDENT SCREENING'!BB42="","",IFERROR(INDEX('SCORING MASTER'!$D$117:$D$119,MATCH('STUDENT SCREENING'!BB42,'SCORING MASTER'!$C$117:$C$119,0)),""))</f>
        <v/>
      </c>
      <c r="BD42" s="57" t="str">
        <f aca="false">IF('STUDENT SCREENING'!BC42="","",IFERROR(INDEX('SCORING MASTER'!$D$121:$D$123,MATCH('STUDENT SCREENING'!BC42,'SCORING MASTER'!$C$121:$C$123,0)),""))</f>
        <v/>
      </c>
      <c r="BE42" s="57" t="str">
        <f aca="false">IF('STUDENT SCREENING'!BD42="","",IFERROR(INDEX('SCORING MASTER'!$D$125:$D$126,MATCH('STUDENT SCREENING'!BD42,'SCORING MASTER'!$C$125:$C$126,0)),""))</f>
        <v/>
      </c>
      <c r="BF42" s="57" t="str">
        <f aca="false">IF('STUDENT SCREENING'!BE42="","",IFERROR(INDEX('SCORING MASTER'!$D$128:$D$129,MATCH('STUDENT SCREENING'!BE42,'SCORING MASTER'!$C$128:$C$129,0)),""))</f>
        <v/>
      </c>
      <c r="BG42" s="57" t="str">
        <f aca="false">IF('STUDENT SCREENING'!BP42="","",IFERROR(MATCH('STUDENT SCREENING'!BP42,{"Red - High Risk","Orange - Moderate Risk","Yellow - Mild Risk","Light Green - Mild Watch","Green - Healthy"},0)-1,""))</f>
        <v/>
      </c>
      <c r="BH42" s="57" t="str">
        <f aca="false">IF('STUDENT SCREENING'!BQ42="","",IF('STUDENT SCREENING'!BQ42="Yes",1,0))</f>
        <v/>
      </c>
      <c r="BI42" s="57" t="str">
        <f aca="false">IF('STUDENT SCREENING'!BR42="","",IF('STUDENT SCREENING'!BR42="Yes",1,0))</f>
        <v/>
      </c>
    </row>
    <row r="43" customFormat="false" ht="15" hidden="false" customHeight="false" outlineLevel="0" collapsed="false">
      <c r="A43" s="58" t="str">
        <f aca="false">'STUDENT SCREENING'!A43</f>
        <v/>
      </c>
      <c r="B43" s="58" t="n">
        <f aca="false">'STUDENT SCREENING'!C43</f>
        <v>0</v>
      </c>
      <c r="C43" s="58" t="n">
        <f aca="false">'STUDENT SCREENING'!D43</f>
        <v>0</v>
      </c>
      <c r="D43" s="58" t="n">
        <f aca="false">'STUDENT SCREENING'!E43</f>
        <v>0</v>
      </c>
      <c r="E43" s="58" t="n">
        <f aca="false">'STUDENT SCREENING'!F43</f>
        <v>0</v>
      </c>
      <c r="F43" s="58" t="n">
        <f aca="false">'STUDENT SCREENING'!K43</f>
        <v>0</v>
      </c>
      <c r="G43" s="58" t="n">
        <f aca="false">'STUDENT SCREENING'!J43</f>
        <v>0</v>
      </c>
      <c r="H43" s="58" t="str">
        <f aca="false">IF('STUDENT SCREENING'!K43="","",IFERROR(MATCH('STUDENT SCREENING'!K43,Adm_Gender,0),""))</f>
        <v/>
      </c>
      <c r="I43" s="58" t="n">
        <f aca="false">'STUDENT SCREENING'!Q43</f>
        <v>0</v>
      </c>
      <c r="J43" s="58" t="n">
        <f aca="false">'STUDENT SCREENING'!R43</f>
        <v>0</v>
      </c>
      <c r="K43" s="58" t="str">
        <f aca="false">'STUDENT SCREENING'!S43</f>
        <v/>
      </c>
      <c r="L43" s="58" t="n">
        <f aca="false">'STUDENT SCREENING'!U43</f>
        <v>0</v>
      </c>
      <c r="M43" s="58" t="n">
        <f aca="false">'STUDENT SCREENING'!V43</f>
        <v>0</v>
      </c>
      <c r="N43" s="58" t="str">
        <f aca="false">'STUDENT SCREENING'!BF43</f>
        <v/>
      </c>
      <c r="O43" s="58" t="str">
        <f aca="false">'STUDENT SCREENING'!BG43</f>
        <v/>
      </c>
      <c r="P43" s="58" t="str">
        <f aca="false">'STUDENT SCREENING'!BH43</f>
        <v/>
      </c>
      <c r="Q43" s="58" t="str">
        <f aca="false">'STUDENT SCREENING'!BI43</f>
        <v/>
      </c>
      <c r="R43" s="58" t="str">
        <f aca="false">'STUDENT SCREENING'!BJ43</f>
        <v/>
      </c>
      <c r="S43" s="58" t="str">
        <f aca="false">'STUDENT SCREENING'!BK43</f>
        <v/>
      </c>
      <c r="T43" s="58" t="str">
        <f aca="false">'STUDENT SCREENING'!BL43</f>
        <v/>
      </c>
      <c r="U43" s="58" t="str">
        <f aca="false">'STUDENT SCREENING'!BM43</f>
        <v/>
      </c>
      <c r="V43" s="58" t="str">
        <f aca="false">'STUDENT SCREENING'!BN43</f>
        <v/>
      </c>
      <c r="W43" s="58" t="str">
        <f aca="false">'STUDENT SCREENING'!BO43</f>
        <v/>
      </c>
      <c r="X43" s="58" t="str">
        <f aca="false">IF('STUDENT SCREENING'!W43="","",IFERROR(INDEX('SCORING MASTER'!$D$5:$D$7,MATCH('STUDENT SCREENING'!W43,'SCORING MASTER'!$C$5:$C$7,0)),""))</f>
        <v/>
      </c>
      <c r="Y43" s="58" t="str">
        <f aca="false">IF('STUDENT SCREENING'!X43="","",IFERROR(INDEX('SCORING MASTER'!$D$9:$D$11,MATCH('STUDENT SCREENING'!X43,'SCORING MASTER'!$C$9:$C$11,0)),""))</f>
        <v/>
      </c>
      <c r="Z43" s="58" t="str">
        <f aca="false">IF('STUDENT SCREENING'!Y43="","",IFERROR(INDEX('SCORING MASTER'!$D$13:$D$15,MATCH('STUDENT SCREENING'!Y43,'SCORING MASTER'!$C$13:$C$15,0)),""))</f>
        <v/>
      </c>
      <c r="AA43" s="58" t="str">
        <f aca="false">IF('STUDENT SCREENING'!Z43="","",IFERROR(INDEX('SCORING MASTER'!$D$17:$D$19,MATCH('STUDENT SCREENING'!Z43,'SCORING MASTER'!$C$17:$C$19,0)),""))</f>
        <v/>
      </c>
      <c r="AB43" s="58" t="str">
        <f aca="false">IF('STUDENT SCREENING'!AA43="","",IFERROR(INDEX('SCORING MASTER'!$D$21:$D$23,MATCH('STUDENT SCREENING'!AA43,'SCORING MASTER'!$C$21:$C$23,0)),""))</f>
        <v/>
      </c>
      <c r="AC43" s="58" t="str">
        <f aca="false">IF('STUDENT SCREENING'!AB43="","",IFERROR(INDEX('SCORING MASTER'!$D$25:$D$27,MATCH('STUDENT SCREENING'!AB43,'SCORING MASTER'!$C$25:$C$27,0)),""))</f>
        <v/>
      </c>
      <c r="AD43" s="58" t="str">
        <f aca="false">IF('STUDENT SCREENING'!AC43="","",IFERROR(INDEX('SCORING MASTER'!$D$29:$D$31,MATCH('STUDENT SCREENING'!AC43,'SCORING MASTER'!$C$29:$C$31,0)),""))</f>
        <v/>
      </c>
      <c r="AE43" s="58" t="str">
        <f aca="false">IF('STUDENT SCREENING'!AD43="","",IFERROR(INDEX('SCORING MASTER'!$D$33:$D$35,MATCH('STUDENT SCREENING'!AD43,'SCORING MASTER'!$C$33:$C$35,0)),""))</f>
        <v/>
      </c>
      <c r="AF43" s="58" t="str">
        <f aca="false">IF('STUDENT SCREENING'!AE43="","",IFERROR(INDEX('SCORING MASTER'!$D$37:$D$39,MATCH('STUDENT SCREENING'!AE43,'SCORING MASTER'!$C$37:$C$39,0)),""))</f>
        <v/>
      </c>
      <c r="AG43" s="58" t="str">
        <f aca="false">IF('STUDENT SCREENING'!AF43="","",IFERROR(INDEX('SCORING MASTER'!$D$41:$D$43,MATCH('STUDENT SCREENING'!AF43,'SCORING MASTER'!$C$41:$C$43,0)),""))</f>
        <v/>
      </c>
      <c r="AH43" s="58" t="str">
        <f aca="false">IF('STUDENT SCREENING'!AG43="","",IFERROR(INDEX('SCORING MASTER'!$D$45:$D$47,MATCH('STUDENT SCREENING'!AG43,'SCORING MASTER'!$C$45:$C$47,0)),""))</f>
        <v/>
      </c>
      <c r="AI43" s="58" t="str">
        <f aca="false">IF('STUDENT SCREENING'!AH43="","",IFERROR(INDEX('SCORING MASTER'!$D$49:$D$52,MATCH('STUDENT SCREENING'!AH43,'SCORING MASTER'!$C$49:$C$52,0)),""))</f>
        <v/>
      </c>
      <c r="AJ43" s="58" t="str">
        <f aca="false">IF('STUDENT SCREENING'!AI43="","",IFERROR(INDEX('SCORING MASTER'!$D$54:$D$57,MATCH('STUDENT SCREENING'!AI43,'SCORING MASTER'!$C$54:$C$57,0)),""))</f>
        <v/>
      </c>
      <c r="AK43" s="58" t="str">
        <f aca="false">IF('STUDENT SCREENING'!AJ43="","",IFERROR(INDEX('SCORING MASTER'!$D$59:$D$60,MATCH('STUDENT SCREENING'!AJ43,'SCORING MASTER'!$C$59:$C$60,0)),""))</f>
        <v/>
      </c>
      <c r="AL43" s="58" t="str">
        <f aca="false">IF('STUDENT SCREENING'!AK43="","",IFERROR(INDEX('SCORING MASTER'!$D$62:$D$63,MATCH('STUDENT SCREENING'!AK43,'SCORING MASTER'!$C$62:$C$63,0)),""))</f>
        <v/>
      </c>
      <c r="AM43" s="58" t="str">
        <f aca="false">IF('STUDENT SCREENING'!AL43="","",IFERROR(INDEX('SCORING MASTER'!$D$65:$D$66,MATCH('STUDENT SCREENING'!AL43,'SCORING MASTER'!$C$65:$C$66,0)),""))</f>
        <v/>
      </c>
      <c r="AN43" s="58" t="str">
        <f aca="false">IF('STUDENT SCREENING'!AM43="","",IFERROR(INDEX('SCORING MASTER'!$D$68:$D$69,MATCH('STUDENT SCREENING'!AM43,'SCORING MASTER'!$C$68:$C$69,0)),""))</f>
        <v/>
      </c>
      <c r="AO43" s="58" t="str">
        <f aca="false">IF('STUDENT SCREENING'!AN43="","",IFERROR(INDEX('SCORING MASTER'!$D$71:$D$72,MATCH('STUDENT SCREENING'!AN43,'SCORING MASTER'!$C$71:$C$72,0)),""))</f>
        <v/>
      </c>
      <c r="AP43" s="58" t="str">
        <f aca="false">IF('STUDENT SCREENING'!AO43="","",IFERROR(INDEX('SCORING MASTER'!$D$74:$D$75,MATCH('STUDENT SCREENING'!AO43,'SCORING MASTER'!$C$74:$C$75,0)),""))</f>
        <v/>
      </c>
      <c r="AQ43" s="58" t="str">
        <f aca="false">IF('STUDENT SCREENING'!AP43="","",IFERROR(INDEX('SCORING MASTER'!$D$77:$D$78,MATCH('STUDENT SCREENING'!AP43,'SCORING MASTER'!$C$77:$C$78,0)),""))</f>
        <v/>
      </c>
      <c r="AR43" s="58" t="str">
        <f aca="false">IF('STUDENT SCREENING'!AQ43="","",IFERROR(INDEX('SCORING MASTER'!$D$80:$D$82,MATCH('STUDENT SCREENING'!AQ43,'SCORING MASTER'!$C$80:$C$82,0)),""))</f>
        <v/>
      </c>
      <c r="AS43" s="58" t="str">
        <f aca="false">IF('STUDENT SCREENING'!AR43="","",IFERROR(INDEX('SCORING MASTER'!$D$84:$D$86,MATCH('STUDENT SCREENING'!AR43,'SCORING MASTER'!$C$84:$C$86,0)),""))</f>
        <v/>
      </c>
      <c r="AT43" s="58" t="str">
        <f aca="false">IF('STUDENT SCREENING'!AS43="","",IFERROR(INDEX('SCORING MASTER'!$D$88:$D$90,MATCH('STUDENT SCREENING'!AS43,'SCORING MASTER'!$C$88:$C$90,0)),""))</f>
        <v/>
      </c>
      <c r="AU43" s="58" t="str">
        <f aca="false">IF('STUDENT SCREENING'!AT43="","",IFERROR(INDEX('SCORING MASTER'!$D$92:$D$93,MATCH('STUDENT SCREENING'!AT43,'SCORING MASTER'!$C$92:$C$93,0)),""))</f>
        <v/>
      </c>
      <c r="AV43" s="58" t="str">
        <f aca="false">IF('STUDENT SCREENING'!AU43="","",IFERROR(INDEX('SCORING MASTER'!$D$95:$D$96,MATCH('STUDENT SCREENING'!AU43,'SCORING MASTER'!$C$95:$C$96,0)),""))</f>
        <v/>
      </c>
      <c r="AW43" s="58" t="str">
        <f aca="false">IF('STUDENT SCREENING'!AV43="","",IFERROR(INDEX('SCORING MASTER'!$D$98:$D$99,MATCH('STUDENT SCREENING'!AV43,'SCORING MASTER'!$C$98:$C$99,0)),""))</f>
        <v/>
      </c>
      <c r="AX43" s="58" t="str">
        <f aca="false">IF('STUDENT SCREENING'!AW43="","",IFERROR(INDEX('SCORING MASTER'!$D$101:$D$102,MATCH('STUDENT SCREENING'!AW43,'SCORING MASTER'!$C$101:$C$102,0)),""))</f>
        <v/>
      </c>
      <c r="AY43" s="58" t="str">
        <f aca="false">IF('STUDENT SCREENING'!AX43="","",IFERROR(INDEX('SCORING MASTER'!$D$104:$D$105,MATCH('STUDENT SCREENING'!AX43,'SCORING MASTER'!$C$104:$C$105,0)),""))</f>
        <v/>
      </c>
      <c r="AZ43" s="58" t="str">
        <f aca="false">IF('STUDENT SCREENING'!AY43="","",IFERROR(INDEX('SCORING MASTER'!$D$107:$D$108,MATCH('STUDENT SCREENING'!AY43,'SCORING MASTER'!$C$107:$C$108,0)),""))</f>
        <v/>
      </c>
      <c r="BA43" s="58" t="str">
        <f aca="false">IF('STUDENT SCREENING'!AZ43="","",IFERROR(INDEX('SCORING MASTER'!$D$110:$D$111,MATCH('STUDENT SCREENING'!AZ43,'SCORING MASTER'!$C$110:$C$111,0)),""))</f>
        <v/>
      </c>
      <c r="BB43" s="58" t="str">
        <f aca="false">IF('STUDENT SCREENING'!BA43="","",IFERROR(INDEX('SCORING MASTER'!$D$113:$D$115,MATCH('STUDENT SCREENING'!BA43,'SCORING MASTER'!$C$113:$C$115,0)),""))</f>
        <v/>
      </c>
      <c r="BC43" s="58" t="str">
        <f aca="false">IF('STUDENT SCREENING'!BB43="","",IFERROR(INDEX('SCORING MASTER'!$D$117:$D$119,MATCH('STUDENT SCREENING'!BB43,'SCORING MASTER'!$C$117:$C$119,0)),""))</f>
        <v/>
      </c>
      <c r="BD43" s="58" t="str">
        <f aca="false">IF('STUDENT SCREENING'!BC43="","",IFERROR(INDEX('SCORING MASTER'!$D$121:$D$123,MATCH('STUDENT SCREENING'!BC43,'SCORING MASTER'!$C$121:$C$123,0)),""))</f>
        <v/>
      </c>
      <c r="BE43" s="58" t="str">
        <f aca="false">IF('STUDENT SCREENING'!BD43="","",IFERROR(INDEX('SCORING MASTER'!$D$125:$D$126,MATCH('STUDENT SCREENING'!BD43,'SCORING MASTER'!$C$125:$C$126,0)),""))</f>
        <v/>
      </c>
      <c r="BF43" s="58" t="str">
        <f aca="false">IF('STUDENT SCREENING'!BE43="","",IFERROR(INDEX('SCORING MASTER'!$D$128:$D$129,MATCH('STUDENT SCREENING'!BE43,'SCORING MASTER'!$C$128:$C$129,0)),""))</f>
        <v/>
      </c>
      <c r="BG43" s="58" t="str">
        <f aca="false">IF('STUDENT SCREENING'!BP43="","",IFERROR(MATCH('STUDENT SCREENING'!BP43,{"Red - High Risk","Orange - Moderate Risk","Yellow - Mild Risk","Light Green - Mild Watch","Green - Healthy"},0)-1,""))</f>
        <v/>
      </c>
      <c r="BH43" s="58" t="str">
        <f aca="false">IF('STUDENT SCREENING'!BQ43="","",IF('STUDENT SCREENING'!BQ43="Yes",1,0))</f>
        <v/>
      </c>
      <c r="BI43" s="58" t="str">
        <f aca="false">IF('STUDENT SCREENING'!BR43="","",IF('STUDENT SCREENING'!BR43="Yes",1,0))</f>
        <v/>
      </c>
    </row>
    <row r="44" customFormat="false" ht="15" hidden="false" customHeight="false" outlineLevel="0" collapsed="false">
      <c r="A44" s="57" t="str">
        <f aca="false">'STUDENT SCREENING'!A44</f>
        <v/>
      </c>
      <c r="B44" s="57" t="n">
        <f aca="false">'STUDENT SCREENING'!C44</f>
        <v>0</v>
      </c>
      <c r="C44" s="57" t="n">
        <f aca="false">'STUDENT SCREENING'!D44</f>
        <v>0</v>
      </c>
      <c r="D44" s="57" t="n">
        <f aca="false">'STUDENT SCREENING'!E44</f>
        <v>0</v>
      </c>
      <c r="E44" s="57" t="n">
        <f aca="false">'STUDENT SCREENING'!F44</f>
        <v>0</v>
      </c>
      <c r="F44" s="57" t="n">
        <f aca="false">'STUDENT SCREENING'!K44</f>
        <v>0</v>
      </c>
      <c r="G44" s="57" t="n">
        <f aca="false">'STUDENT SCREENING'!J44</f>
        <v>0</v>
      </c>
      <c r="H44" s="57" t="str">
        <f aca="false">IF('STUDENT SCREENING'!K44="","",IFERROR(MATCH('STUDENT SCREENING'!K44,Adm_Gender,0),""))</f>
        <v/>
      </c>
      <c r="I44" s="57" t="n">
        <f aca="false">'STUDENT SCREENING'!Q44</f>
        <v>0</v>
      </c>
      <c r="J44" s="57" t="n">
        <f aca="false">'STUDENT SCREENING'!R44</f>
        <v>0</v>
      </c>
      <c r="K44" s="57" t="str">
        <f aca="false">'STUDENT SCREENING'!S44</f>
        <v/>
      </c>
      <c r="L44" s="57" t="n">
        <f aca="false">'STUDENT SCREENING'!U44</f>
        <v>0</v>
      </c>
      <c r="M44" s="57" t="n">
        <f aca="false">'STUDENT SCREENING'!V44</f>
        <v>0</v>
      </c>
      <c r="N44" s="57" t="str">
        <f aca="false">'STUDENT SCREENING'!BF44</f>
        <v/>
      </c>
      <c r="O44" s="57" t="str">
        <f aca="false">'STUDENT SCREENING'!BG44</f>
        <v/>
      </c>
      <c r="P44" s="57" t="str">
        <f aca="false">'STUDENT SCREENING'!BH44</f>
        <v/>
      </c>
      <c r="Q44" s="57" t="str">
        <f aca="false">'STUDENT SCREENING'!BI44</f>
        <v/>
      </c>
      <c r="R44" s="57" t="str">
        <f aca="false">'STUDENT SCREENING'!BJ44</f>
        <v/>
      </c>
      <c r="S44" s="57" t="str">
        <f aca="false">'STUDENT SCREENING'!BK44</f>
        <v/>
      </c>
      <c r="T44" s="57" t="str">
        <f aca="false">'STUDENT SCREENING'!BL44</f>
        <v/>
      </c>
      <c r="U44" s="57" t="str">
        <f aca="false">'STUDENT SCREENING'!BM44</f>
        <v/>
      </c>
      <c r="V44" s="57" t="str">
        <f aca="false">'STUDENT SCREENING'!BN44</f>
        <v/>
      </c>
      <c r="W44" s="57" t="str">
        <f aca="false">'STUDENT SCREENING'!BO44</f>
        <v/>
      </c>
      <c r="X44" s="57" t="str">
        <f aca="false">IF('STUDENT SCREENING'!W44="","",IFERROR(INDEX('SCORING MASTER'!$D$5:$D$7,MATCH('STUDENT SCREENING'!W44,'SCORING MASTER'!$C$5:$C$7,0)),""))</f>
        <v/>
      </c>
      <c r="Y44" s="57" t="str">
        <f aca="false">IF('STUDENT SCREENING'!X44="","",IFERROR(INDEX('SCORING MASTER'!$D$9:$D$11,MATCH('STUDENT SCREENING'!X44,'SCORING MASTER'!$C$9:$C$11,0)),""))</f>
        <v/>
      </c>
      <c r="Z44" s="57" t="str">
        <f aca="false">IF('STUDENT SCREENING'!Y44="","",IFERROR(INDEX('SCORING MASTER'!$D$13:$D$15,MATCH('STUDENT SCREENING'!Y44,'SCORING MASTER'!$C$13:$C$15,0)),""))</f>
        <v/>
      </c>
      <c r="AA44" s="57" t="str">
        <f aca="false">IF('STUDENT SCREENING'!Z44="","",IFERROR(INDEX('SCORING MASTER'!$D$17:$D$19,MATCH('STUDENT SCREENING'!Z44,'SCORING MASTER'!$C$17:$C$19,0)),""))</f>
        <v/>
      </c>
      <c r="AB44" s="57" t="str">
        <f aca="false">IF('STUDENT SCREENING'!AA44="","",IFERROR(INDEX('SCORING MASTER'!$D$21:$D$23,MATCH('STUDENT SCREENING'!AA44,'SCORING MASTER'!$C$21:$C$23,0)),""))</f>
        <v/>
      </c>
      <c r="AC44" s="57" t="str">
        <f aca="false">IF('STUDENT SCREENING'!AB44="","",IFERROR(INDEX('SCORING MASTER'!$D$25:$D$27,MATCH('STUDENT SCREENING'!AB44,'SCORING MASTER'!$C$25:$C$27,0)),""))</f>
        <v/>
      </c>
      <c r="AD44" s="57" t="str">
        <f aca="false">IF('STUDENT SCREENING'!AC44="","",IFERROR(INDEX('SCORING MASTER'!$D$29:$D$31,MATCH('STUDENT SCREENING'!AC44,'SCORING MASTER'!$C$29:$C$31,0)),""))</f>
        <v/>
      </c>
      <c r="AE44" s="57" t="str">
        <f aca="false">IF('STUDENT SCREENING'!AD44="","",IFERROR(INDEX('SCORING MASTER'!$D$33:$D$35,MATCH('STUDENT SCREENING'!AD44,'SCORING MASTER'!$C$33:$C$35,0)),""))</f>
        <v/>
      </c>
      <c r="AF44" s="57" t="str">
        <f aca="false">IF('STUDENT SCREENING'!AE44="","",IFERROR(INDEX('SCORING MASTER'!$D$37:$D$39,MATCH('STUDENT SCREENING'!AE44,'SCORING MASTER'!$C$37:$C$39,0)),""))</f>
        <v/>
      </c>
      <c r="AG44" s="57" t="str">
        <f aca="false">IF('STUDENT SCREENING'!AF44="","",IFERROR(INDEX('SCORING MASTER'!$D$41:$D$43,MATCH('STUDENT SCREENING'!AF44,'SCORING MASTER'!$C$41:$C$43,0)),""))</f>
        <v/>
      </c>
      <c r="AH44" s="57" t="str">
        <f aca="false">IF('STUDENT SCREENING'!AG44="","",IFERROR(INDEX('SCORING MASTER'!$D$45:$D$47,MATCH('STUDENT SCREENING'!AG44,'SCORING MASTER'!$C$45:$C$47,0)),""))</f>
        <v/>
      </c>
      <c r="AI44" s="57" t="str">
        <f aca="false">IF('STUDENT SCREENING'!AH44="","",IFERROR(INDEX('SCORING MASTER'!$D$49:$D$52,MATCH('STUDENT SCREENING'!AH44,'SCORING MASTER'!$C$49:$C$52,0)),""))</f>
        <v/>
      </c>
      <c r="AJ44" s="57" t="str">
        <f aca="false">IF('STUDENT SCREENING'!AI44="","",IFERROR(INDEX('SCORING MASTER'!$D$54:$D$57,MATCH('STUDENT SCREENING'!AI44,'SCORING MASTER'!$C$54:$C$57,0)),""))</f>
        <v/>
      </c>
      <c r="AK44" s="57" t="str">
        <f aca="false">IF('STUDENT SCREENING'!AJ44="","",IFERROR(INDEX('SCORING MASTER'!$D$59:$D$60,MATCH('STUDENT SCREENING'!AJ44,'SCORING MASTER'!$C$59:$C$60,0)),""))</f>
        <v/>
      </c>
      <c r="AL44" s="57" t="str">
        <f aca="false">IF('STUDENT SCREENING'!AK44="","",IFERROR(INDEX('SCORING MASTER'!$D$62:$D$63,MATCH('STUDENT SCREENING'!AK44,'SCORING MASTER'!$C$62:$C$63,0)),""))</f>
        <v/>
      </c>
      <c r="AM44" s="57" t="str">
        <f aca="false">IF('STUDENT SCREENING'!AL44="","",IFERROR(INDEX('SCORING MASTER'!$D$65:$D$66,MATCH('STUDENT SCREENING'!AL44,'SCORING MASTER'!$C$65:$C$66,0)),""))</f>
        <v/>
      </c>
      <c r="AN44" s="57" t="str">
        <f aca="false">IF('STUDENT SCREENING'!AM44="","",IFERROR(INDEX('SCORING MASTER'!$D$68:$D$69,MATCH('STUDENT SCREENING'!AM44,'SCORING MASTER'!$C$68:$C$69,0)),""))</f>
        <v/>
      </c>
      <c r="AO44" s="57" t="str">
        <f aca="false">IF('STUDENT SCREENING'!AN44="","",IFERROR(INDEX('SCORING MASTER'!$D$71:$D$72,MATCH('STUDENT SCREENING'!AN44,'SCORING MASTER'!$C$71:$C$72,0)),""))</f>
        <v/>
      </c>
      <c r="AP44" s="57" t="str">
        <f aca="false">IF('STUDENT SCREENING'!AO44="","",IFERROR(INDEX('SCORING MASTER'!$D$74:$D$75,MATCH('STUDENT SCREENING'!AO44,'SCORING MASTER'!$C$74:$C$75,0)),""))</f>
        <v/>
      </c>
      <c r="AQ44" s="57" t="str">
        <f aca="false">IF('STUDENT SCREENING'!AP44="","",IFERROR(INDEX('SCORING MASTER'!$D$77:$D$78,MATCH('STUDENT SCREENING'!AP44,'SCORING MASTER'!$C$77:$C$78,0)),""))</f>
        <v/>
      </c>
      <c r="AR44" s="57" t="str">
        <f aca="false">IF('STUDENT SCREENING'!AQ44="","",IFERROR(INDEX('SCORING MASTER'!$D$80:$D$82,MATCH('STUDENT SCREENING'!AQ44,'SCORING MASTER'!$C$80:$C$82,0)),""))</f>
        <v/>
      </c>
      <c r="AS44" s="57" t="str">
        <f aca="false">IF('STUDENT SCREENING'!AR44="","",IFERROR(INDEX('SCORING MASTER'!$D$84:$D$86,MATCH('STUDENT SCREENING'!AR44,'SCORING MASTER'!$C$84:$C$86,0)),""))</f>
        <v/>
      </c>
      <c r="AT44" s="57" t="str">
        <f aca="false">IF('STUDENT SCREENING'!AS44="","",IFERROR(INDEX('SCORING MASTER'!$D$88:$D$90,MATCH('STUDENT SCREENING'!AS44,'SCORING MASTER'!$C$88:$C$90,0)),""))</f>
        <v/>
      </c>
      <c r="AU44" s="57" t="str">
        <f aca="false">IF('STUDENT SCREENING'!AT44="","",IFERROR(INDEX('SCORING MASTER'!$D$92:$D$93,MATCH('STUDENT SCREENING'!AT44,'SCORING MASTER'!$C$92:$C$93,0)),""))</f>
        <v/>
      </c>
      <c r="AV44" s="57" t="str">
        <f aca="false">IF('STUDENT SCREENING'!AU44="","",IFERROR(INDEX('SCORING MASTER'!$D$95:$D$96,MATCH('STUDENT SCREENING'!AU44,'SCORING MASTER'!$C$95:$C$96,0)),""))</f>
        <v/>
      </c>
      <c r="AW44" s="57" t="str">
        <f aca="false">IF('STUDENT SCREENING'!AV44="","",IFERROR(INDEX('SCORING MASTER'!$D$98:$D$99,MATCH('STUDENT SCREENING'!AV44,'SCORING MASTER'!$C$98:$C$99,0)),""))</f>
        <v/>
      </c>
      <c r="AX44" s="57" t="str">
        <f aca="false">IF('STUDENT SCREENING'!AW44="","",IFERROR(INDEX('SCORING MASTER'!$D$101:$D$102,MATCH('STUDENT SCREENING'!AW44,'SCORING MASTER'!$C$101:$C$102,0)),""))</f>
        <v/>
      </c>
      <c r="AY44" s="57" t="str">
        <f aca="false">IF('STUDENT SCREENING'!AX44="","",IFERROR(INDEX('SCORING MASTER'!$D$104:$D$105,MATCH('STUDENT SCREENING'!AX44,'SCORING MASTER'!$C$104:$C$105,0)),""))</f>
        <v/>
      </c>
      <c r="AZ44" s="57" t="str">
        <f aca="false">IF('STUDENT SCREENING'!AY44="","",IFERROR(INDEX('SCORING MASTER'!$D$107:$D$108,MATCH('STUDENT SCREENING'!AY44,'SCORING MASTER'!$C$107:$C$108,0)),""))</f>
        <v/>
      </c>
      <c r="BA44" s="57" t="str">
        <f aca="false">IF('STUDENT SCREENING'!AZ44="","",IFERROR(INDEX('SCORING MASTER'!$D$110:$D$111,MATCH('STUDENT SCREENING'!AZ44,'SCORING MASTER'!$C$110:$C$111,0)),""))</f>
        <v/>
      </c>
      <c r="BB44" s="57" t="str">
        <f aca="false">IF('STUDENT SCREENING'!BA44="","",IFERROR(INDEX('SCORING MASTER'!$D$113:$D$115,MATCH('STUDENT SCREENING'!BA44,'SCORING MASTER'!$C$113:$C$115,0)),""))</f>
        <v/>
      </c>
      <c r="BC44" s="57" t="str">
        <f aca="false">IF('STUDENT SCREENING'!BB44="","",IFERROR(INDEX('SCORING MASTER'!$D$117:$D$119,MATCH('STUDENT SCREENING'!BB44,'SCORING MASTER'!$C$117:$C$119,0)),""))</f>
        <v/>
      </c>
      <c r="BD44" s="57" t="str">
        <f aca="false">IF('STUDENT SCREENING'!BC44="","",IFERROR(INDEX('SCORING MASTER'!$D$121:$D$123,MATCH('STUDENT SCREENING'!BC44,'SCORING MASTER'!$C$121:$C$123,0)),""))</f>
        <v/>
      </c>
      <c r="BE44" s="57" t="str">
        <f aca="false">IF('STUDENT SCREENING'!BD44="","",IFERROR(INDEX('SCORING MASTER'!$D$125:$D$126,MATCH('STUDENT SCREENING'!BD44,'SCORING MASTER'!$C$125:$C$126,0)),""))</f>
        <v/>
      </c>
      <c r="BF44" s="57" t="str">
        <f aca="false">IF('STUDENT SCREENING'!BE44="","",IFERROR(INDEX('SCORING MASTER'!$D$128:$D$129,MATCH('STUDENT SCREENING'!BE44,'SCORING MASTER'!$C$128:$C$129,0)),""))</f>
        <v/>
      </c>
      <c r="BG44" s="57" t="str">
        <f aca="false">IF('STUDENT SCREENING'!BP44="","",IFERROR(MATCH('STUDENT SCREENING'!BP44,{"Red - High Risk","Orange - Moderate Risk","Yellow - Mild Risk","Light Green - Mild Watch","Green - Healthy"},0)-1,""))</f>
        <v/>
      </c>
      <c r="BH44" s="57" t="str">
        <f aca="false">IF('STUDENT SCREENING'!BQ44="","",IF('STUDENT SCREENING'!BQ44="Yes",1,0))</f>
        <v/>
      </c>
      <c r="BI44" s="57" t="str">
        <f aca="false">IF('STUDENT SCREENING'!BR44="","",IF('STUDENT SCREENING'!BR44="Yes",1,0))</f>
        <v/>
      </c>
    </row>
    <row r="45" customFormat="false" ht="15" hidden="false" customHeight="false" outlineLevel="0" collapsed="false">
      <c r="A45" s="58" t="str">
        <f aca="false">'STUDENT SCREENING'!A45</f>
        <v/>
      </c>
      <c r="B45" s="58" t="n">
        <f aca="false">'STUDENT SCREENING'!C45</f>
        <v>0</v>
      </c>
      <c r="C45" s="58" t="n">
        <f aca="false">'STUDENT SCREENING'!D45</f>
        <v>0</v>
      </c>
      <c r="D45" s="58" t="n">
        <f aca="false">'STUDENT SCREENING'!E45</f>
        <v>0</v>
      </c>
      <c r="E45" s="58" t="n">
        <f aca="false">'STUDENT SCREENING'!F45</f>
        <v>0</v>
      </c>
      <c r="F45" s="58" t="n">
        <f aca="false">'STUDENT SCREENING'!K45</f>
        <v>0</v>
      </c>
      <c r="G45" s="58" t="n">
        <f aca="false">'STUDENT SCREENING'!J45</f>
        <v>0</v>
      </c>
      <c r="H45" s="58" t="str">
        <f aca="false">IF('STUDENT SCREENING'!K45="","",IFERROR(MATCH('STUDENT SCREENING'!K45,Adm_Gender,0),""))</f>
        <v/>
      </c>
      <c r="I45" s="58" t="n">
        <f aca="false">'STUDENT SCREENING'!Q45</f>
        <v>0</v>
      </c>
      <c r="J45" s="58" t="n">
        <f aca="false">'STUDENT SCREENING'!R45</f>
        <v>0</v>
      </c>
      <c r="K45" s="58" t="str">
        <f aca="false">'STUDENT SCREENING'!S45</f>
        <v/>
      </c>
      <c r="L45" s="58" t="n">
        <f aca="false">'STUDENT SCREENING'!U45</f>
        <v>0</v>
      </c>
      <c r="M45" s="58" t="n">
        <f aca="false">'STUDENT SCREENING'!V45</f>
        <v>0</v>
      </c>
      <c r="N45" s="58" t="str">
        <f aca="false">'STUDENT SCREENING'!BF45</f>
        <v/>
      </c>
      <c r="O45" s="58" t="str">
        <f aca="false">'STUDENT SCREENING'!BG45</f>
        <v/>
      </c>
      <c r="P45" s="58" t="str">
        <f aca="false">'STUDENT SCREENING'!BH45</f>
        <v/>
      </c>
      <c r="Q45" s="58" t="str">
        <f aca="false">'STUDENT SCREENING'!BI45</f>
        <v/>
      </c>
      <c r="R45" s="58" t="str">
        <f aca="false">'STUDENT SCREENING'!BJ45</f>
        <v/>
      </c>
      <c r="S45" s="58" t="str">
        <f aca="false">'STUDENT SCREENING'!BK45</f>
        <v/>
      </c>
      <c r="T45" s="58" t="str">
        <f aca="false">'STUDENT SCREENING'!BL45</f>
        <v/>
      </c>
      <c r="U45" s="58" t="str">
        <f aca="false">'STUDENT SCREENING'!BM45</f>
        <v/>
      </c>
      <c r="V45" s="58" t="str">
        <f aca="false">'STUDENT SCREENING'!BN45</f>
        <v/>
      </c>
      <c r="W45" s="58" t="str">
        <f aca="false">'STUDENT SCREENING'!BO45</f>
        <v/>
      </c>
      <c r="X45" s="58" t="str">
        <f aca="false">IF('STUDENT SCREENING'!W45="","",IFERROR(INDEX('SCORING MASTER'!$D$5:$D$7,MATCH('STUDENT SCREENING'!W45,'SCORING MASTER'!$C$5:$C$7,0)),""))</f>
        <v/>
      </c>
      <c r="Y45" s="58" t="str">
        <f aca="false">IF('STUDENT SCREENING'!X45="","",IFERROR(INDEX('SCORING MASTER'!$D$9:$D$11,MATCH('STUDENT SCREENING'!X45,'SCORING MASTER'!$C$9:$C$11,0)),""))</f>
        <v/>
      </c>
      <c r="Z45" s="58" t="str">
        <f aca="false">IF('STUDENT SCREENING'!Y45="","",IFERROR(INDEX('SCORING MASTER'!$D$13:$D$15,MATCH('STUDENT SCREENING'!Y45,'SCORING MASTER'!$C$13:$C$15,0)),""))</f>
        <v/>
      </c>
      <c r="AA45" s="58" t="str">
        <f aca="false">IF('STUDENT SCREENING'!Z45="","",IFERROR(INDEX('SCORING MASTER'!$D$17:$D$19,MATCH('STUDENT SCREENING'!Z45,'SCORING MASTER'!$C$17:$C$19,0)),""))</f>
        <v/>
      </c>
      <c r="AB45" s="58" t="str">
        <f aca="false">IF('STUDENT SCREENING'!AA45="","",IFERROR(INDEX('SCORING MASTER'!$D$21:$D$23,MATCH('STUDENT SCREENING'!AA45,'SCORING MASTER'!$C$21:$C$23,0)),""))</f>
        <v/>
      </c>
      <c r="AC45" s="58" t="str">
        <f aca="false">IF('STUDENT SCREENING'!AB45="","",IFERROR(INDEX('SCORING MASTER'!$D$25:$D$27,MATCH('STUDENT SCREENING'!AB45,'SCORING MASTER'!$C$25:$C$27,0)),""))</f>
        <v/>
      </c>
      <c r="AD45" s="58" t="str">
        <f aca="false">IF('STUDENT SCREENING'!AC45="","",IFERROR(INDEX('SCORING MASTER'!$D$29:$D$31,MATCH('STUDENT SCREENING'!AC45,'SCORING MASTER'!$C$29:$C$31,0)),""))</f>
        <v/>
      </c>
      <c r="AE45" s="58" t="str">
        <f aca="false">IF('STUDENT SCREENING'!AD45="","",IFERROR(INDEX('SCORING MASTER'!$D$33:$D$35,MATCH('STUDENT SCREENING'!AD45,'SCORING MASTER'!$C$33:$C$35,0)),""))</f>
        <v/>
      </c>
      <c r="AF45" s="58" t="str">
        <f aca="false">IF('STUDENT SCREENING'!AE45="","",IFERROR(INDEX('SCORING MASTER'!$D$37:$D$39,MATCH('STUDENT SCREENING'!AE45,'SCORING MASTER'!$C$37:$C$39,0)),""))</f>
        <v/>
      </c>
      <c r="AG45" s="58" t="str">
        <f aca="false">IF('STUDENT SCREENING'!AF45="","",IFERROR(INDEX('SCORING MASTER'!$D$41:$D$43,MATCH('STUDENT SCREENING'!AF45,'SCORING MASTER'!$C$41:$C$43,0)),""))</f>
        <v/>
      </c>
      <c r="AH45" s="58" t="str">
        <f aca="false">IF('STUDENT SCREENING'!AG45="","",IFERROR(INDEX('SCORING MASTER'!$D$45:$D$47,MATCH('STUDENT SCREENING'!AG45,'SCORING MASTER'!$C$45:$C$47,0)),""))</f>
        <v/>
      </c>
      <c r="AI45" s="58" t="str">
        <f aca="false">IF('STUDENT SCREENING'!AH45="","",IFERROR(INDEX('SCORING MASTER'!$D$49:$D$52,MATCH('STUDENT SCREENING'!AH45,'SCORING MASTER'!$C$49:$C$52,0)),""))</f>
        <v/>
      </c>
      <c r="AJ45" s="58" t="str">
        <f aca="false">IF('STUDENT SCREENING'!AI45="","",IFERROR(INDEX('SCORING MASTER'!$D$54:$D$57,MATCH('STUDENT SCREENING'!AI45,'SCORING MASTER'!$C$54:$C$57,0)),""))</f>
        <v/>
      </c>
      <c r="AK45" s="58" t="str">
        <f aca="false">IF('STUDENT SCREENING'!AJ45="","",IFERROR(INDEX('SCORING MASTER'!$D$59:$D$60,MATCH('STUDENT SCREENING'!AJ45,'SCORING MASTER'!$C$59:$C$60,0)),""))</f>
        <v/>
      </c>
      <c r="AL45" s="58" t="str">
        <f aca="false">IF('STUDENT SCREENING'!AK45="","",IFERROR(INDEX('SCORING MASTER'!$D$62:$D$63,MATCH('STUDENT SCREENING'!AK45,'SCORING MASTER'!$C$62:$C$63,0)),""))</f>
        <v/>
      </c>
      <c r="AM45" s="58" t="str">
        <f aca="false">IF('STUDENT SCREENING'!AL45="","",IFERROR(INDEX('SCORING MASTER'!$D$65:$D$66,MATCH('STUDENT SCREENING'!AL45,'SCORING MASTER'!$C$65:$C$66,0)),""))</f>
        <v/>
      </c>
      <c r="AN45" s="58" t="str">
        <f aca="false">IF('STUDENT SCREENING'!AM45="","",IFERROR(INDEX('SCORING MASTER'!$D$68:$D$69,MATCH('STUDENT SCREENING'!AM45,'SCORING MASTER'!$C$68:$C$69,0)),""))</f>
        <v/>
      </c>
      <c r="AO45" s="58" t="str">
        <f aca="false">IF('STUDENT SCREENING'!AN45="","",IFERROR(INDEX('SCORING MASTER'!$D$71:$D$72,MATCH('STUDENT SCREENING'!AN45,'SCORING MASTER'!$C$71:$C$72,0)),""))</f>
        <v/>
      </c>
      <c r="AP45" s="58" t="str">
        <f aca="false">IF('STUDENT SCREENING'!AO45="","",IFERROR(INDEX('SCORING MASTER'!$D$74:$D$75,MATCH('STUDENT SCREENING'!AO45,'SCORING MASTER'!$C$74:$C$75,0)),""))</f>
        <v/>
      </c>
      <c r="AQ45" s="58" t="str">
        <f aca="false">IF('STUDENT SCREENING'!AP45="","",IFERROR(INDEX('SCORING MASTER'!$D$77:$D$78,MATCH('STUDENT SCREENING'!AP45,'SCORING MASTER'!$C$77:$C$78,0)),""))</f>
        <v/>
      </c>
      <c r="AR45" s="58" t="str">
        <f aca="false">IF('STUDENT SCREENING'!AQ45="","",IFERROR(INDEX('SCORING MASTER'!$D$80:$D$82,MATCH('STUDENT SCREENING'!AQ45,'SCORING MASTER'!$C$80:$C$82,0)),""))</f>
        <v/>
      </c>
      <c r="AS45" s="58" t="str">
        <f aca="false">IF('STUDENT SCREENING'!AR45="","",IFERROR(INDEX('SCORING MASTER'!$D$84:$D$86,MATCH('STUDENT SCREENING'!AR45,'SCORING MASTER'!$C$84:$C$86,0)),""))</f>
        <v/>
      </c>
      <c r="AT45" s="58" t="str">
        <f aca="false">IF('STUDENT SCREENING'!AS45="","",IFERROR(INDEX('SCORING MASTER'!$D$88:$D$90,MATCH('STUDENT SCREENING'!AS45,'SCORING MASTER'!$C$88:$C$90,0)),""))</f>
        <v/>
      </c>
      <c r="AU45" s="58" t="str">
        <f aca="false">IF('STUDENT SCREENING'!AT45="","",IFERROR(INDEX('SCORING MASTER'!$D$92:$D$93,MATCH('STUDENT SCREENING'!AT45,'SCORING MASTER'!$C$92:$C$93,0)),""))</f>
        <v/>
      </c>
      <c r="AV45" s="58" t="str">
        <f aca="false">IF('STUDENT SCREENING'!AU45="","",IFERROR(INDEX('SCORING MASTER'!$D$95:$D$96,MATCH('STUDENT SCREENING'!AU45,'SCORING MASTER'!$C$95:$C$96,0)),""))</f>
        <v/>
      </c>
      <c r="AW45" s="58" t="str">
        <f aca="false">IF('STUDENT SCREENING'!AV45="","",IFERROR(INDEX('SCORING MASTER'!$D$98:$D$99,MATCH('STUDENT SCREENING'!AV45,'SCORING MASTER'!$C$98:$C$99,0)),""))</f>
        <v/>
      </c>
      <c r="AX45" s="58" t="str">
        <f aca="false">IF('STUDENT SCREENING'!AW45="","",IFERROR(INDEX('SCORING MASTER'!$D$101:$D$102,MATCH('STUDENT SCREENING'!AW45,'SCORING MASTER'!$C$101:$C$102,0)),""))</f>
        <v/>
      </c>
      <c r="AY45" s="58" t="str">
        <f aca="false">IF('STUDENT SCREENING'!AX45="","",IFERROR(INDEX('SCORING MASTER'!$D$104:$D$105,MATCH('STUDENT SCREENING'!AX45,'SCORING MASTER'!$C$104:$C$105,0)),""))</f>
        <v/>
      </c>
      <c r="AZ45" s="58" t="str">
        <f aca="false">IF('STUDENT SCREENING'!AY45="","",IFERROR(INDEX('SCORING MASTER'!$D$107:$D$108,MATCH('STUDENT SCREENING'!AY45,'SCORING MASTER'!$C$107:$C$108,0)),""))</f>
        <v/>
      </c>
      <c r="BA45" s="58" t="str">
        <f aca="false">IF('STUDENT SCREENING'!AZ45="","",IFERROR(INDEX('SCORING MASTER'!$D$110:$D$111,MATCH('STUDENT SCREENING'!AZ45,'SCORING MASTER'!$C$110:$C$111,0)),""))</f>
        <v/>
      </c>
      <c r="BB45" s="58" t="str">
        <f aca="false">IF('STUDENT SCREENING'!BA45="","",IFERROR(INDEX('SCORING MASTER'!$D$113:$D$115,MATCH('STUDENT SCREENING'!BA45,'SCORING MASTER'!$C$113:$C$115,0)),""))</f>
        <v/>
      </c>
      <c r="BC45" s="58" t="str">
        <f aca="false">IF('STUDENT SCREENING'!BB45="","",IFERROR(INDEX('SCORING MASTER'!$D$117:$D$119,MATCH('STUDENT SCREENING'!BB45,'SCORING MASTER'!$C$117:$C$119,0)),""))</f>
        <v/>
      </c>
      <c r="BD45" s="58" t="str">
        <f aca="false">IF('STUDENT SCREENING'!BC45="","",IFERROR(INDEX('SCORING MASTER'!$D$121:$D$123,MATCH('STUDENT SCREENING'!BC45,'SCORING MASTER'!$C$121:$C$123,0)),""))</f>
        <v/>
      </c>
      <c r="BE45" s="58" t="str">
        <f aca="false">IF('STUDENT SCREENING'!BD45="","",IFERROR(INDEX('SCORING MASTER'!$D$125:$D$126,MATCH('STUDENT SCREENING'!BD45,'SCORING MASTER'!$C$125:$C$126,0)),""))</f>
        <v/>
      </c>
      <c r="BF45" s="58" t="str">
        <f aca="false">IF('STUDENT SCREENING'!BE45="","",IFERROR(INDEX('SCORING MASTER'!$D$128:$D$129,MATCH('STUDENT SCREENING'!BE45,'SCORING MASTER'!$C$128:$C$129,0)),""))</f>
        <v/>
      </c>
      <c r="BG45" s="58" t="str">
        <f aca="false">IF('STUDENT SCREENING'!BP45="","",IFERROR(MATCH('STUDENT SCREENING'!BP45,{"Red - High Risk","Orange - Moderate Risk","Yellow - Mild Risk","Light Green - Mild Watch","Green - Healthy"},0)-1,""))</f>
        <v/>
      </c>
      <c r="BH45" s="58" t="str">
        <f aca="false">IF('STUDENT SCREENING'!BQ45="","",IF('STUDENT SCREENING'!BQ45="Yes",1,0))</f>
        <v/>
      </c>
      <c r="BI45" s="58" t="str">
        <f aca="false">IF('STUDENT SCREENING'!BR45="","",IF('STUDENT SCREENING'!BR45="Yes",1,0))</f>
        <v/>
      </c>
    </row>
    <row r="46" customFormat="false" ht="15" hidden="false" customHeight="false" outlineLevel="0" collapsed="false">
      <c r="A46" s="57" t="str">
        <f aca="false">'STUDENT SCREENING'!A46</f>
        <v/>
      </c>
      <c r="B46" s="57" t="n">
        <f aca="false">'STUDENT SCREENING'!C46</f>
        <v>0</v>
      </c>
      <c r="C46" s="57" t="n">
        <f aca="false">'STUDENT SCREENING'!D46</f>
        <v>0</v>
      </c>
      <c r="D46" s="57" t="n">
        <f aca="false">'STUDENT SCREENING'!E46</f>
        <v>0</v>
      </c>
      <c r="E46" s="57" t="n">
        <f aca="false">'STUDENT SCREENING'!F46</f>
        <v>0</v>
      </c>
      <c r="F46" s="57" t="n">
        <f aca="false">'STUDENT SCREENING'!K46</f>
        <v>0</v>
      </c>
      <c r="G46" s="57" t="n">
        <f aca="false">'STUDENT SCREENING'!J46</f>
        <v>0</v>
      </c>
      <c r="H46" s="57" t="str">
        <f aca="false">IF('STUDENT SCREENING'!K46="","",IFERROR(MATCH('STUDENT SCREENING'!K46,Adm_Gender,0),""))</f>
        <v/>
      </c>
      <c r="I46" s="57" t="n">
        <f aca="false">'STUDENT SCREENING'!Q46</f>
        <v>0</v>
      </c>
      <c r="J46" s="57" t="n">
        <f aca="false">'STUDENT SCREENING'!R46</f>
        <v>0</v>
      </c>
      <c r="K46" s="57" t="str">
        <f aca="false">'STUDENT SCREENING'!S46</f>
        <v/>
      </c>
      <c r="L46" s="57" t="n">
        <f aca="false">'STUDENT SCREENING'!U46</f>
        <v>0</v>
      </c>
      <c r="M46" s="57" t="n">
        <f aca="false">'STUDENT SCREENING'!V46</f>
        <v>0</v>
      </c>
      <c r="N46" s="57" t="str">
        <f aca="false">'STUDENT SCREENING'!BF46</f>
        <v/>
      </c>
      <c r="O46" s="57" t="str">
        <f aca="false">'STUDENT SCREENING'!BG46</f>
        <v/>
      </c>
      <c r="P46" s="57" t="str">
        <f aca="false">'STUDENT SCREENING'!BH46</f>
        <v/>
      </c>
      <c r="Q46" s="57" t="str">
        <f aca="false">'STUDENT SCREENING'!BI46</f>
        <v/>
      </c>
      <c r="R46" s="57" t="str">
        <f aca="false">'STUDENT SCREENING'!BJ46</f>
        <v/>
      </c>
      <c r="S46" s="57" t="str">
        <f aca="false">'STUDENT SCREENING'!BK46</f>
        <v/>
      </c>
      <c r="T46" s="57" t="str">
        <f aca="false">'STUDENT SCREENING'!BL46</f>
        <v/>
      </c>
      <c r="U46" s="57" t="str">
        <f aca="false">'STUDENT SCREENING'!BM46</f>
        <v/>
      </c>
      <c r="V46" s="57" t="str">
        <f aca="false">'STUDENT SCREENING'!BN46</f>
        <v/>
      </c>
      <c r="W46" s="57" t="str">
        <f aca="false">'STUDENT SCREENING'!BO46</f>
        <v/>
      </c>
      <c r="X46" s="57" t="str">
        <f aca="false">IF('STUDENT SCREENING'!W46="","",IFERROR(INDEX('SCORING MASTER'!$D$5:$D$7,MATCH('STUDENT SCREENING'!W46,'SCORING MASTER'!$C$5:$C$7,0)),""))</f>
        <v/>
      </c>
      <c r="Y46" s="57" t="str">
        <f aca="false">IF('STUDENT SCREENING'!X46="","",IFERROR(INDEX('SCORING MASTER'!$D$9:$D$11,MATCH('STUDENT SCREENING'!X46,'SCORING MASTER'!$C$9:$C$11,0)),""))</f>
        <v/>
      </c>
      <c r="Z46" s="57" t="str">
        <f aca="false">IF('STUDENT SCREENING'!Y46="","",IFERROR(INDEX('SCORING MASTER'!$D$13:$D$15,MATCH('STUDENT SCREENING'!Y46,'SCORING MASTER'!$C$13:$C$15,0)),""))</f>
        <v/>
      </c>
      <c r="AA46" s="57" t="str">
        <f aca="false">IF('STUDENT SCREENING'!Z46="","",IFERROR(INDEX('SCORING MASTER'!$D$17:$D$19,MATCH('STUDENT SCREENING'!Z46,'SCORING MASTER'!$C$17:$C$19,0)),""))</f>
        <v/>
      </c>
      <c r="AB46" s="57" t="str">
        <f aca="false">IF('STUDENT SCREENING'!AA46="","",IFERROR(INDEX('SCORING MASTER'!$D$21:$D$23,MATCH('STUDENT SCREENING'!AA46,'SCORING MASTER'!$C$21:$C$23,0)),""))</f>
        <v/>
      </c>
      <c r="AC46" s="57" t="str">
        <f aca="false">IF('STUDENT SCREENING'!AB46="","",IFERROR(INDEX('SCORING MASTER'!$D$25:$D$27,MATCH('STUDENT SCREENING'!AB46,'SCORING MASTER'!$C$25:$C$27,0)),""))</f>
        <v/>
      </c>
      <c r="AD46" s="57" t="str">
        <f aca="false">IF('STUDENT SCREENING'!AC46="","",IFERROR(INDEX('SCORING MASTER'!$D$29:$D$31,MATCH('STUDENT SCREENING'!AC46,'SCORING MASTER'!$C$29:$C$31,0)),""))</f>
        <v/>
      </c>
      <c r="AE46" s="57" t="str">
        <f aca="false">IF('STUDENT SCREENING'!AD46="","",IFERROR(INDEX('SCORING MASTER'!$D$33:$D$35,MATCH('STUDENT SCREENING'!AD46,'SCORING MASTER'!$C$33:$C$35,0)),""))</f>
        <v/>
      </c>
      <c r="AF46" s="57" t="str">
        <f aca="false">IF('STUDENT SCREENING'!AE46="","",IFERROR(INDEX('SCORING MASTER'!$D$37:$D$39,MATCH('STUDENT SCREENING'!AE46,'SCORING MASTER'!$C$37:$C$39,0)),""))</f>
        <v/>
      </c>
      <c r="AG46" s="57" t="str">
        <f aca="false">IF('STUDENT SCREENING'!AF46="","",IFERROR(INDEX('SCORING MASTER'!$D$41:$D$43,MATCH('STUDENT SCREENING'!AF46,'SCORING MASTER'!$C$41:$C$43,0)),""))</f>
        <v/>
      </c>
      <c r="AH46" s="57" t="str">
        <f aca="false">IF('STUDENT SCREENING'!AG46="","",IFERROR(INDEX('SCORING MASTER'!$D$45:$D$47,MATCH('STUDENT SCREENING'!AG46,'SCORING MASTER'!$C$45:$C$47,0)),""))</f>
        <v/>
      </c>
      <c r="AI46" s="57" t="str">
        <f aca="false">IF('STUDENT SCREENING'!AH46="","",IFERROR(INDEX('SCORING MASTER'!$D$49:$D$52,MATCH('STUDENT SCREENING'!AH46,'SCORING MASTER'!$C$49:$C$52,0)),""))</f>
        <v/>
      </c>
      <c r="AJ46" s="57" t="str">
        <f aca="false">IF('STUDENT SCREENING'!AI46="","",IFERROR(INDEX('SCORING MASTER'!$D$54:$D$57,MATCH('STUDENT SCREENING'!AI46,'SCORING MASTER'!$C$54:$C$57,0)),""))</f>
        <v/>
      </c>
      <c r="AK46" s="57" t="str">
        <f aca="false">IF('STUDENT SCREENING'!AJ46="","",IFERROR(INDEX('SCORING MASTER'!$D$59:$D$60,MATCH('STUDENT SCREENING'!AJ46,'SCORING MASTER'!$C$59:$C$60,0)),""))</f>
        <v/>
      </c>
      <c r="AL46" s="57" t="str">
        <f aca="false">IF('STUDENT SCREENING'!AK46="","",IFERROR(INDEX('SCORING MASTER'!$D$62:$D$63,MATCH('STUDENT SCREENING'!AK46,'SCORING MASTER'!$C$62:$C$63,0)),""))</f>
        <v/>
      </c>
      <c r="AM46" s="57" t="str">
        <f aca="false">IF('STUDENT SCREENING'!AL46="","",IFERROR(INDEX('SCORING MASTER'!$D$65:$D$66,MATCH('STUDENT SCREENING'!AL46,'SCORING MASTER'!$C$65:$C$66,0)),""))</f>
        <v/>
      </c>
      <c r="AN46" s="57" t="str">
        <f aca="false">IF('STUDENT SCREENING'!AM46="","",IFERROR(INDEX('SCORING MASTER'!$D$68:$D$69,MATCH('STUDENT SCREENING'!AM46,'SCORING MASTER'!$C$68:$C$69,0)),""))</f>
        <v/>
      </c>
      <c r="AO46" s="57" t="str">
        <f aca="false">IF('STUDENT SCREENING'!AN46="","",IFERROR(INDEX('SCORING MASTER'!$D$71:$D$72,MATCH('STUDENT SCREENING'!AN46,'SCORING MASTER'!$C$71:$C$72,0)),""))</f>
        <v/>
      </c>
      <c r="AP46" s="57" t="str">
        <f aca="false">IF('STUDENT SCREENING'!AO46="","",IFERROR(INDEX('SCORING MASTER'!$D$74:$D$75,MATCH('STUDENT SCREENING'!AO46,'SCORING MASTER'!$C$74:$C$75,0)),""))</f>
        <v/>
      </c>
      <c r="AQ46" s="57" t="str">
        <f aca="false">IF('STUDENT SCREENING'!AP46="","",IFERROR(INDEX('SCORING MASTER'!$D$77:$D$78,MATCH('STUDENT SCREENING'!AP46,'SCORING MASTER'!$C$77:$C$78,0)),""))</f>
        <v/>
      </c>
      <c r="AR46" s="57" t="str">
        <f aca="false">IF('STUDENT SCREENING'!AQ46="","",IFERROR(INDEX('SCORING MASTER'!$D$80:$D$82,MATCH('STUDENT SCREENING'!AQ46,'SCORING MASTER'!$C$80:$C$82,0)),""))</f>
        <v/>
      </c>
      <c r="AS46" s="57" t="str">
        <f aca="false">IF('STUDENT SCREENING'!AR46="","",IFERROR(INDEX('SCORING MASTER'!$D$84:$D$86,MATCH('STUDENT SCREENING'!AR46,'SCORING MASTER'!$C$84:$C$86,0)),""))</f>
        <v/>
      </c>
      <c r="AT46" s="57" t="str">
        <f aca="false">IF('STUDENT SCREENING'!AS46="","",IFERROR(INDEX('SCORING MASTER'!$D$88:$D$90,MATCH('STUDENT SCREENING'!AS46,'SCORING MASTER'!$C$88:$C$90,0)),""))</f>
        <v/>
      </c>
      <c r="AU46" s="57" t="str">
        <f aca="false">IF('STUDENT SCREENING'!AT46="","",IFERROR(INDEX('SCORING MASTER'!$D$92:$D$93,MATCH('STUDENT SCREENING'!AT46,'SCORING MASTER'!$C$92:$C$93,0)),""))</f>
        <v/>
      </c>
      <c r="AV46" s="57" t="str">
        <f aca="false">IF('STUDENT SCREENING'!AU46="","",IFERROR(INDEX('SCORING MASTER'!$D$95:$D$96,MATCH('STUDENT SCREENING'!AU46,'SCORING MASTER'!$C$95:$C$96,0)),""))</f>
        <v/>
      </c>
      <c r="AW46" s="57" t="str">
        <f aca="false">IF('STUDENT SCREENING'!AV46="","",IFERROR(INDEX('SCORING MASTER'!$D$98:$D$99,MATCH('STUDENT SCREENING'!AV46,'SCORING MASTER'!$C$98:$C$99,0)),""))</f>
        <v/>
      </c>
      <c r="AX46" s="57" t="str">
        <f aca="false">IF('STUDENT SCREENING'!AW46="","",IFERROR(INDEX('SCORING MASTER'!$D$101:$D$102,MATCH('STUDENT SCREENING'!AW46,'SCORING MASTER'!$C$101:$C$102,0)),""))</f>
        <v/>
      </c>
      <c r="AY46" s="57" t="str">
        <f aca="false">IF('STUDENT SCREENING'!AX46="","",IFERROR(INDEX('SCORING MASTER'!$D$104:$D$105,MATCH('STUDENT SCREENING'!AX46,'SCORING MASTER'!$C$104:$C$105,0)),""))</f>
        <v/>
      </c>
      <c r="AZ46" s="57" t="str">
        <f aca="false">IF('STUDENT SCREENING'!AY46="","",IFERROR(INDEX('SCORING MASTER'!$D$107:$D$108,MATCH('STUDENT SCREENING'!AY46,'SCORING MASTER'!$C$107:$C$108,0)),""))</f>
        <v/>
      </c>
      <c r="BA46" s="57" t="str">
        <f aca="false">IF('STUDENT SCREENING'!AZ46="","",IFERROR(INDEX('SCORING MASTER'!$D$110:$D$111,MATCH('STUDENT SCREENING'!AZ46,'SCORING MASTER'!$C$110:$C$111,0)),""))</f>
        <v/>
      </c>
      <c r="BB46" s="57" t="str">
        <f aca="false">IF('STUDENT SCREENING'!BA46="","",IFERROR(INDEX('SCORING MASTER'!$D$113:$D$115,MATCH('STUDENT SCREENING'!BA46,'SCORING MASTER'!$C$113:$C$115,0)),""))</f>
        <v/>
      </c>
      <c r="BC46" s="57" t="str">
        <f aca="false">IF('STUDENT SCREENING'!BB46="","",IFERROR(INDEX('SCORING MASTER'!$D$117:$D$119,MATCH('STUDENT SCREENING'!BB46,'SCORING MASTER'!$C$117:$C$119,0)),""))</f>
        <v/>
      </c>
      <c r="BD46" s="57" t="str">
        <f aca="false">IF('STUDENT SCREENING'!BC46="","",IFERROR(INDEX('SCORING MASTER'!$D$121:$D$123,MATCH('STUDENT SCREENING'!BC46,'SCORING MASTER'!$C$121:$C$123,0)),""))</f>
        <v/>
      </c>
      <c r="BE46" s="57" t="str">
        <f aca="false">IF('STUDENT SCREENING'!BD46="","",IFERROR(INDEX('SCORING MASTER'!$D$125:$D$126,MATCH('STUDENT SCREENING'!BD46,'SCORING MASTER'!$C$125:$C$126,0)),""))</f>
        <v/>
      </c>
      <c r="BF46" s="57" t="str">
        <f aca="false">IF('STUDENT SCREENING'!BE46="","",IFERROR(INDEX('SCORING MASTER'!$D$128:$D$129,MATCH('STUDENT SCREENING'!BE46,'SCORING MASTER'!$C$128:$C$129,0)),""))</f>
        <v/>
      </c>
      <c r="BG46" s="57" t="str">
        <f aca="false">IF('STUDENT SCREENING'!BP46="","",IFERROR(MATCH('STUDENT SCREENING'!BP46,{"Red - High Risk","Orange - Moderate Risk","Yellow - Mild Risk","Light Green - Mild Watch","Green - Healthy"},0)-1,""))</f>
        <v/>
      </c>
      <c r="BH46" s="57" t="str">
        <f aca="false">IF('STUDENT SCREENING'!BQ46="","",IF('STUDENT SCREENING'!BQ46="Yes",1,0))</f>
        <v/>
      </c>
      <c r="BI46" s="57" t="str">
        <f aca="false">IF('STUDENT SCREENING'!BR46="","",IF('STUDENT SCREENING'!BR46="Yes",1,0))</f>
        <v/>
      </c>
    </row>
    <row r="47" customFormat="false" ht="15" hidden="false" customHeight="false" outlineLevel="0" collapsed="false">
      <c r="A47" s="58" t="str">
        <f aca="false">'STUDENT SCREENING'!A47</f>
        <v/>
      </c>
      <c r="B47" s="58" t="n">
        <f aca="false">'STUDENT SCREENING'!C47</f>
        <v>0</v>
      </c>
      <c r="C47" s="58" t="n">
        <f aca="false">'STUDENT SCREENING'!D47</f>
        <v>0</v>
      </c>
      <c r="D47" s="58" t="n">
        <f aca="false">'STUDENT SCREENING'!E47</f>
        <v>0</v>
      </c>
      <c r="E47" s="58" t="n">
        <f aca="false">'STUDENT SCREENING'!F47</f>
        <v>0</v>
      </c>
      <c r="F47" s="58" t="n">
        <f aca="false">'STUDENT SCREENING'!K47</f>
        <v>0</v>
      </c>
      <c r="G47" s="58" t="n">
        <f aca="false">'STUDENT SCREENING'!J47</f>
        <v>0</v>
      </c>
      <c r="H47" s="58" t="str">
        <f aca="false">IF('STUDENT SCREENING'!K47="","",IFERROR(MATCH('STUDENT SCREENING'!K47,Adm_Gender,0),""))</f>
        <v/>
      </c>
      <c r="I47" s="58" t="n">
        <f aca="false">'STUDENT SCREENING'!Q47</f>
        <v>0</v>
      </c>
      <c r="J47" s="58" t="n">
        <f aca="false">'STUDENT SCREENING'!R47</f>
        <v>0</v>
      </c>
      <c r="K47" s="58" t="str">
        <f aca="false">'STUDENT SCREENING'!S47</f>
        <v/>
      </c>
      <c r="L47" s="58" t="n">
        <f aca="false">'STUDENT SCREENING'!U47</f>
        <v>0</v>
      </c>
      <c r="M47" s="58" t="n">
        <f aca="false">'STUDENT SCREENING'!V47</f>
        <v>0</v>
      </c>
      <c r="N47" s="58" t="str">
        <f aca="false">'STUDENT SCREENING'!BF47</f>
        <v/>
      </c>
      <c r="O47" s="58" t="str">
        <f aca="false">'STUDENT SCREENING'!BG47</f>
        <v/>
      </c>
      <c r="P47" s="58" t="str">
        <f aca="false">'STUDENT SCREENING'!BH47</f>
        <v/>
      </c>
      <c r="Q47" s="58" t="str">
        <f aca="false">'STUDENT SCREENING'!BI47</f>
        <v/>
      </c>
      <c r="R47" s="58" t="str">
        <f aca="false">'STUDENT SCREENING'!BJ47</f>
        <v/>
      </c>
      <c r="S47" s="58" t="str">
        <f aca="false">'STUDENT SCREENING'!BK47</f>
        <v/>
      </c>
      <c r="T47" s="58" t="str">
        <f aca="false">'STUDENT SCREENING'!BL47</f>
        <v/>
      </c>
      <c r="U47" s="58" t="str">
        <f aca="false">'STUDENT SCREENING'!BM47</f>
        <v/>
      </c>
      <c r="V47" s="58" t="str">
        <f aca="false">'STUDENT SCREENING'!BN47</f>
        <v/>
      </c>
      <c r="W47" s="58" t="str">
        <f aca="false">'STUDENT SCREENING'!BO47</f>
        <v/>
      </c>
      <c r="X47" s="58" t="str">
        <f aca="false">IF('STUDENT SCREENING'!W47="","",IFERROR(INDEX('SCORING MASTER'!$D$5:$D$7,MATCH('STUDENT SCREENING'!W47,'SCORING MASTER'!$C$5:$C$7,0)),""))</f>
        <v/>
      </c>
      <c r="Y47" s="58" t="str">
        <f aca="false">IF('STUDENT SCREENING'!X47="","",IFERROR(INDEX('SCORING MASTER'!$D$9:$D$11,MATCH('STUDENT SCREENING'!X47,'SCORING MASTER'!$C$9:$C$11,0)),""))</f>
        <v/>
      </c>
      <c r="Z47" s="58" t="str">
        <f aca="false">IF('STUDENT SCREENING'!Y47="","",IFERROR(INDEX('SCORING MASTER'!$D$13:$D$15,MATCH('STUDENT SCREENING'!Y47,'SCORING MASTER'!$C$13:$C$15,0)),""))</f>
        <v/>
      </c>
      <c r="AA47" s="58" t="str">
        <f aca="false">IF('STUDENT SCREENING'!Z47="","",IFERROR(INDEX('SCORING MASTER'!$D$17:$D$19,MATCH('STUDENT SCREENING'!Z47,'SCORING MASTER'!$C$17:$C$19,0)),""))</f>
        <v/>
      </c>
      <c r="AB47" s="58" t="str">
        <f aca="false">IF('STUDENT SCREENING'!AA47="","",IFERROR(INDEX('SCORING MASTER'!$D$21:$D$23,MATCH('STUDENT SCREENING'!AA47,'SCORING MASTER'!$C$21:$C$23,0)),""))</f>
        <v/>
      </c>
      <c r="AC47" s="58" t="str">
        <f aca="false">IF('STUDENT SCREENING'!AB47="","",IFERROR(INDEX('SCORING MASTER'!$D$25:$D$27,MATCH('STUDENT SCREENING'!AB47,'SCORING MASTER'!$C$25:$C$27,0)),""))</f>
        <v/>
      </c>
      <c r="AD47" s="58" t="str">
        <f aca="false">IF('STUDENT SCREENING'!AC47="","",IFERROR(INDEX('SCORING MASTER'!$D$29:$D$31,MATCH('STUDENT SCREENING'!AC47,'SCORING MASTER'!$C$29:$C$31,0)),""))</f>
        <v/>
      </c>
      <c r="AE47" s="58" t="str">
        <f aca="false">IF('STUDENT SCREENING'!AD47="","",IFERROR(INDEX('SCORING MASTER'!$D$33:$D$35,MATCH('STUDENT SCREENING'!AD47,'SCORING MASTER'!$C$33:$C$35,0)),""))</f>
        <v/>
      </c>
      <c r="AF47" s="58" t="str">
        <f aca="false">IF('STUDENT SCREENING'!AE47="","",IFERROR(INDEX('SCORING MASTER'!$D$37:$D$39,MATCH('STUDENT SCREENING'!AE47,'SCORING MASTER'!$C$37:$C$39,0)),""))</f>
        <v/>
      </c>
      <c r="AG47" s="58" t="str">
        <f aca="false">IF('STUDENT SCREENING'!AF47="","",IFERROR(INDEX('SCORING MASTER'!$D$41:$D$43,MATCH('STUDENT SCREENING'!AF47,'SCORING MASTER'!$C$41:$C$43,0)),""))</f>
        <v/>
      </c>
      <c r="AH47" s="58" t="str">
        <f aca="false">IF('STUDENT SCREENING'!AG47="","",IFERROR(INDEX('SCORING MASTER'!$D$45:$D$47,MATCH('STUDENT SCREENING'!AG47,'SCORING MASTER'!$C$45:$C$47,0)),""))</f>
        <v/>
      </c>
      <c r="AI47" s="58" t="str">
        <f aca="false">IF('STUDENT SCREENING'!AH47="","",IFERROR(INDEX('SCORING MASTER'!$D$49:$D$52,MATCH('STUDENT SCREENING'!AH47,'SCORING MASTER'!$C$49:$C$52,0)),""))</f>
        <v/>
      </c>
      <c r="AJ47" s="58" t="str">
        <f aca="false">IF('STUDENT SCREENING'!AI47="","",IFERROR(INDEX('SCORING MASTER'!$D$54:$D$57,MATCH('STUDENT SCREENING'!AI47,'SCORING MASTER'!$C$54:$C$57,0)),""))</f>
        <v/>
      </c>
      <c r="AK47" s="58" t="str">
        <f aca="false">IF('STUDENT SCREENING'!AJ47="","",IFERROR(INDEX('SCORING MASTER'!$D$59:$D$60,MATCH('STUDENT SCREENING'!AJ47,'SCORING MASTER'!$C$59:$C$60,0)),""))</f>
        <v/>
      </c>
      <c r="AL47" s="58" t="str">
        <f aca="false">IF('STUDENT SCREENING'!AK47="","",IFERROR(INDEX('SCORING MASTER'!$D$62:$D$63,MATCH('STUDENT SCREENING'!AK47,'SCORING MASTER'!$C$62:$C$63,0)),""))</f>
        <v/>
      </c>
      <c r="AM47" s="58" t="str">
        <f aca="false">IF('STUDENT SCREENING'!AL47="","",IFERROR(INDEX('SCORING MASTER'!$D$65:$D$66,MATCH('STUDENT SCREENING'!AL47,'SCORING MASTER'!$C$65:$C$66,0)),""))</f>
        <v/>
      </c>
      <c r="AN47" s="58" t="str">
        <f aca="false">IF('STUDENT SCREENING'!AM47="","",IFERROR(INDEX('SCORING MASTER'!$D$68:$D$69,MATCH('STUDENT SCREENING'!AM47,'SCORING MASTER'!$C$68:$C$69,0)),""))</f>
        <v/>
      </c>
      <c r="AO47" s="58" t="str">
        <f aca="false">IF('STUDENT SCREENING'!AN47="","",IFERROR(INDEX('SCORING MASTER'!$D$71:$D$72,MATCH('STUDENT SCREENING'!AN47,'SCORING MASTER'!$C$71:$C$72,0)),""))</f>
        <v/>
      </c>
      <c r="AP47" s="58" t="str">
        <f aca="false">IF('STUDENT SCREENING'!AO47="","",IFERROR(INDEX('SCORING MASTER'!$D$74:$D$75,MATCH('STUDENT SCREENING'!AO47,'SCORING MASTER'!$C$74:$C$75,0)),""))</f>
        <v/>
      </c>
      <c r="AQ47" s="58" t="str">
        <f aca="false">IF('STUDENT SCREENING'!AP47="","",IFERROR(INDEX('SCORING MASTER'!$D$77:$D$78,MATCH('STUDENT SCREENING'!AP47,'SCORING MASTER'!$C$77:$C$78,0)),""))</f>
        <v/>
      </c>
      <c r="AR47" s="58" t="str">
        <f aca="false">IF('STUDENT SCREENING'!AQ47="","",IFERROR(INDEX('SCORING MASTER'!$D$80:$D$82,MATCH('STUDENT SCREENING'!AQ47,'SCORING MASTER'!$C$80:$C$82,0)),""))</f>
        <v/>
      </c>
      <c r="AS47" s="58" t="str">
        <f aca="false">IF('STUDENT SCREENING'!AR47="","",IFERROR(INDEX('SCORING MASTER'!$D$84:$D$86,MATCH('STUDENT SCREENING'!AR47,'SCORING MASTER'!$C$84:$C$86,0)),""))</f>
        <v/>
      </c>
      <c r="AT47" s="58" t="str">
        <f aca="false">IF('STUDENT SCREENING'!AS47="","",IFERROR(INDEX('SCORING MASTER'!$D$88:$D$90,MATCH('STUDENT SCREENING'!AS47,'SCORING MASTER'!$C$88:$C$90,0)),""))</f>
        <v/>
      </c>
      <c r="AU47" s="58" t="str">
        <f aca="false">IF('STUDENT SCREENING'!AT47="","",IFERROR(INDEX('SCORING MASTER'!$D$92:$D$93,MATCH('STUDENT SCREENING'!AT47,'SCORING MASTER'!$C$92:$C$93,0)),""))</f>
        <v/>
      </c>
      <c r="AV47" s="58" t="str">
        <f aca="false">IF('STUDENT SCREENING'!AU47="","",IFERROR(INDEX('SCORING MASTER'!$D$95:$D$96,MATCH('STUDENT SCREENING'!AU47,'SCORING MASTER'!$C$95:$C$96,0)),""))</f>
        <v/>
      </c>
      <c r="AW47" s="58" t="str">
        <f aca="false">IF('STUDENT SCREENING'!AV47="","",IFERROR(INDEX('SCORING MASTER'!$D$98:$D$99,MATCH('STUDENT SCREENING'!AV47,'SCORING MASTER'!$C$98:$C$99,0)),""))</f>
        <v/>
      </c>
      <c r="AX47" s="58" t="str">
        <f aca="false">IF('STUDENT SCREENING'!AW47="","",IFERROR(INDEX('SCORING MASTER'!$D$101:$D$102,MATCH('STUDENT SCREENING'!AW47,'SCORING MASTER'!$C$101:$C$102,0)),""))</f>
        <v/>
      </c>
      <c r="AY47" s="58" t="str">
        <f aca="false">IF('STUDENT SCREENING'!AX47="","",IFERROR(INDEX('SCORING MASTER'!$D$104:$D$105,MATCH('STUDENT SCREENING'!AX47,'SCORING MASTER'!$C$104:$C$105,0)),""))</f>
        <v/>
      </c>
      <c r="AZ47" s="58" t="str">
        <f aca="false">IF('STUDENT SCREENING'!AY47="","",IFERROR(INDEX('SCORING MASTER'!$D$107:$D$108,MATCH('STUDENT SCREENING'!AY47,'SCORING MASTER'!$C$107:$C$108,0)),""))</f>
        <v/>
      </c>
      <c r="BA47" s="58" t="str">
        <f aca="false">IF('STUDENT SCREENING'!AZ47="","",IFERROR(INDEX('SCORING MASTER'!$D$110:$D$111,MATCH('STUDENT SCREENING'!AZ47,'SCORING MASTER'!$C$110:$C$111,0)),""))</f>
        <v/>
      </c>
      <c r="BB47" s="58" t="str">
        <f aca="false">IF('STUDENT SCREENING'!BA47="","",IFERROR(INDEX('SCORING MASTER'!$D$113:$D$115,MATCH('STUDENT SCREENING'!BA47,'SCORING MASTER'!$C$113:$C$115,0)),""))</f>
        <v/>
      </c>
      <c r="BC47" s="58" t="str">
        <f aca="false">IF('STUDENT SCREENING'!BB47="","",IFERROR(INDEX('SCORING MASTER'!$D$117:$D$119,MATCH('STUDENT SCREENING'!BB47,'SCORING MASTER'!$C$117:$C$119,0)),""))</f>
        <v/>
      </c>
      <c r="BD47" s="58" t="str">
        <f aca="false">IF('STUDENT SCREENING'!BC47="","",IFERROR(INDEX('SCORING MASTER'!$D$121:$D$123,MATCH('STUDENT SCREENING'!BC47,'SCORING MASTER'!$C$121:$C$123,0)),""))</f>
        <v/>
      </c>
      <c r="BE47" s="58" t="str">
        <f aca="false">IF('STUDENT SCREENING'!BD47="","",IFERROR(INDEX('SCORING MASTER'!$D$125:$D$126,MATCH('STUDENT SCREENING'!BD47,'SCORING MASTER'!$C$125:$C$126,0)),""))</f>
        <v/>
      </c>
      <c r="BF47" s="58" t="str">
        <f aca="false">IF('STUDENT SCREENING'!BE47="","",IFERROR(INDEX('SCORING MASTER'!$D$128:$D$129,MATCH('STUDENT SCREENING'!BE47,'SCORING MASTER'!$C$128:$C$129,0)),""))</f>
        <v/>
      </c>
      <c r="BG47" s="58" t="str">
        <f aca="false">IF('STUDENT SCREENING'!BP47="","",IFERROR(MATCH('STUDENT SCREENING'!BP47,{"Red - High Risk","Orange - Moderate Risk","Yellow - Mild Risk","Light Green - Mild Watch","Green - Healthy"},0)-1,""))</f>
        <v/>
      </c>
      <c r="BH47" s="58" t="str">
        <f aca="false">IF('STUDENT SCREENING'!BQ47="","",IF('STUDENT SCREENING'!BQ47="Yes",1,0))</f>
        <v/>
      </c>
      <c r="BI47" s="58" t="str">
        <f aca="false">IF('STUDENT SCREENING'!BR47="","",IF('STUDENT SCREENING'!BR47="Yes",1,0))</f>
        <v/>
      </c>
    </row>
    <row r="48" customFormat="false" ht="15" hidden="false" customHeight="false" outlineLevel="0" collapsed="false">
      <c r="A48" s="57" t="str">
        <f aca="false">'STUDENT SCREENING'!A48</f>
        <v/>
      </c>
      <c r="B48" s="57" t="n">
        <f aca="false">'STUDENT SCREENING'!C48</f>
        <v>0</v>
      </c>
      <c r="C48" s="57" t="n">
        <f aca="false">'STUDENT SCREENING'!D48</f>
        <v>0</v>
      </c>
      <c r="D48" s="57" t="n">
        <f aca="false">'STUDENT SCREENING'!E48</f>
        <v>0</v>
      </c>
      <c r="E48" s="57" t="n">
        <f aca="false">'STUDENT SCREENING'!F48</f>
        <v>0</v>
      </c>
      <c r="F48" s="57" t="n">
        <f aca="false">'STUDENT SCREENING'!K48</f>
        <v>0</v>
      </c>
      <c r="G48" s="57" t="n">
        <f aca="false">'STUDENT SCREENING'!J48</f>
        <v>0</v>
      </c>
      <c r="H48" s="57" t="str">
        <f aca="false">IF('STUDENT SCREENING'!K48="","",IFERROR(MATCH('STUDENT SCREENING'!K48,Adm_Gender,0),""))</f>
        <v/>
      </c>
      <c r="I48" s="57" t="n">
        <f aca="false">'STUDENT SCREENING'!Q48</f>
        <v>0</v>
      </c>
      <c r="J48" s="57" t="n">
        <f aca="false">'STUDENT SCREENING'!R48</f>
        <v>0</v>
      </c>
      <c r="K48" s="57" t="str">
        <f aca="false">'STUDENT SCREENING'!S48</f>
        <v/>
      </c>
      <c r="L48" s="57" t="n">
        <f aca="false">'STUDENT SCREENING'!U48</f>
        <v>0</v>
      </c>
      <c r="M48" s="57" t="n">
        <f aca="false">'STUDENT SCREENING'!V48</f>
        <v>0</v>
      </c>
      <c r="N48" s="57" t="str">
        <f aca="false">'STUDENT SCREENING'!BF48</f>
        <v/>
      </c>
      <c r="O48" s="57" t="str">
        <f aca="false">'STUDENT SCREENING'!BG48</f>
        <v/>
      </c>
      <c r="P48" s="57" t="str">
        <f aca="false">'STUDENT SCREENING'!BH48</f>
        <v/>
      </c>
      <c r="Q48" s="57" t="str">
        <f aca="false">'STUDENT SCREENING'!BI48</f>
        <v/>
      </c>
      <c r="R48" s="57" t="str">
        <f aca="false">'STUDENT SCREENING'!BJ48</f>
        <v/>
      </c>
      <c r="S48" s="57" t="str">
        <f aca="false">'STUDENT SCREENING'!BK48</f>
        <v/>
      </c>
      <c r="T48" s="57" t="str">
        <f aca="false">'STUDENT SCREENING'!BL48</f>
        <v/>
      </c>
      <c r="U48" s="57" t="str">
        <f aca="false">'STUDENT SCREENING'!BM48</f>
        <v/>
      </c>
      <c r="V48" s="57" t="str">
        <f aca="false">'STUDENT SCREENING'!BN48</f>
        <v/>
      </c>
      <c r="W48" s="57" t="str">
        <f aca="false">'STUDENT SCREENING'!BO48</f>
        <v/>
      </c>
      <c r="X48" s="57" t="str">
        <f aca="false">IF('STUDENT SCREENING'!W48="","",IFERROR(INDEX('SCORING MASTER'!$D$5:$D$7,MATCH('STUDENT SCREENING'!W48,'SCORING MASTER'!$C$5:$C$7,0)),""))</f>
        <v/>
      </c>
      <c r="Y48" s="57" t="str">
        <f aca="false">IF('STUDENT SCREENING'!X48="","",IFERROR(INDEX('SCORING MASTER'!$D$9:$D$11,MATCH('STUDENT SCREENING'!X48,'SCORING MASTER'!$C$9:$C$11,0)),""))</f>
        <v/>
      </c>
      <c r="Z48" s="57" t="str">
        <f aca="false">IF('STUDENT SCREENING'!Y48="","",IFERROR(INDEX('SCORING MASTER'!$D$13:$D$15,MATCH('STUDENT SCREENING'!Y48,'SCORING MASTER'!$C$13:$C$15,0)),""))</f>
        <v/>
      </c>
      <c r="AA48" s="57" t="str">
        <f aca="false">IF('STUDENT SCREENING'!Z48="","",IFERROR(INDEX('SCORING MASTER'!$D$17:$D$19,MATCH('STUDENT SCREENING'!Z48,'SCORING MASTER'!$C$17:$C$19,0)),""))</f>
        <v/>
      </c>
      <c r="AB48" s="57" t="str">
        <f aca="false">IF('STUDENT SCREENING'!AA48="","",IFERROR(INDEX('SCORING MASTER'!$D$21:$D$23,MATCH('STUDENT SCREENING'!AA48,'SCORING MASTER'!$C$21:$C$23,0)),""))</f>
        <v/>
      </c>
      <c r="AC48" s="57" t="str">
        <f aca="false">IF('STUDENT SCREENING'!AB48="","",IFERROR(INDEX('SCORING MASTER'!$D$25:$D$27,MATCH('STUDENT SCREENING'!AB48,'SCORING MASTER'!$C$25:$C$27,0)),""))</f>
        <v/>
      </c>
      <c r="AD48" s="57" t="str">
        <f aca="false">IF('STUDENT SCREENING'!AC48="","",IFERROR(INDEX('SCORING MASTER'!$D$29:$D$31,MATCH('STUDENT SCREENING'!AC48,'SCORING MASTER'!$C$29:$C$31,0)),""))</f>
        <v/>
      </c>
      <c r="AE48" s="57" t="str">
        <f aca="false">IF('STUDENT SCREENING'!AD48="","",IFERROR(INDEX('SCORING MASTER'!$D$33:$D$35,MATCH('STUDENT SCREENING'!AD48,'SCORING MASTER'!$C$33:$C$35,0)),""))</f>
        <v/>
      </c>
      <c r="AF48" s="57" t="str">
        <f aca="false">IF('STUDENT SCREENING'!AE48="","",IFERROR(INDEX('SCORING MASTER'!$D$37:$D$39,MATCH('STUDENT SCREENING'!AE48,'SCORING MASTER'!$C$37:$C$39,0)),""))</f>
        <v/>
      </c>
      <c r="AG48" s="57" t="str">
        <f aca="false">IF('STUDENT SCREENING'!AF48="","",IFERROR(INDEX('SCORING MASTER'!$D$41:$D$43,MATCH('STUDENT SCREENING'!AF48,'SCORING MASTER'!$C$41:$C$43,0)),""))</f>
        <v/>
      </c>
      <c r="AH48" s="57" t="str">
        <f aca="false">IF('STUDENT SCREENING'!AG48="","",IFERROR(INDEX('SCORING MASTER'!$D$45:$D$47,MATCH('STUDENT SCREENING'!AG48,'SCORING MASTER'!$C$45:$C$47,0)),""))</f>
        <v/>
      </c>
      <c r="AI48" s="57" t="str">
        <f aca="false">IF('STUDENT SCREENING'!AH48="","",IFERROR(INDEX('SCORING MASTER'!$D$49:$D$52,MATCH('STUDENT SCREENING'!AH48,'SCORING MASTER'!$C$49:$C$52,0)),""))</f>
        <v/>
      </c>
      <c r="AJ48" s="57" t="str">
        <f aca="false">IF('STUDENT SCREENING'!AI48="","",IFERROR(INDEX('SCORING MASTER'!$D$54:$D$57,MATCH('STUDENT SCREENING'!AI48,'SCORING MASTER'!$C$54:$C$57,0)),""))</f>
        <v/>
      </c>
      <c r="AK48" s="57" t="str">
        <f aca="false">IF('STUDENT SCREENING'!AJ48="","",IFERROR(INDEX('SCORING MASTER'!$D$59:$D$60,MATCH('STUDENT SCREENING'!AJ48,'SCORING MASTER'!$C$59:$C$60,0)),""))</f>
        <v/>
      </c>
      <c r="AL48" s="57" t="str">
        <f aca="false">IF('STUDENT SCREENING'!AK48="","",IFERROR(INDEX('SCORING MASTER'!$D$62:$D$63,MATCH('STUDENT SCREENING'!AK48,'SCORING MASTER'!$C$62:$C$63,0)),""))</f>
        <v/>
      </c>
      <c r="AM48" s="57" t="str">
        <f aca="false">IF('STUDENT SCREENING'!AL48="","",IFERROR(INDEX('SCORING MASTER'!$D$65:$D$66,MATCH('STUDENT SCREENING'!AL48,'SCORING MASTER'!$C$65:$C$66,0)),""))</f>
        <v/>
      </c>
      <c r="AN48" s="57" t="str">
        <f aca="false">IF('STUDENT SCREENING'!AM48="","",IFERROR(INDEX('SCORING MASTER'!$D$68:$D$69,MATCH('STUDENT SCREENING'!AM48,'SCORING MASTER'!$C$68:$C$69,0)),""))</f>
        <v/>
      </c>
      <c r="AO48" s="57" t="str">
        <f aca="false">IF('STUDENT SCREENING'!AN48="","",IFERROR(INDEX('SCORING MASTER'!$D$71:$D$72,MATCH('STUDENT SCREENING'!AN48,'SCORING MASTER'!$C$71:$C$72,0)),""))</f>
        <v/>
      </c>
      <c r="AP48" s="57" t="str">
        <f aca="false">IF('STUDENT SCREENING'!AO48="","",IFERROR(INDEX('SCORING MASTER'!$D$74:$D$75,MATCH('STUDENT SCREENING'!AO48,'SCORING MASTER'!$C$74:$C$75,0)),""))</f>
        <v/>
      </c>
      <c r="AQ48" s="57" t="str">
        <f aca="false">IF('STUDENT SCREENING'!AP48="","",IFERROR(INDEX('SCORING MASTER'!$D$77:$D$78,MATCH('STUDENT SCREENING'!AP48,'SCORING MASTER'!$C$77:$C$78,0)),""))</f>
        <v/>
      </c>
      <c r="AR48" s="57" t="str">
        <f aca="false">IF('STUDENT SCREENING'!AQ48="","",IFERROR(INDEX('SCORING MASTER'!$D$80:$D$82,MATCH('STUDENT SCREENING'!AQ48,'SCORING MASTER'!$C$80:$C$82,0)),""))</f>
        <v/>
      </c>
      <c r="AS48" s="57" t="str">
        <f aca="false">IF('STUDENT SCREENING'!AR48="","",IFERROR(INDEX('SCORING MASTER'!$D$84:$D$86,MATCH('STUDENT SCREENING'!AR48,'SCORING MASTER'!$C$84:$C$86,0)),""))</f>
        <v/>
      </c>
      <c r="AT48" s="57" t="str">
        <f aca="false">IF('STUDENT SCREENING'!AS48="","",IFERROR(INDEX('SCORING MASTER'!$D$88:$D$90,MATCH('STUDENT SCREENING'!AS48,'SCORING MASTER'!$C$88:$C$90,0)),""))</f>
        <v/>
      </c>
      <c r="AU48" s="57" t="str">
        <f aca="false">IF('STUDENT SCREENING'!AT48="","",IFERROR(INDEX('SCORING MASTER'!$D$92:$D$93,MATCH('STUDENT SCREENING'!AT48,'SCORING MASTER'!$C$92:$C$93,0)),""))</f>
        <v/>
      </c>
      <c r="AV48" s="57" t="str">
        <f aca="false">IF('STUDENT SCREENING'!AU48="","",IFERROR(INDEX('SCORING MASTER'!$D$95:$D$96,MATCH('STUDENT SCREENING'!AU48,'SCORING MASTER'!$C$95:$C$96,0)),""))</f>
        <v/>
      </c>
      <c r="AW48" s="57" t="str">
        <f aca="false">IF('STUDENT SCREENING'!AV48="","",IFERROR(INDEX('SCORING MASTER'!$D$98:$D$99,MATCH('STUDENT SCREENING'!AV48,'SCORING MASTER'!$C$98:$C$99,0)),""))</f>
        <v/>
      </c>
      <c r="AX48" s="57" t="str">
        <f aca="false">IF('STUDENT SCREENING'!AW48="","",IFERROR(INDEX('SCORING MASTER'!$D$101:$D$102,MATCH('STUDENT SCREENING'!AW48,'SCORING MASTER'!$C$101:$C$102,0)),""))</f>
        <v/>
      </c>
      <c r="AY48" s="57" t="str">
        <f aca="false">IF('STUDENT SCREENING'!AX48="","",IFERROR(INDEX('SCORING MASTER'!$D$104:$D$105,MATCH('STUDENT SCREENING'!AX48,'SCORING MASTER'!$C$104:$C$105,0)),""))</f>
        <v/>
      </c>
      <c r="AZ48" s="57" t="str">
        <f aca="false">IF('STUDENT SCREENING'!AY48="","",IFERROR(INDEX('SCORING MASTER'!$D$107:$D$108,MATCH('STUDENT SCREENING'!AY48,'SCORING MASTER'!$C$107:$C$108,0)),""))</f>
        <v/>
      </c>
      <c r="BA48" s="57" t="str">
        <f aca="false">IF('STUDENT SCREENING'!AZ48="","",IFERROR(INDEX('SCORING MASTER'!$D$110:$D$111,MATCH('STUDENT SCREENING'!AZ48,'SCORING MASTER'!$C$110:$C$111,0)),""))</f>
        <v/>
      </c>
      <c r="BB48" s="57" t="str">
        <f aca="false">IF('STUDENT SCREENING'!BA48="","",IFERROR(INDEX('SCORING MASTER'!$D$113:$D$115,MATCH('STUDENT SCREENING'!BA48,'SCORING MASTER'!$C$113:$C$115,0)),""))</f>
        <v/>
      </c>
      <c r="BC48" s="57" t="str">
        <f aca="false">IF('STUDENT SCREENING'!BB48="","",IFERROR(INDEX('SCORING MASTER'!$D$117:$D$119,MATCH('STUDENT SCREENING'!BB48,'SCORING MASTER'!$C$117:$C$119,0)),""))</f>
        <v/>
      </c>
      <c r="BD48" s="57" t="str">
        <f aca="false">IF('STUDENT SCREENING'!BC48="","",IFERROR(INDEX('SCORING MASTER'!$D$121:$D$123,MATCH('STUDENT SCREENING'!BC48,'SCORING MASTER'!$C$121:$C$123,0)),""))</f>
        <v/>
      </c>
      <c r="BE48" s="57" t="str">
        <f aca="false">IF('STUDENT SCREENING'!BD48="","",IFERROR(INDEX('SCORING MASTER'!$D$125:$D$126,MATCH('STUDENT SCREENING'!BD48,'SCORING MASTER'!$C$125:$C$126,0)),""))</f>
        <v/>
      </c>
      <c r="BF48" s="57" t="str">
        <f aca="false">IF('STUDENT SCREENING'!BE48="","",IFERROR(INDEX('SCORING MASTER'!$D$128:$D$129,MATCH('STUDENT SCREENING'!BE48,'SCORING MASTER'!$C$128:$C$129,0)),""))</f>
        <v/>
      </c>
      <c r="BG48" s="57" t="str">
        <f aca="false">IF('STUDENT SCREENING'!BP48="","",IFERROR(MATCH('STUDENT SCREENING'!BP48,{"Red - High Risk","Orange - Moderate Risk","Yellow - Mild Risk","Light Green - Mild Watch","Green - Healthy"},0)-1,""))</f>
        <v/>
      </c>
      <c r="BH48" s="57" t="str">
        <f aca="false">IF('STUDENT SCREENING'!BQ48="","",IF('STUDENT SCREENING'!BQ48="Yes",1,0))</f>
        <v/>
      </c>
      <c r="BI48" s="57" t="str">
        <f aca="false">IF('STUDENT SCREENING'!BR48="","",IF('STUDENT SCREENING'!BR48="Yes",1,0))</f>
        <v/>
      </c>
    </row>
    <row r="49" customFormat="false" ht="15" hidden="false" customHeight="false" outlineLevel="0" collapsed="false">
      <c r="A49" s="58" t="str">
        <f aca="false">'STUDENT SCREENING'!A49</f>
        <v/>
      </c>
      <c r="B49" s="58" t="n">
        <f aca="false">'STUDENT SCREENING'!C49</f>
        <v>0</v>
      </c>
      <c r="C49" s="58" t="n">
        <f aca="false">'STUDENT SCREENING'!D49</f>
        <v>0</v>
      </c>
      <c r="D49" s="58" t="n">
        <f aca="false">'STUDENT SCREENING'!E49</f>
        <v>0</v>
      </c>
      <c r="E49" s="58" t="n">
        <f aca="false">'STUDENT SCREENING'!F49</f>
        <v>0</v>
      </c>
      <c r="F49" s="58" t="n">
        <f aca="false">'STUDENT SCREENING'!K49</f>
        <v>0</v>
      </c>
      <c r="G49" s="58" t="n">
        <f aca="false">'STUDENT SCREENING'!J49</f>
        <v>0</v>
      </c>
      <c r="H49" s="58" t="str">
        <f aca="false">IF('STUDENT SCREENING'!K49="","",IFERROR(MATCH('STUDENT SCREENING'!K49,Adm_Gender,0),""))</f>
        <v/>
      </c>
      <c r="I49" s="58" t="n">
        <f aca="false">'STUDENT SCREENING'!Q49</f>
        <v>0</v>
      </c>
      <c r="J49" s="58" t="n">
        <f aca="false">'STUDENT SCREENING'!R49</f>
        <v>0</v>
      </c>
      <c r="K49" s="58" t="str">
        <f aca="false">'STUDENT SCREENING'!S49</f>
        <v/>
      </c>
      <c r="L49" s="58" t="n">
        <f aca="false">'STUDENT SCREENING'!U49</f>
        <v>0</v>
      </c>
      <c r="M49" s="58" t="n">
        <f aca="false">'STUDENT SCREENING'!V49</f>
        <v>0</v>
      </c>
      <c r="N49" s="58" t="str">
        <f aca="false">'STUDENT SCREENING'!BF49</f>
        <v/>
      </c>
      <c r="O49" s="58" t="str">
        <f aca="false">'STUDENT SCREENING'!BG49</f>
        <v/>
      </c>
      <c r="P49" s="58" t="str">
        <f aca="false">'STUDENT SCREENING'!BH49</f>
        <v/>
      </c>
      <c r="Q49" s="58" t="str">
        <f aca="false">'STUDENT SCREENING'!BI49</f>
        <v/>
      </c>
      <c r="R49" s="58" t="str">
        <f aca="false">'STUDENT SCREENING'!BJ49</f>
        <v/>
      </c>
      <c r="S49" s="58" t="str">
        <f aca="false">'STUDENT SCREENING'!BK49</f>
        <v/>
      </c>
      <c r="T49" s="58" t="str">
        <f aca="false">'STUDENT SCREENING'!BL49</f>
        <v/>
      </c>
      <c r="U49" s="58" t="str">
        <f aca="false">'STUDENT SCREENING'!BM49</f>
        <v/>
      </c>
      <c r="V49" s="58" t="str">
        <f aca="false">'STUDENT SCREENING'!BN49</f>
        <v/>
      </c>
      <c r="W49" s="58" t="str">
        <f aca="false">'STUDENT SCREENING'!BO49</f>
        <v/>
      </c>
      <c r="X49" s="58" t="str">
        <f aca="false">IF('STUDENT SCREENING'!W49="","",IFERROR(INDEX('SCORING MASTER'!$D$5:$D$7,MATCH('STUDENT SCREENING'!W49,'SCORING MASTER'!$C$5:$C$7,0)),""))</f>
        <v/>
      </c>
      <c r="Y49" s="58" t="str">
        <f aca="false">IF('STUDENT SCREENING'!X49="","",IFERROR(INDEX('SCORING MASTER'!$D$9:$D$11,MATCH('STUDENT SCREENING'!X49,'SCORING MASTER'!$C$9:$C$11,0)),""))</f>
        <v/>
      </c>
      <c r="Z49" s="58" t="str">
        <f aca="false">IF('STUDENT SCREENING'!Y49="","",IFERROR(INDEX('SCORING MASTER'!$D$13:$D$15,MATCH('STUDENT SCREENING'!Y49,'SCORING MASTER'!$C$13:$C$15,0)),""))</f>
        <v/>
      </c>
      <c r="AA49" s="58" t="str">
        <f aca="false">IF('STUDENT SCREENING'!Z49="","",IFERROR(INDEX('SCORING MASTER'!$D$17:$D$19,MATCH('STUDENT SCREENING'!Z49,'SCORING MASTER'!$C$17:$C$19,0)),""))</f>
        <v/>
      </c>
      <c r="AB49" s="58" t="str">
        <f aca="false">IF('STUDENT SCREENING'!AA49="","",IFERROR(INDEX('SCORING MASTER'!$D$21:$D$23,MATCH('STUDENT SCREENING'!AA49,'SCORING MASTER'!$C$21:$C$23,0)),""))</f>
        <v/>
      </c>
      <c r="AC49" s="58" t="str">
        <f aca="false">IF('STUDENT SCREENING'!AB49="","",IFERROR(INDEX('SCORING MASTER'!$D$25:$D$27,MATCH('STUDENT SCREENING'!AB49,'SCORING MASTER'!$C$25:$C$27,0)),""))</f>
        <v/>
      </c>
      <c r="AD49" s="58" t="str">
        <f aca="false">IF('STUDENT SCREENING'!AC49="","",IFERROR(INDEX('SCORING MASTER'!$D$29:$D$31,MATCH('STUDENT SCREENING'!AC49,'SCORING MASTER'!$C$29:$C$31,0)),""))</f>
        <v/>
      </c>
      <c r="AE49" s="58" t="str">
        <f aca="false">IF('STUDENT SCREENING'!AD49="","",IFERROR(INDEX('SCORING MASTER'!$D$33:$D$35,MATCH('STUDENT SCREENING'!AD49,'SCORING MASTER'!$C$33:$C$35,0)),""))</f>
        <v/>
      </c>
      <c r="AF49" s="58" t="str">
        <f aca="false">IF('STUDENT SCREENING'!AE49="","",IFERROR(INDEX('SCORING MASTER'!$D$37:$D$39,MATCH('STUDENT SCREENING'!AE49,'SCORING MASTER'!$C$37:$C$39,0)),""))</f>
        <v/>
      </c>
      <c r="AG49" s="58" t="str">
        <f aca="false">IF('STUDENT SCREENING'!AF49="","",IFERROR(INDEX('SCORING MASTER'!$D$41:$D$43,MATCH('STUDENT SCREENING'!AF49,'SCORING MASTER'!$C$41:$C$43,0)),""))</f>
        <v/>
      </c>
      <c r="AH49" s="58" t="str">
        <f aca="false">IF('STUDENT SCREENING'!AG49="","",IFERROR(INDEX('SCORING MASTER'!$D$45:$D$47,MATCH('STUDENT SCREENING'!AG49,'SCORING MASTER'!$C$45:$C$47,0)),""))</f>
        <v/>
      </c>
      <c r="AI49" s="58" t="str">
        <f aca="false">IF('STUDENT SCREENING'!AH49="","",IFERROR(INDEX('SCORING MASTER'!$D$49:$D$52,MATCH('STUDENT SCREENING'!AH49,'SCORING MASTER'!$C$49:$C$52,0)),""))</f>
        <v/>
      </c>
      <c r="AJ49" s="58" t="str">
        <f aca="false">IF('STUDENT SCREENING'!AI49="","",IFERROR(INDEX('SCORING MASTER'!$D$54:$D$57,MATCH('STUDENT SCREENING'!AI49,'SCORING MASTER'!$C$54:$C$57,0)),""))</f>
        <v/>
      </c>
      <c r="AK49" s="58" t="str">
        <f aca="false">IF('STUDENT SCREENING'!AJ49="","",IFERROR(INDEX('SCORING MASTER'!$D$59:$D$60,MATCH('STUDENT SCREENING'!AJ49,'SCORING MASTER'!$C$59:$C$60,0)),""))</f>
        <v/>
      </c>
      <c r="AL49" s="58" t="str">
        <f aca="false">IF('STUDENT SCREENING'!AK49="","",IFERROR(INDEX('SCORING MASTER'!$D$62:$D$63,MATCH('STUDENT SCREENING'!AK49,'SCORING MASTER'!$C$62:$C$63,0)),""))</f>
        <v/>
      </c>
      <c r="AM49" s="58" t="str">
        <f aca="false">IF('STUDENT SCREENING'!AL49="","",IFERROR(INDEX('SCORING MASTER'!$D$65:$D$66,MATCH('STUDENT SCREENING'!AL49,'SCORING MASTER'!$C$65:$C$66,0)),""))</f>
        <v/>
      </c>
      <c r="AN49" s="58" t="str">
        <f aca="false">IF('STUDENT SCREENING'!AM49="","",IFERROR(INDEX('SCORING MASTER'!$D$68:$D$69,MATCH('STUDENT SCREENING'!AM49,'SCORING MASTER'!$C$68:$C$69,0)),""))</f>
        <v/>
      </c>
      <c r="AO49" s="58" t="str">
        <f aca="false">IF('STUDENT SCREENING'!AN49="","",IFERROR(INDEX('SCORING MASTER'!$D$71:$D$72,MATCH('STUDENT SCREENING'!AN49,'SCORING MASTER'!$C$71:$C$72,0)),""))</f>
        <v/>
      </c>
      <c r="AP49" s="58" t="str">
        <f aca="false">IF('STUDENT SCREENING'!AO49="","",IFERROR(INDEX('SCORING MASTER'!$D$74:$D$75,MATCH('STUDENT SCREENING'!AO49,'SCORING MASTER'!$C$74:$C$75,0)),""))</f>
        <v/>
      </c>
      <c r="AQ49" s="58" t="str">
        <f aca="false">IF('STUDENT SCREENING'!AP49="","",IFERROR(INDEX('SCORING MASTER'!$D$77:$D$78,MATCH('STUDENT SCREENING'!AP49,'SCORING MASTER'!$C$77:$C$78,0)),""))</f>
        <v/>
      </c>
      <c r="AR49" s="58" t="str">
        <f aca="false">IF('STUDENT SCREENING'!AQ49="","",IFERROR(INDEX('SCORING MASTER'!$D$80:$D$82,MATCH('STUDENT SCREENING'!AQ49,'SCORING MASTER'!$C$80:$C$82,0)),""))</f>
        <v/>
      </c>
      <c r="AS49" s="58" t="str">
        <f aca="false">IF('STUDENT SCREENING'!AR49="","",IFERROR(INDEX('SCORING MASTER'!$D$84:$D$86,MATCH('STUDENT SCREENING'!AR49,'SCORING MASTER'!$C$84:$C$86,0)),""))</f>
        <v/>
      </c>
      <c r="AT49" s="58" t="str">
        <f aca="false">IF('STUDENT SCREENING'!AS49="","",IFERROR(INDEX('SCORING MASTER'!$D$88:$D$90,MATCH('STUDENT SCREENING'!AS49,'SCORING MASTER'!$C$88:$C$90,0)),""))</f>
        <v/>
      </c>
      <c r="AU49" s="58" t="str">
        <f aca="false">IF('STUDENT SCREENING'!AT49="","",IFERROR(INDEX('SCORING MASTER'!$D$92:$D$93,MATCH('STUDENT SCREENING'!AT49,'SCORING MASTER'!$C$92:$C$93,0)),""))</f>
        <v/>
      </c>
      <c r="AV49" s="58" t="str">
        <f aca="false">IF('STUDENT SCREENING'!AU49="","",IFERROR(INDEX('SCORING MASTER'!$D$95:$D$96,MATCH('STUDENT SCREENING'!AU49,'SCORING MASTER'!$C$95:$C$96,0)),""))</f>
        <v/>
      </c>
      <c r="AW49" s="58" t="str">
        <f aca="false">IF('STUDENT SCREENING'!AV49="","",IFERROR(INDEX('SCORING MASTER'!$D$98:$D$99,MATCH('STUDENT SCREENING'!AV49,'SCORING MASTER'!$C$98:$C$99,0)),""))</f>
        <v/>
      </c>
      <c r="AX49" s="58" t="str">
        <f aca="false">IF('STUDENT SCREENING'!AW49="","",IFERROR(INDEX('SCORING MASTER'!$D$101:$D$102,MATCH('STUDENT SCREENING'!AW49,'SCORING MASTER'!$C$101:$C$102,0)),""))</f>
        <v/>
      </c>
      <c r="AY49" s="58" t="str">
        <f aca="false">IF('STUDENT SCREENING'!AX49="","",IFERROR(INDEX('SCORING MASTER'!$D$104:$D$105,MATCH('STUDENT SCREENING'!AX49,'SCORING MASTER'!$C$104:$C$105,0)),""))</f>
        <v/>
      </c>
      <c r="AZ49" s="58" t="str">
        <f aca="false">IF('STUDENT SCREENING'!AY49="","",IFERROR(INDEX('SCORING MASTER'!$D$107:$D$108,MATCH('STUDENT SCREENING'!AY49,'SCORING MASTER'!$C$107:$C$108,0)),""))</f>
        <v/>
      </c>
      <c r="BA49" s="58" t="str">
        <f aca="false">IF('STUDENT SCREENING'!AZ49="","",IFERROR(INDEX('SCORING MASTER'!$D$110:$D$111,MATCH('STUDENT SCREENING'!AZ49,'SCORING MASTER'!$C$110:$C$111,0)),""))</f>
        <v/>
      </c>
      <c r="BB49" s="58" t="str">
        <f aca="false">IF('STUDENT SCREENING'!BA49="","",IFERROR(INDEX('SCORING MASTER'!$D$113:$D$115,MATCH('STUDENT SCREENING'!BA49,'SCORING MASTER'!$C$113:$C$115,0)),""))</f>
        <v/>
      </c>
      <c r="BC49" s="58" t="str">
        <f aca="false">IF('STUDENT SCREENING'!BB49="","",IFERROR(INDEX('SCORING MASTER'!$D$117:$D$119,MATCH('STUDENT SCREENING'!BB49,'SCORING MASTER'!$C$117:$C$119,0)),""))</f>
        <v/>
      </c>
      <c r="BD49" s="58" t="str">
        <f aca="false">IF('STUDENT SCREENING'!BC49="","",IFERROR(INDEX('SCORING MASTER'!$D$121:$D$123,MATCH('STUDENT SCREENING'!BC49,'SCORING MASTER'!$C$121:$C$123,0)),""))</f>
        <v/>
      </c>
      <c r="BE49" s="58" t="str">
        <f aca="false">IF('STUDENT SCREENING'!BD49="","",IFERROR(INDEX('SCORING MASTER'!$D$125:$D$126,MATCH('STUDENT SCREENING'!BD49,'SCORING MASTER'!$C$125:$C$126,0)),""))</f>
        <v/>
      </c>
      <c r="BF49" s="58" t="str">
        <f aca="false">IF('STUDENT SCREENING'!BE49="","",IFERROR(INDEX('SCORING MASTER'!$D$128:$D$129,MATCH('STUDENT SCREENING'!BE49,'SCORING MASTER'!$C$128:$C$129,0)),""))</f>
        <v/>
      </c>
      <c r="BG49" s="58" t="str">
        <f aca="false">IF('STUDENT SCREENING'!BP49="","",IFERROR(MATCH('STUDENT SCREENING'!BP49,{"Red - High Risk","Orange - Moderate Risk","Yellow - Mild Risk","Light Green - Mild Watch","Green - Healthy"},0)-1,""))</f>
        <v/>
      </c>
      <c r="BH49" s="58" t="str">
        <f aca="false">IF('STUDENT SCREENING'!BQ49="","",IF('STUDENT SCREENING'!BQ49="Yes",1,0))</f>
        <v/>
      </c>
      <c r="BI49" s="58" t="str">
        <f aca="false">IF('STUDENT SCREENING'!BR49="","",IF('STUDENT SCREENING'!BR49="Yes",1,0))</f>
        <v/>
      </c>
    </row>
    <row r="50" customFormat="false" ht="15" hidden="false" customHeight="false" outlineLevel="0" collapsed="false">
      <c r="A50" s="57" t="str">
        <f aca="false">'STUDENT SCREENING'!A50</f>
        <v/>
      </c>
      <c r="B50" s="57" t="n">
        <f aca="false">'STUDENT SCREENING'!C50</f>
        <v>0</v>
      </c>
      <c r="C50" s="57" t="n">
        <f aca="false">'STUDENT SCREENING'!D50</f>
        <v>0</v>
      </c>
      <c r="D50" s="57" t="n">
        <f aca="false">'STUDENT SCREENING'!E50</f>
        <v>0</v>
      </c>
      <c r="E50" s="57" t="n">
        <f aca="false">'STUDENT SCREENING'!F50</f>
        <v>0</v>
      </c>
      <c r="F50" s="57" t="n">
        <f aca="false">'STUDENT SCREENING'!K50</f>
        <v>0</v>
      </c>
      <c r="G50" s="57" t="n">
        <f aca="false">'STUDENT SCREENING'!J50</f>
        <v>0</v>
      </c>
      <c r="H50" s="57" t="str">
        <f aca="false">IF('STUDENT SCREENING'!K50="","",IFERROR(MATCH('STUDENT SCREENING'!K50,Adm_Gender,0),""))</f>
        <v/>
      </c>
      <c r="I50" s="57" t="n">
        <f aca="false">'STUDENT SCREENING'!Q50</f>
        <v>0</v>
      </c>
      <c r="J50" s="57" t="n">
        <f aca="false">'STUDENT SCREENING'!R50</f>
        <v>0</v>
      </c>
      <c r="K50" s="57" t="str">
        <f aca="false">'STUDENT SCREENING'!S50</f>
        <v/>
      </c>
      <c r="L50" s="57" t="n">
        <f aca="false">'STUDENT SCREENING'!U50</f>
        <v>0</v>
      </c>
      <c r="M50" s="57" t="n">
        <f aca="false">'STUDENT SCREENING'!V50</f>
        <v>0</v>
      </c>
      <c r="N50" s="57" t="str">
        <f aca="false">'STUDENT SCREENING'!BF50</f>
        <v/>
      </c>
      <c r="O50" s="57" t="str">
        <f aca="false">'STUDENT SCREENING'!BG50</f>
        <v/>
      </c>
      <c r="P50" s="57" t="str">
        <f aca="false">'STUDENT SCREENING'!BH50</f>
        <v/>
      </c>
      <c r="Q50" s="57" t="str">
        <f aca="false">'STUDENT SCREENING'!BI50</f>
        <v/>
      </c>
      <c r="R50" s="57" t="str">
        <f aca="false">'STUDENT SCREENING'!BJ50</f>
        <v/>
      </c>
      <c r="S50" s="57" t="str">
        <f aca="false">'STUDENT SCREENING'!BK50</f>
        <v/>
      </c>
      <c r="T50" s="57" t="str">
        <f aca="false">'STUDENT SCREENING'!BL50</f>
        <v/>
      </c>
      <c r="U50" s="57" t="str">
        <f aca="false">'STUDENT SCREENING'!BM50</f>
        <v/>
      </c>
      <c r="V50" s="57" t="str">
        <f aca="false">'STUDENT SCREENING'!BN50</f>
        <v/>
      </c>
      <c r="W50" s="57" t="str">
        <f aca="false">'STUDENT SCREENING'!BO50</f>
        <v/>
      </c>
      <c r="X50" s="57" t="str">
        <f aca="false">IF('STUDENT SCREENING'!W50="","",IFERROR(INDEX('SCORING MASTER'!$D$5:$D$7,MATCH('STUDENT SCREENING'!W50,'SCORING MASTER'!$C$5:$C$7,0)),""))</f>
        <v/>
      </c>
      <c r="Y50" s="57" t="str">
        <f aca="false">IF('STUDENT SCREENING'!X50="","",IFERROR(INDEX('SCORING MASTER'!$D$9:$D$11,MATCH('STUDENT SCREENING'!X50,'SCORING MASTER'!$C$9:$C$11,0)),""))</f>
        <v/>
      </c>
      <c r="Z50" s="57" t="str">
        <f aca="false">IF('STUDENT SCREENING'!Y50="","",IFERROR(INDEX('SCORING MASTER'!$D$13:$D$15,MATCH('STUDENT SCREENING'!Y50,'SCORING MASTER'!$C$13:$C$15,0)),""))</f>
        <v/>
      </c>
      <c r="AA50" s="57" t="str">
        <f aca="false">IF('STUDENT SCREENING'!Z50="","",IFERROR(INDEX('SCORING MASTER'!$D$17:$D$19,MATCH('STUDENT SCREENING'!Z50,'SCORING MASTER'!$C$17:$C$19,0)),""))</f>
        <v/>
      </c>
      <c r="AB50" s="57" t="str">
        <f aca="false">IF('STUDENT SCREENING'!AA50="","",IFERROR(INDEX('SCORING MASTER'!$D$21:$D$23,MATCH('STUDENT SCREENING'!AA50,'SCORING MASTER'!$C$21:$C$23,0)),""))</f>
        <v/>
      </c>
      <c r="AC50" s="57" t="str">
        <f aca="false">IF('STUDENT SCREENING'!AB50="","",IFERROR(INDEX('SCORING MASTER'!$D$25:$D$27,MATCH('STUDENT SCREENING'!AB50,'SCORING MASTER'!$C$25:$C$27,0)),""))</f>
        <v/>
      </c>
      <c r="AD50" s="57" t="str">
        <f aca="false">IF('STUDENT SCREENING'!AC50="","",IFERROR(INDEX('SCORING MASTER'!$D$29:$D$31,MATCH('STUDENT SCREENING'!AC50,'SCORING MASTER'!$C$29:$C$31,0)),""))</f>
        <v/>
      </c>
      <c r="AE50" s="57" t="str">
        <f aca="false">IF('STUDENT SCREENING'!AD50="","",IFERROR(INDEX('SCORING MASTER'!$D$33:$D$35,MATCH('STUDENT SCREENING'!AD50,'SCORING MASTER'!$C$33:$C$35,0)),""))</f>
        <v/>
      </c>
      <c r="AF50" s="57" t="str">
        <f aca="false">IF('STUDENT SCREENING'!AE50="","",IFERROR(INDEX('SCORING MASTER'!$D$37:$D$39,MATCH('STUDENT SCREENING'!AE50,'SCORING MASTER'!$C$37:$C$39,0)),""))</f>
        <v/>
      </c>
      <c r="AG50" s="57" t="str">
        <f aca="false">IF('STUDENT SCREENING'!AF50="","",IFERROR(INDEX('SCORING MASTER'!$D$41:$D$43,MATCH('STUDENT SCREENING'!AF50,'SCORING MASTER'!$C$41:$C$43,0)),""))</f>
        <v/>
      </c>
      <c r="AH50" s="57" t="str">
        <f aca="false">IF('STUDENT SCREENING'!AG50="","",IFERROR(INDEX('SCORING MASTER'!$D$45:$D$47,MATCH('STUDENT SCREENING'!AG50,'SCORING MASTER'!$C$45:$C$47,0)),""))</f>
        <v/>
      </c>
      <c r="AI50" s="57" t="str">
        <f aca="false">IF('STUDENT SCREENING'!AH50="","",IFERROR(INDEX('SCORING MASTER'!$D$49:$D$52,MATCH('STUDENT SCREENING'!AH50,'SCORING MASTER'!$C$49:$C$52,0)),""))</f>
        <v/>
      </c>
      <c r="AJ50" s="57" t="str">
        <f aca="false">IF('STUDENT SCREENING'!AI50="","",IFERROR(INDEX('SCORING MASTER'!$D$54:$D$57,MATCH('STUDENT SCREENING'!AI50,'SCORING MASTER'!$C$54:$C$57,0)),""))</f>
        <v/>
      </c>
      <c r="AK50" s="57" t="str">
        <f aca="false">IF('STUDENT SCREENING'!AJ50="","",IFERROR(INDEX('SCORING MASTER'!$D$59:$D$60,MATCH('STUDENT SCREENING'!AJ50,'SCORING MASTER'!$C$59:$C$60,0)),""))</f>
        <v/>
      </c>
      <c r="AL50" s="57" t="str">
        <f aca="false">IF('STUDENT SCREENING'!AK50="","",IFERROR(INDEX('SCORING MASTER'!$D$62:$D$63,MATCH('STUDENT SCREENING'!AK50,'SCORING MASTER'!$C$62:$C$63,0)),""))</f>
        <v/>
      </c>
      <c r="AM50" s="57" t="str">
        <f aca="false">IF('STUDENT SCREENING'!AL50="","",IFERROR(INDEX('SCORING MASTER'!$D$65:$D$66,MATCH('STUDENT SCREENING'!AL50,'SCORING MASTER'!$C$65:$C$66,0)),""))</f>
        <v/>
      </c>
      <c r="AN50" s="57" t="str">
        <f aca="false">IF('STUDENT SCREENING'!AM50="","",IFERROR(INDEX('SCORING MASTER'!$D$68:$D$69,MATCH('STUDENT SCREENING'!AM50,'SCORING MASTER'!$C$68:$C$69,0)),""))</f>
        <v/>
      </c>
      <c r="AO50" s="57" t="str">
        <f aca="false">IF('STUDENT SCREENING'!AN50="","",IFERROR(INDEX('SCORING MASTER'!$D$71:$D$72,MATCH('STUDENT SCREENING'!AN50,'SCORING MASTER'!$C$71:$C$72,0)),""))</f>
        <v/>
      </c>
      <c r="AP50" s="57" t="str">
        <f aca="false">IF('STUDENT SCREENING'!AO50="","",IFERROR(INDEX('SCORING MASTER'!$D$74:$D$75,MATCH('STUDENT SCREENING'!AO50,'SCORING MASTER'!$C$74:$C$75,0)),""))</f>
        <v/>
      </c>
      <c r="AQ50" s="57" t="str">
        <f aca="false">IF('STUDENT SCREENING'!AP50="","",IFERROR(INDEX('SCORING MASTER'!$D$77:$D$78,MATCH('STUDENT SCREENING'!AP50,'SCORING MASTER'!$C$77:$C$78,0)),""))</f>
        <v/>
      </c>
      <c r="AR50" s="57" t="str">
        <f aca="false">IF('STUDENT SCREENING'!AQ50="","",IFERROR(INDEX('SCORING MASTER'!$D$80:$D$82,MATCH('STUDENT SCREENING'!AQ50,'SCORING MASTER'!$C$80:$C$82,0)),""))</f>
        <v/>
      </c>
      <c r="AS50" s="57" t="str">
        <f aca="false">IF('STUDENT SCREENING'!AR50="","",IFERROR(INDEX('SCORING MASTER'!$D$84:$D$86,MATCH('STUDENT SCREENING'!AR50,'SCORING MASTER'!$C$84:$C$86,0)),""))</f>
        <v/>
      </c>
      <c r="AT50" s="57" t="str">
        <f aca="false">IF('STUDENT SCREENING'!AS50="","",IFERROR(INDEX('SCORING MASTER'!$D$88:$D$90,MATCH('STUDENT SCREENING'!AS50,'SCORING MASTER'!$C$88:$C$90,0)),""))</f>
        <v/>
      </c>
      <c r="AU50" s="57" t="str">
        <f aca="false">IF('STUDENT SCREENING'!AT50="","",IFERROR(INDEX('SCORING MASTER'!$D$92:$D$93,MATCH('STUDENT SCREENING'!AT50,'SCORING MASTER'!$C$92:$C$93,0)),""))</f>
        <v/>
      </c>
      <c r="AV50" s="57" t="str">
        <f aca="false">IF('STUDENT SCREENING'!AU50="","",IFERROR(INDEX('SCORING MASTER'!$D$95:$D$96,MATCH('STUDENT SCREENING'!AU50,'SCORING MASTER'!$C$95:$C$96,0)),""))</f>
        <v/>
      </c>
      <c r="AW50" s="57" t="str">
        <f aca="false">IF('STUDENT SCREENING'!AV50="","",IFERROR(INDEX('SCORING MASTER'!$D$98:$D$99,MATCH('STUDENT SCREENING'!AV50,'SCORING MASTER'!$C$98:$C$99,0)),""))</f>
        <v/>
      </c>
      <c r="AX50" s="57" t="str">
        <f aca="false">IF('STUDENT SCREENING'!AW50="","",IFERROR(INDEX('SCORING MASTER'!$D$101:$D$102,MATCH('STUDENT SCREENING'!AW50,'SCORING MASTER'!$C$101:$C$102,0)),""))</f>
        <v/>
      </c>
      <c r="AY50" s="57" t="str">
        <f aca="false">IF('STUDENT SCREENING'!AX50="","",IFERROR(INDEX('SCORING MASTER'!$D$104:$D$105,MATCH('STUDENT SCREENING'!AX50,'SCORING MASTER'!$C$104:$C$105,0)),""))</f>
        <v/>
      </c>
      <c r="AZ50" s="57" t="str">
        <f aca="false">IF('STUDENT SCREENING'!AY50="","",IFERROR(INDEX('SCORING MASTER'!$D$107:$D$108,MATCH('STUDENT SCREENING'!AY50,'SCORING MASTER'!$C$107:$C$108,0)),""))</f>
        <v/>
      </c>
      <c r="BA50" s="57" t="str">
        <f aca="false">IF('STUDENT SCREENING'!AZ50="","",IFERROR(INDEX('SCORING MASTER'!$D$110:$D$111,MATCH('STUDENT SCREENING'!AZ50,'SCORING MASTER'!$C$110:$C$111,0)),""))</f>
        <v/>
      </c>
      <c r="BB50" s="57" t="str">
        <f aca="false">IF('STUDENT SCREENING'!BA50="","",IFERROR(INDEX('SCORING MASTER'!$D$113:$D$115,MATCH('STUDENT SCREENING'!BA50,'SCORING MASTER'!$C$113:$C$115,0)),""))</f>
        <v/>
      </c>
      <c r="BC50" s="57" t="str">
        <f aca="false">IF('STUDENT SCREENING'!BB50="","",IFERROR(INDEX('SCORING MASTER'!$D$117:$D$119,MATCH('STUDENT SCREENING'!BB50,'SCORING MASTER'!$C$117:$C$119,0)),""))</f>
        <v/>
      </c>
      <c r="BD50" s="57" t="str">
        <f aca="false">IF('STUDENT SCREENING'!BC50="","",IFERROR(INDEX('SCORING MASTER'!$D$121:$D$123,MATCH('STUDENT SCREENING'!BC50,'SCORING MASTER'!$C$121:$C$123,0)),""))</f>
        <v/>
      </c>
      <c r="BE50" s="57" t="str">
        <f aca="false">IF('STUDENT SCREENING'!BD50="","",IFERROR(INDEX('SCORING MASTER'!$D$125:$D$126,MATCH('STUDENT SCREENING'!BD50,'SCORING MASTER'!$C$125:$C$126,0)),""))</f>
        <v/>
      </c>
      <c r="BF50" s="57" t="str">
        <f aca="false">IF('STUDENT SCREENING'!BE50="","",IFERROR(INDEX('SCORING MASTER'!$D$128:$D$129,MATCH('STUDENT SCREENING'!BE50,'SCORING MASTER'!$C$128:$C$129,0)),""))</f>
        <v/>
      </c>
      <c r="BG50" s="57" t="str">
        <f aca="false">IF('STUDENT SCREENING'!BP50="","",IFERROR(MATCH('STUDENT SCREENING'!BP50,{"Red - High Risk","Orange - Moderate Risk","Yellow - Mild Risk","Light Green - Mild Watch","Green - Healthy"},0)-1,""))</f>
        <v/>
      </c>
      <c r="BH50" s="57" t="str">
        <f aca="false">IF('STUDENT SCREENING'!BQ50="","",IF('STUDENT SCREENING'!BQ50="Yes",1,0))</f>
        <v/>
      </c>
      <c r="BI50" s="57" t="str">
        <f aca="false">IF('STUDENT SCREENING'!BR50="","",IF('STUDENT SCREENING'!BR50="Yes",1,0))</f>
        <v/>
      </c>
    </row>
    <row r="51" customFormat="false" ht="15" hidden="false" customHeight="false" outlineLevel="0" collapsed="false">
      <c r="A51" s="58" t="str">
        <f aca="false">'STUDENT SCREENING'!A51</f>
        <v/>
      </c>
      <c r="B51" s="58" t="n">
        <f aca="false">'STUDENT SCREENING'!C51</f>
        <v>0</v>
      </c>
      <c r="C51" s="58" t="n">
        <f aca="false">'STUDENT SCREENING'!D51</f>
        <v>0</v>
      </c>
      <c r="D51" s="58" t="n">
        <f aca="false">'STUDENT SCREENING'!E51</f>
        <v>0</v>
      </c>
      <c r="E51" s="58" t="n">
        <f aca="false">'STUDENT SCREENING'!F51</f>
        <v>0</v>
      </c>
      <c r="F51" s="58" t="n">
        <f aca="false">'STUDENT SCREENING'!K51</f>
        <v>0</v>
      </c>
      <c r="G51" s="58" t="n">
        <f aca="false">'STUDENT SCREENING'!J51</f>
        <v>0</v>
      </c>
      <c r="H51" s="58" t="str">
        <f aca="false">IF('STUDENT SCREENING'!K51="","",IFERROR(MATCH('STUDENT SCREENING'!K51,Adm_Gender,0),""))</f>
        <v/>
      </c>
      <c r="I51" s="58" t="n">
        <f aca="false">'STUDENT SCREENING'!Q51</f>
        <v>0</v>
      </c>
      <c r="J51" s="58" t="n">
        <f aca="false">'STUDENT SCREENING'!R51</f>
        <v>0</v>
      </c>
      <c r="K51" s="58" t="str">
        <f aca="false">'STUDENT SCREENING'!S51</f>
        <v/>
      </c>
      <c r="L51" s="58" t="n">
        <f aca="false">'STUDENT SCREENING'!U51</f>
        <v>0</v>
      </c>
      <c r="M51" s="58" t="n">
        <f aca="false">'STUDENT SCREENING'!V51</f>
        <v>0</v>
      </c>
      <c r="N51" s="58" t="str">
        <f aca="false">'STUDENT SCREENING'!BF51</f>
        <v/>
      </c>
      <c r="O51" s="58" t="str">
        <f aca="false">'STUDENT SCREENING'!BG51</f>
        <v/>
      </c>
      <c r="P51" s="58" t="str">
        <f aca="false">'STUDENT SCREENING'!BH51</f>
        <v/>
      </c>
      <c r="Q51" s="58" t="str">
        <f aca="false">'STUDENT SCREENING'!BI51</f>
        <v/>
      </c>
      <c r="R51" s="58" t="str">
        <f aca="false">'STUDENT SCREENING'!BJ51</f>
        <v/>
      </c>
      <c r="S51" s="58" t="str">
        <f aca="false">'STUDENT SCREENING'!BK51</f>
        <v/>
      </c>
      <c r="T51" s="58" t="str">
        <f aca="false">'STUDENT SCREENING'!BL51</f>
        <v/>
      </c>
      <c r="U51" s="58" t="str">
        <f aca="false">'STUDENT SCREENING'!BM51</f>
        <v/>
      </c>
      <c r="V51" s="58" t="str">
        <f aca="false">'STUDENT SCREENING'!BN51</f>
        <v/>
      </c>
      <c r="W51" s="58" t="str">
        <f aca="false">'STUDENT SCREENING'!BO51</f>
        <v/>
      </c>
      <c r="X51" s="58" t="str">
        <f aca="false">IF('STUDENT SCREENING'!W51="","",IFERROR(INDEX('SCORING MASTER'!$D$5:$D$7,MATCH('STUDENT SCREENING'!W51,'SCORING MASTER'!$C$5:$C$7,0)),""))</f>
        <v/>
      </c>
      <c r="Y51" s="58" t="str">
        <f aca="false">IF('STUDENT SCREENING'!X51="","",IFERROR(INDEX('SCORING MASTER'!$D$9:$D$11,MATCH('STUDENT SCREENING'!X51,'SCORING MASTER'!$C$9:$C$11,0)),""))</f>
        <v/>
      </c>
      <c r="Z51" s="58" t="str">
        <f aca="false">IF('STUDENT SCREENING'!Y51="","",IFERROR(INDEX('SCORING MASTER'!$D$13:$D$15,MATCH('STUDENT SCREENING'!Y51,'SCORING MASTER'!$C$13:$C$15,0)),""))</f>
        <v/>
      </c>
      <c r="AA51" s="58" t="str">
        <f aca="false">IF('STUDENT SCREENING'!Z51="","",IFERROR(INDEX('SCORING MASTER'!$D$17:$D$19,MATCH('STUDENT SCREENING'!Z51,'SCORING MASTER'!$C$17:$C$19,0)),""))</f>
        <v/>
      </c>
      <c r="AB51" s="58" t="str">
        <f aca="false">IF('STUDENT SCREENING'!AA51="","",IFERROR(INDEX('SCORING MASTER'!$D$21:$D$23,MATCH('STUDENT SCREENING'!AA51,'SCORING MASTER'!$C$21:$C$23,0)),""))</f>
        <v/>
      </c>
      <c r="AC51" s="58" t="str">
        <f aca="false">IF('STUDENT SCREENING'!AB51="","",IFERROR(INDEX('SCORING MASTER'!$D$25:$D$27,MATCH('STUDENT SCREENING'!AB51,'SCORING MASTER'!$C$25:$C$27,0)),""))</f>
        <v/>
      </c>
      <c r="AD51" s="58" t="str">
        <f aca="false">IF('STUDENT SCREENING'!AC51="","",IFERROR(INDEX('SCORING MASTER'!$D$29:$D$31,MATCH('STUDENT SCREENING'!AC51,'SCORING MASTER'!$C$29:$C$31,0)),""))</f>
        <v/>
      </c>
      <c r="AE51" s="58" t="str">
        <f aca="false">IF('STUDENT SCREENING'!AD51="","",IFERROR(INDEX('SCORING MASTER'!$D$33:$D$35,MATCH('STUDENT SCREENING'!AD51,'SCORING MASTER'!$C$33:$C$35,0)),""))</f>
        <v/>
      </c>
      <c r="AF51" s="58" t="str">
        <f aca="false">IF('STUDENT SCREENING'!AE51="","",IFERROR(INDEX('SCORING MASTER'!$D$37:$D$39,MATCH('STUDENT SCREENING'!AE51,'SCORING MASTER'!$C$37:$C$39,0)),""))</f>
        <v/>
      </c>
      <c r="AG51" s="58" t="str">
        <f aca="false">IF('STUDENT SCREENING'!AF51="","",IFERROR(INDEX('SCORING MASTER'!$D$41:$D$43,MATCH('STUDENT SCREENING'!AF51,'SCORING MASTER'!$C$41:$C$43,0)),""))</f>
        <v/>
      </c>
      <c r="AH51" s="58" t="str">
        <f aca="false">IF('STUDENT SCREENING'!AG51="","",IFERROR(INDEX('SCORING MASTER'!$D$45:$D$47,MATCH('STUDENT SCREENING'!AG51,'SCORING MASTER'!$C$45:$C$47,0)),""))</f>
        <v/>
      </c>
      <c r="AI51" s="58" t="str">
        <f aca="false">IF('STUDENT SCREENING'!AH51="","",IFERROR(INDEX('SCORING MASTER'!$D$49:$D$52,MATCH('STUDENT SCREENING'!AH51,'SCORING MASTER'!$C$49:$C$52,0)),""))</f>
        <v/>
      </c>
      <c r="AJ51" s="58" t="str">
        <f aca="false">IF('STUDENT SCREENING'!AI51="","",IFERROR(INDEX('SCORING MASTER'!$D$54:$D$57,MATCH('STUDENT SCREENING'!AI51,'SCORING MASTER'!$C$54:$C$57,0)),""))</f>
        <v/>
      </c>
      <c r="AK51" s="58" t="str">
        <f aca="false">IF('STUDENT SCREENING'!AJ51="","",IFERROR(INDEX('SCORING MASTER'!$D$59:$D$60,MATCH('STUDENT SCREENING'!AJ51,'SCORING MASTER'!$C$59:$C$60,0)),""))</f>
        <v/>
      </c>
      <c r="AL51" s="58" t="str">
        <f aca="false">IF('STUDENT SCREENING'!AK51="","",IFERROR(INDEX('SCORING MASTER'!$D$62:$D$63,MATCH('STUDENT SCREENING'!AK51,'SCORING MASTER'!$C$62:$C$63,0)),""))</f>
        <v/>
      </c>
      <c r="AM51" s="58" t="str">
        <f aca="false">IF('STUDENT SCREENING'!AL51="","",IFERROR(INDEX('SCORING MASTER'!$D$65:$D$66,MATCH('STUDENT SCREENING'!AL51,'SCORING MASTER'!$C$65:$C$66,0)),""))</f>
        <v/>
      </c>
      <c r="AN51" s="58" t="str">
        <f aca="false">IF('STUDENT SCREENING'!AM51="","",IFERROR(INDEX('SCORING MASTER'!$D$68:$D$69,MATCH('STUDENT SCREENING'!AM51,'SCORING MASTER'!$C$68:$C$69,0)),""))</f>
        <v/>
      </c>
      <c r="AO51" s="58" t="str">
        <f aca="false">IF('STUDENT SCREENING'!AN51="","",IFERROR(INDEX('SCORING MASTER'!$D$71:$D$72,MATCH('STUDENT SCREENING'!AN51,'SCORING MASTER'!$C$71:$C$72,0)),""))</f>
        <v/>
      </c>
      <c r="AP51" s="58" t="str">
        <f aca="false">IF('STUDENT SCREENING'!AO51="","",IFERROR(INDEX('SCORING MASTER'!$D$74:$D$75,MATCH('STUDENT SCREENING'!AO51,'SCORING MASTER'!$C$74:$C$75,0)),""))</f>
        <v/>
      </c>
      <c r="AQ51" s="58" t="str">
        <f aca="false">IF('STUDENT SCREENING'!AP51="","",IFERROR(INDEX('SCORING MASTER'!$D$77:$D$78,MATCH('STUDENT SCREENING'!AP51,'SCORING MASTER'!$C$77:$C$78,0)),""))</f>
        <v/>
      </c>
      <c r="AR51" s="58" t="str">
        <f aca="false">IF('STUDENT SCREENING'!AQ51="","",IFERROR(INDEX('SCORING MASTER'!$D$80:$D$82,MATCH('STUDENT SCREENING'!AQ51,'SCORING MASTER'!$C$80:$C$82,0)),""))</f>
        <v/>
      </c>
      <c r="AS51" s="58" t="str">
        <f aca="false">IF('STUDENT SCREENING'!AR51="","",IFERROR(INDEX('SCORING MASTER'!$D$84:$D$86,MATCH('STUDENT SCREENING'!AR51,'SCORING MASTER'!$C$84:$C$86,0)),""))</f>
        <v/>
      </c>
      <c r="AT51" s="58" t="str">
        <f aca="false">IF('STUDENT SCREENING'!AS51="","",IFERROR(INDEX('SCORING MASTER'!$D$88:$D$90,MATCH('STUDENT SCREENING'!AS51,'SCORING MASTER'!$C$88:$C$90,0)),""))</f>
        <v/>
      </c>
      <c r="AU51" s="58" t="str">
        <f aca="false">IF('STUDENT SCREENING'!AT51="","",IFERROR(INDEX('SCORING MASTER'!$D$92:$D$93,MATCH('STUDENT SCREENING'!AT51,'SCORING MASTER'!$C$92:$C$93,0)),""))</f>
        <v/>
      </c>
      <c r="AV51" s="58" t="str">
        <f aca="false">IF('STUDENT SCREENING'!AU51="","",IFERROR(INDEX('SCORING MASTER'!$D$95:$D$96,MATCH('STUDENT SCREENING'!AU51,'SCORING MASTER'!$C$95:$C$96,0)),""))</f>
        <v/>
      </c>
      <c r="AW51" s="58" t="str">
        <f aca="false">IF('STUDENT SCREENING'!AV51="","",IFERROR(INDEX('SCORING MASTER'!$D$98:$D$99,MATCH('STUDENT SCREENING'!AV51,'SCORING MASTER'!$C$98:$C$99,0)),""))</f>
        <v/>
      </c>
      <c r="AX51" s="58" t="str">
        <f aca="false">IF('STUDENT SCREENING'!AW51="","",IFERROR(INDEX('SCORING MASTER'!$D$101:$D$102,MATCH('STUDENT SCREENING'!AW51,'SCORING MASTER'!$C$101:$C$102,0)),""))</f>
        <v/>
      </c>
      <c r="AY51" s="58" t="str">
        <f aca="false">IF('STUDENT SCREENING'!AX51="","",IFERROR(INDEX('SCORING MASTER'!$D$104:$D$105,MATCH('STUDENT SCREENING'!AX51,'SCORING MASTER'!$C$104:$C$105,0)),""))</f>
        <v/>
      </c>
      <c r="AZ51" s="58" t="str">
        <f aca="false">IF('STUDENT SCREENING'!AY51="","",IFERROR(INDEX('SCORING MASTER'!$D$107:$D$108,MATCH('STUDENT SCREENING'!AY51,'SCORING MASTER'!$C$107:$C$108,0)),""))</f>
        <v/>
      </c>
      <c r="BA51" s="58" t="str">
        <f aca="false">IF('STUDENT SCREENING'!AZ51="","",IFERROR(INDEX('SCORING MASTER'!$D$110:$D$111,MATCH('STUDENT SCREENING'!AZ51,'SCORING MASTER'!$C$110:$C$111,0)),""))</f>
        <v/>
      </c>
      <c r="BB51" s="58" t="str">
        <f aca="false">IF('STUDENT SCREENING'!BA51="","",IFERROR(INDEX('SCORING MASTER'!$D$113:$D$115,MATCH('STUDENT SCREENING'!BA51,'SCORING MASTER'!$C$113:$C$115,0)),""))</f>
        <v/>
      </c>
      <c r="BC51" s="58" t="str">
        <f aca="false">IF('STUDENT SCREENING'!BB51="","",IFERROR(INDEX('SCORING MASTER'!$D$117:$D$119,MATCH('STUDENT SCREENING'!BB51,'SCORING MASTER'!$C$117:$C$119,0)),""))</f>
        <v/>
      </c>
      <c r="BD51" s="58" t="str">
        <f aca="false">IF('STUDENT SCREENING'!BC51="","",IFERROR(INDEX('SCORING MASTER'!$D$121:$D$123,MATCH('STUDENT SCREENING'!BC51,'SCORING MASTER'!$C$121:$C$123,0)),""))</f>
        <v/>
      </c>
      <c r="BE51" s="58" t="str">
        <f aca="false">IF('STUDENT SCREENING'!BD51="","",IFERROR(INDEX('SCORING MASTER'!$D$125:$D$126,MATCH('STUDENT SCREENING'!BD51,'SCORING MASTER'!$C$125:$C$126,0)),""))</f>
        <v/>
      </c>
      <c r="BF51" s="58" t="str">
        <f aca="false">IF('STUDENT SCREENING'!BE51="","",IFERROR(INDEX('SCORING MASTER'!$D$128:$D$129,MATCH('STUDENT SCREENING'!BE51,'SCORING MASTER'!$C$128:$C$129,0)),""))</f>
        <v/>
      </c>
      <c r="BG51" s="58" t="str">
        <f aca="false">IF('STUDENT SCREENING'!BP51="","",IFERROR(MATCH('STUDENT SCREENING'!BP51,{"Red - High Risk","Orange - Moderate Risk","Yellow - Mild Risk","Light Green - Mild Watch","Green - Healthy"},0)-1,""))</f>
        <v/>
      </c>
      <c r="BH51" s="58" t="str">
        <f aca="false">IF('STUDENT SCREENING'!BQ51="","",IF('STUDENT SCREENING'!BQ51="Yes",1,0))</f>
        <v/>
      </c>
      <c r="BI51" s="58" t="str">
        <f aca="false">IF('STUDENT SCREENING'!BR51="","",IF('STUDENT SCREENING'!BR51="Yes",1,0))</f>
        <v/>
      </c>
    </row>
    <row r="52" customFormat="false" ht="15" hidden="false" customHeight="false" outlineLevel="0" collapsed="false">
      <c r="A52" s="57" t="str">
        <f aca="false">'STUDENT SCREENING'!A52</f>
        <v/>
      </c>
      <c r="B52" s="57" t="n">
        <f aca="false">'STUDENT SCREENING'!C52</f>
        <v>0</v>
      </c>
      <c r="C52" s="57" t="n">
        <f aca="false">'STUDENT SCREENING'!D52</f>
        <v>0</v>
      </c>
      <c r="D52" s="57" t="n">
        <f aca="false">'STUDENT SCREENING'!E52</f>
        <v>0</v>
      </c>
      <c r="E52" s="57" t="n">
        <f aca="false">'STUDENT SCREENING'!F52</f>
        <v>0</v>
      </c>
      <c r="F52" s="57" t="n">
        <f aca="false">'STUDENT SCREENING'!K52</f>
        <v>0</v>
      </c>
      <c r="G52" s="57" t="n">
        <f aca="false">'STUDENT SCREENING'!J52</f>
        <v>0</v>
      </c>
      <c r="H52" s="57" t="str">
        <f aca="false">IF('STUDENT SCREENING'!K52="","",IFERROR(MATCH('STUDENT SCREENING'!K52,Adm_Gender,0),""))</f>
        <v/>
      </c>
      <c r="I52" s="57" t="n">
        <f aca="false">'STUDENT SCREENING'!Q52</f>
        <v>0</v>
      </c>
      <c r="J52" s="57" t="n">
        <f aca="false">'STUDENT SCREENING'!R52</f>
        <v>0</v>
      </c>
      <c r="K52" s="57" t="str">
        <f aca="false">'STUDENT SCREENING'!S52</f>
        <v/>
      </c>
      <c r="L52" s="57" t="n">
        <f aca="false">'STUDENT SCREENING'!U52</f>
        <v>0</v>
      </c>
      <c r="M52" s="57" t="n">
        <f aca="false">'STUDENT SCREENING'!V52</f>
        <v>0</v>
      </c>
      <c r="N52" s="57" t="str">
        <f aca="false">'STUDENT SCREENING'!BF52</f>
        <v/>
      </c>
      <c r="O52" s="57" t="str">
        <f aca="false">'STUDENT SCREENING'!BG52</f>
        <v/>
      </c>
      <c r="P52" s="57" t="str">
        <f aca="false">'STUDENT SCREENING'!BH52</f>
        <v/>
      </c>
      <c r="Q52" s="57" t="str">
        <f aca="false">'STUDENT SCREENING'!BI52</f>
        <v/>
      </c>
      <c r="R52" s="57" t="str">
        <f aca="false">'STUDENT SCREENING'!BJ52</f>
        <v/>
      </c>
      <c r="S52" s="57" t="str">
        <f aca="false">'STUDENT SCREENING'!BK52</f>
        <v/>
      </c>
      <c r="T52" s="57" t="str">
        <f aca="false">'STUDENT SCREENING'!BL52</f>
        <v/>
      </c>
      <c r="U52" s="57" t="str">
        <f aca="false">'STUDENT SCREENING'!BM52</f>
        <v/>
      </c>
      <c r="V52" s="57" t="str">
        <f aca="false">'STUDENT SCREENING'!BN52</f>
        <v/>
      </c>
      <c r="W52" s="57" t="str">
        <f aca="false">'STUDENT SCREENING'!BO52</f>
        <v/>
      </c>
      <c r="X52" s="57" t="str">
        <f aca="false">IF('STUDENT SCREENING'!W52="","",IFERROR(INDEX('SCORING MASTER'!$D$5:$D$7,MATCH('STUDENT SCREENING'!W52,'SCORING MASTER'!$C$5:$C$7,0)),""))</f>
        <v/>
      </c>
      <c r="Y52" s="57" t="str">
        <f aca="false">IF('STUDENT SCREENING'!X52="","",IFERROR(INDEX('SCORING MASTER'!$D$9:$D$11,MATCH('STUDENT SCREENING'!X52,'SCORING MASTER'!$C$9:$C$11,0)),""))</f>
        <v/>
      </c>
      <c r="Z52" s="57" t="str">
        <f aca="false">IF('STUDENT SCREENING'!Y52="","",IFERROR(INDEX('SCORING MASTER'!$D$13:$D$15,MATCH('STUDENT SCREENING'!Y52,'SCORING MASTER'!$C$13:$C$15,0)),""))</f>
        <v/>
      </c>
      <c r="AA52" s="57" t="str">
        <f aca="false">IF('STUDENT SCREENING'!Z52="","",IFERROR(INDEX('SCORING MASTER'!$D$17:$D$19,MATCH('STUDENT SCREENING'!Z52,'SCORING MASTER'!$C$17:$C$19,0)),""))</f>
        <v/>
      </c>
      <c r="AB52" s="57" t="str">
        <f aca="false">IF('STUDENT SCREENING'!AA52="","",IFERROR(INDEX('SCORING MASTER'!$D$21:$D$23,MATCH('STUDENT SCREENING'!AA52,'SCORING MASTER'!$C$21:$C$23,0)),""))</f>
        <v/>
      </c>
      <c r="AC52" s="57" t="str">
        <f aca="false">IF('STUDENT SCREENING'!AB52="","",IFERROR(INDEX('SCORING MASTER'!$D$25:$D$27,MATCH('STUDENT SCREENING'!AB52,'SCORING MASTER'!$C$25:$C$27,0)),""))</f>
        <v/>
      </c>
      <c r="AD52" s="57" t="str">
        <f aca="false">IF('STUDENT SCREENING'!AC52="","",IFERROR(INDEX('SCORING MASTER'!$D$29:$D$31,MATCH('STUDENT SCREENING'!AC52,'SCORING MASTER'!$C$29:$C$31,0)),""))</f>
        <v/>
      </c>
      <c r="AE52" s="57" t="str">
        <f aca="false">IF('STUDENT SCREENING'!AD52="","",IFERROR(INDEX('SCORING MASTER'!$D$33:$D$35,MATCH('STUDENT SCREENING'!AD52,'SCORING MASTER'!$C$33:$C$35,0)),""))</f>
        <v/>
      </c>
      <c r="AF52" s="57" t="str">
        <f aca="false">IF('STUDENT SCREENING'!AE52="","",IFERROR(INDEX('SCORING MASTER'!$D$37:$D$39,MATCH('STUDENT SCREENING'!AE52,'SCORING MASTER'!$C$37:$C$39,0)),""))</f>
        <v/>
      </c>
      <c r="AG52" s="57" t="str">
        <f aca="false">IF('STUDENT SCREENING'!AF52="","",IFERROR(INDEX('SCORING MASTER'!$D$41:$D$43,MATCH('STUDENT SCREENING'!AF52,'SCORING MASTER'!$C$41:$C$43,0)),""))</f>
        <v/>
      </c>
      <c r="AH52" s="57" t="str">
        <f aca="false">IF('STUDENT SCREENING'!AG52="","",IFERROR(INDEX('SCORING MASTER'!$D$45:$D$47,MATCH('STUDENT SCREENING'!AG52,'SCORING MASTER'!$C$45:$C$47,0)),""))</f>
        <v/>
      </c>
      <c r="AI52" s="57" t="str">
        <f aca="false">IF('STUDENT SCREENING'!AH52="","",IFERROR(INDEX('SCORING MASTER'!$D$49:$D$52,MATCH('STUDENT SCREENING'!AH52,'SCORING MASTER'!$C$49:$C$52,0)),""))</f>
        <v/>
      </c>
      <c r="AJ52" s="57" t="str">
        <f aca="false">IF('STUDENT SCREENING'!AI52="","",IFERROR(INDEX('SCORING MASTER'!$D$54:$D$57,MATCH('STUDENT SCREENING'!AI52,'SCORING MASTER'!$C$54:$C$57,0)),""))</f>
        <v/>
      </c>
      <c r="AK52" s="57" t="str">
        <f aca="false">IF('STUDENT SCREENING'!AJ52="","",IFERROR(INDEX('SCORING MASTER'!$D$59:$D$60,MATCH('STUDENT SCREENING'!AJ52,'SCORING MASTER'!$C$59:$C$60,0)),""))</f>
        <v/>
      </c>
      <c r="AL52" s="57" t="str">
        <f aca="false">IF('STUDENT SCREENING'!AK52="","",IFERROR(INDEX('SCORING MASTER'!$D$62:$D$63,MATCH('STUDENT SCREENING'!AK52,'SCORING MASTER'!$C$62:$C$63,0)),""))</f>
        <v/>
      </c>
      <c r="AM52" s="57" t="str">
        <f aca="false">IF('STUDENT SCREENING'!AL52="","",IFERROR(INDEX('SCORING MASTER'!$D$65:$D$66,MATCH('STUDENT SCREENING'!AL52,'SCORING MASTER'!$C$65:$C$66,0)),""))</f>
        <v/>
      </c>
      <c r="AN52" s="57" t="str">
        <f aca="false">IF('STUDENT SCREENING'!AM52="","",IFERROR(INDEX('SCORING MASTER'!$D$68:$D$69,MATCH('STUDENT SCREENING'!AM52,'SCORING MASTER'!$C$68:$C$69,0)),""))</f>
        <v/>
      </c>
      <c r="AO52" s="57" t="str">
        <f aca="false">IF('STUDENT SCREENING'!AN52="","",IFERROR(INDEX('SCORING MASTER'!$D$71:$D$72,MATCH('STUDENT SCREENING'!AN52,'SCORING MASTER'!$C$71:$C$72,0)),""))</f>
        <v/>
      </c>
      <c r="AP52" s="57" t="str">
        <f aca="false">IF('STUDENT SCREENING'!AO52="","",IFERROR(INDEX('SCORING MASTER'!$D$74:$D$75,MATCH('STUDENT SCREENING'!AO52,'SCORING MASTER'!$C$74:$C$75,0)),""))</f>
        <v/>
      </c>
      <c r="AQ52" s="57" t="str">
        <f aca="false">IF('STUDENT SCREENING'!AP52="","",IFERROR(INDEX('SCORING MASTER'!$D$77:$D$78,MATCH('STUDENT SCREENING'!AP52,'SCORING MASTER'!$C$77:$C$78,0)),""))</f>
        <v/>
      </c>
      <c r="AR52" s="57" t="str">
        <f aca="false">IF('STUDENT SCREENING'!AQ52="","",IFERROR(INDEX('SCORING MASTER'!$D$80:$D$82,MATCH('STUDENT SCREENING'!AQ52,'SCORING MASTER'!$C$80:$C$82,0)),""))</f>
        <v/>
      </c>
      <c r="AS52" s="57" t="str">
        <f aca="false">IF('STUDENT SCREENING'!AR52="","",IFERROR(INDEX('SCORING MASTER'!$D$84:$D$86,MATCH('STUDENT SCREENING'!AR52,'SCORING MASTER'!$C$84:$C$86,0)),""))</f>
        <v/>
      </c>
      <c r="AT52" s="57" t="str">
        <f aca="false">IF('STUDENT SCREENING'!AS52="","",IFERROR(INDEX('SCORING MASTER'!$D$88:$D$90,MATCH('STUDENT SCREENING'!AS52,'SCORING MASTER'!$C$88:$C$90,0)),""))</f>
        <v/>
      </c>
      <c r="AU52" s="57" t="str">
        <f aca="false">IF('STUDENT SCREENING'!AT52="","",IFERROR(INDEX('SCORING MASTER'!$D$92:$D$93,MATCH('STUDENT SCREENING'!AT52,'SCORING MASTER'!$C$92:$C$93,0)),""))</f>
        <v/>
      </c>
      <c r="AV52" s="57" t="str">
        <f aca="false">IF('STUDENT SCREENING'!AU52="","",IFERROR(INDEX('SCORING MASTER'!$D$95:$D$96,MATCH('STUDENT SCREENING'!AU52,'SCORING MASTER'!$C$95:$C$96,0)),""))</f>
        <v/>
      </c>
      <c r="AW52" s="57" t="str">
        <f aca="false">IF('STUDENT SCREENING'!AV52="","",IFERROR(INDEX('SCORING MASTER'!$D$98:$D$99,MATCH('STUDENT SCREENING'!AV52,'SCORING MASTER'!$C$98:$C$99,0)),""))</f>
        <v/>
      </c>
      <c r="AX52" s="57" t="str">
        <f aca="false">IF('STUDENT SCREENING'!AW52="","",IFERROR(INDEX('SCORING MASTER'!$D$101:$D$102,MATCH('STUDENT SCREENING'!AW52,'SCORING MASTER'!$C$101:$C$102,0)),""))</f>
        <v/>
      </c>
      <c r="AY52" s="57" t="str">
        <f aca="false">IF('STUDENT SCREENING'!AX52="","",IFERROR(INDEX('SCORING MASTER'!$D$104:$D$105,MATCH('STUDENT SCREENING'!AX52,'SCORING MASTER'!$C$104:$C$105,0)),""))</f>
        <v/>
      </c>
      <c r="AZ52" s="57" t="str">
        <f aca="false">IF('STUDENT SCREENING'!AY52="","",IFERROR(INDEX('SCORING MASTER'!$D$107:$D$108,MATCH('STUDENT SCREENING'!AY52,'SCORING MASTER'!$C$107:$C$108,0)),""))</f>
        <v/>
      </c>
      <c r="BA52" s="57" t="str">
        <f aca="false">IF('STUDENT SCREENING'!AZ52="","",IFERROR(INDEX('SCORING MASTER'!$D$110:$D$111,MATCH('STUDENT SCREENING'!AZ52,'SCORING MASTER'!$C$110:$C$111,0)),""))</f>
        <v/>
      </c>
      <c r="BB52" s="57" t="str">
        <f aca="false">IF('STUDENT SCREENING'!BA52="","",IFERROR(INDEX('SCORING MASTER'!$D$113:$D$115,MATCH('STUDENT SCREENING'!BA52,'SCORING MASTER'!$C$113:$C$115,0)),""))</f>
        <v/>
      </c>
      <c r="BC52" s="57" t="str">
        <f aca="false">IF('STUDENT SCREENING'!BB52="","",IFERROR(INDEX('SCORING MASTER'!$D$117:$D$119,MATCH('STUDENT SCREENING'!BB52,'SCORING MASTER'!$C$117:$C$119,0)),""))</f>
        <v/>
      </c>
      <c r="BD52" s="57" t="str">
        <f aca="false">IF('STUDENT SCREENING'!BC52="","",IFERROR(INDEX('SCORING MASTER'!$D$121:$D$123,MATCH('STUDENT SCREENING'!BC52,'SCORING MASTER'!$C$121:$C$123,0)),""))</f>
        <v/>
      </c>
      <c r="BE52" s="57" t="str">
        <f aca="false">IF('STUDENT SCREENING'!BD52="","",IFERROR(INDEX('SCORING MASTER'!$D$125:$D$126,MATCH('STUDENT SCREENING'!BD52,'SCORING MASTER'!$C$125:$C$126,0)),""))</f>
        <v/>
      </c>
      <c r="BF52" s="57" t="str">
        <f aca="false">IF('STUDENT SCREENING'!BE52="","",IFERROR(INDEX('SCORING MASTER'!$D$128:$D$129,MATCH('STUDENT SCREENING'!BE52,'SCORING MASTER'!$C$128:$C$129,0)),""))</f>
        <v/>
      </c>
      <c r="BG52" s="57" t="str">
        <f aca="false">IF('STUDENT SCREENING'!BP52="","",IFERROR(MATCH('STUDENT SCREENING'!BP52,{"Red - High Risk","Orange - Moderate Risk","Yellow - Mild Risk","Light Green - Mild Watch","Green - Healthy"},0)-1,""))</f>
        <v/>
      </c>
      <c r="BH52" s="57" t="str">
        <f aca="false">IF('STUDENT SCREENING'!BQ52="","",IF('STUDENT SCREENING'!BQ52="Yes",1,0))</f>
        <v/>
      </c>
      <c r="BI52" s="57" t="str">
        <f aca="false">IF('STUDENT SCREENING'!BR52="","",IF('STUDENT SCREENING'!BR52="Yes",1,0))</f>
        <v/>
      </c>
    </row>
    <row r="53" customFormat="false" ht="15" hidden="false" customHeight="false" outlineLevel="0" collapsed="false">
      <c r="A53" s="58" t="str">
        <f aca="false">'STUDENT SCREENING'!A53</f>
        <v/>
      </c>
      <c r="B53" s="58" t="n">
        <f aca="false">'STUDENT SCREENING'!C53</f>
        <v>0</v>
      </c>
      <c r="C53" s="58" t="n">
        <f aca="false">'STUDENT SCREENING'!D53</f>
        <v>0</v>
      </c>
      <c r="D53" s="58" t="n">
        <f aca="false">'STUDENT SCREENING'!E53</f>
        <v>0</v>
      </c>
      <c r="E53" s="58" t="n">
        <f aca="false">'STUDENT SCREENING'!F53</f>
        <v>0</v>
      </c>
      <c r="F53" s="58" t="n">
        <f aca="false">'STUDENT SCREENING'!K53</f>
        <v>0</v>
      </c>
      <c r="G53" s="58" t="n">
        <f aca="false">'STUDENT SCREENING'!J53</f>
        <v>0</v>
      </c>
      <c r="H53" s="58" t="str">
        <f aca="false">IF('STUDENT SCREENING'!K53="","",IFERROR(MATCH('STUDENT SCREENING'!K53,Adm_Gender,0),""))</f>
        <v/>
      </c>
      <c r="I53" s="58" t="n">
        <f aca="false">'STUDENT SCREENING'!Q53</f>
        <v>0</v>
      </c>
      <c r="J53" s="58" t="n">
        <f aca="false">'STUDENT SCREENING'!R53</f>
        <v>0</v>
      </c>
      <c r="K53" s="58" t="str">
        <f aca="false">'STUDENT SCREENING'!S53</f>
        <v/>
      </c>
      <c r="L53" s="58" t="n">
        <f aca="false">'STUDENT SCREENING'!U53</f>
        <v>0</v>
      </c>
      <c r="M53" s="58" t="n">
        <f aca="false">'STUDENT SCREENING'!V53</f>
        <v>0</v>
      </c>
      <c r="N53" s="58" t="str">
        <f aca="false">'STUDENT SCREENING'!BF53</f>
        <v/>
      </c>
      <c r="O53" s="58" t="str">
        <f aca="false">'STUDENT SCREENING'!BG53</f>
        <v/>
      </c>
      <c r="P53" s="58" t="str">
        <f aca="false">'STUDENT SCREENING'!BH53</f>
        <v/>
      </c>
      <c r="Q53" s="58" t="str">
        <f aca="false">'STUDENT SCREENING'!BI53</f>
        <v/>
      </c>
      <c r="R53" s="58" t="str">
        <f aca="false">'STUDENT SCREENING'!BJ53</f>
        <v/>
      </c>
      <c r="S53" s="58" t="str">
        <f aca="false">'STUDENT SCREENING'!BK53</f>
        <v/>
      </c>
      <c r="T53" s="58" t="str">
        <f aca="false">'STUDENT SCREENING'!BL53</f>
        <v/>
      </c>
      <c r="U53" s="58" t="str">
        <f aca="false">'STUDENT SCREENING'!BM53</f>
        <v/>
      </c>
      <c r="V53" s="58" t="str">
        <f aca="false">'STUDENT SCREENING'!BN53</f>
        <v/>
      </c>
      <c r="W53" s="58" t="str">
        <f aca="false">'STUDENT SCREENING'!BO53</f>
        <v/>
      </c>
      <c r="X53" s="58" t="str">
        <f aca="false">IF('STUDENT SCREENING'!W53="","",IFERROR(INDEX('SCORING MASTER'!$D$5:$D$7,MATCH('STUDENT SCREENING'!W53,'SCORING MASTER'!$C$5:$C$7,0)),""))</f>
        <v/>
      </c>
      <c r="Y53" s="58" t="str">
        <f aca="false">IF('STUDENT SCREENING'!X53="","",IFERROR(INDEX('SCORING MASTER'!$D$9:$D$11,MATCH('STUDENT SCREENING'!X53,'SCORING MASTER'!$C$9:$C$11,0)),""))</f>
        <v/>
      </c>
      <c r="Z53" s="58" t="str">
        <f aca="false">IF('STUDENT SCREENING'!Y53="","",IFERROR(INDEX('SCORING MASTER'!$D$13:$D$15,MATCH('STUDENT SCREENING'!Y53,'SCORING MASTER'!$C$13:$C$15,0)),""))</f>
        <v/>
      </c>
      <c r="AA53" s="58" t="str">
        <f aca="false">IF('STUDENT SCREENING'!Z53="","",IFERROR(INDEX('SCORING MASTER'!$D$17:$D$19,MATCH('STUDENT SCREENING'!Z53,'SCORING MASTER'!$C$17:$C$19,0)),""))</f>
        <v/>
      </c>
      <c r="AB53" s="58" t="str">
        <f aca="false">IF('STUDENT SCREENING'!AA53="","",IFERROR(INDEX('SCORING MASTER'!$D$21:$D$23,MATCH('STUDENT SCREENING'!AA53,'SCORING MASTER'!$C$21:$C$23,0)),""))</f>
        <v/>
      </c>
      <c r="AC53" s="58" t="str">
        <f aca="false">IF('STUDENT SCREENING'!AB53="","",IFERROR(INDEX('SCORING MASTER'!$D$25:$D$27,MATCH('STUDENT SCREENING'!AB53,'SCORING MASTER'!$C$25:$C$27,0)),""))</f>
        <v/>
      </c>
      <c r="AD53" s="58" t="str">
        <f aca="false">IF('STUDENT SCREENING'!AC53="","",IFERROR(INDEX('SCORING MASTER'!$D$29:$D$31,MATCH('STUDENT SCREENING'!AC53,'SCORING MASTER'!$C$29:$C$31,0)),""))</f>
        <v/>
      </c>
      <c r="AE53" s="58" t="str">
        <f aca="false">IF('STUDENT SCREENING'!AD53="","",IFERROR(INDEX('SCORING MASTER'!$D$33:$D$35,MATCH('STUDENT SCREENING'!AD53,'SCORING MASTER'!$C$33:$C$35,0)),""))</f>
        <v/>
      </c>
      <c r="AF53" s="58" t="str">
        <f aca="false">IF('STUDENT SCREENING'!AE53="","",IFERROR(INDEX('SCORING MASTER'!$D$37:$D$39,MATCH('STUDENT SCREENING'!AE53,'SCORING MASTER'!$C$37:$C$39,0)),""))</f>
        <v/>
      </c>
      <c r="AG53" s="58" t="str">
        <f aca="false">IF('STUDENT SCREENING'!AF53="","",IFERROR(INDEX('SCORING MASTER'!$D$41:$D$43,MATCH('STUDENT SCREENING'!AF53,'SCORING MASTER'!$C$41:$C$43,0)),""))</f>
        <v/>
      </c>
      <c r="AH53" s="58" t="str">
        <f aca="false">IF('STUDENT SCREENING'!AG53="","",IFERROR(INDEX('SCORING MASTER'!$D$45:$D$47,MATCH('STUDENT SCREENING'!AG53,'SCORING MASTER'!$C$45:$C$47,0)),""))</f>
        <v/>
      </c>
      <c r="AI53" s="58" t="str">
        <f aca="false">IF('STUDENT SCREENING'!AH53="","",IFERROR(INDEX('SCORING MASTER'!$D$49:$D$52,MATCH('STUDENT SCREENING'!AH53,'SCORING MASTER'!$C$49:$C$52,0)),""))</f>
        <v/>
      </c>
      <c r="AJ53" s="58" t="str">
        <f aca="false">IF('STUDENT SCREENING'!AI53="","",IFERROR(INDEX('SCORING MASTER'!$D$54:$D$57,MATCH('STUDENT SCREENING'!AI53,'SCORING MASTER'!$C$54:$C$57,0)),""))</f>
        <v/>
      </c>
      <c r="AK53" s="58" t="str">
        <f aca="false">IF('STUDENT SCREENING'!AJ53="","",IFERROR(INDEX('SCORING MASTER'!$D$59:$D$60,MATCH('STUDENT SCREENING'!AJ53,'SCORING MASTER'!$C$59:$C$60,0)),""))</f>
        <v/>
      </c>
      <c r="AL53" s="58" t="str">
        <f aca="false">IF('STUDENT SCREENING'!AK53="","",IFERROR(INDEX('SCORING MASTER'!$D$62:$D$63,MATCH('STUDENT SCREENING'!AK53,'SCORING MASTER'!$C$62:$C$63,0)),""))</f>
        <v/>
      </c>
      <c r="AM53" s="58" t="str">
        <f aca="false">IF('STUDENT SCREENING'!AL53="","",IFERROR(INDEX('SCORING MASTER'!$D$65:$D$66,MATCH('STUDENT SCREENING'!AL53,'SCORING MASTER'!$C$65:$C$66,0)),""))</f>
        <v/>
      </c>
      <c r="AN53" s="58" t="str">
        <f aca="false">IF('STUDENT SCREENING'!AM53="","",IFERROR(INDEX('SCORING MASTER'!$D$68:$D$69,MATCH('STUDENT SCREENING'!AM53,'SCORING MASTER'!$C$68:$C$69,0)),""))</f>
        <v/>
      </c>
      <c r="AO53" s="58" t="str">
        <f aca="false">IF('STUDENT SCREENING'!AN53="","",IFERROR(INDEX('SCORING MASTER'!$D$71:$D$72,MATCH('STUDENT SCREENING'!AN53,'SCORING MASTER'!$C$71:$C$72,0)),""))</f>
        <v/>
      </c>
      <c r="AP53" s="58" t="str">
        <f aca="false">IF('STUDENT SCREENING'!AO53="","",IFERROR(INDEX('SCORING MASTER'!$D$74:$D$75,MATCH('STUDENT SCREENING'!AO53,'SCORING MASTER'!$C$74:$C$75,0)),""))</f>
        <v/>
      </c>
      <c r="AQ53" s="58" t="str">
        <f aca="false">IF('STUDENT SCREENING'!AP53="","",IFERROR(INDEX('SCORING MASTER'!$D$77:$D$78,MATCH('STUDENT SCREENING'!AP53,'SCORING MASTER'!$C$77:$C$78,0)),""))</f>
        <v/>
      </c>
      <c r="AR53" s="58" t="str">
        <f aca="false">IF('STUDENT SCREENING'!AQ53="","",IFERROR(INDEX('SCORING MASTER'!$D$80:$D$82,MATCH('STUDENT SCREENING'!AQ53,'SCORING MASTER'!$C$80:$C$82,0)),""))</f>
        <v/>
      </c>
      <c r="AS53" s="58" t="str">
        <f aca="false">IF('STUDENT SCREENING'!AR53="","",IFERROR(INDEX('SCORING MASTER'!$D$84:$D$86,MATCH('STUDENT SCREENING'!AR53,'SCORING MASTER'!$C$84:$C$86,0)),""))</f>
        <v/>
      </c>
      <c r="AT53" s="58" t="str">
        <f aca="false">IF('STUDENT SCREENING'!AS53="","",IFERROR(INDEX('SCORING MASTER'!$D$88:$D$90,MATCH('STUDENT SCREENING'!AS53,'SCORING MASTER'!$C$88:$C$90,0)),""))</f>
        <v/>
      </c>
      <c r="AU53" s="58" t="str">
        <f aca="false">IF('STUDENT SCREENING'!AT53="","",IFERROR(INDEX('SCORING MASTER'!$D$92:$D$93,MATCH('STUDENT SCREENING'!AT53,'SCORING MASTER'!$C$92:$C$93,0)),""))</f>
        <v/>
      </c>
      <c r="AV53" s="58" t="str">
        <f aca="false">IF('STUDENT SCREENING'!AU53="","",IFERROR(INDEX('SCORING MASTER'!$D$95:$D$96,MATCH('STUDENT SCREENING'!AU53,'SCORING MASTER'!$C$95:$C$96,0)),""))</f>
        <v/>
      </c>
      <c r="AW53" s="58" t="str">
        <f aca="false">IF('STUDENT SCREENING'!AV53="","",IFERROR(INDEX('SCORING MASTER'!$D$98:$D$99,MATCH('STUDENT SCREENING'!AV53,'SCORING MASTER'!$C$98:$C$99,0)),""))</f>
        <v/>
      </c>
      <c r="AX53" s="58" t="str">
        <f aca="false">IF('STUDENT SCREENING'!AW53="","",IFERROR(INDEX('SCORING MASTER'!$D$101:$D$102,MATCH('STUDENT SCREENING'!AW53,'SCORING MASTER'!$C$101:$C$102,0)),""))</f>
        <v/>
      </c>
      <c r="AY53" s="58" t="str">
        <f aca="false">IF('STUDENT SCREENING'!AX53="","",IFERROR(INDEX('SCORING MASTER'!$D$104:$D$105,MATCH('STUDENT SCREENING'!AX53,'SCORING MASTER'!$C$104:$C$105,0)),""))</f>
        <v/>
      </c>
      <c r="AZ53" s="58" t="str">
        <f aca="false">IF('STUDENT SCREENING'!AY53="","",IFERROR(INDEX('SCORING MASTER'!$D$107:$D$108,MATCH('STUDENT SCREENING'!AY53,'SCORING MASTER'!$C$107:$C$108,0)),""))</f>
        <v/>
      </c>
      <c r="BA53" s="58" t="str">
        <f aca="false">IF('STUDENT SCREENING'!AZ53="","",IFERROR(INDEX('SCORING MASTER'!$D$110:$D$111,MATCH('STUDENT SCREENING'!AZ53,'SCORING MASTER'!$C$110:$C$111,0)),""))</f>
        <v/>
      </c>
      <c r="BB53" s="58" t="str">
        <f aca="false">IF('STUDENT SCREENING'!BA53="","",IFERROR(INDEX('SCORING MASTER'!$D$113:$D$115,MATCH('STUDENT SCREENING'!BA53,'SCORING MASTER'!$C$113:$C$115,0)),""))</f>
        <v/>
      </c>
      <c r="BC53" s="58" t="str">
        <f aca="false">IF('STUDENT SCREENING'!BB53="","",IFERROR(INDEX('SCORING MASTER'!$D$117:$D$119,MATCH('STUDENT SCREENING'!BB53,'SCORING MASTER'!$C$117:$C$119,0)),""))</f>
        <v/>
      </c>
      <c r="BD53" s="58" t="str">
        <f aca="false">IF('STUDENT SCREENING'!BC53="","",IFERROR(INDEX('SCORING MASTER'!$D$121:$D$123,MATCH('STUDENT SCREENING'!BC53,'SCORING MASTER'!$C$121:$C$123,0)),""))</f>
        <v/>
      </c>
      <c r="BE53" s="58" t="str">
        <f aca="false">IF('STUDENT SCREENING'!BD53="","",IFERROR(INDEX('SCORING MASTER'!$D$125:$D$126,MATCH('STUDENT SCREENING'!BD53,'SCORING MASTER'!$C$125:$C$126,0)),""))</f>
        <v/>
      </c>
      <c r="BF53" s="58" t="str">
        <f aca="false">IF('STUDENT SCREENING'!BE53="","",IFERROR(INDEX('SCORING MASTER'!$D$128:$D$129,MATCH('STUDENT SCREENING'!BE53,'SCORING MASTER'!$C$128:$C$129,0)),""))</f>
        <v/>
      </c>
      <c r="BG53" s="58" t="str">
        <f aca="false">IF('STUDENT SCREENING'!BP53="","",IFERROR(MATCH('STUDENT SCREENING'!BP53,{"Red - High Risk","Orange - Moderate Risk","Yellow - Mild Risk","Light Green - Mild Watch","Green - Healthy"},0)-1,""))</f>
        <v/>
      </c>
      <c r="BH53" s="58" t="str">
        <f aca="false">IF('STUDENT SCREENING'!BQ53="","",IF('STUDENT SCREENING'!BQ53="Yes",1,0))</f>
        <v/>
      </c>
      <c r="BI53" s="58" t="str">
        <f aca="false">IF('STUDENT SCREENING'!BR53="","",IF('STUDENT SCREENING'!BR53="Yes",1,0))</f>
        <v/>
      </c>
    </row>
    <row r="54" customFormat="false" ht="15" hidden="false" customHeight="false" outlineLevel="0" collapsed="false">
      <c r="A54" s="57" t="str">
        <f aca="false">'STUDENT SCREENING'!A54</f>
        <v/>
      </c>
      <c r="B54" s="57" t="n">
        <f aca="false">'STUDENT SCREENING'!C54</f>
        <v>0</v>
      </c>
      <c r="C54" s="57" t="n">
        <f aca="false">'STUDENT SCREENING'!D54</f>
        <v>0</v>
      </c>
      <c r="D54" s="57" t="n">
        <f aca="false">'STUDENT SCREENING'!E54</f>
        <v>0</v>
      </c>
      <c r="E54" s="57" t="n">
        <f aca="false">'STUDENT SCREENING'!F54</f>
        <v>0</v>
      </c>
      <c r="F54" s="57" t="n">
        <f aca="false">'STUDENT SCREENING'!K54</f>
        <v>0</v>
      </c>
      <c r="G54" s="57" t="n">
        <f aca="false">'STUDENT SCREENING'!J54</f>
        <v>0</v>
      </c>
      <c r="H54" s="57" t="str">
        <f aca="false">IF('STUDENT SCREENING'!K54="","",IFERROR(MATCH('STUDENT SCREENING'!K54,Adm_Gender,0),""))</f>
        <v/>
      </c>
      <c r="I54" s="57" t="n">
        <f aca="false">'STUDENT SCREENING'!Q54</f>
        <v>0</v>
      </c>
      <c r="J54" s="57" t="n">
        <f aca="false">'STUDENT SCREENING'!R54</f>
        <v>0</v>
      </c>
      <c r="K54" s="57" t="str">
        <f aca="false">'STUDENT SCREENING'!S54</f>
        <v/>
      </c>
      <c r="L54" s="57" t="n">
        <f aca="false">'STUDENT SCREENING'!U54</f>
        <v>0</v>
      </c>
      <c r="M54" s="57" t="n">
        <f aca="false">'STUDENT SCREENING'!V54</f>
        <v>0</v>
      </c>
      <c r="N54" s="57" t="str">
        <f aca="false">'STUDENT SCREENING'!BF54</f>
        <v/>
      </c>
      <c r="O54" s="57" t="str">
        <f aca="false">'STUDENT SCREENING'!BG54</f>
        <v/>
      </c>
      <c r="P54" s="57" t="str">
        <f aca="false">'STUDENT SCREENING'!BH54</f>
        <v/>
      </c>
      <c r="Q54" s="57" t="str">
        <f aca="false">'STUDENT SCREENING'!BI54</f>
        <v/>
      </c>
      <c r="R54" s="57" t="str">
        <f aca="false">'STUDENT SCREENING'!BJ54</f>
        <v/>
      </c>
      <c r="S54" s="57" t="str">
        <f aca="false">'STUDENT SCREENING'!BK54</f>
        <v/>
      </c>
      <c r="T54" s="57" t="str">
        <f aca="false">'STUDENT SCREENING'!BL54</f>
        <v/>
      </c>
      <c r="U54" s="57" t="str">
        <f aca="false">'STUDENT SCREENING'!BM54</f>
        <v/>
      </c>
      <c r="V54" s="57" t="str">
        <f aca="false">'STUDENT SCREENING'!BN54</f>
        <v/>
      </c>
      <c r="W54" s="57" t="str">
        <f aca="false">'STUDENT SCREENING'!BO54</f>
        <v/>
      </c>
      <c r="X54" s="57" t="str">
        <f aca="false">IF('STUDENT SCREENING'!W54="","",IFERROR(INDEX('SCORING MASTER'!$D$5:$D$7,MATCH('STUDENT SCREENING'!W54,'SCORING MASTER'!$C$5:$C$7,0)),""))</f>
        <v/>
      </c>
      <c r="Y54" s="57" t="str">
        <f aca="false">IF('STUDENT SCREENING'!X54="","",IFERROR(INDEX('SCORING MASTER'!$D$9:$D$11,MATCH('STUDENT SCREENING'!X54,'SCORING MASTER'!$C$9:$C$11,0)),""))</f>
        <v/>
      </c>
      <c r="Z54" s="57" t="str">
        <f aca="false">IF('STUDENT SCREENING'!Y54="","",IFERROR(INDEX('SCORING MASTER'!$D$13:$D$15,MATCH('STUDENT SCREENING'!Y54,'SCORING MASTER'!$C$13:$C$15,0)),""))</f>
        <v/>
      </c>
      <c r="AA54" s="57" t="str">
        <f aca="false">IF('STUDENT SCREENING'!Z54="","",IFERROR(INDEX('SCORING MASTER'!$D$17:$D$19,MATCH('STUDENT SCREENING'!Z54,'SCORING MASTER'!$C$17:$C$19,0)),""))</f>
        <v/>
      </c>
      <c r="AB54" s="57" t="str">
        <f aca="false">IF('STUDENT SCREENING'!AA54="","",IFERROR(INDEX('SCORING MASTER'!$D$21:$D$23,MATCH('STUDENT SCREENING'!AA54,'SCORING MASTER'!$C$21:$C$23,0)),""))</f>
        <v/>
      </c>
      <c r="AC54" s="57" t="str">
        <f aca="false">IF('STUDENT SCREENING'!AB54="","",IFERROR(INDEX('SCORING MASTER'!$D$25:$D$27,MATCH('STUDENT SCREENING'!AB54,'SCORING MASTER'!$C$25:$C$27,0)),""))</f>
        <v/>
      </c>
      <c r="AD54" s="57" t="str">
        <f aca="false">IF('STUDENT SCREENING'!AC54="","",IFERROR(INDEX('SCORING MASTER'!$D$29:$D$31,MATCH('STUDENT SCREENING'!AC54,'SCORING MASTER'!$C$29:$C$31,0)),""))</f>
        <v/>
      </c>
      <c r="AE54" s="57" t="str">
        <f aca="false">IF('STUDENT SCREENING'!AD54="","",IFERROR(INDEX('SCORING MASTER'!$D$33:$D$35,MATCH('STUDENT SCREENING'!AD54,'SCORING MASTER'!$C$33:$C$35,0)),""))</f>
        <v/>
      </c>
      <c r="AF54" s="57" t="str">
        <f aca="false">IF('STUDENT SCREENING'!AE54="","",IFERROR(INDEX('SCORING MASTER'!$D$37:$D$39,MATCH('STUDENT SCREENING'!AE54,'SCORING MASTER'!$C$37:$C$39,0)),""))</f>
        <v/>
      </c>
      <c r="AG54" s="57" t="str">
        <f aca="false">IF('STUDENT SCREENING'!AF54="","",IFERROR(INDEX('SCORING MASTER'!$D$41:$D$43,MATCH('STUDENT SCREENING'!AF54,'SCORING MASTER'!$C$41:$C$43,0)),""))</f>
        <v/>
      </c>
      <c r="AH54" s="57" t="str">
        <f aca="false">IF('STUDENT SCREENING'!AG54="","",IFERROR(INDEX('SCORING MASTER'!$D$45:$D$47,MATCH('STUDENT SCREENING'!AG54,'SCORING MASTER'!$C$45:$C$47,0)),""))</f>
        <v/>
      </c>
      <c r="AI54" s="57" t="str">
        <f aca="false">IF('STUDENT SCREENING'!AH54="","",IFERROR(INDEX('SCORING MASTER'!$D$49:$D$52,MATCH('STUDENT SCREENING'!AH54,'SCORING MASTER'!$C$49:$C$52,0)),""))</f>
        <v/>
      </c>
      <c r="AJ54" s="57" t="str">
        <f aca="false">IF('STUDENT SCREENING'!AI54="","",IFERROR(INDEX('SCORING MASTER'!$D$54:$D$57,MATCH('STUDENT SCREENING'!AI54,'SCORING MASTER'!$C$54:$C$57,0)),""))</f>
        <v/>
      </c>
      <c r="AK54" s="57" t="str">
        <f aca="false">IF('STUDENT SCREENING'!AJ54="","",IFERROR(INDEX('SCORING MASTER'!$D$59:$D$60,MATCH('STUDENT SCREENING'!AJ54,'SCORING MASTER'!$C$59:$C$60,0)),""))</f>
        <v/>
      </c>
      <c r="AL54" s="57" t="str">
        <f aca="false">IF('STUDENT SCREENING'!AK54="","",IFERROR(INDEX('SCORING MASTER'!$D$62:$D$63,MATCH('STUDENT SCREENING'!AK54,'SCORING MASTER'!$C$62:$C$63,0)),""))</f>
        <v/>
      </c>
      <c r="AM54" s="57" t="str">
        <f aca="false">IF('STUDENT SCREENING'!AL54="","",IFERROR(INDEX('SCORING MASTER'!$D$65:$D$66,MATCH('STUDENT SCREENING'!AL54,'SCORING MASTER'!$C$65:$C$66,0)),""))</f>
        <v/>
      </c>
      <c r="AN54" s="57" t="str">
        <f aca="false">IF('STUDENT SCREENING'!AM54="","",IFERROR(INDEX('SCORING MASTER'!$D$68:$D$69,MATCH('STUDENT SCREENING'!AM54,'SCORING MASTER'!$C$68:$C$69,0)),""))</f>
        <v/>
      </c>
      <c r="AO54" s="57" t="str">
        <f aca="false">IF('STUDENT SCREENING'!AN54="","",IFERROR(INDEX('SCORING MASTER'!$D$71:$D$72,MATCH('STUDENT SCREENING'!AN54,'SCORING MASTER'!$C$71:$C$72,0)),""))</f>
        <v/>
      </c>
      <c r="AP54" s="57" t="str">
        <f aca="false">IF('STUDENT SCREENING'!AO54="","",IFERROR(INDEX('SCORING MASTER'!$D$74:$D$75,MATCH('STUDENT SCREENING'!AO54,'SCORING MASTER'!$C$74:$C$75,0)),""))</f>
        <v/>
      </c>
      <c r="AQ54" s="57" t="str">
        <f aca="false">IF('STUDENT SCREENING'!AP54="","",IFERROR(INDEX('SCORING MASTER'!$D$77:$D$78,MATCH('STUDENT SCREENING'!AP54,'SCORING MASTER'!$C$77:$C$78,0)),""))</f>
        <v/>
      </c>
      <c r="AR54" s="57" t="str">
        <f aca="false">IF('STUDENT SCREENING'!AQ54="","",IFERROR(INDEX('SCORING MASTER'!$D$80:$D$82,MATCH('STUDENT SCREENING'!AQ54,'SCORING MASTER'!$C$80:$C$82,0)),""))</f>
        <v/>
      </c>
      <c r="AS54" s="57" t="str">
        <f aca="false">IF('STUDENT SCREENING'!AR54="","",IFERROR(INDEX('SCORING MASTER'!$D$84:$D$86,MATCH('STUDENT SCREENING'!AR54,'SCORING MASTER'!$C$84:$C$86,0)),""))</f>
        <v/>
      </c>
      <c r="AT54" s="57" t="str">
        <f aca="false">IF('STUDENT SCREENING'!AS54="","",IFERROR(INDEX('SCORING MASTER'!$D$88:$D$90,MATCH('STUDENT SCREENING'!AS54,'SCORING MASTER'!$C$88:$C$90,0)),""))</f>
        <v/>
      </c>
      <c r="AU54" s="57" t="str">
        <f aca="false">IF('STUDENT SCREENING'!AT54="","",IFERROR(INDEX('SCORING MASTER'!$D$92:$D$93,MATCH('STUDENT SCREENING'!AT54,'SCORING MASTER'!$C$92:$C$93,0)),""))</f>
        <v/>
      </c>
      <c r="AV54" s="57" t="str">
        <f aca="false">IF('STUDENT SCREENING'!AU54="","",IFERROR(INDEX('SCORING MASTER'!$D$95:$D$96,MATCH('STUDENT SCREENING'!AU54,'SCORING MASTER'!$C$95:$C$96,0)),""))</f>
        <v/>
      </c>
      <c r="AW54" s="57" t="str">
        <f aca="false">IF('STUDENT SCREENING'!AV54="","",IFERROR(INDEX('SCORING MASTER'!$D$98:$D$99,MATCH('STUDENT SCREENING'!AV54,'SCORING MASTER'!$C$98:$C$99,0)),""))</f>
        <v/>
      </c>
      <c r="AX54" s="57" t="str">
        <f aca="false">IF('STUDENT SCREENING'!AW54="","",IFERROR(INDEX('SCORING MASTER'!$D$101:$D$102,MATCH('STUDENT SCREENING'!AW54,'SCORING MASTER'!$C$101:$C$102,0)),""))</f>
        <v/>
      </c>
      <c r="AY54" s="57" t="str">
        <f aca="false">IF('STUDENT SCREENING'!AX54="","",IFERROR(INDEX('SCORING MASTER'!$D$104:$D$105,MATCH('STUDENT SCREENING'!AX54,'SCORING MASTER'!$C$104:$C$105,0)),""))</f>
        <v/>
      </c>
      <c r="AZ54" s="57" t="str">
        <f aca="false">IF('STUDENT SCREENING'!AY54="","",IFERROR(INDEX('SCORING MASTER'!$D$107:$D$108,MATCH('STUDENT SCREENING'!AY54,'SCORING MASTER'!$C$107:$C$108,0)),""))</f>
        <v/>
      </c>
      <c r="BA54" s="57" t="str">
        <f aca="false">IF('STUDENT SCREENING'!AZ54="","",IFERROR(INDEX('SCORING MASTER'!$D$110:$D$111,MATCH('STUDENT SCREENING'!AZ54,'SCORING MASTER'!$C$110:$C$111,0)),""))</f>
        <v/>
      </c>
      <c r="BB54" s="57" t="str">
        <f aca="false">IF('STUDENT SCREENING'!BA54="","",IFERROR(INDEX('SCORING MASTER'!$D$113:$D$115,MATCH('STUDENT SCREENING'!BA54,'SCORING MASTER'!$C$113:$C$115,0)),""))</f>
        <v/>
      </c>
      <c r="BC54" s="57" t="str">
        <f aca="false">IF('STUDENT SCREENING'!BB54="","",IFERROR(INDEX('SCORING MASTER'!$D$117:$D$119,MATCH('STUDENT SCREENING'!BB54,'SCORING MASTER'!$C$117:$C$119,0)),""))</f>
        <v/>
      </c>
      <c r="BD54" s="57" t="str">
        <f aca="false">IF('STUDENT SCREENING'!BC54="","",IFERROR(INDEX('SCORING MASTER'!$D$121:$D$123,MATCH('STUDENT SCREENING'!BC54,'SCORING MASTER'!$C$121:$C$123,0)),""))</f>
        <v/>
      </c>
      <c r="BE54" s="57" t="str">
        <f aca="false">IF('STUDENT SCREENING'!BD54="","",IFERROR(INDEX('SCORING MASTER'!$D$125:$D$126,MATCH('STUDENT SCREENING'!BD54,'SCORING MASTER'!$C$125:$C$126,0)),""))</f>
        <v/>
      </c>
      <c r="BF54" s="57" t="str">
        <f aca="false">IF('STUDENT SCREENING'!BE54="","",IFERROR(INDEX('SCORING MASTER'!$D$128:$D$129,MATCH('STUDENT SCREENING'!BE54,'SCORING MASTER'!$C$128:$C$129,0)),""))</f>
        <v/>
      </c>
      <c r="BG54" s="57" t="str">
        <f aca="false">IF('STUDENT SCREENING'!BP54="","",IFERROR(MATCH('STUDENT SCREENING'!BP54,{"Red - High Risk","Orange - Moderate Risk","Yellow - Mild Risk","Light Green - Mild Watch","Green - Healthy"},0)-1,""))</f>
        <v/>
      </c>
      <c r="BH54" s="57" t="str">
        <f aca="false">IF('STUDENT SCREENING'!BQ54="","",IF('STUDENT SCREENING'!BQ54="Yes",1,0))</f>
        <v/>
      </c>
      <c r="BI54" s="57" t="str">
        <f aca="false">IF('STUDENT SCREENING'!BR54="","",IF('STUDENT SCREENING'!BR54="Yes",1,0))</f>
        <v/>
      </c>
    </row>
    <row r="55" customFormat="false" ht="15" hidden="false" customHeight="false" outlineLevel="0" collapsed="false">
      <c r="A55" s="58" t="str">
        <f aca="false">'STUDENT SCREENING'!A55</f>
        <v/>
      </c>
      <c r="B55" s="58" t="n">
        <f aca="false">'STUDENT SCREENING'!C55</f>
        <v>0</v>
      </c>
      <c r="C55" s="58" t="n">
        <f aca="false">'STUDENT SCREENING'!D55</f>
        <v>0</v>
      </c>
      <c r="D55" s="58" t="n">
        <f aca="false">'STUDENT SCREENING'!E55</f>
        <v>0</v>
      </c>
      <c r="E55" s="58" t="n">
        <f aca="false">'STUDENT SCREENING'!F55</f>
        <v>0</v>
      </c>
      <c r="F55" s="58" t="n">
        <f aca="false">'STUDENT SCREENING'!K55</f>
        <v>0</v>
      </c>
      <c r="G55" s="58" t="n">
        <f aca="false">'STUDENT SCREENING'!J55</f>
        <v>0</v>
      </c>
      <c r="H55" s="58" t="str">
        <f aca="false">IF('STUDENT SCREENING'!K55="","",IFERROR(MATCH('STUDENT SCREENING'!K55,Adm_Gender,0),""))</f>
        <v/>
      </c>
      <c r="I55" s="58" t="n">
        <f aca="false">'STUDENT SCREENING'!Q55</f>
        <v>0</v>
      </c>
      <c r="J55" s="58" t="n">
        <f aca="false">'STUDENT SCREENING'!R55</f>
        <v>0</v>
      </c>
      <c r="K55" s="58" t="str">
        <f aca="false">'STUDENT SCREENING'!S55</f>
        <v/>
      </c>
      <c r="L55" s="58" t="n">
        <f aca="false">'STUDENT SCREENING'!U55</f>
        <v>0</v>
      </c>
      <c r="M55" s="58" t="n">
        <f aca="false">'STUDENT SCREENING'!V55</f>
        <v>0</v>
      </c>
      <c r="N55" s="58" t="str">
        <f aca="false">'STUDENT SCREENING'!BF55</f>
        <v/>
      </c>
      <c r="O55" s="58" t="str">
        <f aca="false">'STUDENT SCREENING'!BG55</f>
        <v/>
      </c>
      <c r="P55" s="58" t="str">
        <f aca="false">'STUDENT SCREENING'!BH55</f>
        <v/>
      </c>
      <c r="Q55" s="58" t="str">
        <f aca="false">'STUDENT SCREENING'!BI55</f>
        <v/>
      </c>
      <c r="R55" s="58" t="str">
        <f aca="false">'STUDENT SCREENING'!BJ55</f>
        <v/>
      </c>
      <c r="S55" s="58" t="str">
        <f aca="false">'STUDENT SCREENING'!BK55</f>
        <v/>
      </c>
      <c r="T55" s="58" t="str">
        <f aca="false">'STUDENT SCREENING'!BL55</f>
        <v/>
      </c>
      <c r="U55" s="58" t="str">
        <f aca="false">'STUDENT SCREENING'!BM55</f>
        <v/>
      </c>
      <c r="V55" s="58" t="str">
        <f aca="false">'STUDENT SCREENING'!BN55</f>
        <v/>
      </c>
      <c r="W55" s="58" t="str">
        <f aca="false">'STUDENT SCREENING'!BO55</f>
        <v/>
      </c>
      <c r="X55" s="58" t="str">
        <f aca="false">IF('STUDENT SCREENING'!W55="","",IFERROR(INDEX('SCORING MASTER'!$D$5:$D$7,MATCH('STUDENT SCREENING'!W55,'SCORING MASTER'!$C$5:$C$7,0)),""))</f>
        <v/>
      </c>
      <c r="Y55" s="58" t="str">
        <f aca="false">IF('STUDENT SCREENING'!X55="","",IFERROR(INDEX('SCORING MASTER'!$D$9:$D$11,MATCH('STUDENT SCREENING'!X55,'SCORING MASTER'!$C$9:$C$11,0)),""))</f>
        <v/>
      </c>
      <c r="Z55" s="58" t="str">
        <f aca="false">IF('STUDENT SCREENING'!Y55="","",IFERROR(INDEX('SCORING MASTER'!$D$13:$D$15,MATCH('STUDENT SCREENING'!Y55,'SCORING MASTER'!$C$13:$C$15,0)),""))</f>
        <v/>
      </c>
      <c r="AA55" s="58" t="str">
        <f aca="false">IF('STUDENT SCREENING'!Z55="","",IFERROR(INDEX('SCORING MASTER'!$D$17:$D$19,MATCH('STUDENT SCREENING'!Z55,'SCORING MASTER'!$C$17:$C$19,0)),""))</f>
        <v/>
      </c>
      <c r="AB55" s="58" t="str">
        <f aca="false">IF('STUDENT SCREENING'!AA55="","",IFERROR(INDEX('SCORING MASTER'!$D$21:$D$23,MATCH('STUDENT SCREENING'!AA55,'SCORING MASTER'!$C$21:$C$23,0)),""))</f>
        <v/>
      </c>
      <c r="AC55" s="58" t="str">
        <f aca="false">IF('STUDENT SCREENING'!AB55="","",IFERROR(INDEX('SCORING MASTER'!$D$25:$D$27,MATCH('STUDENT SCREENING'!AB55,'SCORING MASTER'!$C$25:$C$27,0)),""))</f>
        <v/>
      </c>
      <c r="AD55" s="58" t="str">
        <f aca="false">IF('STUDENT SCREENING'!AC55="","",IFERROR(INDEX('SCORING MASTER'!$D$29:$D$31,MATCH('STUDENT SCREENING'!AC55,'SCORING MASTER'!$C$29:$C$31,0)),""))</f>
        <v/>
      </c>
      <c r="AE55" s="58" t="str">
        <f aca="false">IF('STUDENT SCREENING'!AD55="","",IFERROR(INDEX('SCORING MASTER'!$D$33:$D$35,MATCH('STUDENT SCREENING'!AD55,'SCORING MASTER'!$C$33:$C$35,0)),""))</f>
        <v/>
      </c>
      <c r="AF55" s="58" t="str">
        <f aca="false">IF('STUDENT SCREENING'!AE55="","",IFERROR(INDEX('SCORING MASTER'!$D$37:$D$39,MATCH('STUDENT SCREENING'!AE55,'SCORING MASTER'!$C$37:$C$39,0)),""))</f>
        <v/>
      </c>
      <c r="AG55" s="58" t="str">
        <f aca="false">IF('STUDENT SCREENING'!AF55="","",IFERROR(INDEX('SCORING MASTER'!$D$41:$D$43,MATCH('STUDENT SCREENING'!AF55,'SCORING MASTER'!$C$41:$C$43,0)),""))</f>
        <v/>
      </c>
      <c r="AH55" s="58" t="str">
        <f aca="false">IF('STUDENT SCREENING'!AG55="","",IFERROR(INDEX('SCORING MASTER'!$D$45:$D$47,MATCH('STUDENT SCREENING'!AG55,'SCORING MASTER'!$C$45:$C$47,0)),""))</f>
        <v/>
      </c>
      <c r="AI55" s="58" t="str">
        <f aca="false">IF('STUDENT SCREENING'!AH55="","",IFERROR(INDEX('SCORING MASTER'!$D$49:$D$52,MATCH('STUDENT SCREENING'!AH55,'SCORING MASTER'!$C$49:$C$52,0)),""))</f>
        <v/>
      </c>
      <c r="AJ55" s="58" t="str">
        <f aca="false">IF('STUDENT SCREENING'!AI55="","",IFERROR(INDEX('SCORING MASTER'!$D$54:$D$57,MATCH('STUDENT SCREENING'!AI55,'SCORING MASTER'!$C$54:$C$57,0)),""))</f>
        <v/>
      </c>
      <c r="AK55" s="58" t="str">
        <f aca="false">IF('STUDENT SCREENING'!AJ55="","",IFERROR(INDEX('SCORING MASTER'!$D$59:$D$60,MATCH('STUDENT SCREENING'!AJ55,'SCORING MASTER'!$C$59:$C$60,0)),""))</f>
        <v/>
      </c>
      <c r="AL55" s="58" t="str">
        <f aca="false">IF('STUDENT SCREENING'!AK55="","",IFERROR(INDEX('SCORING MASTER'!$D$62:$D$63,MATCH('STUDENT SCREENING'!AK55,'SCORING MASTER'!$C$62:$C$63,0)),""))</f>
        <v/>
      </c>
      <c r="AM55" s="58" t="str">
        <f aca="false">IF('STUDENT SCREENING'!AL55="","",IFERROR(INDEX('SCORING MASTER'!$D$65:$D$66,MATCH('STUDENT SCREENING'!AL55,'SCORING MASTER'!$C$65:$C$66,0)),""))</f>
        <v/>
      </c>
      <c r="AN55" s="58" t="str">
        <f aca="false">IF('STUDENT SCREENING'!AM55="","",IFERROR(INDEX('SCORING MASTER'!$D$68:$D$69,MATCH('STUDENT SCREENING'!AM55,'SCORING MASTER'!$C$68:$C$69,0)),""))</f>
        <v/>
      </c>
      <c r="AO55" s="58" t="str">
        <f aca="false">IF('STUDENT SCREENING'!AN55="","",IFERROR(INDEX('SCORING MASTER'!$D$71:$D$72,MATCH('STUDENT SCREENING'!AN55,'SCORING MASTER'!$C$71:$C$72,0)),""))</f>
        <v/>
      </c>
      <c r="AP55" s="58" t="str">
        <f aca="false">IF('STUDENT SCREENING'!AO55="","",IFERROR(INDEX('SCORING MASTER'!$D$74:$D$75,MATCH('STUDENT SCREENING'!AO55,'SCORING MASTER'!$C$74:$C$75,0)),""))</f>
        <v/>
      </c>
      <c r="AQ55" s="58" t="str">
        <f aca="false">IF('STUDENT SCREENING'!AP55="","",IFERROR(INDEX('SCORING MASTER'!$D$77:$D$78,MATCH('STUDENT SCREENING'!AP55,'SCORING MASTER'!$C$77:$C$78,0)),""))</f>
        <v/>
      </c>
      <c r="AR55" s="58" t="str">
        <f aca="false">IF('STUDENT SCREENING'!AQ55="","",IFERROR(INDEX('SCORING MASTER'!$D$80:$D$82,MATCH('STUDENT SCREENING'!AQ55,'SCORING MASTER'!$C$80:$C$82,0)),""))</f>
        <v/>
      </c>
      <c r="AS55" s="58" t="str">
        <f aca="false">IF('STUDENT SCREENING'!AR55="","",IFERROR(INDEX('SCORING MASTER'!$D$84:$D$86,MATCH('STUDENT SCREENING'!AR55,'SCORING MASTER'!$C$84:$C$86,0)),""))</f>
        <v/>
      </c>
      <c r="AT55" s="58" t="str">
        <f aca="false">IF('STUDENT SCREENING'!AS55="","",IFERROR(INDEX('SCORING MASTER'!$D$88:$D$90,MATCH('STUDENT SCREENING'!AS55,'SCORING MASTER'!$C$88:$C$90,0)),""))</f>
        <v/>
      </c>
      <c r="AU55" s="58" t="str">
        <f aca="false">IF('STUDENT SCREENING'!AT55="","",IFERROR(INDEX('SCORING MASTER'!$D$92:$D$93,MATCH('STUDENT SCREENING'!AT55,'SCORING MASTER'!$C$92:$C$93,0)),""))</f>
        <v/>
      </c>
      <c r="AV55" s="58" t="str">
        <f aca="false">IF('STUDENT SCREENING'!AU55="","",IFERROR(INDEX('SCORING MASTER'!$D$95:$D$96,MATCH('STUDENT SCREENING'!AU55,'SCORING MASTER'!$C$95:$C$96,0)),""))</f>
        <v/>
      </c>
      <c r="AW55" s="58" t="str">
        <f aca="false">IF('STUDENT SCREENING'!AV55="","",IFERROR(INDEX('SCORING MASTER'!$D$98:$D$99,MATCH('STUDENT SCREENING'!AV55,'SCORING MASTER'!$C$98:$C$99,0)),""))</f>
        <v/>
      </c>
      <c r="AX55" s="58" t="str">
        <f aca="false">IF('STUDENT SCREENING'!AW55="","",IFERROR(INDEX('SCORING MASTER'!$D$101:$D$102,MATCH('STUDENT SCREENING'!AW55,'SCORING MASTER'!$C$101:$C$102,0)),""))</f>
        <v/>
      </c>
      <c r="AY55" s="58" t="str">
        <f aca="false">IF('STUDENT SCREENING'!AX55="","",IFERROR(INDEX('SCORING MASTER'!$D$104:$D$105,MATCH('STUDENT SCREENING'!AX55,'SCORING MASTER'!$C$104:$C$105,0)),""))</f>
        <v/>
      </c>
      <c r="AZ55" s="58" t="str">
        <f aca="false">IF('STUDENT SCREENING'!AY55="","",IFERROR(INDEX('SCORING MASTER'!$D$107:$D$108,MATCH('STUDENT SCREENING'!AY55,'SCORING MASTER'!$C$107:$C$108,0)),""))</f>
        <v/>
      </c>
      <c r="BA55" s="58" t="str">
        <f aca="false">IF('STUDENT SCREENING'!AZ55="","",IFERROR(INDEX('SCORING MASTER'!$D$110:$D$111,MATCH('STUDENT SCREENING'!AZ55,'SCORING MASTER'!$C$110:$C$111,0)),""))</f>
        <v/>
      </c>
      <c r="BB55" s="58" t="str">
        <f aca="false">IF('STUDENT SCREENING'!BA55="","",IFERROR(INDEX('SCORING MASTER'!$D$113:$D$115,MATCH('STUDENT SCREENING'!BA55,'SCORING MASTER'!$C$113:$C$115,0)),""))</f>
        <v/>
      </c>
      <c r="BC55" s="58" t="str">
        <f aca="false">IF('STUDENT SCREENING'!BB55="","",IFERROR(INDEX('SCORING MASTER'!$D$117:$D$119,MATCH('STUDENT SCREENING'!BB55,'SCORING MASTER'!$C$117:$C$119,0)),""))</f>
        <v/>
      </c>
      <c r="BD55" s="58" t="str">
        <f aca="false">IF('STUDENT SCREENING'!BC55="","",IFERROR(INDEX('SCORING MASTER'!$D$121:$D$123,MATCH('STUDENT SCREENING'!BC55,'SCORING MASTER'!$C$121:$C$123,0)),""))</f>
        <v/>
      </c>
      <c r="BE55" s="58" t="str">
        <f aca="false">IF('STUDENT SCREENING'!BD55="","",IFERROR(INDEX('SCORING MASTER'!$D$125:$D$126,MATCH('STUDENT SCREENING'!BD55,'SCORING MASTER'!$C$125:$C$126,0)),""))</f>
        <v/>
      </c>
      <c r="BF55" s="58" t="str">
        <f aca="false">IF('STUDENT SCREENING'!BE55="","",IFERROR(INDEX('SCORING MASTER'!$D$128:$D$129,MATCH('STUDENT SCREENING'!BE55,'SCORING MASTER'!$C$128:$C$129,0)),""))</f>
        <v/>
      </c>
      <c r="BG55" s="58" t="str">
        <f aca="false">IF('STUDENT SCREENING'!BP55="","",IFERROR(MATCH('STUDENT SCREENING'!BP55,{"Red - High Risk","Orange - Moderate Risk","Yellow - Mild Risk","Light Green - Mild Watch","Green - Healthy"},0)-1,""))</f>
        <v/>
      </c>
      <c r="BH55" s="58" t="str">
        <f aca="false">IF('STUDENT SCREENING'!BQ55="","",IF('STUDENT SCREENING'!BQ55="Yes",1,0))</f>
        <v/>
      </c>
      <c r="BI55" s="58" t="str">
        <f aca="false">IF('STUDENT SCREENING'!BR55="","",IF('STUDENT SCREENING'!BR55="Yes",1,0))</f>
        <v/>
      </c>
    </row>
    <row r="56" customFormat="false" ht="15" hidden="false" customHeight="false" outlineLevel="0" collapsed="false">
      <c r="A56" s="57" t="str">
        <f aca="false">'STUDENT SCREENING'!A56</f>
        <v/>
      </c>
      <c r="B56" s="57" t="n">
        <f aca="false">'STUDENT SCREENING'!C56</f>
        <v>0</v>
      </c>
      <c r="C56" s="57" t="n">
        <f aca="false">'STUDENT SCREENING'!D56</f>
        <v>0</v>
      </c>
      <c r="D56" s="57" t="n">
        <f aca="false">'STUDENT SCREENING'!E56</f>
        <v>0</v>
      </c>
      <c r="E56" s="57" t="n">
        <f aca="false">'STUDENT SCREENING'!F56</f>
        <v>0</v>
      </c>
      <c r="F56" s="57" t="n">
        <f aca="false">'STUDENT SCREENING'!K56</f>
        <v>0</v>
      </c>
      <c r="G56" s="57" t="n">
        <f aca="false">'STUDENT SCREENING'!J56</f>
        <v>0</v>
      </c>
      <c r="H56" s="57" t="str">
        <f aca="false">IF('STUDENT SCREENING'!K56="","",IFERROR(MATCH('STUDENT SCREENING'!K56,Adm_Gender,0),""))</f>
        <v/>
      </c>
      <c r="I56" s="57" t="n">
        <f aca="false">'STUDENT SCREENING'!Q56</f>
        <v>0</v>
      </c>
      <c r="J56" s="57" t="n">
        <f aca="false">'STUDENT SCREENING'!R56</f>
        <v>0</v>
      </c>
      <c r="K56" s="57" t="str">
        <f aca="false">'STUDENT SCREENING'!S56</f>
        <v/>
      </c>
      <c r="L56" s="57" t="n">
        <f aca="false">'STUDENT SCREENING'!U56</f>
        <v>0</v>
      </c>
      <c r="M56" s="57" t="n">
        <f aca="false">'STUDENT SCREENING'!V56</f>
        <v>0</v>
      </c>
      <c r="N56" s="57" t="str">
        <f aca="false">'STUDENT SCREENING'!BF56</f>
        <v/>
      </c>
      <c r="O56" s="57" t="str">
        <f aca="false">'STUDENT SCREENING'!BG56</f>
        <v/>
      </c>
      <c r="P56" s="57" t="str">
        <f aca="false">'STUDENT SCREENING'!BH56</f>
        <v/>
      </c>
      <c r="Q56" s="57" t="str">
        <f aca="false">'STUDENT SCREENING'!BI56</f>
        <v/>
      </c>
      <c r="R56" s="57" t="str">
        <f aca="false">'STUDENT SCREENING'!BJ56</f>
        <v/>
      </c>
      <c r="S56" s="57" t="str">
        <f aca="false">'STUDENT SCREENING'!BK56</f>
        <v/>
      </c>
      <c r="T56" s="57" t="str">
        <f aca="false">'STUDENT SCREENING'!BL56</f>
        <v/>
      </c>
      <c r="U56" s="57" t="str">
        <f aca="false">'STUDENT SCREENING'!BM56</f>
        <v/>
      </c>
      <c r="V56" s="57" t="str">
        <f aca="false">'STUDENT SCREENING'!BN56</f>
        <v/>
      </c>
      <c r="W56" s="57" t="str">
        <f aca="false">'STUDENT SCREENING'!BO56</f>
        <v/>
      </c>
      <c r="X56" s="57" t="str">
        <f aca="false">IF('STUDENT SCREENING'!W56="","",IFERROR(INDEX('SCORING MASTER'!$D$5:$D$7,MATCH('STUDENT SCREENING'!W56,'SCORING MASTER'!$C$5:$C$7,0)),""))</f>
        <v/>
      </c>
      <c r="Y56" s="57" t="str">
        <f aca="false">IF('STUDENT SCREENING'!X56="","",IFERROR(INDEX('SCORING MASTER'!$D$9:$D$11,MATCH('STUDENT SCREENING'!X56,'SCORING MASTER'!$C$9:$C$11,0)),""))</f>
        <v/>
      </c>
      <c r="Z56" s="57" t="str">
        <f aca="false">IF('STUDENT SCREENING'!Y56="","",IFERROR(INDEX('SCORING MASTER'!$D$13:$D$15,MATCH('STUDENT SCREENING'!Y56,'SCORING MASTER'!$C$13:$C$15,0)),""))</f>
        <v/>
      </c>
      <c r="AA56" s="57" t="str">
        <f aca="false">IF('STUDENT SCREENING'!Z56="","",IFERROR(INDEX('SCORING MASTER'!$D$17:$D$19,MATCH('STUDENT SCREENING'!Z56,'SCORING MASTER'!$C$17:$C$19,0)),""))</f>
        <v/>
      </c>
      <c r="AB56" s="57" t="str">
        <f aca="false">IF('STUDENT SCREENING'!AA56="","",IFERROR(INDEX('SCORING MASTER'!$D$21:$D$23,MATCH('STUDENT SCREENING'!AA56,'SCORING MASTER'!$C$21:$C$23,0)),""))</f>
        <v/>
      </c>
      <c r="AC56" s="57" t="str">
        <f aca="false">IF('STUDENT SCREENING'!AB56="","",IFERROR(INDEX('SCORING MASTER'!$D$25:$D$27,MATCH('STUDENT SCREENING'!AB56,'SCORING MASTER'!$C$25:$C$27,0)),""))</f>
        <v/>
      </c>
      <c r="AD56" s="57" t="str">
        <f aca="false">IF('STUDENT SCREENING'!AC56="","",IFERROR(INDEX('SCORING MASTER'!$D$29:$D$31,MATCH('STUDENT SCREENING'!AC56,'SCORING MASTER'!$C$29:$C$31,0)),""))</f>
        <v/>
      </c>
      <c r="AE56" s="57" t="str">
        <f aca="false">IF('STUDENT SCREENING'!AD56="","",IFERROR(INDEX('SCORING MASTER'!$D$33:$D$35,MATCH('STUDENT SCREENING'!AD56,'SCORING MASTER'!$C$33:$C$35,0)),""))</f>
        <v/>
      </c>
      <c r="AF56" s="57" t="str">
        <f aca="false">IF('STUDENT SCREENING'!AE56="","",IFERROR(INDEX('SCORING MASTER'!$D$37:$D$39,MATCH('STUDENT SCREENING'!AE56,'SCORING MASTER'!$C$37:$C$39,0)),""))</f>
        <v/>
      </c>
      <c r="AG56" s="57" t="str">
        <f aca="false">IF('STUDENT SCREENING'!AF56="","",IFERROR(INDEX('SCORING MASTER'!$D$41:$D$43,MATCH('STUDENT SCREENING'!AF56,'SCORING MASTER'!$C$41:$C$43,0)),""))</f>
        <v/>
      </c>
      <c r="AH56" s="57" t="str">
        <f aca="false">IF('STUDENT SCREENING'!AG56="","",IFERROR(INDEX('SCORING MASTER'!$D$45:$D$47,MATCH('STUDENT SCREENING'!AG56,'SCORING MASTER'!$C$45:$C$47,0)),""))</f>
        <v/>
      </c>
      <c r="AI56" s="57" t="str">
        <f aca="false">IF('STUDENT SCREENING'!AH56="","",IFERROR(INDEX('SCORING MASTER'!$D$49:$D$52,MATCH('STUDENT SCREENING'!AH56,'SCORING MASTER'!$C$49:$C$52,0)),""))</f>
        <v/>
      </c>
      <c r="AJ56" s="57" t="str">
        <f aca="false">IF('STUDENT SCREENING'!AI56="","",IFERROR(INDEX('SCORING MASTER'!$D$54:$D$57,MATCH('STUDENT SCREENING'!AI56,'SCORING MASTER'!$C$54:$C$57,0)),""))</f>
        <v/>
      </c>
      <c r="AK56" s="57" t="str">
        <f aca="false">IF('STUDENT SCREENING'!AJ56="","",IFERROR(INDEX('SCORING MASTER'!$D$59:$D$60,MATCH('STUDENT SCREENING'!AJ56,'SCORING MASTER'!$C$59:$C$60,0)),""))</f>
        <v/>
      </c>
      <c r="AL56" s="57" t="str">
        <f aca="false">IF('STUDENT SCREENING'!AK56="","",IFERROR(INDEX('SCORING MASTER'!$D$62:$D$63,MATCH('STUDENT SCREENING'!AK56,'SCORING MASTER'!$C$62:$C$63,0)),""))</f>
        <v/>
      </c>
      <c r="AM56" s="57" t="str">
        <f aca="false">IF('STUDENT SCREENING'!AL56="","",IFERROR(INDEX('SCORING MASTER'!$D$65:$D$66,MATCH('STUDENT SCREENING'!AL56,'SCORING MASTER'!$C$65:$C$66,0)),""))</f>
        <v/>
      </c>
      <c r="AN56" s="57" t="str">
        <f aca="false">IF('STUDENT SCREENING'!AM56="","",IFERROR(INDEX('SCORING MASTER'!$D$68:$D$69,MATCH('STUDENT SCREENING'!AM56,'SCORING MASTER'!$C$68:$C$69,0)),""))</f>
        <v/>
      </c>
      <c r="AO56" s="57" t="str">
        <f aca="false">IF('STUDENT SCREENING'!AN56="","",IFERROR(INDEX('SCORING MASTER'!$D$71:$D$72,MATCH('STUDENT SCREENING'!AN56,'SCORING MASTER'!$C$71:$C$72,0)),""))</f>
        <v/>
      </c>
      <c r="AP56" s="57" t="str">
        <f aca="false">IF('STUDENT SCREENING'!AO56="","",IFERROR(INDEX('SCORING MASTER'!$D$74:$D$75,MATCH('STUDENT SCREENING'!AO56,'SCORING MASTER'!$C$74:$C$75,0)),""))</f>
        <v/>
      </c>
      <c r="AQ56" s="57" t="str">
        <f aca="false">IF('STUDENT SCREENING'!AP56="","",IFERROR(INDEX('SCORING MASTER'!$D$77:$D$78,MATCH('STUDENT SCREENING'!AP56,'SCORING MASTER'!$C$77:$C$78,0)),""))</f>
        <v/>
      </c>
      <c r="AR56" s="57" t="str">
        <f aca="false">IF('STUDENT SCREENING'!AQ56="","",IFERROR(INDEX('SCORING MASTER'!$D$80:$D$82,MATCH('STUDENT SCREENING'!AQ56,'SCORING MASTER'!$C$80:$C$82,0)),""))</f>
        <v/>
      </c>
      <c r="AS56" s="57" t="str">
        <f aca="false">IF('STUDENT SCREENING'!AR56="","",IFERROR(INDEX('SCORING MASTER'!$D$84:$D$86,MATCH('STUDENT SCREENING'!AR56,'SCORING MASTER'!$C$84:$C$86,0)),""))</f>
        <v/>
      </c>
      <c r="AT56" s="57" t="str">
        <f aca="false">IF('STUDENT SCREENING'!AS56="","",IFERROR(INDEX('SCORING MASTER'!$D$88:$D$90,MATCH('STUDENT SCREENING'!AS56,'SCORING MASTER'!$C$88:$C$90,0)),""))</f>
        <v/>
      </c>
      <c r="AU56" s="57" t="str">
        <f aca="false">IF('STUDENT SCREENING'!AT56="","",IFERROR(INDEX('SCORING MASTER'!$D$92:$D$93,MATCH('STUDENT SCREENING'!AT56,'SCORING MASTER'!$C$92:$C$93,0)),""))</f>
        <v/>
      </c>
      <c r="AV56" s="57" t="str">
        <f aca="false">IF('STUDENT SCREENING'!AU56="","",IFERROR(INDEX('SCORING MASTER'!$D$95:$D$96,MATCH('STUDENT SCREENING'!AU56,'SCORING MASTER'!$C$95:$C$96,0)),""))</f>
        <v/>
      </c>
      <c r="AW56" s="57" t="str">
        <f aca="false">IF('STUDENT SCREENING'!AV56="","",IFERROR(INDEX('SCORING MASTER'!$D$98:$D$99,MATCH('STUDENT SCREENING'!AV56,'SCORING MASTER'!$C$98:$C$99,0)),""))</f>
        <v/>
      </c>
      <c r="AX56" s="57" t="str">
        <f aca="false">IF('STUDENT SCREENING'!AW56="","",IFERROR(INDEX('SCORING MASTER'!$D$101:$D$102,MATCH('STUDENT SCREENING'!AW56,'SCORING MASTER'!$C$101:$C$102,0)),""))</f>
        <v/>
      </c>
      <c r="AY56" s="57" t="str">
        <f aca="false">IF('STUDENT SCREENING'!AX56="","",IFERROR(INDEX('SCORING MASTER'!$D$104:$D$105,MATCH('STUDENT SCREENING'!AX56,'SCORING MASTER'!$C$104:$C$105,0)),""))</f>
        <v/>
      </c>
      <c r="AZ56" s="57" t="str">
        <f aca="false">IF('STUDENT SCREENING'!AY56="","",IFERROR(INDEX('SCORING MASTER'!$D$107:$D$108,MATCH('STUDENT SCREENING'!AY56,'SCORING MASTER'!$C$107:$C$108,0)),""))</f>
        <v/>
      </c>
      <c r="BA56" s="57" t="str">
        <f aca="false">IF('STUDENT SCREENING'!AZ56="","",IFERROR(INDEX('SCORING MASTER'!$D$110:$D$111,MATCH('STUDENT SCREENING'!AZ56,'SCORING MASTER'!$C$110:$C$111,0)),""))</f>
        <v/>
      </c>
      <c r="BB56" s="57" t="str">
        <f aca="false">IF('STUDENT SCREENING'!BA56="","",IFERROR(INDEX('SCORING MASTER'!$D$113:$D$115,MATCH('STUDENT SCREENING'!BA56,'SCORING MASTER'!$C$113:$C$115,0)),""))</f>
        <v/>
      </c>
      <c r="BC56" s="57" t="str">
        <f aca="false">IF('STUDENT SCREENING'!BB56="","",IFERROR(INDEX('SCORING MASTER'!$D$117:$D$119,MATCH('STUDENT SCREENING'!BB56,'SCORING MASTER'!$C$117:$C$119,0)),""))</f>
        <v/>
      </c>
      <c r="BD56" s="57" t="str">
        <f aca="false">IF('STUDENT SCREENING'!BC56="","",IFERROR(INDEX('SCORING MASTER'!$D$121:$D$123,MATCH('STUDENT SCREENING'!BC56,'SCORING MASTER'!$C$121:$C$123,0)),""))</f>
        <v/>
      </c>
      <c r="BE56" s="57" t="str">
        <f aca="false">IF('STUDENT SCREENING'!BD56="","",IFERROR(INDEX('SCORING MASTER'!$D$125:$D$126,MATCH('STUDENT SCREENING'!BD56,'SCORING MASTER'!$C$125:$C$126,0)),""))</f>
        <v/>
      </c>
      <c r="BF56" s="57" t="str">
        <f aca="false">IF('STUDENT SCREENING'!BE56="","",IFERROR(INDEX('SCORING MASTER'!$D$128:$D$129,MATCH('STUDENT SCREENING'!BE56,'SCORING MASTER'!$C$128:$C$129,0)),""))</f>
        <v/>
      </c>
      <c r="BG56" s="57" t="str">
        <f aca="false">IF('STUDENT SCREENING'!BP56="","",IFERROR(MATCH('STUDENT SCREENING'!BP56,{"Red - High Risk","Orange - Moderate Risk","Yellow - Mild Risk","Light Green - Mild Watch","Green - Healthy"},0)-1,""))</f>
        <v/>
      </c>
      <c r="BH56" s="57" t="str">
        <f aca="false">IF('STUDENT SCREENING'!BQ56="","",IF('STUDENT SCREENING'!BQ56="Yes",1,0))</f>
        <v/>
      </c>
      <c r="BI56" s="57" t="str">
        <f aca="false">IF('STUDENT SCREENING'!BR56="","",IF('STUDENT SCREENING'!BR56="Yes",1,0))</f>
        <v/>
      </c>
    </row>
    <row r="57" customFormat="false" ht="15" hidden="false" customHeight="false" outlineLevel="0" collapsed="false">
      <c r="A57" s="58" t="str">
        <f aca="false">'STUDENT SCREENING'!A57</f>
        <v/>
      </c>
      <c r="B57" s="58" t="n">
        <f aca="false">'STUDENT SCREENING'!C57</f>
        <v>0</v>
      </c>
      <c r="C57" s="58" t="n">
        <f aca="false">'STUDENT SCREENING'!D57</f>
        <v>0</v>
      </c>
      <c r="D57" s="58" t="n">
        <f aca="false">'STUDENT SCREENING'!E57</f>
        <v>0</v>
      </c>
      <c r="E57" s="58" t="n">
        <f aca="false">'STUDENT SCREENING'!F57</f>
        <v>0</v>
      </c>
      <c r="F57" s="58" t="n">
        <f aca="false">'STUDENT SCREENING'!K57</f>
        <v>0</v>
      </c>
      <c r="G57" s="58" t="n">
        <f aca="false">'STUDENT SCREENING'!J57</f>
        <v>0</v>
      </c>
      <c r="H57" s="58" t="str">
        <f aca="false">IF('STUDENT SCREENING'!K57="","",IFERROR(MATCH('STUDENT SCREENING'!K57,Adm_Gender,0),""))</f>
        <v/>
      </c>
      <c r="I57" s="58" t="n">
        <f aca="false">'STUDENT SCREENING'!Q57</f>
        <v>0</v>
      </c>
      <c r="J57" s="58" t="n">
        <f aca="false">'STUDENT SCREENING'!R57</f>
        <v>0</v>
      </c>
      <c r="K57" s="58" t="str">
        <f aca="false">'STUDENT SCREENING'!S57</f>
        <v/>
      </c>
      <c r="L57" s="58" t="n">
        <f aca="false">'STUDENT SCREENING'!U57</f>
        <v>0</v>
      </c>
      <c r="M57" s="58" t="n">
        <f aca="false">'STUDENT SCREENING'!V57</f>
        <v>0</v>
      </c>
      <c r="N57" s="58" t="str">
        <f aca="false">'STUDENT SCREENING'!BF57</f>
        <v/>
      </c>
      <c r="O57" s="58" t="str">
        <f aca="false">'STUDENT SCREENING'!BG57</f>
        <v/>
      </c>
      <c r="P57" s="58" t="str">
        <f aca="false">'STUDENT SCREENING'!BH57</f>
        <v/>
      </c>
      <c r="Q57" s="58" t="str">
        <f aca="false">'STUDENT SCREENING'!BI57</f>
        <v/>
      </c>
      <c r="R57" s="58" t="str">
        <f aca="false">'STUDENT SCREENING'!BJ57</f>
        <v/>
      </c>
      <c r="S57" s="58" t="str">
        <f aca="false">'STUDENT SCREENING'!BK57</f>
        <v/>
      </c>
      <c r="T57" s="58" t="str">
        <f aca="false">'STUDENT SCREENING'!BL57</f>
        <v/>
      </c>
      <c r="U57" s="58" t="str">
        <f aca="false">'STUDENT SCREENING'!BM57</f>
        <v/>
      </c>
      <c r="V57" s="58" t="str">
        <f aca="false">'STUDENT SCREENING'!BN57</f>
        <v/>
      </c>
      <c r="W57" s="58" t="str">
        <f aca="false">'STUDENT SCREENING'!BO57</f>
        <v/>
      </c>
      <c r="X57" s="58" t="str">
        <f aca="false">IF('STUDENT SCREENING'!W57="","",IFERROR(INDEX('SCORING MASTER'!$D$5:$D$7,MATCH('STUDENT SCREENING'!W57,'SCORING MASTER'!$C$5:$C$7,0)),""))</f>
        <v/>
      </c>
      <c r="Y57" s="58" t="str">
        <f aca="false">IF('STUDENT SCREENING'!X57="","",IFERROR(INDEX('SCORING MASTER'!$D$9:$D$11,MATCH('STUDENT SCREENING'!X57,'SCORING MASTER'!$C$9:$C$11,0)),""))</f>
        <v/>
      </c>
      <c r="Z57" s="58" t="str">
        <f aca="false">IF('STUDENT SCREENING'!Y57="","",IFERROR(INDEX('SCORING MASTER'!$D$13:$D$15,MATCH('STUDENT SCREENING'!Y57,'SCORING MASTER'!$C$13:$C$15,0)),""))</f>
        <v/>
      </c>
      <c r="AA57" s="58" t="str">
        <f aca="false">IF('STUDENT SCREENING'!Z57="","",IFERROR(INDEX('SCORING MASTER'!$D$17:$D$19,MATCH('STUDENT SCREENING'!Z57,'SCORING MASTER'!$C$17:$C$19,0)),""))</f>
        <v/>
      </c>
      <c r="AB57" s="58" t="str">
        <f aca="false">IF('STUDENT SCREENING'!AA57="","",IFERROR(INDEX('SCORING MASTER'!$D$21:$D$23,MATCH('STUDENT SCREENING'!AA57,'SCORING MASTER'!$C$21:$C$23,0)),""))</f>
        <v/>
      </c>
      <c r="AC57" s="58" t="str">
        <f aca="false">IF('STUDENT SCREENING'!AB57="","",IFERROR(INDEX('SCORING MASTER'!$D$25:$D$27,MATCH('STUDENT SCREENING'!AB57,'SCORING MASTER'!$C$25:$C$27,0)),""))</f>
        <v/>
      </c>
      <c r="AD57" s="58" t="str">
        <f aca="false">IF('STUDENT SCREENING'!AC57="","",IFERROR(INDEX('SCORING MASTER'!$D$29:$D$31,MATCH('STUDENT SCREENING'!AC57,'SCORING MASTER'!$C$29:$C$31,0)),""))</f>
        <v/>
      </c>
      <c r="AE57" s="58" t="str">
        <f aca="false">IF('STUDENT SCREENING'!AD57="","",IFERROR(INDEX('SCORING MASTER'!$D$33:$D$35,MATCH('STUDENT SCREENING'!AD57,'SCORING MASTER'!$C$33:$C$35,0)),""))</f>
        <v/>
      </c>
      <c r="AF57" s="58" t="str">
        <f aca="false">IF('STUDENT SCREENING'!AE57="","",IFERROR(INDEX('SCORING MASTER'!$D$37:$D$39,MATCH('STUDENT SCREENING'!AE57,'SCORING MASTER'!$C$37:$C$39,0)),""))</f>
        <v/>
      </c>
      <c r="AG57" s="58" t="str">
        <f aca="false">IF('STUDENT SCREENING'!AF57="","",IFERROR(INDEX('SCORING MASTER'!$D$41:$D$43,MATCH('STUDENT SCREENING'!AF57,'SCORING MASTER'!$C$41:$C$43,0)),""))</f>
        <v/>
      </c>
      <c r="AH57" s="58" t="str">
        <f aca="false">IF('STUDENT SCREENING'!AG57="","",IFERROR(INDEX('SCORING MASTER'!$D$45:$D$47,MATCH('STUDENT SCREENING'!AG57,'SCORING MASTER'!$C$45:$C$47,0)),""))</f>
        <v/>
      </c>
      <c r="AI57" s="58" t="str">
        <f aca="false">IF('STUDENT SCREENING'!AH57="","",IFERROR(INDEX('SCORING MASTER'!$D$49:$D$52,MATCH('STUDENT SCREENING'!AH57,'SCORING MASTER'!$C$49:$C$52,0)),""))</f>
        <v/>
      </c>
      <c r="AJ57" s="58" t="str">
        <f aca="false">IF('STUDENT SCREENING'!AI57="","",IFERROR(INDEX('SCORING MASTER'!$D$54:$D$57,MATCH('STUDENT SCREENING'!AI57,'SCORING MASTER'!$C$54:$C$57,0)),""))</f>
        <v/>
      </c>
      <c r="AK57" s="58" t="str">
        <f aca="false">IF('STUDENT SCREENING'!AJ57="","",IFERROR(INDEX('SCORING MASTER'!$D$59:$D$60,MATCH('STUDENT SCREENING'!AJ57,'SCORING MASTER'!$C$59:$C$60,0)),""))</f>
        <v/>
      </c>
      <c r="AL57" s="58" t="str">
        <f aca="false">IF('STUDENT SCREENING'!AK57="","",IFERROR(INDEX('SCORING MASTER'!$D$62:$D$63,MATCH('STUDENT SCREENING'!AK57,'SCORING MASTER'!$C$62:$C$63,0)),""))</f>
        <v/>
      </c>
      <c r="AM57" s="58" t="str">
        <f aca="false">IF('STUDENT SCREENING'!AL57="","",IFERROR(INDEX('SCORING MASTER'!$D$65:$D$66,MATCH('STUDENT SCREENING'!AL57,'SCORING MASTER'!$C$65:$C$66,0)),""))</f>
        <v/>
      </c>
      <c r="AN57" s="58" t="str">
        <f aca="false">IF('STUDENT SCREENING'!AM57="","",IFERROR(INDEX('SCORING MASTER'!$D$68:$D$69,MATCH('STUDENT SCREENING'!AM57,'SCORING MASTER'!$C$68:$C$69,0)),""))</f>
        <v/>
      </c>
      <c r="AO57" s="58" t="str">
        <f aca="false">IF('STUDENT SCREENING'!AN57="","",IFERROR(INDEX('SCORING MASTER'!$D$71:$D$72,MATCH('STUDENT SCREENING'!AN57,'SCORING MASTER'!$C$71:$C$72,0)),""))</f>
        <v/>
      </c>
      <c r="AP57" s="58" t="str">
        <f aca="false">IF('STUDENT SCREENING'!AO57="","",IFERROR(INDEX('SCORING MASTER'!$D$74:$D$75,MATCH('STUDENT SCREENING'!AO57,'SCORING MASTER'!$C$74:$C$75,0)),""))</f>
        <v/>
      </c>
      <c r="AQ57" s="58" t="str">
        <f aca="false">IF('STUDENT SCREENING'!AP57="","",IFERROR(INDEX('SCORING MASTER'!$D$77:$D$78,MATCH('STUDENT SCREENING'!AP57,'SCORING MASTER'!$C$77:$C$78,0)),""))</f>
        <v/>
      </c>
      <c r="AR57" s="58" t="str">
        <f aca="false">IF('STUDENT SCREENING'!AQ57="","",IFERROR(INDEX('SCORING MASTER'!$D$80:$D$82,MATCH('STUDENT SCREENING'!AQ57,'SCORING MASTER'!$C$80:$C$82,0)),""))</f>
        <v/>
      </c>
      <c r="AS57" s="58" t="str">
        <f aca="false">IF('STUDENT SCREENING'!AR57="","",IFERROR(INDEX('SCORING MASTER'!$D$84:$D$86,MATCH('STUDENT SCREENING'!AR57,'SCORING MASTER'!$C$84:$C$86,0)),""))</f>
        <v/>
      </c>
      <c r="AT57" s="58" t="str">
        <f aca="false">IF('STUDENT SCREENING'!AS57="","",IFERROR(INDEX('SCORING MASTER'!$D$88:$D$90,MATCH('STUDENT SCREENING'!AS57,'SCORING MASTER'!$C$88:$C$90,0)),""))</f>
        <v/>
      </c>
      <c r="AU57" s="58" t="str">
        <f aca="false">IF('STUDENT SCREENING'!AT57="","",IFERROR(INDEX('SCORING MASTER'!$D$92:$D$93,MATCH('STUDENT SCREENING'!AT57,'SCORING MASTER'!$C$92:$C$93,0)),""))</f>
        <v/>
      </c>
      <c r="AV57" s="58" t="str">
        <f aca="false">IF('STUDENT SCREENING'!AU57="","",IFERROR(INDEX('SCORING MASTER'!$D$95:$D$96,MATCH('STUDENT SCREENING'!AU57,'SCORING MASTER'!$C$95:$C$96,0)),""))</f>
        <v/>
      </c>
      <c r="AW57" s="58" t="str">
        <f aca="false">IF('STUDENT SCREENING'!AV57="","",IFERROR(INDEX('SCORING MASTER'!$D$98:$D$99,MATCH('STUDENT SCREENING'!AV57,'SCORING MASTER'!$C$98:$C$99,0)),""))</f>
        <v/>
      </c>
      <c r="AX57" s="58" t="str">
        <f aca="false">IF('STUDENT SCREENING'!AW57="","",IFERROR(INDEX('SCORING MASTER'!$D$101:$D$102,MATCH('STUDENT SCREENING'!AW57,'SCORING MASTER'!$C$101:$C$102,0)),""))</f>
        <v/>
      </c>
      <c r="AY57" s="58" t="str">
        <f aca="false">IF('STUDENT SCREENING'!AX57="","",IFERROR(INDEX('SCORING MASTER'!$D$104:$D$105,MATCH('STUDENT SCREENING'!AX57,'SCORING MASTER'!$C$104:$C$105,0)),""))</f>
        <v/>
      </c>
      <c r="AZ57" s="58" t="str">
        <f aca="false">IF('STUDENT SCREENING'!AY57="","",IFERROR(INDEX('SCORING MASTER'!$D$107:$D$108,MATCH('STUDENT SCREENING'!AY57,'SCORING MASTER'!$C$107:$C$108,0)),""))</f>
        <v/>
      </c>
      <c r="BA57" s="58" t="str">
        <f aca="false">IF('STUDENT SCREENING'!AZ57="","",IFERROR(INDEX('SCORING MASTER'!$D$110:$D$111,MATCH('STUDENT SCREENING'!AZ57,'SCORING MASTER'!$C$110:$C$111,0)),""))</f>
        <v/>
      </c>
      <c r="BB57" s="58" t="str">
        <f aca="false">IF('STUDENT SCREENING'!BA57="","",IFERROR(INDEX('SCORING MASTER'!$D$113:$D$115,MATCH('STUDENT SCREENING'!BA57,'SCORING MASTER'!$C$113:$C$115,0)),""))</f>
        <v/>
      </c>
      <c r="BC57" s="58" t="str">
        <f aca="false">IF('STUDENT SCREENING'!BB57="","",IFERROR(INDEX('SCORING MASTER'!$D$117:$D$119,MATCH('STUDENT SCREENING'!BB57,'SCORING MASTER'!$C$117:$C$119,0)),""))</f>
        <v/>
      </c>
      <c r="BD57" s="58" t="str">
        <f aca="false">IF('STUDENT SCREENING'!BC57="","",IFERROR(INDEX('SCORING MASTER'!$D$121:$D$123,MATCH('STUDENT SCREENING'!BC57,'SCORING MASTER'!$C$121:$C$123,0)),""))</f>
        <v/>
      </c>
      <c r="BE57" s="58" t="str">
        <f aca="false">IF('STUDENT SCREENING'!BD57="","",IFERROR(INDEX('SCORING MASTER'!$D$125:$D$126,MATCH('STUDENT SCREENING'!BD57,'SCORING MASTER'!$C$125:$C$126,0)),""))</f>
        <v/>
      </c>
      <c r="BF57" s="58" t="str">
        <f aca="false">IF('STUDENT SCREENING'!BE57="","",IFERROR(INDEX('SCORING MASTER'!$D$128:$D$129,MATCH('STUDENT SCREENING'!BE57,'SCORING MASTER'!$C$128:$C$129,0)),""))</f>
        <v/>
      </c>
      <c r="BG57" s="58" t="str">
        <f aca="false">IF('STUDENT SCREENING'!BP57="","",IFERROR(MATCH('STUDENT SCREENING'!BP57,{"Red - High Risk","Orange - Moderate Risk","Yellow - Mild Risk","Light Green - Mild Watch","Green - Healthy"},0)-1,""))</f>
        <v/>
      </c>
      <c r="BH57" s="58" t="str">
        <f aca="false">IF('STUDENT SCREENING'!BQ57="","",IF('STUDENT SCREENING'!BQ57="Yes",1,0))</f>
        <v/>
      </c>
      <c r="BI57" s="58" t="str">
        <f aca="false">IF('STUDENT SCREENING'!BR57="","",IF('STUDENT SCREENING'!BR57="Yes",1,0))</f>
        <v/>
      </c>
    </row>
    <row r="58" customFormat="false" ht="15" hidden="false" customHeight="false" outlineLevel="0" collapsed="false">
      <c r="A58" s="57" t="str">
        <f aca="false">'STUDENT SCREENING'!A58</f>
        <v/>
      </c>
      <c r="B58" s="57" t="n">
        <f aca="false">'STUDENT SCREENING'!C58</f>
        <v>0</v>
      </c>
      <c r="C58" s="57" t="n">
        <f aca="false">'STUDENT SCREENING'!D58</f>
        <v>0</v>
      </c>
      <c r="D58" s="57" t="n">
        <f aca="false">'STUDENT SCREENING'!E58</f>
        <v>0</v>
      </c>
      <c r="E58" s="57" t="n">
        <f aca="false">'STUDENT SCREENING'!F58</f>
        <v>0</v>
      </c>
      <c r="F58" s="57" t="n">
        <f aca="false">'STUDENT SCREENING'!K58</f>
        <v>0</v>
      </c>
      <c r="G58" s="57" t="n">
        <f aca="false">'STUDENT SCREENING'!J58</f>
        <v>0</v>
      </c>
      <c r="H58" s="57" t="str">
        <f aca="false">IF('STUDENT SCREENING'!K58="","",IFERROR(MATCH('STUDENT SCREENING'!K58,Adm_Gender,0),""))</f>
        <v/>
      </c>
      <c r="I58" s="57" t="n">
        <f aca="false">'STUDENT SCREENING'!Q58</f>
        <v>0</v>
      </c>
      <c r="J58" s="57" t="n">
        <f aca="false">'STUDENT SCREENING'!R58</f>
        <v>0</v>
      </c>
      <c r="K58" s="57" t="str">
        <f aca="false">'STUDENT SCREENING'!S58</f>
        <v/>
      </c>
      <c r="L58" s="57" t="n">
        <f aca="false">'STUDENT SCREENING'!U58</f>
        <v>0</v>
      </c>
      <c r="M58" s="57" t="n">
        <f aca="false">'STUDENT SCREENING'!V58</f>
        <v>0</v>
      </c>
      <c r="N58" s="57" t="str">
        <f aca="false">'STUDENT SCREENING'!BF58</f>
        <v/>
      </c>
      <c r="O58" s="57" t="str">
        <f aca="false">'STUDENT SCREENING'!BG58</f>
        <v/>
      </c>
      <c r="P58" s="57" t="str">
        <f aca="false">'STUDENT SCREENING'!BH58</f>
        <v/>
      </c>
      <c r="Q58" s="57" t="str">
        <f aca="false">'STUDENT SCREENING'!BI58</f>
        <v/>
      </c>
      <c r="R58" s="57" t="str">
        <f aca="false">'STUDENT SCREENING'!BJ58</f>
        <v/>
      </c>
      <c r="S58" s="57" t="str">
        <f aca="false">'STUDENT SCREENING'!BK58</f>
        <v/>
      </c>
      <c r="T58" s="57" t="str">
        <f aca="false">'STUDENT SCREENING'!BL58</f>
        <v/>
      </c>
      <c r="U58" s="57" t="str">
        <f aca="false">'STUDENT SCREENING'!BM58</f>
        <v/>
      </c>
      <c r="V58" s="57" t="str">
        <f aca="false">'STUDENT SCREENING'!BN58</f>
        <v/>
      </c>
      <c r="W58" s="57" t="str">
        <f aca="false">'STUDENT SCREENING'!BO58</f>
        <v/>
      </c>
      <c r="X58" s="57" t="str">
        <f aca="false">IF('STUDENT SCREENING'!W58="","",IFERROR(INDEX('SCORING MASTER'!$D$5:$D$7,MATCH('STUDENT SCREENING'!W58,'SCORING MASTER'!$C$5:$C$7,0)),""))</f>
        <v/>
      </c>
      <c r="Y58" s="57" t="str">
        <f aca="false">IF('STUDENT SCREENING'!X58="","",IFERROR(INDEX('SCORING MASTER'!$D$9:$D$11,MATCH('STUDENT SCREENING'!X58,'SCORING MASTER'!$C$9:$C$11,0)),""))</f>
        <v/>
      </c>
      <c r="Z58" s="57" t="str">
        <f aca="false">IF('STUDENT SCREENING'!Y58="","",IFERROR(INDEX('SCORING MASTER'!$D$13:$D$15,MATCH('STUDENT SCREENING'!Y58,'SCORING MASTER'!$C$13:$C$15,0)),""))</f>
        <v/>
      </c>
      <c r="AA58" s="57" t="str">
        <f aca="false">IF('STUDENT SCREENING'!Z58="","",IFERROR(INDEX('SCORING MASTER'!$D$17:$D$19,MATCH('STUDENT SCREENING'!Z58,'SCORING MASTER'!$C$17:$C$19,0)),""))</f>
        <v/>
      </c>
      <c r="AB58" s="57" t="str">
        <f aca="false">IF('STUDENT SCREENING'!AA58="","",IFERROR(INDEX('SCORING MASTER'!$D$21:$D$23,MATCH('STUDENT SCREENING'!AA58,'SCORING MASTER'!$C$21:$C$23,0)),""))</f>
        <v/>
      </c>
      <c r="AC58" s="57" t="str">
        <f aca="false">IF('STUDENT SCREENING'!AB58="","",IFERROR(INDEX('SCORING MASTER'!$D$25:$D$27,MATCH('STUDENT SCREENING'!AB58,'SCORING MASTER'!$C$25:$C$27,0)),""))</f>
        <v/>
      </c>
      <c r="AD58" s="57" t="str">
        <f aca="false">IF('STUDENT SCREENING'!AC58="","",IFERROR(INDEX('SCORING MASTER'!$D$29:$D$31,MATCH('STUDENT SCREENING'!AC58,'SCORING MASTER'!$C$29:$C$31,0)),""))</f>
        <v/>
      </c>
      <c r="AE58" s="57" t="str">
        <f aca="false">IF('STUDENT SCREENING'!AD58="","",IFERROR(INDEX('SCORING MASTER'!$D$33:$D$35,MATCH('STUDENT SCREENING'!AD58,'SCORING MASTER'!$C$33:$C$35,0)),""))</f>
        <v/>
      </c>
      <c r="AF58" s="57" t="str">
        <f aca="false">IF('STUDENT SCREENING'!AE58="","",IFERROR(INDEX('SCORING MASTER'!$D$37:$D$39,MATCH('STUDENT SCREENING'!AE58,'SCORING MASTER'!$C$37:$C$39,0)),""))</f>
        <v/>
      </c>
      <c r="AG58" s="57" t="str">
        <f aca="false">IF('STUDENT SCREENING'!AF58="","",IFERROR(INDEX('SCORING MASTER'!$D$41:$D$43,MATCH('STUDENT SCREENING'!AF58,'SCORING MASTER'!$C$41:$C$43,0)),""))</f>
        <v/>
      </c>
      <c r="AH58" s="57" t="str">
        <f aca="false">IF('STUDENT SCREENING'!AG58="","",IFERROR(INDEX('SCORING MASTER'!$D$45:$D$47,MATCH('STUDENT SCREENING'!AG58,'SCORING MASTER'!$C$45:$C$47,0)),""))</f>
        <v/>
      </c>
      <c r="AI58" s="57" t="str">
        <f aca="false">IF('STUDENT SCREENING'!AH58="","",IFERROR(INDEX('SCORING MASTER'!$D$49:$D$52,MATCH('STUDENT SCREENING'!AH58,'SCORING MASTER'!$C$49:$C$52,0)),""))</f>
        <v/>
      </c>
      <c r="AJ58" s="57" t="str">
        <f aca="false">IF('STUDENT SCREENING'!AI58="","",IFERROR(INDEX('SCORING MASTER'!$D$54:$D$57,MATCH('STUDENT SCREENING'!AI58,'SCORING MASTER'!$C$54:$C$57,0)),""))</f>
        <v/>
      </c>
      <c r="AK58" s="57" t="str">
        <f aca="false">IF('STUDENT SCREENING'!AJ58="","",IFERROR(INDEX('SCORING MASTER'!$D$59:$D$60,MATCH('STUDENT SCREENING'!AJ58,'SCORING MASTER'!$C$59:$C$60,0)),""))</f>
        <v/>
      </c>
      <c r="AL58" s="57" t="str">
        <f aca="false">IF('STUDENT SCREENING'!AK58="","",IFERROR(INDEX('SCORING MASTER'!$D$62:$D$63,MATCH('STUDENT SCREENING'!AK58,'SCORING MASTER'!$C$62:$C$63,0)),""))</f>
        <v/>
      </c>
      <c r="AM58" s="57" t="str">
        <f aca="false">IF('STUDENT SCREENING'!AL58="","",IFERROR(INDEX('SCORING MASTER'!$D$65:$D$66,MATCH('STUDENT SCREENING'!AL58,'SCORING MASTER'!$C$65:$C$66,0)),""))</f>
        <v/>
      </c>
      <c r="AN58" s="57" t="str">
        <f aca="false">IF('STUDENT SCREENING'!AM58="","",IFERROR(INDEX('SCORING MASTER'!$D$68:$D$69,MATCH('STUDENT SCREENING'!AM58,'SCORING MASTER'!$C$68:$C$69,0)),""))</f>
        <v/>
      </c>
      <c r="AO58" s="57" t="str">
        <f aca="false">IF('STUDENT SCREENING'!AN58="","",IFERROR(INDEX('SCORING MASTER'!$D$71:$D$72,MATCH('STUDENT SCREENING'!AN58,'SCORING MASTER'!$C$71:$C$72,0)),""))</f>
        <v/>
      </c>
      <c r="AP58" s="57" t="str">
        <f aca="false">IF('STUDENT SCREENING'!AO58="","",IFERROR(INDEX('SCORING MASTER'!$D$74:$D$75,MATCH('STUDENT SCREENING'!AO58,'SCORING MASTER'!$C$74:$C$75,0)),""))</f>
        <v/>
      </c>
      <c r="AQ58" s="57" t="str">
        <f aca="false">IF('STUDENT SCREENING'!AP58="","",IFERROR(INDEX('SCORING MASTER'!$D$77:$D$78,MATCH('STUDENT SCREENING'!AP58,'SCORING MASTER'!$C$77:$C$78,0)),""))</f>
        <v/>
      </c>
      <c r="AR58" s="57" t="str">
        <f aca="false">IF('STUDENT SCREENING'!AQ58="","",IFERROR(INDEX('SCORING MASTER'!$D$80:$D$82,MATCH('STUDENT SCREENING'!AQ58,'SCORING MASTER'!$C$80:$C$82,0)),""))</f>
        <v/>
      </c>
      <c r="AS58" s="57" t="str">
        <f aca="false">IF('STUDENT SCREENING'!AR58="","",IFERROR(INDEX('SCORING MASTER'!$D$84:$D$86,MATCH('STUDENT SCREENING'!AR58,'SCORING MASTER'!$C$84:$C$86,0)),""))</f>
        <v/>
      </c>
      <c r="AT58" s="57" t="str">
        <f aca="false">IF('STUDENT SCREENING'!AS58="","",IFERROR(INDEX('SCORING MASTER'!$D$88:$D$90,MATCH('STUDENT SCREENING'!AS58,'SCORING MASTER'!$C$88:$C$90,0)),""))</f>
        <v/>
      </c>
      <c r="AU58" s="57" t="str">
        <f aca="false">IF('STUDENT SCREENING'!AT58="","",IFERROR(INDEX('SCORING MASTER'!$D$92:$D$93,MATCH('STUDENT SCREENING'!AT58,'SCORING MASTER'!$C$92:$C$93,0)),""))</f>
        <v/>
      </c>
      <c r="AV58" s="57" t="str">
        <f aca="false">IF('STUDENT SCREENING'!AU58="","",IFERROR(INDEX('SCORING MASTER'!$D$95:$D$96,MATCH('STUDENT SCREENING'!AU58,'SCORING MASTER'!$C$95:$C$96,0)),""))</f>
        <v/>
      </c>
      <c r="AW58" s="57" t="str">
        <f aca="false">IF('STUDENT SCREENING'!AV58="","",IFERROR(INDEX('SCORING MASTER'!$D$98:$D$99,MATCH('STUDENT SCREENING'!AV58,'SCORING MASTER'!$C$98:$C$99,0)),""))</f>
        <v/>
      </c>
      <c r="AX58" s="57" t="str">
        <f aca="false">IF('STUDENT SCREENING'!AW58="","",IFERROR(INDEX('SCORING MASTER'!$D$101:$D$102,MATCH('STUDENT SCREENING'!AW58,'SCORING MASTER'!$C$101:$C$102,0)),""))</f>
        <v/>
      </c>
      <c r="AY58" s="57" t="str">
        <f aca="false">IF('STUDENT SCREENING'!AX58="","",IFERROR(INDEX('SCORING MASTER'!$D$104:$D$105,MATCH('STUDENT SCREENING'!AX58,'SCORING MASTER'!$C$104:$C$105,0)),""))</f>
        <v/>
      </c>
      <c r="AZ58" s="57" t="str">
        <f aca="false">IF('STUDENT SCREENING'!AY58="","",IFERROR(INDEX('SCORING MASTER'!$D$107:$D$108,MATCH('STUDENT SCREENING'!AY58,'SCORING MASTER'!$C$107:$C$108,0)),""))</f>
        <v/>
      </c>
      <c r="BA58" s="57" t="str">
        <f aca="false">IF('STUDENT SCREENING'!AZ58="","",IFERROR(INDEX('SCORING MASTER'!$D$110:$D$111,MATCH('STUDENT SCREENING'!AZ58,'SCORING MASTER'!$C$110:$C$111,0)),""))</f>
        <v/>
      </c>
      <c r="BB58" s="57" t="str">
        <f aca="false">IF('STUDENT SCREENING'!BA58="","",IFERROR(INDEX('SCORING MASTER'!$D$113:$D$115,MATCH('STUDENT SCREENING'!BA58,'SCORING MASTER'!$C$113:$C$115,0)),""))</f>
        <v/>
      </c>
      <c r="BC58" s="57" t="str">
        <f aca="false">IF('STUDENT SCREENING'!BB58="","",IFERROR(INDEX('SCORING MASTER'!$D$117:$D$119,MATCH('STUDENT SCREENING'!BB58,'SCORING MASTER'!$C$117:$C$119,0)),""))</f>
        <v/>
      </c>
      <c r="BD58" s="57" t="str">
        <f aca="false">IF('STUDENT SCREENING'!BC58="","",IFERROR(INDEX('SCORING MASTER'!$D$121:$D$123,MATCH('STUDENT SCREENING'!BC58,'SCORING MASTER'!$C$121:$C$123,0)),""))</f>
        <v/>
      </c>
      <c r="BE58" s="57" t="str">
        <f aca="false">IF('STUDENT SCREENING'!BD58="","",IFERROR(INDEX('SCORING MASTER'!$D$125:$D$126,MATCH('STUDENT SCREENING'!BD58,'SCORING MASTER'!$C$125:$C$126,0)),""))</f>
        <v/>
      </c>
      <c r="BF58" s="57" t="str">
        <f aca="false">IF('STUDENT SCREENING'!BE58="","",IFERROR(INDEX('SCORING MASTER'!$D$128:$D$129,MATCH('STUDENT SCREENING'!BE58,'SCORING MASTER'!$C$128:$C$129,0)),""))</f>
        <v/>
      </c>
      <c r="BG58" s="57" t="str">
        <f aca="false">IF('STUDENT SCREENING'!BP58="","",IFERROR(MATCH('STUDENT SCREENING'!BP58,{"Red - High Risk","Orange - Moderate Risk","Yellow - Mild Risk","Light Green - Mild Watch","Green - Healthy"},0)-1,""))</f>
        <v/>
      </c>
      <c r="BH58" s="57" t="str">
        <f aca="false">IF('STUDENT SCREENING'!BQ58="","",IF('STUDENT SCREENING'!BQ58="Yes",1,0))</f>
        <v/>
      </c>
      <c r="BI58" s="57" t="str">
        <f aca="false">IF('STUDENT SCREENING'!BR58="","",IF('STUDENT SCREENING'!BR58="Yes",1,0))</f>
        <v/>
      </c>
    </row>
    <row r="59" customFormat="false" ht="15" hidden="false" customHeight="false" outlineLevel="0" collapsed="false">
      <c r="A59" s="58" t="str">
        <f aca="false">'STUDENT SCREENING'!A59</f>
        <v/>
      </c>
      <c r="B59" s="58" t="n">
        <f aca="false">'STUDENT SCREENING'!C59</f>
        <v>0</v>
      </c>
      <c r="C59" s="58" t="n">
        <f aca="false">'STUDENT SCREENING'!D59</f>
        <v>0</v>
      </c>
      <c r="D59" s="58" t="n">
        <f aca="false">'STUDENT SCREENING'!E59</f>
        <v>0</v>
      </c>
      <c r="E59" s="58" t="n">
        <f aca="false">'STUDENT SCREENING'!F59</f>
        <v>0</v>
      </c>
      <c r="F59" s="58" t="n">
        <f aca="false">'STUDENT SCREENING'!K59</f>
        <v>0</v>
      </c>
      <c r="G59" s="58" t="n">
        <f aca="false">'STUDENT SCREENING'!J59</f>
        <v>0</v>
      </c>
      <c r="H59" s="58" t="str">
        <f aca="false">IF('STUDENT SCREENING'!K59="","",IFERROR(MATCH('STUDENT SCREENING'!K59,Adm_Gender,0),""))</f>
        <v/>
      </c>
      <c r="I59" s="58" t="n">
        <f aca="false">'STUDENT SCREENING'!Q59</f>
        <v>0</v>
      </c>
      <c r="J59" s="58" t="n">
        <f aca="false">'STUDENT SCREENING'!R59</f>
        <v>0</v>
      </c>
      <c r="K59" s="58" t="str">
        <f aca="false">'STUDENT SCREENING'!S59</f>
        <v/>
      </c>
      <c r="L59" s="58" t="n">
        <f aca="false">'STUDENT SCREENING'!U59</f>
        <v>0</v>
      </c>
      <c r="M59" s="58" t="n">
        <f aca="false">'STUDENT SCREENING'!V59</f>
        <v>0</v>
      </c>
      <c r="N59" s="58" t="str">
        <f aca="false">'STUDENT SCREENING'!BF59</f>
        <v/>
      </c>
      <c r="O59" s="58" t="str">
        <f aca="false">'STUDENT SCREENING'!BG59</f>
        <v/>
      </c>
      <c r="P59" s="58" t="str">
        <f aca="false">'STUDENT SCREENING'!BH59</f>
        <v/>
      </c>
      <c r="Q59" s="58" t="str">
        <f aca="false">'STUDENT SCREENING'!BI59</f>
        <v/>
      </c>
      <c r="R59" s="58" t="str">
        <f aca="false">'STUDENT SCREENING'!BJ59</f>
        <v/>
      </c>
      <c r="S59" s="58" t="str">
        <f aca="false">'STUDENT SCREENING'!BK59</f>
        <v/>
      </c>
      <c r="T59" s="58" t="str">
        <f aca="false">'STUDENT SCREENING'!BL59</f>
        <v/>
      </c>
      <c r="U59" s="58" t="str">
        <f aca="false">'STUDENT SCREENING'!BM59</f>
        <v/>
      </c>
      <c r="V59" s="58" t="str">
        <f aca="false">'STUDENT SCREENING'!BN59</f>
        <v/>
      </c>
      <c r="W59" s="58" t="str">
        <f aca="false">'STUDENT SCREENING'!BO59</f>
        <v/>
      </c>
      <c r="X59" s="58" t="str">
        <f aca="false">IF('STUDENT SCREENING'!W59="","",IFERROR(INDEX('SCORING MASTER'!$D$5:$D$7,MATCH('STUDENT SCREENING'!W59,'SCORING MASTER'!$C$5:$C$7,0)),""))</f>
        <v/>
      </c>
      <c r="Y59" s="58" t="str">
        <f aca="false">IF('STUDENT SCREENING'!X59="","",IFERROR(INDEX('SCORING MASTER'!$D$9:$D$11,MATCH('STUDENT SCREENING'!X59,'SCORING MASTER'!$C$9:$C$11,0)),""))</f>
        <v/>
      </c>
      <c r="Z59" s="58" t="str">
        <f aca="false">IF('STUDENT SCREENING'!Y59="","",IFERROR(INDEX('SCORING MASTER'!$D$13:$D$15,MATCH('STUDENT SCREENING'!Y59,'SCORING MASTER'!$C$13:$C$15,0)),""))</f>
        <v/>
      </c>
      <c r="AA59" s="58" t="str">
        <f aca="false">IF('STUDENT SCREENING'!Z59="","",IFERROR(INDEX('SCORING MASTER'!$D$17:$D$19,MATCH('STUDENT SCREENING'!Z59,'SCORING MASTER'!$C$17:$C$19,0)),""))</f>
        <v/>
      </c>
      <c r="AB59" s="58" t="str">
        <f aca="false">IF('STUDENT SCREENING'!AA59="","",IFERROR(INDEX('SCORING MASTER'!$D$21:$D$23,MATCH('STUDENT SCREENING'!AA59,'SCORING MASTER'!$C$21:$C$23,0)),""))</f>
        <v/>
      </c>
      <c r="AC59" s="58" t="str">
        <f aca="false">IF('STUDENT SCREENING'!AB59="","",IFERROR(INDEX('SCORING MASTER'!$D$25:$D$27,MATCH('STUDENT SCREENING'!AB59,'SCORING MASTER'!$C$25:$C$27,0)),""))</f>
        <v/>
      </c>
      <c r="AD59" s="58" t="str">
        <f aca="false">IF('STUDENT SCREENING'!AC59="","",IFERROR(INDEX('SCORING MASTER'!$D$29:$D$31,MATCH('STUDENT SCREENING'!AC59,'SCORING MASTER'!$C$29:$C$31,0)),""))</f>
        <v/>
      </c>
      <c r="AE59" s="58" t="str">
        <f aca="false">IF('STUDENT SCREENING'!AD59="","",IFERROR(INDEX('SCORING MASTER'!$D$33:$D$35,MATCH('STUDENT SCREENING'!AD59,'SCORING MASTER'!$C$33:$C$35,0)),""))</f>
        <v/>
      </c>
      <c r="AF59" s="58" t="str">
        <f aca="false">IF('STUDENT SCREENING'!AE59="","",IFERROR(INDEX('SCORING MASTER'!$D$37:$D$39,MATCH('STUDENT SCREENING'!AE59,'SCORING MASTER'!$C$37:$C$39,0)),""))</f>
        <v/>
      </c>
      <c r="AG59" s="58" t="str">
        <f aca="false">IF('STUDENT SCREENING'!AF59="","",IFERROR(INDEX('SCORING MASTER'!$D$41:$D$43,MATCH('STUDENT SCREENING'!AF59,'SCORING MASTER'!$C$41:$C$43,0)),""))</f>
        <v/>
      </c>
      <c r="AH59" s="58" t="str">
        <f aca="false">IF('STUDENT SCREENING'!AG59="","",IFERROR(INDEX('SCORING MASTER'!$D$45:$D$47,MATCH('STUDENT SCREENING'!AG59,'SCORING MASTER'!$C$45:$C$47,0)),""))</f>
        <v/>
      </c>
      <c r="AI59" s="58" t="str">
        <f aca="false">IF('STUDENT SCREENING'!AH59="","",IFERROR(INDEX('SCORING MASTER'!$D$49:$D$52,MATCH('STUDENT SCREENING'!AH59,'SCORING MASTER'!$C$49:$C$52,0)),""))</f>
        <v/>
      </c>
      <c r="AJ59" s="58" t="str">
        <f aca="false">IF('STUDENT SCREENING'!AI59="","",IFERROR(INDEX('SCORING MASTER'!$D$54:$D$57,MATCH('STUDENT SCREENING'!AI59,'SCORING MASTER'!$C$54:$C$57,0)),""))</f>
        <v/>
      </c>
      <c r="AK59" s="58" t="str">
        <f aca="false">IF('STUDENT SCREENING'!AJ59="","",IFERROR(INDEX('SCORING MASTER'!$D$59:$D$60,MATCH('STUDENT SCREENING'!AJ59,'SCORING MASTER'!$C$59:$C$60,0)),""))</f>
        <v/>
      </c>
      <c r="AL59" s="58" t="str">
        <f aca="false">IF('STUDENT SCREENING'!AK59="","",IFERROR(INDEX('SCORING MASTER'!$D$62:$D$63,MATCH('STUDENT SCREENING'!AK59,'SCORING MASTER'!$C$62:$C$63,0)),""))</f>
        <v/>
      </c>
      <c r="AM59" s="58" t="str">
        <f aca="false">IF('STUDENT SCREENING'!AL59="","",IFERROR(INDEX('SCORING MASTER'!$D$65:$D$66,MATCH('STUDENT SCREENING'!AL59,'SCORING MASTER'!$C$65:$C$66,0)),""))</f>
        <v/>
      </c>
      <c r="AN59" s="58" t="str">
        <f aca="false">IF('STUDENT SCREENING'!AM59="","",IFERROR(INDEX('SCORING MASTER'!$D$68:$D$69,MATCH('STUDENT SCREENING'!AM59,'SCORING MASTER'!$C$68:$C$69,0)),""))</f>
        <v/>
      </c>
      <c r="AO59" s="58" t="str">
        <f aca="false">IF('STUDENT SCREENING'!AN59="","",IFERROR(INDEX('SCORING MASTER'!$D$71:$D$72,MATCH('STUDENT SCREENING'!AN59,'SCORING MASTER'!$C$71:$C$72,0)),""))</f>
        <v/>
      </c>
      <c r="AP59" s="58" t="str">
        <f aca="false">IF('STUDENT SCREENING'!AO59="","",IFERROR(INDEX('SCORING MASTER'!$D$74:$D$75,MATCH('STUDENT SCREENING'!AO59,'SCORING MASTER'!$C$74:$C$75,0)),""))</f>
        <v/>
      </c>
      <c r="AQ59" s="58" t="str">
        <f aca="false">IF('STUDENT SCREENING'!AP59="","",IFERROR(INDEX('SCORING MASTER'!$D$77:$D$78,MATCH('STUDENT SCREENING'!AP59,'SCORING MASTER'!$C$77:$C$78,0)),""))</f>
        <v/>
      </c>
      <c r="AR59" s="58" t="str">
        <f aca="false">IF('STUDENT SCREENING'!AQ59="","",IFERROR(INDEX('SCORING MASTER'!$D$80:$D$82,MATCH('STUDENT SCREENING'!AQ59,'SCORING MASTER'!$C$80:$C$82,0)),""))</f>
        <v/>
      </c>
      <c r="AS59" s="58" t="str">
        <f aca="false">IF('STUDENT SCREENING'!AR59="","",IFERROR(INDEX('SCORING MASTER'!$D$84:$D$86,MATCH('STUDENT SCREENING'!AR59,'SCORING MASTER'!$C$84:$C$86,0)),""))</f>
        <v/>
      </c>
      <c r="AT59" s="58" t="str">
        <f aca="false">IF('STUDENT SCREENING'!AS59="","",IFERROR(INDEX('SCORING MASTER'!$D$88:$D$90,MATCH('STUDENT SCREENING'!AS59,'SCORING MASTER'!$C$88:$C$90,0)),""))</f>
        <v/>
      </c>
      <c r="AU59" s="58" t="str">
        <f aca="false">IF('STUDENT SCREENING'!AT59="","",IFERROR(INDEX('SCORING MASTER'!$D$92:$D$93,MATCH('STUDENT SCREENING'!AT59,'SCORING MASTER'!$C$92:$C$93,0)),""))</f>
        <v/>
      </c>
      <c r="AV59" s="58" t="str">
        <f aca="false">IF('STUDENT SCREENING'!AU59="","",IFERROR(INDEX('SCORING MASTER'!$D$95:$D$96,MATCH('STUDENT SCREENING'!AU59,'SCORING MASTER'!$C$95:$C$96,0)),""))</f>
        <v/>
      </c>
      <c r="AW59" s="58" t="str">
        <f aca="false">IF('STUDENT SCREENING'!AV59="","",IFERROR(INDEX('SCORING MASTER'!$D$98:$D$99,MATCH('STUDENT SCREENING'!AV59,'SCORING MASTER'!$C$98:$C$99,0)),""))</f>
        <v/>
      </c>
      <c r="AX59" s="58" t="str">
        <f aca="false">IF('STUDENT SCREENING'!AW59="","",IFERROR(INDEX('SCORING MASTER'!$D$101:$D$102,MATCH('STUDENT SCREENING'!AW59,'SCORING MASTER'!$C$101:$C$102,0)),""))</f>
        <v/>
      </c>
      <c r="AY59" s="58" t="str">
        <f aca="false">IF('STUDENT SCREENING'!AX59="","",IFERROR(INDEX('SCORING MASTER'!$D$104:$D$105,MATCH('STUDENT SCREENING'!AX59,'SCORING MASTER'!$C$104:$C$105,0)),""))</f>
        <v/>
      </c>
      <c r="AZ59" s="58" t="str">
        <f aca="false">IF('STUDENT SCREENING'!AY59="","",IFERROR(INDEX('SCORING MASTER'!$D$107:$D$108,MATCH('STUDENT SCREENING'!AY59,'SCORING MASTER'!$C$107:$C$108,0)),""))</f>
        <v/>
      </c>
      <c r="BA59" s="58" t="str">
        <f aca="false">IF('STUDENT SCREENING'!AZ59="","",IFERROR(INDEX('SCORING MASTER'!$D$110:$D$111,MATCH('STUDENT SCREENING'!AZ59,'SCORING MASTER'!$C$110:$C$111,0)),""))</f>
        <v/>
      </c>
      <c r="BB59" s="58" t="str">
        <f aca="false">IF('STUDENT SCREENING'!BA59="","",IFERROR(INDEX('SCORING MASTER'!$D$113:$D$115,MATCH('STUDENT SCREENING'!BA59,'SCORING MASTER'!$C$113:$C$115,0)),""))</f>
        <v/>
      </c>
      <c r="BC59" s="58" t="str">
        <f aca="false">IF('STUDENT SCREENING'!BB59="","",IFERROR(INDEX('SCORING MASTER'!$D$117:$D$119,MATCH('STUDENT SCREENING'!BB59,'SCORING MASTER'!$C$117:$C$119,0)),""))</f>
        <v/>
      </c>
      <c r="BD59" s="58" t="str">
        <f aca="false">IF('STUDENT SCREENING'!BC59="","",IFERROR(INDEX('SCORING MASTER'!$D$121:$D$123,MATCH('STUDENT SCREENING'!BC59,'SCORING MASTER'!$C$121:$C$123,0)),""))</f>
        <v/>
      </c>
      <c r="BE59" s="58" t="str">
        <f aca="false">IF('STUDENT SCREENING'!BD59="","",IFERROR(INDEX('SCORING MASTER'!$D$125:$D$126,MATCH('STUDENT SCREENING'!BD59,'SCORING MASTER'!$C$125:$C$126,0)),""))</f>
        <v/>
      </c>
      <c r="BF59" s="58" t="str">
        <f aca="false">IF('STUDENT SCREENING'!BE59="","",IFERROR(INDEX('SCORING MASTER'!$D$128:$D$129,MATCH('STUDENT SCREENING'!BE59,'SCORING MASTER'!$C$128:$C$129,0)),""))</f>
        <v/>
      </c>
      <c r="BG59" s="58" t="str">
        <f aca="false">IF('STUDENT SCREENING'!BP59="","",IFERROR(MATCH('STUDENT SCREENING'!BP59,{"Red - High Risk","Orange - Moderate Risk","Yellow - Mild Risk","Light Green - Mild Watch","Green - Healthy"},0)-1,""))</f>
        <v/>
      </c>
      <c r="BH59" s="58" t="str">
        <f aca="false">IF('STUDENT SCREENING'!BQ59="","",IF('STUDENT SCREENING'!BQ59="Yes",1,0))</f>
        <v/>
      </c>
      <c r="BI59" s="58" t="str">
        <f aca="false">IF('STUDENT SCREENING'!BR59="","",IF('STUDENT SCREENING'!BR59="Yes",1,0))</f>
        <v/>
      </c>
    </row>
    <row r="60" customFormat="false" ht="15" hidden="false" customHeight="false" outlineLevel="0" collapsed="false">
      <c r="A60" s="57" t="str">
        <f aca="false">'STUDENT SCREENING'!A60</f>
        <v/>
      </c>
      <c r="B60" s="57" t="n">
        <f aca="false">'STUDENT SCREENING'!C60</f>
        <v>0</v>
      </c>
      <c r="C60" s="57" t="n">
        <f aca="false">'STUDENT SCREENING'!D60</f>
        <v>0</v>
      </c>
      <c r="D60" s="57" t="n">
        <f aca="false">'STUDENT SCREENING'!E60</f>
        <v>0</v>
      </c>
      <c r="E60" s="57" t="n">
        <f aca="false">'STUDENT SCREENING'!F60</f>
        <v>0</v>
      </c>
      <c r="F60" s="57" t="n">
        <f aca="false">'STUDENT SCREENING'!K60</f>
        <v>0</v>
      </c>
      <c r="G60" s="57" t="n">
        <f aca="false">'STUDENT SCREENING'!J60</f>
        <v>0</v>
      </c>
      <c r="H60" s="57" t="str">
        <f aca="false">IF('STUDENT SCREENING'!K60="","",IFERROR(MATCH('STUDENT SCREENING'!K60,Adm_Gender,0),""))</f>
        <v/>
      </c>
      <c r="I60" s="57" t="n">
        <f aca="false">'STUDENT SCREENING'!Q60</f>
        <v>0</v>
      </c>
      <c r="J60" s="57" t="n">
        <f aca="false">'STUDENT SCREENING'!R60</f>
        <v>0</v>
      </c>
      <c r="K60" s="57" t="str">
        <f aca="false">'STUDENT SCREENING'!S60</f>
        <v/>
      </c>
      <c r="L60" s="57" t="n">
        <f aca="false">'STUDENT SCREENING'!U60</f>
        <v>0</v>
      </c>
      <c r="M60" s="57" t="n">
        <f aca="false">'STUDENT SCREENING'!V60</f>
        <v>0</v>
      </c>
      <c r="N60" s="57" t="str">
        <f aca="false">'STUDENT SCREENING'!BF60</f>
        <v/>
      </c>
      <c r="O60" s="57" t="str">
        <f aca="false">'STUDENT SCREENING'!BG60</f>
        <v/>
      </c>
      <c r="P60" s="57" t="str">
        <f aca="false">'STUDENT SCREENING'!BH60</f>
        <v/>
      </c>
      <c r="Q60" s="57" t="str">
        <f aca="false">'STUDENT SCREENING'!BI60</f>
        <v/>
      </c>
      <c r="R60" s="57" t="str">
        <f aca="false">'STUDENT SCREENING'!BJ60</f>
        <v/>
      </c>
      <c r="S60" s="57" t="str">
        <f aca="false">'STUDENT SCREENING'!BK60</f>
        <v/>
      </c>
      <c r="T60" s="57" t="str">
        <f aca="false">'STUDENT SCREENING'!BL60</f>
        <v/>
      </c>
      <c r="U60" s="57" t="str">
        <f aca="false">'STUDENT SCREENING'!BM60</f>
        <v/>
      </c>
      <c r="V60" s="57" t="str">
        <f aca="false">'STUDENT SCREENING'!BN60</f>
        <v/>
      </c>
      <c r="W60" s="57" t="str">
        <f aca="false">'STUDENT SCREENING'!BO60</f>
        <v/>
      </c>
      <c r="X60" s="57" t="str">
        <f aca="false">IF('STUDENT SCREENING'!W60="","",IFERROR(INDEX('SCORING MASTER'!$D$5:$D$7,MATCH('STUDENT SCREENING'!W60,'SCORING MASTER'!$C$5:$C$7,0)),""))</f>
        <v/>
      </c>
      <c r="Y60" s="57" t="str">
        <f aca="false">IF('STUDENT SCREENING'!X60="","",IFERROR(INDEX('SCORING MASTER'!$D$9:$D$11,MATCH('STUDENT SCREENING'!X60,'SCORING MASTER'!$C$9:$C$11,0)),""))</f>
        <v/>
      </c>
      <c r="Z60" s="57" t="str">
        <f aca="false">IF('STUDENT SCREENING'!Y60="","",IFERROR(INDEX('SCORING MASTER'!$D$13:$D$15,MATCH('STUDENT SCREENING'!Y60,'SCORING MASTER'!$C$13:$C$15,0)),""))</f>
        <v/>
      </c>
      <c r="AA60" s="57" t="str">
        <f aca="false">IF('STUDENT SCREENING'!Z60="","",IFERROR(INDEX('SCORING MASTER'!$D$17:$D$19,MATCH('STUDENT SCREENING'!Z60,'SCORING MASTER'!$C$17:$C$19,0)),""))</f>
        <v/>
      </c>
      <c r="AB60" s="57" t="str">
        <f aca="false">IF('STUDENT SCREENING'!AA60="","",IFERROR(INDEX('SCORING MASTER'!$D$21:$D$23,MATCH('STUDENT SCREENING'!AA60,'SCORING MASTER'!$C$21:$C$23,0)),""))</f>
        <v/>
      </c>
      <c r="AC60" s="57" t="str">
        <f aca="false">IF('STUDENT SCREENING'!AB60="","",IFERROR(INDEX('SCORING MASTER'!$D$25:$D$27,MATCH('STUDENT SCREENING'!AB60,'SCORING MASTER'!$C$25:$C$27,0)),""))</f>
        <v/>
      </c>
      <c r="AD60" s="57" t="str">
        <f aca="false">IF('STUDENT SCREENING'!AC60="","",IFERROR(INDEX('SCORING MASTER'!$D$29:$D$31,MATCH('STUDENT SCREENING'!AC60,'SCORING MASTER'!$C$29:$C$31,0)),""))</f>
        <v/>
      </c>
      <c r="AE60" s="57" t="str">
        <f aca="false">IF('STUDENT SCREENING'!AD60="","",IFERROR(INDEX('SCORING MASTER'!$D$33:$D$35,MATCH('STUDENT SCREENING'!AD60,'SCORING MASTER'!$C$33:$C$35,0)),""))</f>
        <v/>
      </c>
      <c r="AF60" s="57" t="str">
        <f aca="false">IF('STUDENT SCREENING'!AE60="","",IFERROR(INDEX('SCORING MASTER'!$D$37:$D$39,MATCH('STUDENT SCREENING'!AE60,'SCORING MASTER'!$C$37:$C$39,0)),""))</f>
        <v/>
      </c>
      <c r="AG60" s="57" t="str">
        <f aca="false">IF('STUDENT SCREENING'!AF60="","",IFERROR(INDEX('SCORING MASTER'!$D$41:$D$43,MATCH('STUDENT SCREENING'!AF60,'SCORING MASTER'!$C$41:$C$43,0)),""))</f>
        <v/>
      </c>
      <c r="AH60" s="57" t="str">
        <f aca="false">IF('STUDENT SCREENING'!AG60="","",IFERROR(INDEX('SCORING MASTER'!$D$45:$D$47,MATCH('STUDENT SCREENING'!AG60,'SCORING MASTER'!$C$45:$C$47,0)),""))</f>
        <v/>
      </c>
      <c r="AI60" s="57" t="str">
        <f aca="false">IF('STUDENT SCREENING'!AH60="","",IFERROR(INDEX('SCORING MASTER'!$D$49:$D$52,MATCH('STUDENT SCREENING'!AH60,'SCORING MASTER'!$C$49:$C$52,0)),""))</f>
        <v/>
      </c>
      <c r="AJ60" s="57" t="str">
        <f aca="false">IF('STUDENT SCREENING'!AI60="","",IFERROR(INDEX('SCORING MASTER'!$D$54:$D$57,MATCH('STUDENT SCREENING'!AI60,'SCORING MASTER'!$C$54:$C$57,0)),""))</f>
        <v/>
      </c>
      <c r="AK60" s="57" t="str">
        <f aca="false">IF('STUDENT SCREENING'!AJ60="","",IFERROR(INDEX('SCORING MASTER'!$D$59:$D$60,MATCH('STUDENT SCREENING'!AJ60,'SCORING MASTER'!$C$59:$C$60,0)),""))</f>
        <v/>
      </c>
      <c r="AL60" s="57" t="str">
        <f aca="false">IF('STUDENT SCREENING'!AK60="","",IFERROR(INDEX('SCORING MASTER'!$D$62:$D$63,MATCH('STUDENT SCREENING'!AK60,'SCORING MASTER'!$C$62:$C$63,0)),""))</f>
        <v/>
      </c>
      <c r="AM60" s="57" t="str">
        <f aca="false">IF('STUDENT SCREENING'!AL60="","",IFERROR(INDEX('SCORING MASTER'!$D$65:$D$66,MATCH('STUDENT SCREENING'!AL60,'SCORING MASTER'!$C$65:$C$66,0)),""))</f>
        <v/>
      </c>
      <c r="AN60" s="57" t="str">
        <f aca="false">IF('STUDENT SCREENING'!AM60="","",IFERROR(INDEX('SCORING MASTER'!$D$68:$D$69,MATCH('STUDENT SCREENING'!AM60,'SCORING MASTER'!$C$68:$C$69,0)),""))</f>
        <v/>
      </c>
      <c r="AO60" s="57" t="str">
        <f aca="false">IF('STUDENT SCREENING'!AN60="","",IFERROR(INDEX('SCORING MASTER'!$D$71:$D$72,MATCH('STUDENT SCREENING'!AN60,'SCORING MASTER'!$C$71:$C$72,0)),""))</f>
        <v/>
      </c>
      <c r="AP60" s="57" t="str">
        <f aca="false">IF('STUDENT SCREENING'!AO60="","",IFERROR(INDEX('SCORING MASTER'!$D$74:$D$75,MATCH('STUDENT SCREENING'!AO60,'SCORING MASTER'!$C$74:$C$75,0)),""))</f>
        <v/>
      </c>
      <c r="AQ60" s="57" t="str">
        <f aca="false">IF('STUDENT SCREENING'!AP60="","",IFERROR(INDEX('SCORING MASTER'!$D$77:$D$78,MATCH('STUDENT SCREENING'!AP60,'SCORING MASTER'!$C$77:$C$78,0)),""))</f>
        <v/>
      </c>
      <c r="AR60" s="57" t="str">
        <f aca="false">IF('STUDENT SCREENING'!AQ60="","",IFERROR(INDEX('SCORING MASTER'!$D$80:$D$82,MATCH('STUDENT SCREENING'!AQ60,'SCORING MASTER'!$C$80:$C$82,0)),""))</f>
        <v/>
      </c>
      <c r="AS60" s="57" t="str">
        <f aca="false">IF('STUDENT SCREENING'!AR60="","",IFERROR(INDEX('SCORING MASTER'!$D$84:$D$86,MATCH('STUDENT SCREENING'!AR60,'SCORING MASTER'!$C$84:$C$86,0)),""))</f>
        <v/>
      </c>
      <c r="AT60" s="57" t="str">
        <f aca="false">IF('STUDENT SCREENING'!AS60="","",IFERROR(INDEX('SCORING MASTER'!$D$88:$D$90,MATCH('STUDENT SCREENING'!AS60,'SCORING MASTER'!$C$88:$C$90,0)),""))</f>
        <v/>
      </c>
      <c r="AU60" s="57" t="str">
        <f aca="false">IF('STUDENT SCREENING'!AT60="","",IFERROR(INDEX('SCORING MASTER'!$D$92:$D$93,MATCH('STUDENT SCREENING'!AT60,'SCORING MASTER'!$C$92:$C$93,0)),""))</f>
        <v/>
      </c>
      <c r="AV60" s="57" t="str">
        <f aca="false">IF('STUDENT SCREENING'!AU60="","",IFERROR(INDEX('SCORING MASTER'!$D$95:$D$96,MATCH('STUDENT SCREENING'!AU60,'SCORING MASTER'!$C$95:$C$96,0)),""))</f>
        <v/>
      </c>
      <c r="AW60" s="57" t="str">
        <f aca="false">IF('STUDENT SCREENING'!AV60="","",IFERROR(INDEX('SCORING MASTER'!$D$98:$D$99,MATCH('STUDENT SCREENING'!AV60,'SCORING MASTER'!$C$98:$C$99,0)),""))</f>
        <v/>
      </c>
      <c r="AX60" s="57" t="str">
        <f aca="false">IF('STUDENT SCREENING'!AW60="","",IFERROR(INDEX('SCORING MASTER'!$D$101:$D$102,MATCH('STUDENT SCREENING'!AW60,'SCORING MASTER'!$C$101:$C$102,0)),""))</f>
        <v/>
      </c>
      <c r="AY60" s="57" t="str">
        <f aca="false">IF('STUDENT SCREENING'!AX60="","",IFERROR(INDEX('SCORING MASTER'!$D$104:$D$105,MATCH('STUDENT SCREENING'!AX60,'SCORING MASTER'!$C$104:$C$105,0)),""))</f>
        <v/>
      </c>
      <c r="AZ60" s="57" t="str">
        <f aca="false">IF('STUDENT SCREENING'!AY60="","",IFERROR(INDEX('SCORING MASTER'!$D$107:$D$108,MATCH('STUDENT SCREENING'!AY60,'SCORING MASTER'!$C$107:$C$108,0)),""))</f>
        <v/>
      </c>
      <c r="BA60" s="57" t="str">
        <f aca="false">IF('STUDENT SCREENING'!AZ60="","",IFERROR(INDEX('SCORING MASTER'!$D$110:$D$111,MATCH('STUDENT SCREENING'!AZ60,'SCORING MASTER'!$C$110:$C$111,0)),""))</f>
        <v/>
      </c>
      <c r="BB60" s="57" t="str">
        <f aca="false">IF('STUDENT SCREENING'!BA60="","",IFERROR(INDEX('SCORING MASTER'!$D$113:$D$115,MATCH('STUDENT SCREENING'!BA60,'SCORING MASTER'!$C$113:$C$115,0)),""))</f>
        <v/>
      </c>
      <c r="BC60" s="57" t="str">
        <f aca="false">IF('STUDENT SCREENING'!BB60="","",IFERROR(INDEX('SCORING MASTER'!$D$117:$D$119,MATCH('STUDENT SCREENING'!BB60,'SCORING MASTER'!$C$117:$C$119,0)),""))</f>
        <v/>
      </c>
      <c r="BD60" s="57" t="str">
        <f aca="false">IF('STUDENT SCREENING'!BC60="","",IFERROR(INDEX('SCORING MASTER'!$D$121:$D$123,MATCH('STUDENT SCREENING'!BC60,'SCORING MASTER'!$C$121:$C$123,0)),""))</f>
        <v/>
      </c>
      <c r="BE60" s="57" t="str">
        <f aca="false">IF('STUDENT SCREENING'!BD60="","",IFERROR(INDEX('SCORING MASTER'!$D$125:$D$126,MATCH('STUDENT SCREENING'!BD60,'SCORING MASTER'!$C$125:$C$126,0)),""))</f>
        <v/>
      </c>
      <c r="BF60" s="57" t="str">
        <f aca="false">IF('STUDENT SCREENING'!BE60="","",IFERROR(INDEX('SCORING MASTER'!$D$128:$D$129,MATCH('STUDENT SCREENING'!BE60,'SCORING MASTER'!$C$128:$C$129,0)),""))</f>
        <v/>
      </c>
      <c r="BG60" s="57" t="str">
        <f aca="false">IF('STUDENT SCREENING'!BP60="","",IFERROR(MATCH('STUDENT SCREENING'!BP60,{"Red - High Risk","Orange - Moderate Risk","Yellow - Mild Risk","Light Green - Mild Watch","Green - Healthy"},0)-1,""))</f>
        <v/>
      </c>
      <c r="BH60" s="57" t="str">
        <f aca="false">IF('STUDENT SCREENING'!BQ60="","",IF('STUDENT SCREENING'!BQ60="Yes",1,0))</f>
        <v/>
      </c>
      <c r="BI60" s="57" t="str">
        <f aca="false">IF('STUDENT SCREENING'!BR60="","",IF('STUDENT SCREENING'!BR60="Yes",1,0))</f>
        <v/>
      </c>
    </row>
    <row r="61" customFormat="false" ht="15" hidden="false" customHeight="false" outlineLevel="0" collapsed="false">
      <c r="A61" s="58" t="str">
        <f aca="false">'STUDENT SCREENING'!A61</f>
        <v/>
      </c>
      <c r="B61" s="58" t="n">
        <f aca="false">'STUDENT SCREENING'!C61</f>
        <v>0</v>
      </c>
      <c r="C61" s="58" t="n">
        <f aca="false">'STUDENT SCREENING'!D61</f>
        <v>0</v>
      </c>
      <c r="D61" s="58" t="n">
        <f aca="false">'STUDENT SCREENING'!E61</f>
        <v>0</v>
      </c>
      <c r="E61" s="58" t="n">
        <f aca="false">'STUDENT SCREENING'!F61</f>
        <v>0</v>
      </c>
      <c r="F61" s="58" t="n">
        <f aca="false">'STUDENT SCREENING'!K61</f>
        <v>0</v>
      </c>
      <c r="G61" s="58" t="n">
        <f aca="false">'STUDENT SCREENING'!J61</f>
        <v>0</v>
      </c>
      <c r="H61" s="58" t="str">
        <f aca="false">IF('STUDENT SCREENING'!K61="","",IFERROR(MATCH('STUDENT SCREENING'!K61,Adm_Gender,0),""))</f>
        <v/>
      </c>
      <c r="I61" s="58" t="n">
        <f aca="false">'STUDENT SCREENING'!Q61</f>
        <v>0</v>
      </c>
      <c r="J61" s="58" t="n">
        <f aca="false">'STUDENT SCREENING'!R61</f>
        <v>0</v>
      </c>
      <c r="K61" s="58" t="str">
        <f aca="false">'STUDENT SCREENING'!S61</f>
        <v/>
      </c>
      <c r="L61" s="58" t="n">
        <f aca="false">'STUDENT SCREENING'!U61</f>
        <v>0</v>
      </c>
      <c r="M61" s="58" t="n">
        <f aca="false">'STUDENT SCREENING'!V61</f>
        <v>0</v>
      </c>
      <c r="N61" s="58" t="str">
        <f aca="false">'STUDENT SCREENING'!BF61</f>
        <v/>
      </c>
      <c r="O61" s="58" t="str">
        <f aca="false">'STUDENT SCREENING'!BG61</f>
        <v/>
      </c>
      <c r="P61" s="58" t="str">
        <f aca="false">'STUDENT SCREENING'!BH61</f>
        <v/>
      </c>
      <c r="Q61" s="58" t="str">
        <f aca="false">'STUDENT SCREENING'!BI61</f>
        <v/>
      </c>
      <c r="R61" s="58" t="str">
        <f aca="false">'STUDENT SCREENING'!BJ61</f>
        <v/>
      </c>
      <c r="S61" s="58" t="str">
        <f aca="false">'STUDENT SCREENING'!BK61</f>
        <v/>
      </c>
      <c r="T61" s="58" t="str">
        <f aca="false">'STUDENT SCREENING'!BL61</f>
        <v/>
      </c>
      <c r="U61" s="58" t="str">
        <f aca="false">'STUDENT SCREENING'!BM61</f>
        <v/>
      </c>
      <c r="V61" s="58" t="str">
        <f aca="false">'STUDENT SCREENING'!BN61</f>
        <v/>
      </c>
      <c r="W61" s="58" t="str">
        <f aca="false">'STUDENT SCREENING'!BO61</f>
        <v/>
      </c>
      <c r="X61" s="58" t="str">
        <f aca="false">IF('STUDENT SCREENING'!W61="","",IFERROR(INDEX('SCORING MASTER'!$D$5:$D$7,MATCH('STUDENT SCREENING'!W61,'SCORING MASTER'!$C$5:$C$7,0)),""))</f>
        <v/>
      </c>
      <c r="Y61" s="58" t="str">
        <f aca="false">IF('STUDENT SCREENING'!X61="","",IFERROR(INDEX('SCORING MASTER'!$D$9:$D$11,MATCH('STUDENT SCREENING'!X61,'SCORING MASTER'!$C$9:$C$11,0)),""))</f>
        <v/>
      </c>
      <c r="Z61" s="58" t="str">
        <f aca="false">IF('STUDENT SCREENING'!Y61="","",IFERROR(INDEX('SCORING MASTER'!$D$13:$D$15,MATCH('STUDENT SCREENING'!Y61,'SCORING MASTER'!$C$13:$C$15,0)),""))</f>
        <v/>
      </c>
      <c r="AA61" s="58" t="str">
        <f aca="false">IF('STUDENT SCREENING'!Z61="","",IFERROR(INDEX('SCORING MASTER'!$D$17:$D$19,MATCH('STUDENT SCREENING'!Z61,'SCORING MASTER'!$C$17:$C$19,0)),""))</f>
        <v/>
      </c>
      <c r="AB61" s="58" t="str">
        <f aca="false">IF('STUDENT SCREENING'!AA61="","",IFERROR(INDEX('SCORING MASTER'!$D$21:$D$23,MATCH('STUDENT SCREENING'!AA61,'SCORING MASTER'!$C$21:$C$23,0)),""))</f>
        <v/>
      </c>
      <c r="AC61" s="58" t="str">
        <f aca="false">IF('STUDENT SCREENING'!AB61="","",IFERROR(INDEX('SCORING MASTER'!$D$25:$D$27,MATCH('STUDENT SCREENING'!AB61,'SCORING MASTER'!$C$25:$C$27,0)),""))</f>
        <v/>
      </c>
      <c r="AD61" s="58" t="str">
        <f aca="false">IF('STUDENT SCREENING'!AC61="","",IFERROR(INDEX('SCORING MASTER'!$D$29:$D$31,MATCH('STUDENT SCREENING'!AC61,'SCORING MASTER'!$C$29:$C$31,0)),""))</f>
        <v/>
      </c>
      <c r="AE61" s="58" t="str">
        <f aca="false">IF('STUDENT SCREENING'!AD61="","",IFERROR(INDEX('SCORING MASTER'!$D$33:$D$35,MATCH('STUDENT SCREENING'!AD61,'SCORING MASTER'!$C$33:$C$35,0)),""))</f>
        <v/>
      </c>
      <c r="AF61" s="58" t="str">
        <f aca="false">IF('STUDENT SCREENING'!AE61="","",IFERROR(INDEX('SCORING MASTER'!$D$37:$D$39,MATCH('STUDENT SCREENING'!AE61,'SCORING MASTER'!$C$37:$C$39,0)),""))</f>
        <v/>
      </c>
      <c r="AG61" s="58" t="str">
        <f aca="false">IF('STUDENT SCREENING'!AF61="","",IFERROR(INDEX('SCORING MASTER'!$D$41:$D$43,MATCH('STUDENT SCREENING'!AF61,'SCORING MASTER'!$C$41:$C$43,0)),""))</f>
        <v/>
      </c>
      <c r="AH61" s="58" t="str">
        <f aca="false">IF('STUDENT SCREENING'!AG61="","",IFERROR(INDEX('SCORING MASTER'!$D$45:$D$47,MATCH('STUDENT SCREENING'!AG61,'SCORING MASTER'!$C$45:$C$47,0)),""))</f>
        <v/>
      </c>
      <c r="AI61" s="58" t="str">
        <f aca="false">IF('STUDENT SCREENING'!AH61="","",IFERROR(INDEX('SCORING MASTER'!$D$49:$D$52,MATCH('STUDENT SCREENING'!AH61,'SCORING MASTER'!$C$49:$C$52,0)),""))</f>
        <v/>
      </c>
      <c r="AJ61" s="58" t="str">
        <f aca="false">IF('STUDENT SCREENING'!AI61="","",IFERROR(INDEX('SCORING MASTER'!$D$54:$D$57,MATCH('STUDENT SCREENING'!AI61,'SCORING MASTER'!$C$54:$C$57,0)),""))</f>
        <v/>
      </c>
      <c r="AK61" s="58" t="str">
        <f aca="false">IF('STUDENT SCREENING'!AJ61="","",IFERROR(INDEX('SCORING MASTER'!$D$59:$D$60,MATCH('STUDENT SCREENING'!AJ61,'SCORING MASTER'!$C$59:$C$60,0)),""))</f>
        <v/>
      </c>
      <c r="AL61" s="58" t="str">
        <f aca="false">IF('STUDENT SCREENING'!AK61="","",IFERROR(INDEX('SCORING MASTER'!$D$62:$D$63,MATCH('STUDENT SCREENING'!AK61,'SCORING MASTER'!$C$62:$C$63,0)),""))</f>
        <v/>
      </c>
      <c r="AM61" s="58" t="str">
        <f aca="false">IF('STUDENT SCREENING'!AL61="","",IFERROR(INDEX('SCORING MASTER'!$D$65:$D$66,MATCH('STUDENT SCREENING'!AL61,'SCORING MASTER'!$C$65:$C$66,0)),""))</f>
        <v/>
      </c>
      <c r="AN61" s="58" t="str">
        <f aca="false">IF('STUDENT SCREENING'!AM61="","",IFERROR(INDEX('SCORING MASTER'!$D$68:$D$69,MATCH('STUDENT SCREENING'!AM61,'SCORING MASTER'!$C$68:$C$69,0)),""))</f>
        <v/>
      </c>
      <c r="AO61" s="58" t="str">
        <f aca="false">IF('STUDENT SCREENING'!AN61="","",IFERROR(INDEX('SCORING MASTER'!$D$71:$D$72,MATCH('STUDENT SCREENING'!AN61,'SCORING MASTER'!$C$71:$C$72,0)),""))</f>
        <v/>
      </c>
      <c r="AP61" s="58" t="str">
        <f aca="false">IF('STUDENT SCREENING'!AO61="","",IFERROR(INDEX('SCORING MASTER'!$D$74:$D$75,MATCH('STUDENT SCREENING'!AO61,'SCORING MASTER'!$C$74:$C$75,0)),""))</f>
        <v/>
      </c>
      <c r="AQ61" s="58" t="str">
        <f aca="false">IF('STUDENT SCREENING'!AP61="","",IFERROR(INDEX('SCORING MASTER'!$D$77:$D$78,MATCH('STUDENT SCREENING'!AP61,'SCORING MASTER'!$C$77:$C$78,0)),""))</f>
        <v/>
      </c>
      <c r="AR61" s="58" t="str">
        <f aca="false">IF('STUDENT SCREENING'!AQ61="","",IFERROR(INDEX('SCORING MASTER'!$D$80:$D$82,MATCH('STUDENT SCREENING'!AQ61,'SCORING MASTER'!$C$80:$C$82,0)),""))</f>
        <v/>
      </c>
      <c r="AS61" s="58" t="str">
        <f aca="false">IF('STUDENT SCREENING'!AR61="","",IFERROR(INDEX('SCORING MASTER'!$D$84:$D$86,MATCH('STUDENT SCREENING'!AR61,'SCORING MASTER'!$C$84:$C$86,0)),""))</f>
        <v/>
      </c>
      <c r="AT61" s="58" t="str">
        <f aca="false">IF('STUDENT SCREENING'!AS61="","",IFERROR(INDEX('SCORING MASTER'!$D$88:$D$90,MATCH('STUDENT SCREENING'!AS61,'SCORING MASTER'!$C$88:$C$90,0)),""))</f>
        <v/>
      </c>
      <c r="AU61" s="58" t="str">
        <f aca="false">IF('STUDENT SCREENING'!AT61="","",IFERROR(INDEX('SCORING MASTER'!$D$92:$D$93,MATCH('STUDENT SCREENING'!AT61,'SCORING MASTER'!$C$92:$C$93,0)),""))</f>
        <v/>
      </c>
      <c r="AV61" s="58" t="str">
        <f aca="false">IF('STUDENT SCREENING'!AU61="","",IFERROR(INDEX('SCORING MASTER'!$D$95:$D$96,MATCH('STUDENT SCREENING'!AU61,'SCORING MASTER'!$C$95:$C$96,0)),""))</f>
        <v/>
      </c>
      <c r="AW61" s="58" t="str">
        <f aca="false">IF('STUDENT SCREENING'!AV61="","",IFERROR(INDEX('SCORING MASTER'!$D$98:$D$99,MATCH('STUDENT SCREENING'!AV61,'SCORING MASTER'!$C$98:$C$99,0)),""))</f>
        <v/>
      </c>
      <c r="AX61" s="58" t="str">
        <f aca="false">IF('STUDENT SCREENING'!AW61="","",IFERROR(INDEX('SCORING MASTER'!$D$101:$D$102,MATCH('STUDENT SCREENING'!AW61,'SCORING MASTER'!$C$101:$C$102,0)),""))</f>
        <v/>
      </c>
      <c r="AY61" s="58" t="str">
        <f aca="false">IF('STUDENT SCREENING'!AX61="","",IFERROR(INDEX('SCORING MASTER'!$D$104:$D$105,MATCH('STUDENT SCREENING'!AX61,'SCORING MASTER'!$C$104:$C$105,0)),""))</f>
        <v/>
      </c>
      <c r="AZ61" s="58" t="str">
        <f aca="false">IF('STUDENT SCREENING'!AY61="","",IFERROR(INDEX('SCORING MASTER'!$D$107:$D$108,MATCH('STUDENT SCREENING'!AY61,'SCORING MASTER'!$C$107:$C$108,0)),""))</f>
        <v/>
      </c>
      <c r="BA61" s="58" t="str">
        <f aca="false">IF('STUDENT SCREENING'!AZ61="","",IFERROR(INDEX('SCORING MASTER'!$D$110:$D$111,MATCH('STUDENT SCREENING'!AZ61,'SCORING MASTER'!$C$110:$C$111,0)),""))</f>
        <v/>
      </c>
      <c r="BB61" s="58" t="str">
        <f aca="false">IF('STUDENT SCREENING'!BA61="","",IFERROR(INDEX('SCORING MASTER'!$D$113:$D$115,MATCH('STUDENT SCREENING'!BA61,'SCORING MASTER'!$C$113:$C$115,0)),""))</f>
        <v/>
      </c>
      <c r="BC61" s="58" t="str">
        <f aca="false">IF('STUDENT SCREENING'!BB61="","",IFERROR(INDEX('SCORING MASTER'!$D$117:$D$119,MATCH('STUDENT SCREENING'!BB61,'SCORING MASTER'!$C$117:$C$119,0)),""))</f>
        <v/>
      </c>
      <c r="BD61" s="58" t="str">
        <f aca="false">IF('STUDENT SCREENING'!BC61="","",IFERROR(INDEX('SCORING MASTER'!$D$121:$D$123,MATCH('STUDENT SCREENING'!BC61,'SCORING MASTER'!$C$121:$C$123,0)),""))</f>
        <v/>
      </c>
      <c r="BE61" s="58" t="str">
        <f aca="false">IF('STUDENT SCREENING'!BD61="","",IFERROR(INDEX('SCORING MASTER'!$D$125:$D$126,MATCH('STUDENT SCREENING'!BD61,'SCORING MASTER'!$C$125:$C$126,0)),""))</f>
        <v/>
      </c>
      <c r="BF61" s="58" t="str">
        <f aca="false">IF('STUDENT SCREENING'!BE61="","",IFERROR(INDEX('SCORING MASTER'!$D$128:$D$129,MATCH('STUDENT SCREENING'!BE61,'SCORING MASTER'!$C$128:$C$129,0)),""))</f>
        <v/>
      </c>
      <c r="BG61" s="58" t="str">
        <f aca="false">IF('STUDENT SCREENING'!BP61="","",IFERROR(MATCH('STUDENT SCREENING'!BP61,{"Red - High Risk","Orange - Moderate Risk","Yellow - Mild Risk","Light Green - Mild Watch","Green - Healthy"},0)-1,""))</f>
        <v/>
      </c>
      <c r="BH61" s="58" t="str">
        <f aca="false">IF('STUDENT SCREENING'!BQ61="","",IF('STUDENT SCREENING'!BQ61="Yes",1,0))</f>
        <v/>
      </c>
      <c r="BI61" s="58" t="str">
        <f aca="false">IF('STUDENT SCREENING'!BR61="","",IF('STUDENT SCREENING'!BR61="Yes",1,0))</f>
        <v/>
      </c>
    </row>
    <row r="62" customFormat="false" ht="15" hidden="false" customHeight="false" outlineLevel="0" collapsed="false">
      <c r="A62" s="57" t="str">
        <f aca="false">'STUDENT SCREENING'!A62</f>
        <v/>
      </c>
      <c r="B62" s="57" t="n">
        <f aca="false">'STUDENT SCREENING'!C62</f>
        <v>0</v>
      </c>
      <c r="C62" s="57" t="n">
        <f aca="false">'STUDENT SCREENING'!D62</f>
        <v>0</v>
      </c>
      <c r="D62" s="57" t="n">
        <f aca="false">'STUDENT SCREENING'!E62</f>
        <v>0</v>
      </c>
      <c r="E62" s="57" t="n">
        <f aca="false">'STUDENT SCREENING'!F62</f>
        <v>0</v>
      </c>
      <c r="F62" s="57" t="n">
        <f aca="false">'STUDENT SCREENING'!K62</f>
        <v>0</v>
      </c>
      <c r="G62" s="57" t="n">
        <f aca="false">'STUDENT SCREENING'!J62</f>
        <v>0</v>
      </c>
      <c r="H62" s="57" t="str">
        <f aca="false">IF('STUDENT SCREENING'!K62="","",IFERROR(MATCH('STUDENT SCREENING'!K62,Adm_Gender,0),""))</f>
        <v/>
      </c>
      <c r="I62" s="57" t="n">
        <f aca="false">'STUDENT SCREENING'!Q62</f>
        <v>0</v>
      </c>
      <c r="J62" s="57" t="n">
        <f aca="false">'STUDENT SCREENING'!R62</f>
        <v>0</v>
      </c>
      <c r="K62" s="57" t="str">
        <f aca="false">'STUDENT SCREENING'!S62</f>
        <v/>
      </c>
      <c r="L62" s="57" t="n">
        <f aca="false">'STUDENT SCREENING'!U62</f>
        <v>0</v>
      </c>
      <c r="M62" s="57" t="n">
        <f aca="false">'STUDENT SCREENING'!V62</f>
        <v>0</v>
      </c>
      <c r="N62" s="57" t="str">
        <f aca="false">'STUDENT SCREENING'!BF62</f>
        <v/>
      </c>
      <c r="O62" s="57" t="str">
        <f aca="false">'STUDENT SCREENING'!BG62</f>
        <v/>
      </c>
      <c r="P62" s="57" t="str">
        <f aca="false">'STUDENT SCREENING'!BH62</f>
        <v/>
      </c>
      <c r="Q62" s="57" t="str">
        <f aca="false">'STUDENT SCREENING'!BI62</f>
        <v/>
      </c>
      <c r="R62" s="57" t="str">
        <f aca="false">'STUDENT SCREENING'!BJ62</f>
        <v/>
      </c>
      <c r="S62" s="57" t="str">
        <f aca="false">'STUDENT SCREENING'!BK62</f>
        <v/>
      </c>
      <c r="T62" s="57" t="str">
        <f aca="false">'STUDENT SCREENING'!BL62</f>
        <v/>
      </c>
      <c r="U62" s="57" t="str">
        <f aca="false">'STUDENT SCREENING'!BM62</f>
        <v/>
      </c>
      <c r="V62" s="57" t="str">
        <f aca="false">'STUDENT SCREENING'!BN62</f>
        <v/>
      </c>
      <c r="W62" s="57" t="str">
        <f aca="false">'STUDENT SCREENING'!BO62</f>
        <v/>
      </c>
      <c r="X62" s="57" t="str">
        <f aca="false">IF('STUDENT SCREENING'!W62="","",IFERROR(INDEX('SCORING MASTER'!$D$5:$D$7,MATCH('STUDENT SCREENING'!W62,'SCORING MASTER'!$C$5:$C$7,0)),""))</f>
        <v/>
      </c>
      <c r="Y62" s="57" t="str">
        <f aca="false">IF('STUDENT SCREENING'!X62="","",IFERROR(INDEX('SCORING MASTER'!$D$9:$D$11,MATCH('STUDENT SCREENING'!X62,'SCORING MASTER'!$C$9:$C$11,0)),""))</f>
        <v/>
      </c>
      <c r="Z62" s="57" t="str">
        <f aca="false">IF('STUDENT SCREENING'!Y62="","",IFERROR(INDEX('SCORING MASTER'!$D$13:$D$15,MATCH('STUDENT SCREENING'!Y62,'SCORING MASTER'!$C$13:$C$15,0)),""))</f>
        <v/>
      </c>
      <c r="AA62" s="57" t="str">
        <f aca="false">IF('STUDENT SCREENING'!Z62="","",IFERROR(INDEX('SCORING MASTER'!$D$17:$D$19,MATCH('STUDENT SCREENING'!Z62,'SCORING MASTER'!$C$17:$C$19,0)),""))</f>
        <v/>
      </c>
      <c r="AB62" s="57" t="str">
        <f aca="false">IF('STUDENT SCREENING'!AA62="","",IFERROR(INDEX('SCORING MASTER'!$D$21:$D$23,MATCH('STUDENT SCREENING'!AA62,'SCORING MASTER'!$C$21:$C$23,0)),""))</f>
        <v/>
      </c>
      <c r="AC62" s="57" t="str">
        <f aca="false">IF('STUDENT SCREENING'!AB62="","",IFERROR(INDEX('SCORING MASTER'!$D$25:$D$27,MATCH('STUDENT SCREENING'!AB62,'SCORING MASTER'!$C$25:$C$27,0)),""))</f>
        <v/>
      </c>
      <c r="AD62" s="57" t="str">
        <f aca="false">IF('STUDENT SCREENING'!AC62="","",IFERROR(INDEX('SCORING MASTER'!$D$29:$D$31,MATCH('STUDENT SCREENING'!AC62,'SCORING MASTER'!$C$29:$C$31,0)),""))</f>
        <v/>
      </c>
      <c r="AE62" s="57" t="str">
        <f aca="false">IF('STUDENT SCREENING'!AD62="","",IFERROR(INDEX('SCORING MASTER'!$D$33:$D$35,MATCH('STUDENT SCREENING'!AD62,'SCORING MASTER'!$C$33:$C$35,0)),""))</f>
        <v/>
      </c>
      <c r="AF62" s="57" t="str">
        <f aca="false">IF('STUDENT SCREENING'!AE62="","",IFERROR(INDEX('SCORING MASTER'!$D$37:$D$39,MATCH('STUDENT SCREENING'!AE62,'SCORING MASTER'!$C$37:$C$39,0)),""))</f>
        <v/>
      </c>
      <c r="AG62" s="57" t="str">
        <f aca="false">IF('STUDENT SCREENING'!AF62="","",IFERROR(INDEX('SCORING MASTER'!$D$41:$D$43,MATCH('STUDENT SCREENING'!AF62,'SCORING MASTER'!$C$41:$C$43,0)),""))</f>
        <v/>
      </c>
      <c r="AH62" s="57" t="str">
        <f aca="false">IF('STUDENT SCREENING'!AG62="","",IFERROR(INDEX('SCORING MASTER'!$D$45:$D$47,MATCH('STUDENT SCREENING'!AG62,'SCORING MASTER'!$C$45:$C$47,0)),""))</f>
        <v/>
      </c>
      <c r="AI62" s="57" t="str">
        <f aca="false">IF('STUDENT SCREENING'!AH62="","",IFERROR(INDEX('SCORING MASTER'!$D$49:$D$52,MATCH('STUDENT SCREENING'!AH62,'SCORING MASTER'!$C$49:$C$52,0)),""))</f>
        <v/>
      </c>
      <c r="AJ62" s="57" t="str">
        <f aca="false">IF('STUDENT SCREENING'!AI62="","",IFERROR(INDEX('SCORING MASTER'!$D$54:$D$57,MATCH('STUDENT SCREENING'!AI62,'SCORING MASTER'!$C$54:$C$57,0)),""))</f>
        <v/>
      </c>
      <c r="AK62" s="57" t="str">
        <f aca="false">IF('STUDENT SCREENING'!AJ62="","",IFERROR(INDEX('SCORING MASTER'!$D$59:$D$60,MATCH('STUDENT SCREENING'!AJ62,'SCORING MASTER'!$C$59:$C$60,0)),""))</f>
        <v/>
      </c>
      <c r="AL62" s="57" t="str">
        <f aca="false">IF('STUDENT SCREENING'!AK62="","",IFERROR(INDEX('SCORING MASTER'!$D$62:$D$63,MATCH('STUDENT SCREENING'!AK62,'SCORING MASTER'!$C$62:$C$63,0)),""))</f>
        <v/>
      </c>
      <c r="AM62" s="57" t="str">
        <f aca="false">IF('STUDENT SCREENING'!AL62="","",IFERROR(INDEX('SCORING MASTER'!$D$65:$D$66,MATCH('STUDENT SCREENING'!AL62,'SCORING MASTER'!$C$65:$C$66,0)),""))</f>
        <v/>
      </c>
      <c r="AN62" s="57" t="str">
        <f aca="false">IF('STUDENT SCREENING'!AM62="","",IFERROR(INDEX('SCORING MASTER'!$D$68:$D$69,MATCH('STUDENT SCREENING'!AM62,'SCORING MASTER'!$C$68:$C$69,0)),""))</f>
        <v/>
      </c>
      <c r="AO62" s="57" t="str">
        <f aca="false">IF('STUDENT SCREENING'!AN62="","",IFERROR(INDEX('SCORING MASTER'!$D$71:$D$72,MATCH('STUDENT SCREENING'!AN62,'SCORING MASTER'!$C$71:$C$72,0)),""))</f>
        <v/>
      </c>
      <c r="AP62" s="57" t="str">
        <f aca="false">IF('STUDENT SCREENING'!AO62="","",IFERROR(INDEX('SCORING MASTER'!$D$74:$D$75,MATCH('STUDENT SCREENING'!AO62,'SCORING MASTER'!$C$74:$C$75,0)),""))</f>
        <v/>
      </c>
      <c r="AQ62" s="57" t="str">
        <f aca="false">IF('STUDENT SCREENING'!AP62="","",IFERROR(INDEX('SCORING MASTER'!$D$77:$D$78,MATCH('STUDENT SCREENING'!AP62,'SCORING MASTER'!$C$77:$C$78,0)),""))</f>
        <v/>
      </c>
      <c r="AR62" s="57" t="str">
        <f aca="false">IF('STUDENT SCREENING'!AQ62="","",IFERROR(INDEX('SCORING MASTER'!$D$80:$D$82,MATCH('STUDENT SCREENING'!AQ62,'SCORING MASTER'!$C$80:$C$82,0)),""))</f>
        <v/>
      </c>
      <c r="AS62" s="57" t="str">
        <f aca="false">IF('STUDENT SCREENING'!AR62="","",IFERROR(INDEX('SCORING MASTER'!$D$84:$D$86,MATCH('STUDENT SCREENING'!AR62,'SCORING MASTER'!$C$84:$C$86,0)),""))</f>
        <v/>
      </c>
      <c r="AT62" s="57" t="str">
        <f aca="false">IF('STUDENT SCREENING'!AS62="","",IFERROR(INDEX('SCORING MASTER'!$D$88:$D$90,MATCH('STUDENT SCREENING'!AS62,'SCORING MASTER'!$C$88:$C$90,0)),""))</f>
        <v/>
      </c>
      <c r="AU62" s="57" t="str">
        <f aca="false">IF('STUDENT SCREENING'!AT62="","",IFERROR(INDEX('SCORING MASTER'!$D$92:$D$93,MATCH('STUDENT SCREENING'!AT62,'SCORING MASTER'!$C$92:$C$93,0)),""))</f>
        <v/>
      </c>
      <c r="AV62" s="57" t="str">
        <f aca="false">IF('STUDENT SCREENING'!AU62="","",IFERROR(INDEX('SCORING MASTER'!$D$95:$D$96,MATCH('STUDENT SCREENING'!AU62,'SCORING MASTER'!$C$95:$C$96,0)),""))</f>
        <v/>
      </c>
      <c r="AW62" s="57" t="str">
        <f aca="false">IF('STUDENT SCREENING'!AV62="","",IFERROR(INDEX('SCORING MASTER'!$D$98:$D$99,MATCH('STUDENT SCREENING'!AV62,'SCORING MASTER'!$C$98:$C$99,0)),""))</f>
        <v/>
      </c>
      <c r="AX62" s="57" t="str">
        <f aca="false">IF('STUDENT SCREENING'!AW62="","",IFERROR(INDEX('SCORING MASTER'!$D$101:$D$102,MATCH('STUDENT SCREENING'!AW62,'SCORING MASTER'!$C$101:$C$102,0)),""))</f>
        <v/>
      </c>
      <c r="AY62" s="57" t="str">
        <f aca="false">IF('STUDENT SCREENING'!AX62="","",IFERROR(INDEX('SCORING MASTER'!$D$104:$D$105,MATCH('STUDENT SCREENING'!AX62,'SCORING MASTER'!$C$104:$C$105,0)),""))</f>
        <v/>
      </c>
      <c r="AZ62" s="57" t="str">
        <f aca="false">IF('STUDENT SCREENING'!AY62="","",IFERROR(INDEX('SCORING MASTER'!$D$107:$D$108,MATCH('STUDENT SCREENING'!AY62,'SCORING MASTER'!$C$107:$C$108,0)),""))</f>
        <v/>
      </c>
      <c r="BA62" s="57" t="str">
        <f aca="false">IF('STUDENT SCREENING'!AZ62="","",IFERROR(INDEX('SCORING MASTER'!$D$110:$D$111,MATCH('STUDENT SCREENING'!AZ62,'SCORING MASTER'!$C$110:$C$111,0)),""))</f>
        <v/>
      </c>
      <c r="BB62" s="57" t="str">
        <f aca="false">IF('STUDENT SCREENING'!BA62="","",IFERROR(INDEX('SCORING MASTER'!$D$113:$D$115,MATCH('STUDENT SCREENING'!BA62,'SCORING MASTER'!$C$113:$C$115,0)),""))</f>
        <v/>
      </c>
      <c r="BC62" s="57" t="str">
        <f aca="false">IF('STUDENT SCREENING'!BB62="","",IFERROR(INDEX('SCORING MASTER'!$D$117:$D$119,MATCH('STUDENT SCREENING'!BB62,'SCORING MASTER'!$C$117:$C$119,0)),""))</f>
        <v/>
      </c>
      <c r="BD62" s="57" t="str">
        <f aca="false">IF('STUDENT SCREENING'!BC62="","",IFERROR(INDEX('SCORING MASTER'!$D$121:$D$123,MATCH('STUDENT SCREENING'!BC62,'SCORING MASTER'!$C$121:$C$123,0)),""))</f>
        <v/>
      </c>
      <c r="BE62" s="57" t="str">
        <f aca="false">IF('STUDENT SCREENING'!BD62="","",IFERROR(INDEX('SCORING MASTER'!$D$125:$D$126,MATCH('STUDENT SCREENING'!BD62,'SCORING MASTER'!$C$125:$C$126,0)),""))</f>
        <v/>
      </c>
      <c r="BF62" s="57" t="str">
        <f aca="false">IF('STUDENT SCREENING'!BE62="","",IFERROR(INDEX('SCORING MASTER'!$D$128:$D$129,MATCH('STUDENT SCREENING'!BE62,'SCORING MASTER'!$C$128:$C$129,0)),""))</f>
        <v/>
      </c>
      <c r="BG62" s="57" t="str">
        <f aca="false">IF('STUDENT SCREENING'!BP62="","",IFERROR(MATCH('STUDENT SCREENING'!BP62,{"Red - High Risk","Orange - Moderate Risk","Yellow - Mild Risk","Light Green - Mild Watch","Green - Healthy"},0)-1,""))</f>
        <v/>
      </c>
      <c r="BH62" s="57" t="str">
        <f aca="false">IF('STUDENT SCREENING'!BQ62="","",IF('STUDENT SCREENING'!BQ62="Yes",1,0))</f>
        <v/>
      </c>
      <c r="BI62" s="57" t="str">
        <f aca="false">IF('STUDENT SCREENING'!BR62="","",IF('STUDENT SCREENING'!BR62="Yes",1,0))</f>
        <v/>
      </c>
    </row>
    <row r="63" customFormat="false" ht="15" hidden="false" customHeight="false" outlineLevel="0" collapsed="false">
      <c r="A63" s="58" t="str">
        <f aca="false">'STUDENT SCREENING'!A63</f>
        <v/>
      </c>
      <c r="B63" s="58" t="n">
        <f aca="false">'STUDENT SCREENING'!C63</f>
        <v>0</v>
      </c>
      <c r="C63" s="58" t="n">
        <f aca="false">'STUDENT SCREENING'!D63</f>
        <v>0</v>
      </c>
      <c r="D63" s="58" t="n">
        <f aca="false">'STUDENT SCREENING'!E63</f>
        <v>0</v>
      </c>
      <c r="E63" s="58" t="n">
        <f aca="false">'STUDENT SCREENING'!F63</f>
        <v>0</v>
      </c>
      <c r="F63" s="58" t="n">
        <f aca="false">'STUDENT SCREENING'!K63</f>
        <v>0</v>
      </c>
      <c r="G63" s="58" t="n">
        <f aca="false">'STUDENT SCREENING'!J63</f>
        <v>0</v>
      </c>
      <c r="H63" s="58" t="str">
        <f aca="false">IF('STUDENT SCREENING'!K63="","",IFERROR(MATCH('STUDENT SCREENING'!K63,Adm_Gender,0),""))</f>
        <v/>
      </c>
      <c r="I63" s="58" t="n">
        <f aca="false">'STUDENT SCREENING'!Q63</f>
        <v>0</v>
      </c>
      <c r="J63" s="58" t="n">
        <f aca="false">'STUDENT SCREENING'!R63</f>
        <v>0</v>
      </c>
      <c r="K63" s="58" t="str">
        <f aca="false">'STUDENT SCREENING'!S63</f>
        <v/>
      </c>
      <c r="L63" s="58" t="n">
        <f aca="false">'STUDENT SCREENING'!U63</f>
        <v>0</v>
      </c>
      <c r="M63" s="58" t="n">
        <f aca="false">'STUDENT SCREENING'!V63</f>
        <v>0</v>
      </c>
      <c r="N63" s="58" t="str">
        <f aca="false">'STUDENT SCREENING'!BF63</f>
        <v/>
      </c>
      <c r="O63" s="58" t="str">
        <f aca="false">'STUDENT SCREENING'!BG63</f>
        <v/>
      </c>
      <c r="P63" s="58" t="str">
        <f aca="false">'STUDENT SCREENING'!BH63</f>
        <v/>
      </c>
      <c r="Q63" s="58" t="str">
        <f aca="false">'STUDENT SCREENING'!BI63</f>
        <v/>
      </c>
      <c r="R63" s="58" t="str">
        <f aca="false">'STUDENT SCREENING'!BJ63</f>
        <v/>
      </c>
      <c r="S63" s="58" t="str">
        <f aca="false">'STUDENT SCREENING'!BK63</f>
        <v/>
      </c>
      <c r="T63" s="58" t="str">
        <f aca="false">'STUDENT SCREENING'!BL63</f>
        <v/>
      </c>
      <c r="U63" s="58" t="str">
        <f aca="false">'STUDENT SCREENING'!BM63</f>
        <v/>
      </c>
      <c r="V63" s="58" t="str">
        <f aca="false">'STUDENT SCREENING'!BN63</f>
        <v/>
      </c>
      <c r="W63" s="58" t="str">
        <f aca="false">'STUDENT SCREENING'!BO63</f>
        <v/>
      </c>
      <c r="X63" s="58" t="str">
        <f aca="false">IF('STUDENT SCREENING'!W63="","",IFERROR(INDEX('SCORING MASTER'!$D$5:$D$7,MATCH('STUDENT SCREENING'!W63,'SCORING MASTER'!$C$5:$C$7,0)),""))</f>
        <v/>
      </c>
      <c r="Y63" s="58" t="str">
        <f aca="false">IF('STUDENT SCREENING'!X63="","",IFERROR(INDEX('SCORING MASTER'!$D$9:$D$11,MATCH('STUDENT SCREENING'!X63,'SCORING MASTER'!$C$9:$C$11,0)),""))</f>
        <v/>
      </c>
      <c r="Z63" s="58" t="str">
        <f aca="false">IF('STUDENT SCREENING'!Y63="","",IFERROR(INDEX('SCORING MASTER'!$D$13:$D$15,MATCH('STUDENT SCREENING'!Y63,'SCORING MASTER'!$C$13:$C$15,0)),""))</f>
        <v/>
      </c>
      <c r="AA63" s="58" t="str">
        <f aca="false">IF('STUDENT SCREENING'!Z63="","",IFERROR(INDEX('SCORING MASTER'!$D$17:$D$19,MATCH('STUDENT SCREENING'!Z63,'SCORING MASTER'!$C$17:$C$19,0)),""))</f>
        <v/>
      </c>
      <c r="AB63" s="58" t="str">
        <f aca="false">IF('STUDENT SCREENING'!AA63="","",IFERROR(INDEX('SCORING MASTER'!$D$21:$D$23,MATCH('STUDENT SCREENING'!AA63,'SCORING MASTER'!$C$21:$C$23,0)),""))</f>
        <v/>
      </c>
      <c r="AC63" s="58" t="str">
        <f aca="false">IF('STUDENT SCREENING'!AB63="","",IFERROR(INDEX('SCORING MASTER'!$D$25:$D$27,MATCH('STUDENT SCREENING'!AB63,'SCORING MASTER'!$C$25:$C$27,0)),""))</f>
        <v/>
      </c>
      <c r="AD63" s="58" t="str">
        <f aca="false">IF('STUDENT SCREENING'!AC63="","",IFERROR(INDEX('SCORING MASTER'!$D$29:$D$31,MATCH('STUDENT SCREENING'!AC63,'SCORING MASTER'!$C$29:$C$31,0)),""))</f>
        <v/>
      </c>
      <c r="AE63" s="58" t="str">
        <f aca="false">IF('STUDENT SCREENING'!AD63="","",IFERROR(INDEX('SCORING MASTER'!$D$33:$D$35,MATCH('STUDENT SCREENING'!AD63,'SCORING MASTER'!$C$33:$C$35,0)),""))</f>
        <v/>
      </c>
      <c r="AF63" s="58" t="str">
        <f aca="false">IF('STUDENT SCREENING'!AE63="","",IFERROR(INDEX('SCORING MASTER'!$D$37:$D$39,MATCH('STUDENT SCREENING'!AE63,'SCORING MASTER'!$C$37:$C$39,0)),""))</f>
        <v/>
      </c>
      <c r="AG63" s="58" t="str">
        <f aca="false">IF('STUDENT SCREENING'!AF63="","",IFERROR(INDEX('SCORING MASTER'!$D$41:$D$43,MATCH('STUDENT SCREENING'!AF63,'SCORING MASTER'!$C$41:$C$43,0)),""))</f>
        <v/>
      </c>
      <c r="AH63" s="58" t="str">
        <f aca="false">IF('STUDENT SCREENING'!AG63="","",IFERROR(INDEX('SCORING MASTER'!$D$45:$D$47,MATCH('STUDENT SCREENING'!AG63,'SCORING MASTER'!$C$45:$C$47,0)),""))</f>
        <v/>
      </c>
      <c r="AI63" s="58" t="str">
        <f aca="false">IF('STUDENT SCREENING'!AH63="","",IFERROR(INDEX('SCORING MASTER'!$D$49:$D$52,MATCH('STUDENT SCREENING'!AH63,'SCORING MASTER'!$C$49:$C$52,0)),""))</f>
        <v/>
      </c>
      <c r="AJ63" s="58" t="str">
        <f aca="false">IF('STUDENT SCREENING'!AI63="","",IFERROR(INDEX('SCORING MASTER'!$D$54:$D$57,MATCH('STUDENT SCREENING'!AI63,'SCORING MASTER'!$C$54:$C$57,0)),""))</f>
        <v/>
      </c>
      <c r="AK63" s="58" t="str">
        <f aca="false">IF('STUDENT SCREENING'!AJ63="","",IFERROR(INDEX('SCORING MASTER'!$D$59:$D$60,MATCH('STUDENT SCREENING'!AJ63,'SCORING MASTER'!$C$59:$C$60,0)),""))</f>
        <v/>
      </c>
      <c r="AL63" s="58" t="str">
        <f aca="false">IF('STUDENT SCREENING'!AK63="","",IFERROR(INDEX('SCORING MASTER'!$D$62:$D$63,MATCH('STUDENT SCREENING'!AK63,'SCORING MASTER'!$C$62:$C$63,0)),""))</f>
        <v/>
      </c>
      <c r="AM63" s="58" t="str">
        <f aca="false">IF('STUDENT SCREENING'!AL63="","",IFERROR(INDEX('SCORING MASTER'!$D$65:$D$66,MATCH('STUDENT SCREENING'!AL63,'SCORING MASTER'!$C$65:$C$66,0)),""))</f>
        <v/>
      </c>
      <c r="AN63" s="58" t="str">
        <f aca="false">IF('STUDENT SCREENING'!AM63="","",IFERROR(INDEX('SCORING MASTER'!$D$68:$D$69,MATCH('STUDENT SCREENING'!AM63,'SCORING MASTER'!$C$68:$C$69,0)),""))</f>
        <v/>
      </c>
      <c r="AO63" s="58" t="str">
        <f aca="false">IF('STUDENT SCREENING'!AN63="","",IFERROR(INDEX('SCORING MASTER'!$D$71:$D$72,MATCH('STUDENT SCREENING'!AN63,'SCORING MASTER'!$C$71:$C$72,0)),""))</f>
        <v/>
      </c>
      <c r="AP63" s="58" t="str">
        <f aca="false">IF('STUDENT SCREENING'!AO63="","",IFERROR(INDEX('SCORING MASTER'!$D$74:$D$75,MATCH('STUDENT SCREENING'!AO63,'SCORING MASTER'!$C$74:$C$75,0)),""))</f>
        <v/>
      </c>
      <c r="AQ63" s="58" t="str">
        <f aca="false">IF('STUDENT SCREENING'!AP63="","",IFERROR(INDEX('SCORING MASTER'!$D$77:$D$78,MATCH('STUDENT SCREENING'!AP63,'SCORING MASTER'!$C$77:$C$78,0)),""))</f>
        <v/>
      </c>
      <c r="AR63" s="58" t="str">
        <f aca="false">IF('STUDENT SCREENING'!AQ63="","",IFERROR(INDEX('SCORING MASTER'!$D$80:$D$82,MATCH('STUDENT SCREENING'!AQ63,'SCORING MASTER'!$C$80:$C$82,0)),""))</f>
        <v/>
      </c>
      <c r="AS63" s="58" t="str">
        <f aca="false">IF('STUDENT SCREENING'!AR63="","",IFERROR(INDEX('SCORING MASTER'!$D$84:$D$86,MATCH('STUDENT SCREENING'!AR63,'SCORING MASTER'!$C$84:$C$86,0)),""))</f>
        <v/>
      </c>
      <c r="AT63" s="58" t="str">
        <f aca="false">IF('STUDENT SCREENING'!AS63="","",IFERROR(INDEX('SCORING MASTER'!$D$88:$D$90,MATCH('STUDENT SCREENING'!AS63,'SCORING MASTER'!$C$88:$C$90,0)),""))</f>
        <v/>
      </c>
      <c r="AU63" s="58" t="str">
        <f aca="false">IF('STUDENT SCREENING'!AT63="","",IFERROR(INDEX('SCORING MASTER'!$D$92:$D$93,MATCH('STUDENT SCREENING'!AT63,'SCORING MASTER'!$C$92:$C$93,0)),""))</f>
        <v/>
      </c>
      <c r="AV63" s="58" t="str">
        <f aca="false">IF('STUDENT SCREENING'!AU63="","",IFERROR(INDEX('SCORING MASTER'!$D$95:$D$96,MATCH('STUDENT SCREENING'!AU63,'SCORING MASTER'!$C$95:$C$96,0)),""))</f>
        <v/>
      </c>
      <c r="AW63" s="58" t="str">
        <f aca="false">IF('STUDENT SCREENING'!AV63="","",IFERROR(INDEX('SCORING MASTER'!$D$98:$D$99,MATCH('STUDENT SCREENING'!AV63,'SCORING MASTER'!$C$98:$C$99,0)),""))</f>
        <v/>
      </c>
      <c r="AX63" s="58" t="str">
        <f aca="false">IF('STUDENT SCREENING'!AW63="","",IFERROR(INDEX('SCORING MASTER'!$D$101:$D$102,MATCH('STUDENT SCREENING'!AW63,'SCORING MASTER'!$C$101:$C$102,0)),""))</f>
        <v/>
      </c>
      <c r="AY63" s="58" t="str">
        <f aca="false">IF('STUDENT SCREENING'!AX63="","",IFERROR(INDEX('SCORING MASTER'!$D$104:$D$105,MATCH('STUDENT SCREENING'!AX63,'SCORING MASTER'!$C$104:$C$105,0)),""))</f>
        <v/>
      </c>
      <c r="AZ63" s="58" t="str">
        <f aca="false">IF('STUDENT SCREENING'!AY63="","",IFERROR(INDEX('SCORING MASTER'!$D$107:$D$108,MATCH('STUDENT SCREENING'!AY63,'SCORING MASTER'!$C$107:$C$108,0)),""))</f>
        <v/>
      </c>
      <c r="BA63" s="58" t="str">
        <f aca="false">IF('STUDENT SCREENING'!AZ63="","",IFERROR(INDEX('SCORING MASTER'!$D$110:$D$111,MATCH('STUDENT SCREENING'!AZ63,'SCORING MASTER'!$C$110:$C$111,0)),""))</f>
        <v/>
      </c>
      <c r="BB63" s="58" t="str">
        <f aca="false">IF('STUDENT SCREENING'!BA63="","",IFERROR(INDEX('SCORING MASTER'!$D$113:$D$115,MATCH('STUDENT SCREENING'!BA63,'SCORING MASTER'!$C$113:$C$115,0)),""))</f>
        <v/>
      </c>
      <c r="BC63" s="58" t="str">
        <f aca="false">IF('STUDENT SCREENING'!BB63="","",IFERROR(INDEX('SCORING MASTER'!$D$117:$D$119,MATCH('STUDENT SCREENING'!BB63,'SCORING MASTER'!$C$117:$C$119,0)),""))</f>
        <v/>
      </c>
      <c r="BD63" s="58" t="str">
        <f aca="false">IF('STUDENT SCREENING'!BC63="","",IFERROR(INDEX('SCORING MASTER'!$D$121:$D$123,MATCH('STUDENT SCREENING'!BC63,'SCORING MASTER'!$C$121:$C$123,0)),""))</f>
        <v/>
      </c>
      <c r="BE63" s="58" t="str">
        <f aca="false">IF('STUDENT SCREENING'!BD63="","",IFERROR(INDEX('SCORING MASTER'!$D$125:$D$126,MATCH('STUDENT SCREENING'!BD63,'SCORING MASTER'!$C$125:$C$126,0)),""))</f>
        <v/>
      </c>
      <c r="BF63" s="58" t="str">
        <f aca="false">IF('STUDENT SCREENING'!BE63="","",IFERROR(INDEX('SCORING MASTER'!$D$128:$D$129,MATCH('STUDENT SCREENING'!BE63,'SCORING MASTER'!$C$128:$C$129,0)),""))</f>
        <v/>
      </c>
      <c r="BG63" s="58" t="str">
        <f aca="false">IF('STUDENT SCREENING'!BP63="","",IFERROR(MATCH('STUDENT SCREENING'!BP63,{"Red - High Risk","Orange - Moderate Risk","Yellow - Mild Risk","Light Green - Mild Watch","Green - Healthy"},0)-1,""))</f>
        <v/>
      </c>
      <c r="BH63" s="58" t="str">
        <f aca="false">IF('STUDENT SCREENING'!BQ63="","",IF('STUDENT SCREENING'!BQ63="Yes",1,0))</f>
        <v/>
      </c>
      <c r="BI63" s="58" t="str">
        <f aca="false">IF('STUDENT SCREENING'!BR63="","",IF('STUDENT SCREENING'!BR63="Yes",1,0))</f>
        <v/>
      </c>
    </row>
    <row r="64" customFormat="false" ht="15" hidden="false" customHeight="false" outlineLevel="0" collapsed="false">
      <c r="A64" s="57" t="str">
        <f aca="false">'STUDENT SCREENING'!A64</f>
        <v/>
      </c>
      <c r="B64" s="57" t="n">
        <f aca="false">'STUDENT SCREENING'!C64</f>
        <v>0</v>
      </c>
      <c r="C64" s="57" t="n">
        <f aca="false">'STUDENT SCREENING'!D64</f>
        <v>0</v>
      </c>
      <c r="D64" s="57" t="n">
        <f aca="false">'STUDENT SCREENING'!E64</f>
        <v>0</v>
      </c>
      <c r="E64" s="57" t="n">
        <f aca="false">'STUDENT SCREENING'!F64</f>
        <v>0</v>
      </c>
      <c r="F64" s="57" t="n">
        <f aca="false">'STUDENT SCREENING'!K64</f>
        <v>0</v>
      </c>
      <c r="G64" s="57" t="n">
        <f aca="false">'STUDENT SCREENING'!J64</f>
        <v>0</v>
      </c>
      <c r="H64" s="57" t="str">
        <f aca="false">IF('STUDENT SCREENING'!K64="","",IFERROR(MATCH('STUDENT SCREENING'!K64,Adm_Gender,0),""))</f>
        <v/>
      </c>
      <c r="I64" s="57" t="n">
        <f aca="false">'STUDENT SCREENING'!Q64</f>
        <v>0</v>
      </c>
      <c r="J64" s="57" t="n">
        <f aca="false">'STUDENT SCREENING'!R64</f>
        <v>0</v>
      </c>
      <c r="K64" s="57" t="str">
        <f aca="false">'STUDENT SCREENING'!S64</f>
        <v/>
      </c>
      <c r="L64" s="57" t="n">
        <f aca="false">'STUDENT SCREENING'!U64</f>
        <v>0</v>
      </c>
      <c r="M64" s="57" t="n">
        <f aca="false">'STUDENT SCREENING'!V64</f>
        <v>0</v>
      </c>
      <c r="N64" s="57" t="str">
        <f aca="false">'STUDENT SCREENING'!BF64</f>
        <v/>
      </c>
      <c r="O64" s="57" t="str">
        <f aca="false">'STUDENT SCREENING'!BG64</f>
        <v/>
      </c>
      <c r="P64" s="57" t="str">
        <f aca="false">'STUDENT SCREENING'!BH64</f>
        <v/>
      </c>
      <c r="Q64" s="57" t="str">
        <f aca="false">'STUDENT SCREENING'!BI64</f>
        <v/>
      </c>
      <c r="R64" s="57" t="str">
        <f aca="false">'STUDENT SCREENING'!BJ64</f>
        <v/>
      </c>
      <c r="S64" s="57" t="str">
        <f aca="false">'STUDENT SCREENING'!BK64</f>
        <v/>
      </c>
      <c r="T64" s="57" t="str">
        <f aca="false">'STUDENT SCREENING'!BL64</f>
        <v/>
      </c>
      <c r="U64" s="57" t="str">
        <f aca="false">'STUDENT SCREENING'!BM64</f>
        <v/>
      </c>
      <c r="V64" s="57" t="str">
        <f aca="false">'STUDENT SCREENING'!BN64</f>
        <v/>
      </c>
      <c r="W64" s="57" t="str">
        <f aca="false">'STUDENT SCREENING'!BO64</f>
        <v/>
      </c>
      <c r="X64" s="57" t="str">
        <f aca="false">IF('STUDENT SCREENING'!W64="","",IFERROR(INDEX('SCORING MASTER'!$D$5:$D$7,MATCH('STUDENT SCREENING'!W64,'SCORING MASTER'!$C$5:$C$7,0)),""))</f>
        <v/>
      </c>
      <c r="Y64" s="57" t="str">
        <f aca="false">IF('STUDENT SCREENING'!X64="","",IFERROR(INDEX('SCORING MASTER'!$D$9:$D$11,MATCH('STUDENT SCREENING'!X64,'SCORING MASTER'!$C$9:$C$11,0)),""))</f>
        <v/>
      </c>
      <c r="Z64" s="57" t="str">
        <f aca="false">IF('STUDENT SCREENING'!Y64="","",IFERROR(INDEX('SCORING MASTER'!$D$13:$D$15,MATCH('STUDENT SCREENING'!Y64,'SCORING MASTER'!$C$13:$C$15,0)),""))</f>
        <v/>
      </c>
      <c r="AA64" s="57" t="str">
        <f aca="false">IF('STUDENT SCREENING'!Z64="","",IFERROR(INDEX('SCORING MASTER'!$D$17:$D$19,MATCH('STUDENT SCREENING'!Z64,'SCORING MASTER'!$C$17:$C$19,0)),""))</f>
        <v/>
      </c>
      <c r="AB64" s="57" t="str">
        <f aca="false">IF('STUDENT SCREENING'!AA64="","",IFERROR(INDEX('SCORING MASTER'!$D$21:$D$23,MATCH('STUDENT SCREENING'!AA64,'SCORING MASTER'!$C$21:$C$23,0)),""))</f>
        <v/>
      </c>
      <c r="AC64" s="57" t="str">
        <f aca="false">IF('STUDENT SCREENING'!AB64="","",IFERROR(INDEX('SCORING MASTER'!$D$25:$D$27,MATCH('STUDENT SCREENING'!AB64,'SCORING MASTER'!$C$25:$C$27,0)),""))</f>
        <v/>
      </c>
      <c r="AD64" s="57" t="str">
        <f aca="false">IF('STUDENT SCREENING'!AC64="","",IFERROR(INDEX('SCORING MASTER'!$D$29:$D$31,MATCH('STUDENT SCREENING'!AC64,'SCORING MASTER'!$C$29:$C$31,0)),""))</f>
        <v/>
      </c>
      <c r="AE64" s="57" t="str">
        <f aca="false">IF('STUDENT SCREENING'!AD64="","",IFERROR(INDEX('SCORING MASTER'!$D$33:$D$35,MATCH('STUDENT SCREENING'!AD64,'SCORING MASTER'!$C$33:$C$35,0)),""))</f>
        <v/>
      </c>
      <c r="AF64" s="57" t="str">
        <f aca="false">IF('STUDENT SCREENING'!AE64="","",IFERROR(INDEX('SCORING MASTER'!$D$37:$D$39,MATCH('STUDENT SCREENING'!AE64,'SCORING MASTER'!$C$37:$C$39,0)),""))</f>
        <v/>
      </c>
      <c r="AG64" s="57" t="str">
        <f aca="false">IF('STUDENT SCREENING'!AF64="","",IFERROR(INDEX('SCORING MASTER'!$D$41:$D$43,MATCH('STUDENT SCREENING'!AF64,'SCORING MASTER'!$C$41:$C$43,0)),""))</f>
        <v/>
      </c>
      <c r="AH64" s="57" t="str">
        <f aca="false">IF('STUDENT SCREENING'!AG64="","",IFERROR(INDEX('SCORING MASTER'!$D$45:$D$47,MATCH('STUDENT SCREENING'!AG64,'SCORING MASTER'!$C$45:$C$47,0)),""))</f>
        <v/>
      </c>
      <c r="AI64" s="57" t="str">
        <f aca="false">IF('STUDENT SCREENING'!AH64="","",IFERROR(INDEX('SCORING MASTER'!$D$49:$D$52,MATCH('STUDENT SCREENING'!AH64,'SCORING MASTER'!$C$49:$C$52,0)),""))</f>
        <v/>
      </c>
      <c r="AJ64" s="57" t="str">
        <f aca="false">IF('STUDENT SCREENING'!AI64="","",IFERROR(INDEX('SCORING MASTER'!$D$54:$D$57,MATCH('STUDENT SCREENING'!AI64,'SCORING MASTER'!$C$54:$C$57,0)),""))</f>
        <v/>
      </c>
      <c r="AK64" s="57" t="str">
        <f aca="false">IF('STUDENT SCREENING'!AJ64="","",IFERROR(INDEX('SCORING MASTER'!$D$59:$D$60,MATCH('STUDENT SCREENING'!AJ64,'SCORING MASTER'!$C$59:$C$60,0)),""))</f>
        <v/>
      </c>
      <c r="AL64" s="57" t="str">
        <f aca="false">IF('STUDENT SCREENING'!AK64="","",IFERROR(INDEX('SCORING MASTER'!$D$62:$D$63,MATCH('STUDENT SCREENING'!AK64,'SCORING MASTER'!$C$62:$C$63,0)),""))</f>
        <v/>
      </c>
      <c r="AM64" s="57" t="str">
        <f aca="false">IF('STUDENT SCREENING'!AL64="","",IFERROR(INDEX('SCORING MASTER'!$D$65:$D$66,MATCH('STUDENT SCREENING'!AL64,'SCORING MASTER'!$C$65:$C$66,0)),""))</f>
        <v/>
      </c>
      <c r="AN64" s="57" t="str">
        <f aca="false">IF('STUDENT SCREENING'!AM64="","",IFERROR(INDEX('SCORING MASTER'!$D$68:$D$69,MATCH('STUDENT SCREENING'!AM64,'SCORING MASTER'!$C$68:$C$69,0)),""))</f>
        <v/>
      </c>
      <c r="AO64" s="57" t="str">
        <f aca="false">IF('STUDENT SCREENING'!AN64="","",IFERROR(INDEX('SCORING MASTER'!$D$71:$D$72,MATCH('STUDENT SCREENING'!AN64,'SCORING MASTER'!$C$71:$C$72,0)),""))</f>
        <v/>
      </c>
      <c r="AP64" s="57" t="str">
        <f aca="false">IF('STUDENT SCREENING'!AO64="","",IFERROR(INDEX('SCORING MASTER'!$D$74:$D$75,MATCH('STUDENT SCREENING'!AO64,'SCORING MASTER'!$C$74:$C$75,0)),""))</f>
        <v/>
      </c>
      <c r="AQ64" s="57" t="str">
        <f aca="false">IF('STUDENT SCREENING'!AP64="","",IFERROR(INDEX('SCORING MASTER'!$D$77:$D$78,MATCH('STUDENT SCREENING'!AP64,'SCORING MASTER'!$C$77:$C$78,0)),""))</f>
        <v/>
      </c>
      <c r="AR64" s="57" t="str">
        <f aca="false">IF('STUDENT SCREENING'!AQ64="","",IFERROR(INDEX('SCORING MASTER'!$D$80:$D$82,MATCH('STUDENT SCREENING'!AQ64,'SCORING MASTER'!$C$80:$C$82,0)),""))</f>
        <v/>
      </c>
      <c r="AS64" s="57" t="str">
        <f aca="false">IF('STUDENT SCREENING'!AR64="","",IFERROR(INDEX('SCORING MASTER'!$D$84:$D$86,MATCH('STUDENT SCREENING'!AR64,'SCORING MASTER'!$C$84:$C$86,0)),""))</f>
        <v/>
      </c>
      <c r="AT64" s="57" t="str">
        <f aca="false">IF('STUDENT SCREENING'!AS64="","",IFERROR(INDEX('SCORING MASTER'!$D$88:$D$90,MATCH('STUDENT SCREENING'!AS64,'SCORING MASTER'!$C$88:$C$90,0)),""))</f>
        <v/>
      </c>
      <c r="AU64" s="57" t="str">
        <f aca="false">IF('STUDENT SCREENING'!AT64="","",IFERROR(INDEX('SCORING MASTER'!$D$92:$D$93,MATCH('STUDENT SCREENING'!AT64,'SCORING MASTER'!$C$92:$C$93,0)),""))</f>
        <v/>
      </c>
      <c r="AV64" s="57" t="str">
        <f aca="false">IF('STUDENT SCREENING'!AU64="","",IFERROR(INDEX('SCORING MASTER'!$D$95:$D$96,MATCH('STUDENT SCREENING'!AU64,'SCORING MASTER'!$C$95:$C$96,0)),""))</f>
        <v/>
      </c>
      <c r="AW64" s="57" t="str">
        <f aca="false">IF('STUDENT SCREENING'!AV64="","",IFERROR(INDEX('SCORING MASTER'!$D$98:$D$99,MATCH('STUDENT SCREENING'!AV64,'SCORING MASTER'!$C$98:$C$99,0)),""))</f>
        <v/>
      </c>
      <c r="AX64" s="57" t="str">
        <f aca="false">IF('STUDENT SCREENING'!AW64="","",IFERROR(INDEX('SCORING MASTER'!$D$101:$D$102,MATCH('STUDENT SCREENING'!AW64,'SCORING MASTER'!$C$101:$C$102,0)),""))</f>
        <v/>
      </c>
      <c r="AY64" s="57" t="str">
        <f aca="false">IF('STUDENT SCREENING'!AX64="","",IFERROR(INDEX('SCORING MASTER'!$D$104:$D$105,MATCH('STUDENT SCREENING'!AX64,'SCORING MASTER'!$C$104:$C$105,0)),""))</f>
        <v/>
      </c>
      <c r="AZ64" s="57" t="str">
        <f aca="false">IF('STUDENT SCREENING'!AY64="","",IFERROR(INDEX('SCORING MASTER'!$D$107:$D$108,MATCH('STUDENT SCREENING'!AY64,'SCORING MASTER'!$C$107:$C$108,0)),""))</f>
        <v/>
      </c>
      <c r="BA64" s="57" t="str">
        <f aca="false">IF('STUDENT SCREENING'!AZ64="","",IFERROR(INDEX('SCORING MASTER'!$D$110:$D$111,MATCH('STUDENT SCREENING'!AZ64,'SCORING MASTER'!$C$110:$C$111,0)),""))</f>
        <v/>
      </c>
      <c r="BB64" s="57" t="str">
        <f aca="false">IF('STUDENT SCREENING'!BA64="","",IFERROR(INDEX('SCORING MASTER'!$D$113:$D$115,MATCH('STUDENT SCREENING'!BA64,'SCORING MASTER'!$C$113:$C$115,0)),""))</f>
        <v/>
      </c>
      <c r="BC64" s="57" t="str">
        <f aca="false">IF('STUDENT SCREENING'!BB64="","",IFERROR(INDEX('SCORING MASTER'!$D$117:$D$119,MATCH('STUDENT SCREENING'!BB64,'SCORING MASTER'!$C$117:$C$119,0)),""))</f>
        <v/>
      </c>
      <c r="BD64" s="57" t="str">
        <f aca="false">IF('STUDENT SCREENING'!BC64="","",IFERROR(INDEX('SCORING MASTER'!$D$121:$D$123,MATCH('STUDENT SCREENING'!BC64,'SCORING MASTER'!$C$121:$C$123,0)),""))</f>
        <v/>
      </c>
      <c r="BE64" s="57" t="str">
        <f aca="false">IF('STUDENT SCREENING'!BD64="","",IFERROR(INDEX('SCORING MASTER'!$D$125:$D$126,MATCH('STUDENT SCREENING'!BD64,'SCORING MASTER'!$C$125:$C$126,0)),""))</f>
        <v/>
      </c>
      <c r="BF64" s="57" t="str">
        <f aca="false">IF('STUDENT SCREENING'!BE64="","",IFERROR(INDEX('SCORING MASTER'!$D$128:$D$129,MATCH('STUDENT SCREENING'!BE64,'SCORING MASTER'!$C$128:$C$129,0)),""))</f>
        <v/>
      </c>
      <c r="BG64" s="57" t="str">
        <f aca="false">IF('STUDENT SCREENING'!BP64="","",IFERROR(MATCH('STUDENT SCREENING'!BP64,{"Red - High Risk","Orange - Moderate Risk","Yellow - Mild Risk","Light Green - Mild Watch","Green - Healthy"},0)-1,""))</f>
        <v/>
      </c>
      <c r="BH64" s="57" t="str">
        <f aca="false">IF('STUDENT SCREENING'!BQ64="","",IF('STUDENT SCREENING'!BQ64="Yes",1,0))</f>
        <v/>
      </c>
      <c r="BI64" s="57" t="str">
        <f aca="false">IF('STUDENT SCREENING'!BR64="","",IF('STUDENT SCREENING'!BR64="Yes",1,0))</f>
        <v/>
      </c>
    </row>
    <row r="65" customFormat="false" ht="15" hidden="false" customHeight="false" outlineLevel="0" collapsed="false">
      <c r="A65" s="58" t="str">
        <f aca="false">'STUDENT SCREENING'!A65</f>
        <v/>
      </c>
      <c r="B65" s="58" t="n">
        <f aca="false">'STUDENT SCREENING'!C65</f>
        <v>0</v>
      </c>
      <c r="C65" s="58" t="n">
        <f aca="false">'STUDENT SCREENING'!D65</f>
        <v>0</v>
      </c>
      <c r="D65" s="58" t="n">
        <f aca="false">'STUDENT SCREENING'!E65</f>
        <v>0</v>
      </c>
      <c r="E65" s="58" t="n">
        <f aca="false">'STUDENT SCREENING'!F65</f>
        <v>0</v>
      </c>
      <c r="F65" s="58" t="n">
        <f aca="false">'STUDENT SCREENING'!K65</f>
        <v>0</v>
      </c>
      <c r="G65" s="58" t="n">
        <f aca="false">'STUDENT SCREENING'!J65</f>
        <v>0</v>
      </c>
      <c r="H65" s="58" t="str">
        <f aca="false">IF('STUDENT SCREENING'!K65="","",IFERROR(MATCH('STUDENT SCREENING'!K65,Adm_Gender,0),""))</f>
        <v/>
      </c>
      <c r="I65" s="58" t="n">
        <f aca="false">'STUDENT SCREENING'!Q65</f>
        <v>0</v>
      </c>
      <c r="J65" s="58" t="n">
        <f aca="false">'STUDENT SCREENING'!R65</f>
        <v>0</v>
      </c>
      <c r="K65" s="58" t="str">
        <f aca="false">'STUDENT SCREENING'!S65</f>
        <v/>
      </c>
      <c r="L65" s="58" t="n">
        <f aca="false">'STUDENT SCREENING'!U65</f>
        <v>0</v>
      </c>
      <c r="M65" s="58" t="n">
        <f aca="false">'STUDENT SCREENING'!V65</f>
        <v>0</v>
      </c>
      <c r="N65" s="58" t="str">
        <f aca="false">'STUDENT SCREENING'!BF65</f>
        <v/>
      </c>
      <c r="O65" s="58" t="str">
        <f aca="false">'STUDENT SCREENING'!BG65</f>
        <v/>
      </c>
      <c r="P65" s="58" t="str">
        <f aca="false">'STUDENT SCREENING'!BH65</f>
        <v/>
      </c>
      <c r="Q65" s="58" t="str">
        <f aca="false">'STUDENT SCREENING'!BI65</f>
        <v/>
      </c>
      <c r="R65" s="58" t="str">
        <f aca="false">'STUDENT SCREENING'!BJ65</f>
        <v/>
      </c>
      <c r="S65" s="58" t="str">
        <f aca="false">'STUDENT SCREENING'!BK65</f>
        <v/>
      </c>
      <c r="T65" s="58" t="str">
        <f aca="false">'STUDENT SCREENING'!BL65</f>
        <v/>
      </c>
      <c r="U65" s="58" t="str">
        <f aca="false">'STUDENT SCREENING'!BM65</f>
        <v/>
      </c>
      <c r="V65" s="58" t="str">
        <f aca="false">'STUDENT SCREENING'!BN65</f>
        <v/>
      </c>
      <c r="W65" s="58" t="str">
        <f aca="false">'STUDENT SCREENING'!BO65</f>
        <v/>
      </c>
      <c r="X65" s="58" t="str">
        <f aca="false">IF('STUDENT SCREENING'!W65="","",IFERROR(INDEX('SCORING MASTER'!$D$5:$D$7,MATCH('STUDENT SCREENING'!W65,'SCORING MASTER'!$C$5:$C$7,0)),""))</f>
        <v/>
      </c>
      <c r="Y65" s="58" t="str">
        <f aca="false">IF('STUDENT SCREENING'!X65="","",IFERROR(INDEX('SCORING MASTER'!$D$9:$D$11,MATCH('STUDENT SCREENING'!X65,'SCORING MASTER'!$C$9:$C$11,0)),""))</f>
        <v/>
      </c>
      <c r="Z65" s="58" t="str">
        <f aca="false">IF('STUDENT SCREENING'!Y65="","",IFERROR(INDEX('SCORING MASTER'!$D$13:$D$15,MATCH('STUDENT SCREENING'!Y65,'SCORING MASTER'!$C$13:$C$15,0)),""))</f>
        <v/>
      </c>
      <c r="AA65" s="58" t="str">
        <f aca="false">IF('STUDENT SCREENING'!Z65="","",IFERROR(INDEX('SCORING MASTER'!$D$17:$D$19,MATCH('STUDENT SCREENING'!Z65,'SCORING MASTER'!$C$17:$C$19,0)),""))</f>
        <v/>
      </c>
      <c r="AB65" s="58" t="str">
        <f aca="false">IF('STUDENT SCREENING'!AA65="","",IFERROR(INDEX('SCORING MASTER'!$D$21:$D$23,MATCH('STUDENT SCREENING'!AA65,'SCORING MASTER'!$C$21:$C$23,0)),""))</f>
        <v/>
      </c>
      <c r="AC65" s="58" t="str">
        <f aca="false">IF('STUDENT SCREENING'!AB65="","",IFERROR(INDEX('SCORING MASTER'!$D$25:$D$27,MATCH('STUDENT SCREENING'!AB65,'SCORING MASTER'!$C$25:$C$27,0)),""))</f>
        <v/>
      </c>
      <c r="AD65" s="58" t="str">
        <f aca="false">IF('STUDENT SCREENING'!AC65="","",IFERROR(INDEX('SCORING MASTER'!$D$29:$D$31,MATCH('STUDENT SCREENING'!AC65,'SCORING MASTER'!$C$29:$C$31,0)),""))</f>
        <v/>
      </c>
      <c r="AE65" s="58" t="str">
        <f aca="false">IF('STUDENT SCREENING'!AD65="","",IFERROR(INDEX('SCORING MASTER'!$D$33:$D$35,MATCH('STUDENT SCREENING'!AD65,'SCORING MASTER'!$C$33:$C$35,0)),""))</f>
        <v/>
      </c>
      <c r="AF65" s="58" t="str">
        <f aca="false">IF('STUDENT SCREENING'!AE65="","",IFERROR(INDEX('SCORING MASTER'!$D$37:$D$39,MATCH('STUDENT SCREENING'!AE65,'SCORING MASTER'!$C$37:$C$39,0)),""))</f>
        <v/>
      </c>
      <c r="AG65" s="58" t="str">
        <f aca="false">IF('STUDENT SCREENING'!AF65="","",IFERROR(INDEX('SCORING MASTER'!$D$41:$D$43,MATCH('STUDENT SCREENING'!AF65,'SCORING MASTER'!$C$41:$C$43,0)),""))</f>
        <v/>
      </c>
      <c r="AH65" s="58" t="str">
        <f aca="false">IF('STUDENT SCREENING'!AG65="","",IFERROR(INDEX('SCORING MASTER'!$D$45:$D$47,MATCH('STUDENT SCREENING'!AG65,'SCORING MASTER'!$C$45:$C$47,0)),""))</f>
        <v/>
      </c>
      <c r="AI65" s="58" t="str">
        <f aca="false">IF('STUDENT SCREENING'!AH65="","",IFERROR(INDEX('SCORING MASTER'!$D$49:$D$52,MATCH('STUDENT SCREENING'!AH65,'SCORING MASTER'!$C$49:$C$52,0)),""))</f>
        <v/>
      </c>
      <c r="AJ65" s="58" t="str">
        <f aca="false">IF('STUDENT SCREENING'!AI65="","",IFERROR(INDEX('SCORING MASTER'!$D$54:$D$57,MATCH('STUDENT SCREENING'!AI65,'SCORING MASTER'!$C$54:$C$57,0)),""))</f>
        <v/>
      </c>
      <c r="AK65" s="58" t="str">
        <f aca="false">IF('STUDENT SCREENING'!AJ65="","",IFERROR(INDEX('SCORING MASTER'!$D$59:$D$60,MATCH('STUDENT SCREENING'!AJ65,'SCORING MASTER'!$C$59:$C$60,0)),""))</f>
        <v/>
      </c>
      <c r="AL65" s="58" t="str">
        <f aca="false">IF('STUDENT SCREENING'!AK65="","",IFERROR(INDEX('SCORING MASTER'!$D$62:$D$63,MATCH('STUDENT SCREENING'!AK65,'SCORING MASTER'!$C$62:$C$63,0)),""))</f>
        <v/>
      </c>
      <c r="AM65" s="58" t="str">
        <f aca="false">IF('STUDENT SCREENING'!AL65="","",IFERROR(INDEX('SCORING MASTER'!$D$65:$D$66,MATCH('STUDENT SCREENING'!AL65,'SCORING MASTER'!$C$65:$C$66,0)),""))</f>
        <v/>
      </c>
      <c r="AN65" s="58" t="str">
        <f aca="false">IF('STUDENT SCREENING'!AM65="","",IFERROR(INDEX('SCORING MASTER'!$D$68:$D$69,MATCH('STUDENT SCREENING'!AM65,'SCORING MASTER'!$C$68:$C$69,0)),""))</f>
        <v/>
      </c>
      <c r="AO65" s="58" t="str">
        <f aca="false">IF('STUDENT SCREENING'!AN65="","",IFERROR(INDEX('SCORING MASTER'!$D$71:$D$72,MATCH('STUDENT SCREENING'!AN65,'SCORING MASTER'!$C$71:$C$72,0)),""))</f>
        <v/>
      </c>
      <c r="AP65" s="58" t="str">
        <f aca="false">IF('STUDENT SCREENING'!AO65="","",IFERROR(INDEX('SCORING MASTER'!$D$74:$D$75,MATCH('STUDENT SCREENING'!AO65,'SCORING MASTER'!$C$74:$C$75,0)),""))</f>
        <v/>
      </c>
      <c r="AQ65" s="58" t="str">
        <f aca="false">IF('STUDENT SCREENING'!AP65="","",IFERROR(INDEX('SCORING MASTER'!$D$77:$D$78,MATCH('STUDENT SCREENING'!AP65,'SCORING MASTER'!$C$77:$C$78,0)),""))</f>
        <v/>
      </c>
      <c r="AR65" s="58" t="str">
        <f aca="false">IF('STUDENT SCREENING'!AQ65="","",IFERROR(INDEX('SCORING MASTER'!$D$80:$D$82,MATCH('STUDENT SCREENING'!AQ65,'SCORING MASTER'!$C$80:$C$82,0)),""))</f>
        <v/>
      </c>
      <c r="AS65" s="58" t="str">
        <f aca="false">IF('STUDENT SCREENING'!AR65="","",IFERROR(INDEX('SCORING MASTER'!$D$84:$D$86,MATCH('STUDENT SCREENING'!AR65,'SCORING MASTER'!$C$84:$C$86,0)),""))</f>
        <v/>
      </c>
      <c r="AT65" s="58" t="str">
        <f aca="false">IF('STUDENT SCREENING'!AS65="","",IFERROR(INDEX('SCORING MASTER'!$D$88:$D$90,MATCH('STUDENT SCREENING'!AS65,'SCORING MASTER'!$C$88:$C$90,0)),""))</f>
        <v/>
      </c>
      <c r="AU65" s="58" t="str">
        <f aca="false">IF('STUDENT SCREENING'!AT65="","",IFERROR(INDEX('SCORING MASTER'!$D$92:$D$93,MATCH('STUDENT SCREENING'!AT65,'SCORING MASTER'!$C$92:$C$93,0)),""))</f>
        <v/>
      </c>
      <c r="AV65" s="58" t="str">
        <f aca="false">IF('STUDENT SCREENING'!AU65="","",IFERROR(INDEX('SCORING MASTER'!$D$95:$D$96,MATCH('STUDENT SCREENING'!AU65,'SCORING MASTER'!$C$95:$C$96,0)),""))</f>
        <v/>
      </c>
      <c r="AW65" s="58" t="str">
        <f aca="false">IF('STUDENT SCREENING'!AV65="","",IFERROR(INDEX('SCORING MASTER'!$D$98:$D$99,MATCH('STUDENT SCREENING'!AV65,'SCORING MASTER'!$C$98:$C$99,0)),""))</f>
        <v/>
      </c>
      <c r="AX65" s="58" t="str">
        <f aca="false">IF('STUDENT SCREENING'!AW65="","",IFERROR(INDEX('SCORING MASTER'!$D$101:$D$102,MATCH('STUDENT SCREENING'!AW65,'SCORING MASTER'!$C$101:$C$102,0)),""))</f>
        <v/>
      </c>
      <c r="AY65" s="58" t="str">
        <f aca="false">IF('STUDENT SCREENING'!AX65="","",IFERROR(INDEX('SCORING MASTER'!$D$104:$D$105,MATCH('STUDENT SCREENING'!AX65,'SCORING MASTER'!$C$104:$C$105,0)),""))</f>
        <v/>
      </c>
      <c r="AZ65" s="58" t="str">
        <f aca="false">IF('STUDENT SCREENING'!AY65="","",IFERROR(INDEX('SCORING MASTER'!$D$107:$D$108,MATCH('STUDENT SCREENING'!AY65,'SCORING MASTER'!$C$107:$C$108,0)),""))</f>
        <v/>
      </c>
      <c r="BA65" s="58" t="str">
        <f aca="false">IF('STUDENT SCREENING'!AZ65="","",IFERROR(INDEX('SCORING MASTER'!$D$110:$D$111,MATCH('STUDENT SCREENING'!AZ65,'SCORING MASTER'!$C$110:$C$111,0)),""))</f>
        <v/>
      </c>
      <c r="BB65" s="58" t="str">
        <f aca="false">IF('STUDENT SCREENING'!BA65="","",IFERROR(INDEX('SCORING MASTER'!$D$113:$D$115,MATCH('STUDENT SCREENING'!BA65,'SCORING MASTER'!$C$113:$C$115,0)),""))</f>
        <v/>
      </c>
      <c r="BC65" s="58" t="str">
        <f aca="false">IF('STUDENT SCREENING'!BB65="","",IFERROR(INDEX('SCORING MASTER'!$D$117:$D$119,MATCH('STUDENT SCREENING'!BB65,'SCORING MASTER'!$C$117:$C$119,0)),""))</f>
        <v/>
      </c>
      <c r="BD65" s="58" t="str">
        <f aca="false">IF('STUDENT SCREENING'!BC65="","",IFERROR(INDEX('SCORING MASTER'!$D$121:$D$123,MATCH('STUDENT SCREENING'!BC65,'SCORING MASTER'!$C$121:$C$123,0)),""))</f>
        <v/>
      </c>
      <c r="BE65" s="58" t="str">
        <f aca="false">IF('STUDENT SCREENING'!BD65="","",IFERROR(INDEX('SCORING MASTER'!$D$125:$D$126,MATCH('STUDENT SCREENING'!BD65,'SCORING MASTER'!$C$125:$C$126,0)),""))</f>
        <v/>
      </c>
      <c r="BF65" s="58" t="str">
        <f aca="false">IF('STUDENT SCREENING'!BE65="","",IFERROR(INDEX('SCORING MASTER'!$D$128:$D$129,MATCH('STUDENT SCREENING'!BE65,'SCORING MASTER'!$C$128:$C$129,0)),""))</f>
        <v/>
      </c>
      <c r="BG65" s="58" t="str">
        <f aca="false">IF('STUDENT SCREENING'!BP65="","",IFERROR(MATCH('STUDENT SCREENING'!BP65,{"Red - High Risk","Orange - Moderate Risk","Yellow - Mild Risk","Light Green - Mild Watch","Green - Healthy"},0)-1,""))</f>
        <v/>
      </c>
      <c r="BH65" s="58" t="str">
        <f aca="false">IF('STUDENT SCREENING'!BQ65="","",IF('STUDENT SCREENING'!BQ65="Yes",1,0))</f>
        <v/>
      </c>
      <c r="BI65" s="58" t="str">
        <f aca="false">IF('STUDENT SCREENING'!BR65="","",IF('STUDENT SCREENING'!BR65="Yes",1,0))</f>
        <v/>
      </c>
    </row>
    <row r="66" customFormat="false" ht="15" hidden="false" customHeight="false" outlineLevel="0" collapsed="false">
      <c r="A66" s="57" t="str">
        <f aca="false">'STUDENT SCREENING'!A66</f>
        <v/>
      </c>
      <c r="B66" s="57" t="n">
        <f aca="false">'STUDENT SCREENING'!C66</f>
        <v>0</v>
      </c>
      <c r="C66" s="57" t="n">
        <f aca="false">'STUDENT SCREENING'!D66</f>
        <v>0</v>
      </c>
      <c r="D66" s="57" t="n">
        <f aca="false">'STUDENT SCREENING'!E66</f>
        <v>0</v>
      </c>
      <c r="E66" s="57" t="n">
        <f aca="false">'STUDENT SCREENING'!F66</f>
        <v>0</v>
      </c>
      <c r="F66" s="57" t="n">
        <f aca="false">'STUDENT SCREENING'!K66</f>
        <v>0</v>
      </c>
      <c r="G66" s="57" t="n">
        <f aca="false">'STUDENT SCREENING'!J66</f>
        <v>0</v>
      </c>
      <c r="H66" s="57" t="str">
        <f aca="false">IF('STUDENT SCREENING'!K66="","",IFERROR(MATCH('STUDENT SCREENING'!K66,Adm_Gender,0),""))</f>
        <v/>
      </c>
      <c r="I66" s="57" t="n">
        <f aca="false">'STUDENT SCREENING'!Q66</f>
        <v>0</v>
      </c>
      <c r="J66" s="57" t="n">
        <f aca="false">'STUDENT SCREENING'!R66</f>
        <v>0</v>
      </c>
      <c r="K66" s="57" t="str">
        <f aca="false">'STUDENT SCREENING'!S66</f>
        <v/>
      </c>
      <c r="L66" s="57" t="n">
        <f aca="false">'STUDENT SCREENING'!U66</f>
        <v>0</v>
      </c>
      <c r="M66" s="57" t="n">
        <f aca="false">'STUDENT SCREENING'!V66</f>
        <v>0</v>
      </c>
      <c r="N66" s="57" t="str">
        <f aca="false">'STUDENT SCREENING'!BF66</f>
        <v/>
      </c>
      <c r="O66" s="57" t="str">
        <f aca="false">'STUDENT SCREENING'!BG66</f>
        <v/>
      </c>
      <c r="P66" s="57" t="str">
        <f aca="false">'STUDENT SCREENING'!BH66</f>
        <v/>
      </c>
      <c r="Q66" s="57" t="str">
        <f aca="false">'STUDENT SCREENING'!BI66</f>
        <v/>
      </c>
      <c r="R66" s="57" t="str">
        <f aca="false">'STUDENT SCREENING'!BJ66</f>
        <v/>
      </c>
      <c r="S66" s="57" t="str">
        <f aca="false">'STUDENT SCREENING'!BK66</f>
        <v/>
      </c>
      <c r="T66" s="57" t="str">
        <f aca="false">'STUDENT SCREENING'!BL66</f>
        <v/>
      </c>
      <c r="U66" s="57" t="str">
        <f aca="false">'STUDENT SCREENING'!BM66</f>
        <v/>
      </c>
      <c r="V66" s="57" t="str">
        <f aca="false">'STUDENT SCREENING'!BN66</f>
        <v/>
      </c>
      <c r="W66" s="57" t="str">
        <f aca="false">'STUDENT SCREENING'!BO66</f>
        <v/>
      </c>
      <c r="X66" s="57" t="str">
        <f aca="false">IF('STUDENT SCREENING'!W66="","",IFERROR(INDEX('SCORING MASTER'!$D$5:$D$7,MATCH('STUDENT SCREENING'!W66,'SCORING MASTER'!$C$5:$C$7,0)),""))</f>
        <v/>
      </c>
      <c r="Y66" s="57" t="str">
        <f aca="false">IF('STUDENT SCREENING'!X66="","",IFERROR(INDEX('SCORING MASTER'!$D$9:$D$11,MATCH('STUDENT SCREENING'!X66,'SCORING MASTER'!$C$9:$C$11,0)),""))</f>
        <v/>
      </c>
      <c r="Z66" s="57" t="str">
        <f aca="false">IF('STUDENT SCREENING'!Y66="","",IFERROR(INDEX('SCORING MASTER'!$D$13:$D$15,MATCH('STUDENT SCREENING'!Y66,'SCORING MASTER'!$C$13:$C$15,0)),""))</f>
        <v/>
      </c>
      <c r="AA66" s="57" t="str">
        <f aca="false">IF('STUDENT SCREENING'!Z66="","",IFERROR(INDEX('SCORING MASTER'!$D$17:$D$19,MATCH('STUDENT SCREENING'!Z66,'SCORING MASTER'!$C$17:$C$19,0)),""))</f>
        <v/>
      </c>
      <c r="AB66" s="57" t="str">
        <f aca="false">IF('STUDENT SCREENING'!AA66="","",IFERROR(INDEX('SCORING MASTER'!$D$21:$D$23,MATCH('STUDENT SCREENING'!AA66,'SCORING MASTER'!$C$21:$C$23,0)),""))</f>
        <v/>
      </c>
      <c r="AC66" s="57" t="str">
        <f aca="false">IF('STUDENT SCREENING'!AB66="","",IFERROR(INDEX('SCORING MASTER'!$D$25:$D$27,MATCH('STUDENT SCREENING'!AB66,'SCORING MASTER'!$C$25:$C$27,0)),""))</f>
        <v/>
      </c>
      <c r="AD66" s="57" t="str">
        <f aca="false">IF('STUDENT SCREENING'!AC66="","",IFERROR(INDEX('SCORING MASTER'!$D$29:$D$31,MATCH('STUDENT SCREENING'!AC66,'SCORING MASTER'!$C$29:$C$31,0)),""))</f>
        <v/>
      </c>
      <c r="AE66" s="57" t="str">
        <f aca="false">IF('STUDENT SCREENING'!AD66="","",IFERROR(INDEX('SCORING MASTER'!$D$33:$D$35,MATCH('STUDENT SCREENING'!AD66,'SCORING MASTER'!$C$33:$C$35,0)),""))</f>
        <v/>
      </c>
      <c r="AF66" s="57" t="str">
        <f aca="false">IF('STUDENT SCREENING'!AE66="","",IFERROR(INDEX('SCORING MASTER'!$D$37:$D$39,MATCH('STUDENT SCREENING'!AE66,'SCORING MASTER'!$C$37:$C$39,0)),""))</f>
        <v/>
      </c>
      <c r="AG66" s="57" t="str">
        <f aca="false">IF('STUDENT SCREENING'!AF66="","",IFERROR(INDEX('SCORING MASTER'!$D$41:$D$43,MATCH('STUDENT SCREENING'!AF66,'SCORING MASTER'!$C$41:$C$43,0)),""))</f>
        <v/>
      </c>
      <c r="AH66" s="57" t="str">
        <f aca="false">IF('STUDENT SCREENING'!AG66="","",IFERROR(INDEX('SCORING MASTER'!$D$45:$D$47,MATCH('STUDENT SCREENING'!AG66,'SCORING MASTER'!$C$45:$C$47,0)),""))</f>
        <v/>
      </c>
      <c r="AI66" s="57" t="str">
        <f aca="false">IF('STUDENT SCREENING'!AH66="","",IFERROR(INDEX('SCORING MASTER'!$D$49:$D$52,MATCH('STUDENT SCREENING'!AH66,'SCORING MASTER'!$C$49:$C$52,0)),""))</f>
        <v/>
      </c>
      <c r="AJ66" s="57" t="str">
        <f aca="false">IF('STUDENT SCREENING'!AI66="","",IFERROR(INDEX('SCORING MASTER'!$D$54:$D$57,MATCH('STUDENT SCREENING'!AI66,'SCORING MASTER'!$C$54:$C$57,0)),""))</f>
        <v/>
      </c>
      <c r="AK66" s="57" t="str">
        <f aca="false">IF('STUDENT SCREENING'!AJ66="","",IFERROR(INDEX('SCORING MASTER'!$D$59:$D$60,MATCH('STUDENT SCREENING'!AJ66,'SCORING MASTER'!$C$59:$C$60,0)),""))</f>
        <v/>
      </c>
      <c r="AL66" s="57" t="str">
        <f aca="false">IF('STUDENT SCREENING'!AK66="","",IFERROR(INDEX('SCORING MASTER'!$D$62:$D$63,MATCH('STUDENT SCREENING'!AK66,'SCORING MASTER'!$C$62:$C$63,0)),""))</f>
        <v/>
      </c>
      <c r="AM66" s="57" t="str">
        <f aca="false">IF('STUDENT SCREENING'!AL66="","",IFERROR(INDEX('SCORING MASTER'!$D$65:$D$66,MATCH('STUDENT SCREENING'!AL66,'SCORING MASTER'!$C$65:$C$66,0)),""))</f>
        <v/>
      </c>
      <c r="AN66" s="57" t="str">
        <f aca="false">IF('STUDENT SCREENING'!AM66="","",IFERROR(INDEX('SCORING MASTER'!$D$68:$D$69,MATCH('STUDENT SCREENING'!AM66,'SCORING MASTER'!$C$68:$C$69,0)),""))</f>
        <v/>
      </c>
      <c r="AO66" s="57" t="str">
        <f aca="false">IF('STUDENT SCREENING'!AN66="","",IFERROR(INDEX('SCORING MASTER'!$D$71:$D$72,MATCH('STUDENT SCREENING'!AN66,'SCORING MASTER'!$C$71:$C$72,0)),""))</f>
        <v/>
      </c>
      <c r="AP66" s="57" t="str">
        <f aca="false">IF('STUDENT SCREENING'!AO66="","",IFERROR(INDEX('SCORING MASTER'!$D$74:$D$75,MATCH('STUDENT SCREENING'!AO66,'SCORING MASTER'!$C$74:$C$75,0)),""))</f>
        <v/>
      </c>
      <c r="AQ66" s="57" t="str">
        <f aca="false">IF('STUDENT SCREENING'!AP66="","",IFERROR(INDEX('SCORING MASTER'!$D$77:$D$78,MATCH('STUDENT SCREENING'!AP66,'SCORING MASTER'!$C$77:$C$78,0)),""))</f>
        <v/>
      </c>
      <c r="AR66" s="57" t="str">
        <f aca="false">IF('STUDENT SCREENING'!AQ66="","",IFERROR(INDEX('SCORING MASTER'!$D$80:$D$82,MATCH('STUDENT SCREENING'!AQ66,'SCORING MASTER'!$C$80:$C$82,0)),""))</f>
        <v/>
      </c>
      <c r="AS66" s="57" t="str">
        <f aca="false">IF('STUDENT SCREENING'!AR66="","",IFERROR(INDEX('SCORING MASTER'!$D$84:$D$86,MATCH('STUDENT SCREENING'!AR66,'SCORING MASTER'!$C$84:$C$86,0)),""))</f>
        <v/>
      </c>
      <c r="AT66" s="57" t="str">
        <f aca="false">IF('STUDENT SCREENING'!AS66="","",IFERROR(INDEX('SCORING MASTER'!$D$88:$D$90,MATCH('STUDENT SCREENING'!AS66,'SCORING MASTER'!$C$88:$C$90,0)),""))</f>
        <v/>
      </c>
      <c r="AU66" s="57" t="str">
        <f aca="false">IF('STUDENT SCREENING'!AT66="","",IFERROR(INDEX('SCORING MASTER'!$D$92:$D$93,MATCH('STUDENT SCREENING'!AT66,'SCORING MASTER'!$C$92:$C$93,0)),""))</f>
        <v/>
      </c>
      <c r="AV66" s="57" t="str">
        <f aca="false">IF('STUDENT SCREENING'!AU66="","",IFERROR(INDEX('SCORING MASTER'!$D$95:$D$96,MATCH('STUDENT SCREENING'!AU66,'SCORING MASTER'!$C$95:$C$96,0)),""))</f>
        <v/>
      </c>
      <c r="AW66" s="57" t="str">
        <f aca="false">IF('STUDENT SCREENING'!AV66="","",IFERROR(INDEX('SCORING MASTER'!$D$98:$D$99,MATCH('STUDENT SCREENING'!AV66,'SCORING MASTER'!$C$98:$C$99,0)),""))</f>
        <v/>
      </c>
      <c r="AX66" s="57" t="str">
        <f aca="false">IF('STUDENT SCREENING'!AW66="","",IFERROR(INDEX('SCORING MASTER'!$D$101:$D$102,MATCH('STUDENT SCREENING'!AW66,'SCORING MASTER'!$C$101:$C$102,0)),""))</f>
        <v/>
      </c>
      <c r="AY66" s="57" t="str">
        <f aca="false">IF('STUDENT SCREENING'!AX66="","",IFERROR(INDEX('SCORING MASTER'!$D$104:$D$105,MATCH('STUDENT SCREENING'!AX66,'SCORING MASTER'!$C$104:$C$105,0)),""))</f>
        <v/>
      </c>
      <c r="AZ66" s="57" t="str">
        <f aca="false">IF('STUDENT SCREENING'!AY66="","",IFERROR(INDEX('SCORING MASTER'!$D$107:$D$108,MATCH('STUDENT SCREENING'!AY66,'SCORING MASTER'!$C$107:$C$108,0)),""))</f>
        <v/>
      </c>
      <c r="BA66" s="57" t="str">
        <f aca="false">IF('STUDENT SCREENING'!AZ66="","",IFERROR(INDEX('SCORING MASTER'!$D$110:$D$111,MATCH('STUDENT SCREENING'!AZ66,'SCORING MASTER'!$C$110:$C$111,0)),""))</f>
        <v/>
      </c>
      <c r="BB66" s="57" t="str">
        <f aca="false">IF('STUDENT SCREENING'!BA66="","",IFERROR(INDEX('SCORING MASTER'!$D$113:$D$115,MATCH('STUDENT SCREENING'!BA66,'SCORING MASTER'!$C$113:$C$115,0)),""))</f>
        <v/>
      </c>
      <c r="BC66" s="57" t="str">
        <f aca="false">IF('STUDENT SCREENING'!BB66="","",IFERROR(INDEX('SCORING MASTER'!$D$117:$D$119,MATCH('STUDENT SCREENING'!BB66,'SCORING MASTER'!$C$117:$C$119,0)),""))</f>
        <v/>
      </c>
      <c r="BD66" s="57" t="str">
        <f aca="false">IF('STUDENT SCREENING'!BC66="","",IFERROR(INDEX('SCORING MASTER'!$D$121:$D$123,MATCH('STUDENT SCREENING'!BC66,'SCORING MASTER'!$C$121:$C$123,0)),""))</f>
        <v/>
      </c>
      <c r="BE66" s="57" t="str">
        <f aca="false">IF('STUDENT SCREENING'!BD66="","",IFERROR(INDEX('SCORING MASTER'!$D$125:$D$126,MATCH('STUDENT SCREENING'!BD66,'SCORING MASTER'!$C$125:$C$126,0)),""))</f>
        <v/>
      </c>
      <c r="BF66" s="57" t="str">
        <f aca="false">IF('STUDENT SCREENING'!BE66="","",IFERROR(INDEX('SCORING MASTER'!$D$128:$D$129,MATCH('STUDENT SCREENING'!BE66,'SCORING MASTER'!$C$128:$C$129,0)),""))</f>
        <v/>
      </c>
      <c r="BG66" s="57" t="str">
        <f aca="false">IF('STUDENT SCREENING'!BP66="","",IFERROR(MATCH('STUDENT SCREENING'!BP66,{"Red - High Risk","Orange - Moderate Risk","Yellow - Mild Risk","Light Green - Mild Watch","Green - Healthy"},0)-1,""))</f>
        <v/>
      </c>
      <c r="BH66" s="57" t="str">
        <f aca="false">IF('STUDENT SCREENING'!BQ66="","",IF('STUDENT SCREENING'!BQ66="Yes",1,0))</f>
        <v/>
      </c>
      <c r="BI66" s="57" t="str">
        <f aca="false">IF('STUDENT SCREENING'!BR66="","",IF('STUDENT SCREENING'!BR66="Yes",1,0))</f>
        <v/>
      </c>
    </row>
    <row r="67" customFormat="false" ht="15" hidden="false" customHeight="false" outlineLevel="0" collapsed="false">
      <c r="A67" s="58" t="str">
        <f aca="false">'STUDENT SCREENING'!A67</f>
        <v/>
      </c>
      <c r="B67" s="58" t="n">
        <f aca="false">'STUDENT SCREENING'!C67</f>
        <v>0</v>
      </c>
      <c r="C67" s="58" t="n">
        <f aca="false">'STUDENT SCREENING'!D67</f>
        <v>0</v>
      </c>
      <c r="D67" s="58" t="n">
        <f aca="false">'STUDENT SCREENING'!E67</f>
        <v>0</v>
      </c>
      <c r="E67" s="58" t="n">
        <f aca="false">'STUDENT SCREENING'!F67</f>
        <v>0</v>
      </c>
      <c r="F67" s="58" t="n">
        <f aca="false">'STUDENT SCREENING'!K67</f>
        <v>0</v>
      </c>
      <c r="G67" s="58" t="n">
        <f aca="false">'STUDENT SCREENING'!J67</f>
        <v>0</v>
      </c>
      <c r="H67" s="58" t="str">
        <f aca="false">IF('STUDENT SCREENING'!K67="","",IFERROR(MATCH('STUDENT SCREENING'!K67,Adm_Gender,0),""))</f>
        <v/>
      </c>
      <c r="I67" s="58" t="n">
        <f aca="false">'STUDENT SCREENING'!Q67</f>
        <v>0</v>
      </c>
      <c r="J67" s="58" t="n">
        <f aca="false">'STUDENT SCREENING'!R67</f>
        <v>0</v>
      </c>
      <c r="K67" s="58" t="str">
        <f aca="false">'STUDENT SCREENING'!S67</f>
        <v/>
      </c>
      <c r="L67" s="58" t="n">
        <f aca="false">'STUDENT SCREENING'!U67</f>
        <v>0</v>
      </c>
      <c r="M67" s="58" t="n">
        <f aca="false">'STUDENT SCREENING'!V67</f>
        <v>0</v>
      </c>
      <c r="N67" s="58" t="str">
        <f aca="false">'STUDENT SCREENING'!BF67</f>
        <v/>
      </c>
      <c r="O67" s="58" t="str">
        <f aca="false">'STUDENT SCREENING'!BG67</f>
        <v/>
      </c>
      <c r="P67" s="58" t="str">
        <f aca="false">'STUDENT SCREENING'!BH67</f>
        <v/>
      </c>
      <c r="Q67" s="58" t="str">
        <f aca="false">'STUDENT SCREENING'!BI67</f>
        <v/>
      </c>
      <c r="R67" s="58" t="str">
        <f aca="false">'STUDENT SCREENING'!BJ67</f>
        <v/>
      </c>
      <c r="S67" s="58" t="str">
        <f aca="false">'STUDENT SCREENING'!BK67</f>
        <v/>
      </c>
      <c r="T67" s="58" t="str">
        <f aca="false">'STUDENT SCREENING'!BL67</f>
        <v/>
      </c>
      <c r="U67" s="58" t="str">
        <f aca="false">'STUDENT SCREENING'!BM67</f>
        <v/>
      </c>
      <c r="V67" s="58" t="str">
        <f aca="false">'STUDENT SCREENING'!BN67</f>
        <v/>
      </c>
      <c r="W67" s="58" t="str">
        <f aca="false">'STUDENT SCREENING'!BO67</f>
        <v/>
      </c>
      <c r="X67" s="58" t="str">
        <f aca="false">IF('STUDENT SCREENING'!W67="","",IFERROR(INDEX('SCORING MASTER'!$D$5:$D$7,MATCH('STUDENT SCREENING'!W67,'SCORING MASTER'!$C$5:$C$7,0)),""))</f>
        <v/>
      </c>
      <c r="Y67" s="58" t="str">
        <f aca="false">IF('STUDENT SCREENING'!X67="","",IFERROR(INDEX('SCORING MASTER'!$D$9:$D$11,MATCH('STUDENT SCREENING'!X67,'SCORING MASTER'!$C$9:$C$11,0)),""))</f>
        <v/>
      </c>
      <c r="Z67" s="58" t="str">
        <f aca="false">IF('STUDENT SCREENING'!Y67="","",IFERROR(INDEX('SCORING MASTER'!$D$13:$D$15,MATCH('STUDENT SCREENING'!Y67,'SCORING MASTER'!$C$13:$C$15,0)),""))</f>
        <v/>
      </c>
      <c r="AA67" s="58" t="str">
        <f aca="false">IF('STUDENT SCREENING'!Z67="","",IFERROR(INDEX('SCORING MASTER'!$D$17:$D$19,MATCH('STUDENT SCREENING'!Z67,'SCORING MASTER'!$C$17:$C$19,0)),""))</f>
        <v/>
      </c>
      <c r="AB67" s="58" t="str">
        <f aca="false">IF('STUDENT SCREENING'!AA67="","",IFERROR(INDEX('SCORING MASTER'!$D$21:$D$23,MATCH('STUDENT SCREENING'!AA67,'SCORING MASTER'!$C$21:$C$23,0)),""))</f>
        <v/>
      </c>
      <c r="AC67" s="58" t="str">
        <f aca="false">IF('STUDENT SCREENING'!AB67="","",IFERROR(INDEX('SCORING MASTER'!$D$25:$D$27,MATCH('STUDENT SCREENING'!AB67,'SCORING MASTER'!$C$25:$C$27,0)),""))</f>
        <v/>
      </c>
      <c r="AD67" s="58" t="str">
        <f aca="false">IF('STUDENT SCREENING'!AC67="","",IFERROR(INDEX('SCORING MASTER'!$D$29:$D$31,MATCH('STUDENT SCREENING'!AC67,'SCORING MASTER'!$C$29:$C$31,0)),""))</f>
        <v/>
      </c>
      <c r="AE67" s="58" t="str">
        <f aca="false">IF('STUDENT SCREENING'!AD67="","",IFERROR(INDEX('SCORING MASTER'!$D$33:$D$35,MATCH('STUDENT SCREENING'!AD67,'SCORING MASTER'!$C$33:$C$35,0)),""))</f>
        <v/>
      </c>
      <c r="AF67" s="58" t="str">
        <f aca="false">IF('STUDENT SCREENING'!AE67="","",IFERROR(INDEX('SCORING MASTER'!$D$37:$D$39,MATCH('STUDENT SCREENING'!AE67,'SCORING MASTER'!$C$37:$C$39,0)),""))</f>
        <v/>
      </c>
      <c r="AG67" s="58" t="str">
        <f aca="false">IF('STUDENT SCREENING'!AF67="","",IFERROR(INDEX('SCORING MASTER'!$D$41:$D$43,MATCH('STUDENT SCREENING'!AF67,'SCORING MASTER'!$C$41:$C$43,0)),""))</f>
        <v/>
      </c>
      <c r="AH67" s="58" t="str">
        <f aca="false">IF('STUDENT SCREENING'!AG67="","",IFERROR(INDEX('SCORING MASTER'!$D$45:$D$47,MATCH('STUDENT SCREENING'!AG67,'SCORING MASTER'!$C$45:$C$47,0)),""))</f>
        <v/>
      </c>
      <c r="AI67" s="58" t="str">
        <f aca="false">IF('STUDENT SCREENING'!AH67="","",IFERROR(INDEX('SCORING MASTER'!$D$49:$D$52,MATCH('STUDENT SCREENING'!AH67,'SCORING MASTER'!$C$49:$C$52,0)),""))</f>
        <v/>
      </c>
      <c r="AJ67" s="58" t="str">
        <f aca="false">IF('STUDENT SCREENING'!AI67="","",IFERROR(INDEX('SCORING MASTER'!$D$54:$D$57,MATCH('STUDENT SCREENING'!AI67,'SCORING MASTER'!$C$54:$C$57,0)),""))</f>
        <v/>
      </c>
      <c r="AK67" s="58" t="str">
        <f aca="false">IF('STUDENT SCREENING'!AJ67="","",IFERROR(INDEX('SCORING MASTER'!$D$59:$D$60,MATCH('STUDENT SCREENING'!AJ67,'SCORING MASTER'!$C$59:$C$60,0)),""))</f>
        <v/>
      </c>
      <c r="AL67" s="58" t="str">
        <f aca="false">IF('STUDENT SCREENING'!AK67="","",IFERROR(INDEX('SCORING MASTER'!$D$62:$D$63,MATCH('STUDENT SCREENING'!AK67,'SCORING MASTER'!$C$62:$C$63,0)),""))</f>
        <v/>
      </c>
      <c r="AM67" s="58" t="str">
        <f aca="false">IF('STUDENT SCREENING'!AL67="","",IFERROR(INDEX('SCORING MASTER'!$D$65:$D$66,MATCH('STUDENT SCREENING'!AL67,'SCORING MASTER'!$C$65:$C$66,0)),""))</f>
        <v/>
      </c>
      <c r="AN67" s="58" t="str">
        <f aca="false">IF('STUDENT SCREENING'!AM67="","",IFERROR(INDEX('SCORING MASTER'!$D$68:$D$69,MATCH('STUDENT SCREENING'!AM67,'SCORING MASTER'!$C$68:$C$69,0)),""))</f>
        <v/>
      </c>
      <c r="AO67" s="58" t="str">
        <f aca="false">IF('STUDENT SCREENING'!AN67="","",IFERROR(INDEX('SCORING MASTER'!$D$71:$D$72,MATCH('STUDENT SCREENING'!AN67,'SCORING MASTER'!$C$71:$C$72,0)),""))</f>
        <v/>
      </c>
      <c r="AP67" s="58" t="str">
        <f aca="false">IF('STUDENT SCREENING'!AO67="","",IFERROR(INDEX('SCORING MASTER'!$D$74:$D$75,MATCH('STUDENT SCREENING'!AO67,'SCORING MASTER'!$C$74:$C$75,0)),""))</f>
        <v/>
      </c>
      <c r="AQ67" s="58" t="str">
        <f aca="false">IF('STUDENT SCREENING'!AP67="","",IFERROR(INDEX('SCORING MASTER'!$D$77:$D$78,MATCH('STUDENT SCREENING'!AP67,'SCORING MASTER'!$C$77:$C$78,0)),""))</f>
        <v/>
      </c>
      <c r="AR67" s="58" t="str">
        <f aca="false">IF('STUDENT SCREENING'!AQ67="","",IFERROR(INDEX('SCORING MASTER'!$D$80:$D$82,MATCH('STUDENT SCREENING'!AQ67,'SCORING MASTER'!$C$80:$C$82,0)),""))</f>
        <v/>
      </c>
      <c r="AS67" s="58" t="str">
        <f aca="false">IF('STUDENT SCREENING'!AR67="","",IFERROR(INDEX('SCORING MASTER'!$D$84:$D$86,MATCH('STUDENT SCREENING'!AR67,'SCORING MASTER'!$C$84:$C$86,0)),""))</f>
        <v/>
      </c>
      <c r="AT67" s="58" t="str">
        <f aca="false">IF('STUDENT SCREENING'!AS67="","",IFERROR(INDEX('SCORING MASTER'!$D$88:$D$90,MATCH('STUDENT SCREENING'!AS67,'SCORING MASTER'!$C$88:$C$90,0)),""))</f>
        <v/>
      </c>
      <c r="AU67" s="58" t="str">
        <f aca="false">IF('STUDENT SCREENING'!AT67="","",IFERROR(INDEX('SCORING MASTER'!$D$92:$D$93,MATCH('STUDENT SCREENING'!AT67,'SCORING MASTER'!$C$92:$C$93,0)),""))</f>
        <v/>
      </c>
      <c r="AV67" s="58" t="str">
        <f aca="false">IF('STUDENT SCREENING'!AU67="","",IFERROR(INDEX('SCORING MASTER'!$D$95:$D$96,MATCH('STUDENT SCREENING'!AU67,'SCORING MASTER'!$C$95:$C$96,0)),""))</f>
        <v/>
      </c>
      <c r="AW67" s="58" t="str">
        <f aca="false">IF('STUDENT SCREENING'!AV67="","",IFERROR(INDEX('SCORING MASTER'!$D$98:$D$99,MATCH('STUDENT SCREENING'!AV67,'SCORING MASTER'!$C$98:$C$99,0)),""))</f>
        <v/>
      </c>
      <c r="AX67" s="58" t="str">
        <f aca="false">IF('STUDENT SCREENING'!AW67="","",IFERROR(INDEX('SCORING MASTER'!$D$101:$D$102,MATCH('STUDENT SCREENING'!AW67,'SCORING MASTER'!$C$101:$C$102,0)),""))</f>
        <v/>
      </c>
      <c r="AY67" s="58" t="str">
        <f aca="false">IF('STUDENT SCREENING'!AX67="","",IFERROR(INDEX('SCORING MASTER'!$D$104:$D$105,MATCH('STUDENT SCREENING'!AX67,'SCORING MASTER'!$C$104:$C$105,0)),""))</f>
        <v/>
      </c>
      <c r="AZ67" s="58" t="str">
        <f aca="false">IF('STUDENT SCREENING'!AY67="","",IFERROR(INDEX('SCORING MASTER'!$D$107:$D$108,MATCH('STUDENT SCREENING'!AY67,'SCORING MASTER'!$C$107:$C$108,0)),""))</f>
        <v/>
      </c>
      <c r="BA67" s="58" t="str">
        <f aca="false">IF('STUDENT SCREENING'!AZ67="","",IFERROR(INDEX('SCORING MASTER'!$D$110:$D$111,MATCH('STUDENT SCREENING'!AZ67,'SCORING MASTER'!$C$110:$C$111,0)),""))</f>
        <v/>
      </c>
      <c r="BB67" s="58" t="str">
        <f aca="false">IF('STUDENT SCREENING'!BA67="","",IFERROR(INDEX('SCORING MASTER'!$D$113:$D$115,MATCH('STUDENT SCREENING'!BA67,'SCORING MASTER'!$C$113:$C$115,0)),""))</f>
        <v/>
      </c>
      <c r="BC67" s="58" t="str">
        <f aca="false">IF('STUDENT SCREENING'!BB67="","",IFERROR(INDEX('SCORING MASTER'!$D$117:$D$119,MATCH('STUDENT SCREENING'!BB67,'SCORING MASTER'!$C$117:$C$119,0)),""))</f>
        <v/>
      </c>
      <c r="BD67" s="58" t="str">
        <f aca="false">IF('STUDENT SCREENING'!BC67="","",IFERROR(INDEX('SCORING MASTER'!$D$121:$D$123,MATCH('STUDENT SCREENING'!BC67,'SCORING MASTER'!$C$121:$C$123,0)),""))</f>
        <v/>
      </c>
      <c r="BE67" s="58" t="str">
        <f aca="false">IF('STUDENT SCREENING'!BD67="","",IFERROR(INDEX('SCORING MASTER'!$D$125:$D$126,MATCH('STUDENT SCREENING'!BD67,'SCORING MASTER'!$C$125:$C$126,0)),""))</f>
        <v/>
      </c>
      <c r="BF67" s="58" t="str">
        <f aca="false">IF('STUDENT SCREENING'!BE67="","",IFERROR(INDEX('SCORING MASTER'!$D$128:$D$129,MATCH('STUDENT SCREENING'!BE67,'SCORING MASTER'!$C$128:$C$129,0)),""))</f>
        <v/>
      </c>
      <c r="BG67" s="58" t="str">
        <f aca="false">IF('STUDENT SCREENING'!BP67="","",IFERROR(MATCH('STUDENT SCREENING'!BP67,{"Red - High Risk","Orange - Moderate Risk","Yellow - Mild Risk","Light Green - Mild Watch","Green - Healthy"},0)-1,""))</f>
        <v/>
      </c>
      <c r="BH67" s="58" t="str">
        <f aca="false">IF('STUDENT SCREENING'!BQ67="","",IF('STUDENT SCREENING'!BQ67="Yes",1,0))</f>
        <v/>
      </c>
      <c r="BI67" s="58" t="str">
        <f aca="false">IF('STUDENT SCREENING'!BR67="","",IF('STUDENT SCREENING'!BR67="Yes",1,0))</f>
        <v/>
      </c>
    </row>
    <row r="68" customFormat="false" ht="15" hidden="false" customHeight="false" outlineLevel="0" collapsed="false">
      <c r="A68" s="57" t="str">
        <f aca="false">'STUDENT SCREENING'!A68</f>
        <v/>
      </c>
      <c r="B68" s="57" t="n">
        <f aca="false">'STUDENT SCREENING'!C68</f>
        <v>0</v>
      </c>
      <c r="C68" s="57" t="n">
        <f aca="false">'STUDENT SCREENING'!D68</f>
        <v>0</v>
      </c>
      <c r="D68" s="57" t="n">
        <f aca="false">'STUDENT SCREENING'!E68</f>
        <v>0</v>
      </c>
      <c r="E68" s="57" t="n">
        <f aca="false">'STUDENT SCREENING'!F68</f>
        <v>0</v>
      </c>
      <c r="F68" s="57" t="n">
        <f aca="false">'STUDENT SCREENING'!K68</f>
        <v>0</v>
      </c>
      <c r="G68" s="57" t="n">
        <f aca="false">'STUDENT SCREENING'!J68</f>
        <v>0</v>
      </c>
      <c r="H68" s="57" t="str">
        <f aca="false">IF('STUDENT SCREENING'!K68="","",IFERROR(MATCH('STUDENT SCREENING'!K68,Adm_Gender,0),""))</f>
        <v/>
      </c>
      <c r="I68" s="57" t="n">
        <f aca="false">'STUDENT SCREENING'!Q68</f>
        <v>0</v>
      </c>
      <c r="J68" s="57" t="n">
        <f aca="false">'STUDENT SCREENING'!R68</f>
        <v>0</v>
      </c>
      <c r="K68" s="57" t="str">
        <f aca="false">'STUDENT SCREENING'!S68</f>
        <v/>
      </c>
      <c r="L68" s="57" t="n">
        <f aca="false">'STUDENT SCREENING'!U68</f>
        <v>0</v>
      </c>
      <c r="M68" s="57" t="n">
        <f aca="false">'STUDENT SCREENING'!V68</f>
        <v>0</v>
      </c>
      <c r="N68" s="57" t="str">
        <f aca="false">'STUDENT SCREENING'!BF68</f>
        <v/>
      </c>
      <c r="O68" s="57" t="str">
        <f aca="false">'STUDENT SCREENING'!BG68</f>
        <v/>
      </c>
      <c r="P68" s="57" t="str">
        <f aca="false">'STUDENT SCREENING'!BH68</f>
        <v/>
      </c>
      <c r="Q68" s="57" t="str">
        <f aca="false">'STUDENT SCREENING'!BI68</f>
        <v/>
      </c>
      <c r="R68" s="57" t="str">
        <f aca="false">'STUDENT SCREENING'!BJ68</f>
        <v/>
      </c>
      <c r="S68" s="57" t="str">
        <f aca="false">'STUDENT SCREENING'!BK68</f>
        <v/>
      </c>
      <c r="T68" s="57" t="str">
        <f aca="false">'STUDENT SCREENING'!BL68</f>
        <v/>
      </c>
      <c r="U68" s="57" t="str">
        <f aca="false">'STUDENT SCREENING'!BM68</f>
        <v/>
      </c>
      <c r="V68" s="57" t="str">
        <f aca="false">'STUDENT SCREENING'!BN68</f>
        <v/>
      </c>
      <c r="W68" s="57" t="str">
        <f aca="false">'STUDENT SCREENING'!BO68</f>
        <v/>
      </c>
      <c r="X68" s="57" t="str">
        <f aca="false">IF('STUDENT SCREENING'!W68="","",IFERROR(INDEX('SCORING MASTER'!$D$5:$D$7,MATCH('STUDENT SCREENING'!W68,'SCORING MASTER'!$C$5:$C$7,0)),""))</f>
        <v/>
      </c>
      <c r="Y68" s="57" t="str">
        <f aca="false">IF('STUDENT SCREENING'!X68="","",IFERROR(INDEX('SCORING MASTER'!$D$9:$D$11,MATCH('STUDENT SCREENING'!X68,'SCORING MASTER'!$C$9:$C$11,0)),""))</f>
        <v/>
      </c>
      <c r="Z68" s="57" t="str">
        <f aca="false">IF('STUDENT SCREENING'!Y68="","",IFERROR(INDEX('SCORING MASTER'!$D$13:$D$15,MATCH('STUDENT SCREENING'!Y68,'SCORING MASTER'!$C$13:$C$15,0)),""))</f>
        <v/>
      </c>
      <c r="AA68" s="57" t="str">
        <f aca="false">IF('STUDENT SCREENING'!Z68="","",IFERROR(INDEX('SCORING MASTER'!$D$17:$D$19,MATCH('STUDENT SCREENING'!Z68,'SCORING MASTER'!$C$17:$C$19,0)),""))</f>
        <v/>
      </c>
      <c r="AB68" s="57" t="str">
        <f aca="false">IF('STUDENT SCREENING'!AA68="","",IFERROR(INDEX('SCORING MASTER'!$D$21:$D$23,MATCH('STUDENT SCREENING'!AA68,'SCORING MASTER'!$C$21:$C$23,0)),""))</f>
        <v/>
      </c>
      <c r="AC68" s="57" t="str">
        <f aca="false">IF('STUDENT SCREENING'!AB68="","",IFERROR(INDEX('SCORING MASTER'!$D$25:$D$27,MATCH('STUDENT SCREENING'!AB68,'SCORING MASTER'!$C$25:$C$27,0)),""))</f>
        <v/>
      </c>
      <c r="AD68" s="57" t="str">
        <f aca="false">IF('STUDENT SCREENING'!AC68="","",IFERROR(INDEX('SCORING MASTER'!$D$29:$D$31,MATCH('STUDENT SCREENING'!AC68,'SCORING MASTER'!$C$29:$C$31,0)),""))</f>
        <v/>
      </c>
      <c r="AE68" s="57" t="str">
        <f aca="false">IF('STUDENT SCREENING'!AD68="","",IFERROR(INDEX('SCORING MASTER'!$D$33:$D$35,MATCH('STUDENT SCREENING'!AD68,'SCORING MASTER'!$C$33:$C$35,0)),""))</f>
        <v/>
      </c>
      <c r="AF68" s="57" t="str">
        <f aca="false">IF('STUDENT SCREENING'!AE68="","",IFERROR(INDEX('SCORING MASTER'!$D$37:$D$39,MATCH('STUDENT SCREENING'!AE68,'SCORING MASTER'!$C$37:$C$39,0)),""))</f>
        <v/>
      </c>
      <c r="AG68" s="57" t="str">
        <f aca="false">IF('STUDENT SCREENING'!AF68="","",IFERROR(INDEX('SCORING MASTER'!$D$41:$D$43,MATCH('STUDENT SCREENING'!AF68,'SCORING MASTER'!$C$41:$C$43,0)),""))</f>
        <v/>
      </c>
      <c r="AH68" s="57" t="str">
        <f aca="false">IF('STUDENT SCREENING'!AG68="","",IFERROR(INDEX('SCORING MASTER'!$D$45:$D$47,MATCH('STUDENT SCREENING'!AG68,'SCORING MASTER'!$C$45:$C$47,0)),""))</f>
        <v/>
      </c>
      <c r="AI68" s="57" t="str">
        <f aca="false">IF('STUDENT SCREENING'!AH68="","",IFERROR(INDEX('SCORING MASTER'!$D$49:$D$52,MATCH('STUDENT SCREENING'!AH68,'SCORING MASTER'!$C$49:$C$52,0)),""))</f>
        <v/>
      </c>
      <c r="AJ68" s="57" t="str">
        <f aca="false">IF('STUDENT SCREENING'!AI68="","",IFERROR(INDEX('SCORING MASTER'!$D$54:$D$57,MATCH('STUDENT SCREENING'!AI68,'SCORING MASTER'!$C$54:$C$57,0)),""))</f>
        <v/>
      </c>
      <c r="AK68" s="57" t="str">
        <f aca="false">IF('STUDENT SCREENING'!AJ68="","",IFERROR(INDEX('SCORING MASTER'!$D$59:$D$60,MATCH('STUDENT SCREENING'!AJ68,'SCORING MASTER'!$C$59:$C$60,0)),""))</f>
        <v/>
      </c>
      <c r="AL68" s="57" t="str">
        <f aca="false">IF('STUDENT SCREENING'!AK68="","",IFERROR(INDEX('SCORING MASTER'!$D$62:$D$63,MATCH('STUDENT SCREENING'!AK68,'SCORING MASTER'!$C$62:$C$63,0)),""))</f>
        <v/>
      </c>
      <c r="AM68" s="57" t="str">
        <f aca="false">IF('STUDENT SCREENING'!AL68="","",IFERROR(INDEX('SCORING MASTER'!$D$65:$D$66,MATCH('STUDENT SCREENING'!AL68,'SCORING MASTER'!$C$65:$C$66,0)),""))</f>
        <v/>
      </c>
      <c r="AN68" s="57" t="str">
        <f aca="false">IF('STUDENT SCREENING'!AM68="","",IFERROR(INDEX('SCORING MASTER'!$D$68:$D$69,MATCH('STUDENT SCREENING'!AM68,'SCORING MASTER'!$C$68:$C$69,0)),""))</f>
        <v/>
      </c>
      <c r="AO68" s="57" t="str">
        <f aca="false">IF('STUDENT SCREENING'!AN68="","",IFERROR(INDEX('SCORING MASTER'!$D$71:$D$72,MATCH('STUDENT SCREENING'!AN68,'SCORING MASTER'!$C$71:$C$72,0)),""))</f>
        <v/>
      </c>
      <c r="AP68" s="57" t="str">
        <f aca="false">IF('STUDENT SCREENING'!AO68="","",IFERROR(INDEX('SCORING MASTER'!$D$74:$D$75,MATCH('STUDENT SCREENING'!AO68,'SCORING MASTER'!$C$74:$C$75,0)),""))</f>
        <v/>
      </c>
      <c r="AQ68" s="57" t="str">
        <f aca="false">IF('STUDENT SCREENING'!AP68="","",IFERROR(INDEX('SCORING MASTER'!$D$77:$D$78,MATCH('STUDENT SCREENING'!AP68,'SCORING MASTER'!$C$77:$C$78,0)),""))</f>
        <v/>
      </c>
      <c r="AR68" s="57" t="str">
        <f aca="false">IF('STUDENT SCREENING'!AQ68="","",IFERROR(INDEX('SCORING MASTER'!$D$80:$D$82,MATCH('STUDENT SCREENING'!AQ68,'SCORING MASTER'!$C$80:$C$82,0)),""))</f>
        <v/>
      </c>
      <c r="AS68" s="57" t="str">
        <f aca="false">IF('STUDENT SCREENING'!AR68="","",IFERROR(INDEX('SCORING MASTER'!$D$84:$D$86,MATCH('STUDENT SCREENING'!AR68,'SCORING MASTER'!$C$84:$C$86,0)),""))</f>
        <v/>
      </c>
      <c r="AT68" s="57" t="str">
        <f aca="false">IF('STUDENT SCREENING'!AS68="","",IFERROR(INDEX('SCORING MASTER'!$D$88:$D$90,MATCH('STUDENT SCREENING'!AS68,'SCORING MASTER'!$C$88:$C$90,0)),""))</f>
        <v/>
      </c>
      <c r="AU68" s="57" t="str">
        <f aca="false">IF('STUDENT SCREENING'!AT68="","",IFERROR(INDEX('SCORING MASTER'!$D$92:$D$93,MATCH('STUDENT SCREENING'!AT68,'SCORING MASTER'!$C$92:$C$93,0)),""))</f>
        <v/>
      </c>
      <c r="AV68" s="57" t="str">
        <f aca="false">IF('STUDENT SCREENING'!AU68="","",IFERROR(INDEX('SCORING MASTER'!$D$95:$D$96,MATCH('STUDENT SCREENING'!AU68,'SCORING MASTER'!$C$95:$C$96,0)),""))</f>
        <v/>
      </c>
      <c r="AW68" s="57" t="str">
        <f aca="false">IF('STUDENT SCREENING'!AV68="","",IFERROR(INDEX('SCORING MASTER'!$D$98:$D$99,MATCH('STUDENT SCREENING'!AV68,'SCORING MASTER'!$C$98:$C$99,0)),""))</f>
        <v/>
      </c>
      <c r="AX68" s="57" t="str">
        <f aca="false">IF('STUDENT SCREENING'!AW68="","",IFERROR(INDEX('SCORING MASTER'!$D$101:$D$102,MATCH('STUDENT SCREENING'!AW68,'SCORING MASTER'!$C$101:$C$102,0)),""))</f>
        <v/>
      </c>
      <c r="AY68" s="57" t="str">
        <f aca="false">IF('STUDENT SCREENING'!AX68="","",IFERROR(INDEX('SCORING MASTER'!$D$104:$D$105,MATCH('STUDENT SCREENING'!AX68,'SCORING MASTER'!$C$104:$C$105,0)),""))</f>
        <v/>
      </c>
      <c r="AZ68" s="57" t="str">
        <f aca="false">IF('STUDENT SCREENING'!AY68="","",IFERROR(INDEX('SCORING MASTER'!$D$107:$D$108,MATCH('STUDENT SCREENING'!AY68,'SCORING MASTER'!$C$107:$C$108,0)),""))</f>
        <v/>
      </c>
      <c r="BA68" s="57" t="str">
        <f aca="false">IF('STUDENT SCREENING'!AZ68="","",IFERROR(INDEX('SCORING MASTER'!$D$110:$D$111,MATCH('STUDENT SCREENING'!AZ68,'SCORING MASTER'!$C$110:$C$111,0)),""))</f>
        <v/>
      </c>
      <c r="BB68" s="57" t="str">
        <f aca="false">IF('STUDENT SCREENING'!BA68="","",IFERROR(INDEX('SCORING MASTER'!$D$113:$D$115,MATCH('STUDENT SCREENING'!BA68,'SCORING MASTER'!$C$113:$C$115,0)),""))</f>
        <v/>
      </c>
      <c r="BC68" s="57" t="str">
        <f aca="false">IF('STUDENT SCREENING'!BB68="","",IFERROR(INDEX('SCORING MASTER'!$D$117:$D$119,MATCH('STUDENT SCREENING'!BB68,'SCORING MASTER'!$C$117:$C$119,0)),""))</f>
        <v/>
      </c>
      <c r="BD68" s="57" t="str">
        <f aca="false">IF('STUDENT SCREENING'!BC68="","",IFERROR(INDEX('SCORING MASTER'!$D$121:$D$123,MATCH('STUDENT SCREENING'!BC68,'SCORING MASTER'!$C$121:$C$123,0)),""))</f>
        <v/>
      </c>
      <c r="BE68" s="57" t="str">
        <f aca="false">IF('STUDENT SCREENING'!BD68="","",IFERROR(INDEX('SCORING MASTER'!$D$125:$D$126,MATCH('STUDENT SCREENING'!BD68,'SCORING MASTER'!$C$125:$C$126,0)),""))</f>
        <v/>
      </c>
      <c r="BF68" s="57" t="str">
        <f aca="false">IF('STUDENT SCREENING'!BE68="","",IFERROR(INDEX('SCORING MASTER'!$D$128:$D$129,MATCH('STUDENT SCREENING'!BE68,'SCORING MASTER'!$C$128:$C$129,0)),""))</f>
        <v/>
      </c>
      <c r="BG68" s="57" t="str">
        <f aca="false">IF('STUDENT SCREENING'!BP68="","",IFERROR(MATCH('STUDENT SCREENING'!BP68,{"Red - High Risk","Orange - Moderate Risk","Yellow - Mild Risk","Light Green - Mild Watch","Green - Healthy"},0)-1,""))</f>
        <v/>
      </c>
      <c r="BH68" s="57" t="str">
        <f aca="false">IF('STUDENT SCREENING'!BQ68="","",IF('STUDENT SCREENING'!BQ68="Yes",1,0))</f>
        <v/>
      </c>
      <c r="BI68" s="57" t="str">
        <f aca="false">IF('STUDENT SCREENING'!BR68="","",IF('STUDENT SCREENING'!BR68="Yes",1,0))</f>
        <v/>
      </c>
    </row>
    <row r="69" customFormat="false" ht="15" hidden="false" customHeight="false" outlineLevel="0" collapsed="false">
      <c r="A69" s="58" t="str">
        <f aca="false">'STUDENT SCREENING'!A69</f>
        <v/>
      </c>
      <c r="B69" s="58" t="n">
        <f aca="false">'STUDENT SCREENING'!C69</f>
        <v>0</v>
      </c>
      <c r="C69" s="58" t="n">
        <f aca="false">'STUDENT SCREENING'!D69</f>
        <v>0</v>
      </c>
      <c r="D69" s="58" t="n">
        <f aca="false">'STUDENT SCREENING'!E69</f>
        <v>0</v>
      </c>
      <c r="E69" s="58" t="n">
        <f aca="false">'STUDENT SCREENING'!F69</f>
        <v>0</v>
      </c>
      <c r="F69" s="58" t="n">
        <f aca="false">'STUDENT SCREENING'!K69</f>
        <v>0</v>
      </c>
      <c r="G69" s="58" t="n">
        <f aca="false">'STUDENT SCREENING'!J69</f>
        <v>0</v>
      </c>
      <c r="H69" s="58" t="str">
        <f aca="false">IF('STUDENT SCREENING'!K69="","",IFERROR(MATCH('STUDENT SCREENING'!K69,Adm_Gender,0),""))</f>
        <v/>
      </c>
      <c r="I69" s="58" t="n">
        <f aca="false">'STUDENT SCREENING'!Q69</f>
        <v>0</v>
      </c>
      <c r="J69" s="58" t="n">
        <f aca="false">'STUDENT SCREENING'!R69</f>
        <v>0</v>
      </c>
      <c r="K69" s="58" t="str">
        <f aca="false">'STUDENT SCREENING'!S69</f>
        <v/>
      </c>
      <c r="L69" s="58" t="n">
        <f aca="false">'STUDENT SCREENING'!U69</f>
        <v>0</v>
      </c>
      <c r="M69" s="58" t="n">
        <f aca="false">'STUDENT SCREENING'!V69</f>
        <v>0</v>
      </c>
      <c r="N69" s="58" t="str">
        <f aca="false">'STUDENT SCREENING'!BF69</f>
        <v/>
      </c>
      <c r="O69" s="58" t="str">
        <f aca="false">'STUDENT SCREENING'!BG69</f>
        <v/>
      </c>
      <c r="P69" s="58" t="str">
        <f aca="false">'STUDENT SCREENING'!BH69</f>
        <v/>
      </c>
      <c r="Q69" s="58" t="str">
        <f aca="false">'STUDENT SCREENING'!BI69</f>
        <v/>
      </c>
      <c r="R69" s="58" t="str">
        <f aca="false">'STUDENT SCREENING'!BJ69</f>
        <v/>
      </c>
      <c r="S69" s="58" t="str">
        <f aca="false">'STUDENT SCREENING'!BK69</f>
        <v/>
      </c>
      <c r="T69" s="58" t="str">
        <f aca="false">'STUDENT SCREENING'!BL69</f>
        <v/>
      </c>
      <c r="U69" s="58" t="str">
        <f aca="false">'STUDENT SCREENING'!BM69</f>
        <v/>
      </c>
      <c r="V69" s="58" t="str">
        <f aca="false">'STUDENT SCREENING'!BN69</f>
        <v/>
      </c>
      <c r="W69" s="58" t="str">
        <f aca="false">'STUDENT SCREENING'!BO69</f>
        <v/>
      </c>
      <c r="X69" s="58" t="str">
        <f aca="false">IF('STUDENT SCREENING'!W69="","",IFERROR(INDEX('SCORING MASTER'!$D$5:$D$7,MATCH('STUDENT SCREENING'!W69,'SCORING MASTER'!$C$5:$C$7,0)),""))</f>
        <v/>
      </c>
      <c r="Y69" s="58" t="str">
        <f aca="false">IF('STUDENT SCREENING'!X69="","",IFERROR(INDEX('SCORING MASTER'!$D$9:$D$11,MATCH('STUDENT SCREENING'!X69,'SCORING MASTER'!$C$9:$C$11,0)),""))</f>
        <v/>
      </c>
      <c r="Z69" s="58" t="str">
        <f aca="false">IF('STUDENT SCREENING'!Y69="","",IFERROR(INDEX('SCORING MASTER'!$D$13:$D$15,MATCH('STUDENT SCREENING'!Y69,'SCORING MASTER'!$C$13:$C$15,0)),""))</f>
        <v/>
      </c>
      <c r="AA69" s="58" t="str">
        <f aca="false">IF('STUDENT SCREENING'!Z69="","",IFERROR(INDEX('SCORING MASTER'!$D$17:$D$19,MATCH('STUDENT SCREENING'!Z69,'SCORING MASTER'!$C$17:$C$19,0)),""))</f>
        <v/>
      </c>
      <c r="AB69" s="58" t="str">
        <f aca="false">IF('STUDENT SCREENING'!AA69="","",IFERROR(INDEX('SCORING MASTER'!$D$21:$D$23,MATCH('STUDENT SCREENING'!AA69,'SCORING MASTER'!$C$21:$C$23,0)),""))</f>
        <v/>
      </c>
      <c r="AC69" s="58" t="str">
        <f aca="false">IF('STUDENT SCREENING'!AB69="","",IFERROR(INDEX('SCORING MASTER'!$D$25:$D$27,MATCH('STUDENT SCREENING'!AB69,'SCORING MASTER'!$C$25:$C$27,0)),""))</f>
        <v/>
      </c>
      <c r="AD69" s="58" t="str">
        <f aca="false">IF('STUDENT SCREENING'!AC69="","",IFERROR(INDEX('SCORING MASTER'!$D$29:$D$31,MATCH('STUDENT SCREENING'!AC69,'SCORING MASTER'!$C$29:$C$31,0)),""))</f>
        <v/>
      </c>
      <c r="AE69" s="58" t="str">
        <f aca="false">IF('STUDENT SCREENING'!AD69="","",IFERROR(INDEX('SCORING MASTER'!$D$33:$D$35,MATCH('STUDENT SCREENING'!AD69,'SCORING MASTER'!$C$33:$C$35,0)),""))</f>
        <v/>
      </c>
      <c r="AF69" s="58" t="str">
        <f aca="false">IF('STUDENT SCREENING'!AE69="","",IFERROR(INDEX('SCORING MASTER'!$D$37:$D$39,MATCH('STUDENT SCREENING'!AE69,'SCORING MASTER'!$C$37:$C$39,0)),""))</f>
        <v/>
      </c>
      <c r="AG69" s="58" t="str">
        <f aca="false">IF('STUDENT SCREENING'!AF69="","",IFERROR(INDEX('SCORING MASTER'!$D$41:$D$43,MATCH('STUDENT SCREENING'!AF69,'SCORING MASTER'!$C$41:$C$43,0)),""))</f>
        <v/>
      </c>
      <c r="AH69" s="58" t="str">
        <f aca="false">IF('STUDENT SCREENING'!AG69="","",IFERROR(INDEX('SCORING MASTER'!$D$45:$D$47,MATCH('STUDENT SCREENING'!AG69,'SCORING MASTER'!$C$45:$C$47,0)),""))</f>
        <v/>
      </c>
      <c r="AI69" s="58" t="str">
        <f aca="false">IF('STUDENT SCREENING'!AH69="","",IFERROR(INDEX('SCORING MASTER'!$D$49:$D$52,MATCH('STUDENT SCREENING'!AH69,'SCORING MASTER'!$C$49:$C$52,0)),""))</f>
        <v/>
      </c>
      <c r="AJ69" s="58" t="str">
        <f aca="false">IF('STUDENT SCREENING'!AI69="","",IFERROR(INDEX('SCORING MASTER'!$D$54:$D$57,MATCH('STUDENT SCREENING'!AI69,'SCORING MASTER'!$C$54:$C$57,0)),""))</f>
        <v/>
      </c>
      <c r="AK69" s="58" t="str">
        <f aca="false">IF('STUDENT SCREENING'!AJ69="","",IFERROR(INDEX('SCORING MASTER'!$D$59:$D$60,MATCH('STUDENT SCREENING'!AJ69,'SCORING MASTER'!$C$59:$C$60,0)),""))</f>
        <v/>
      </c>
      <c r="AL69" s="58" t="str">
        <f aca="false">IF('STUDENT SCREENING'!AK69="","",IFERROR(INDEX('SCORING MASTER'!$D$62:$D$63,MATCH('STUDENT SCREENING'!AK69,'SCORING MASTER'!$C$62:$C$63,0)),""))</f>
        <v/>
      </c>
      <c r="AM69" s="58" t="str">
        <f aca="false">IF('STUDENT SCREENING'!AL69="","",IFERROR(INDEX('SCORING MASTER'!$D$65:$D$66,MATCH('STUDENT SCREENING'!AL69,'SCORING MASTER'!$C$65:$C$66,0)),""))</f>
        <v/>
      </c>
      <c r="AN69" s="58" t="str">
        <f aca="false">IF('STUDENT SCREENING'!AM69="","",IFERROR(INDEX('SCORING MASTER'!$D$68:$D$69,MATCH('STUDENT SCREENING'!AM69,'SCORING MASTER'!$C$68:$C$69,0)),""))</f>
        <v/>
      </c>
      <c r="AO69" s="58" t="str">
        <f aca="false">IF('STUDENT SCREENING'!AN69="","",IFERROR(INDEX('SCORING MASTER'!$D$71:$D$72,MATCH('STUDENT SCREENING'!AN69,'SCORING MASTER'!$C$71:$C$72,0)),""))</f>
        <v/>
      </c>
      <c r="AP69" s="58" t="str">
        <f aca="false">IF('STUDENT SCREENING'!AO69="","",IFERROR(INDEX('SCORING MASTER'!$D$74:$D$75,MATCH('STUDENT SCREENING'!AO69,'SCORING MASTER'!$C$74:$C$75,0)),""))</f>
        <v/>
      </c>
      <c r="AQ69" s="58" t="str">
        <f aca="false">IF('STUDENT SCREENING'!AP69="","",IFERROR(INDEX('SCORING MASTER'!$D$77:$D$78,MATCH('STUDENT SCREENING'!AP69,'SCORING MASTER'!$C$77:$C$78,0)),""))</f>
        <v/>
      </c>
      <c r="AR69" s="58" t="str">
        <f aca="false">IF('STUDENT SCREENING'!AQ69="","",IFERROR(INDEX('SCORING MASTER'!$D$80:$D$82,MATCH('STUDENT SCREENING'!AQ69,'SCORING MASTER'!$C$80:$C$82,0)),""))</f>
        <v/>
      </c>
      <c r="AS69" s="58" t="str">
        <f aca="false">IF('STUDENT SCREENING'!AR69="","",IFERROR(INDEX('SCORING MASTER'!$D$84:$D$86,MATCH('STUDENT SCREENING'!AR69,'SCORING MASTER'!$C$84:$C$86,0)),""))</f>
        <v/>
      </c>
      <c r="AT69" s="58" t="str">
        <f aca="false">IF('STUDENT SCREENING'!AS69="","",IFERROR(INDEX('SCORING MASTER'!$D$88:$D$90,MATCH('STUDENT SCREENING'!AS69,'SCORING MASTER'!$C$88:$C$90,0)),""))</f>
        <v/>
      </c>
      <c r="AU69" s="58" t="str">
        <f aca="false">IF('STUDENT SCREENING'!AT69="","",IFERROR(INDEX('SCORING MASTER'!$D$92:$D$93,MATCH('STUDENT SCREENING'!AT69,'SCORING MASTER'!$C$92:$C$93,0)),""))</f>
        <v/>
      </c>
      <c r="AV69" s="58" t="str">
        <f aca="false">IF('STUDENT SCREENING'!AU69="","",IFERROR(INDEX('SCORING MASTER'!$D$95:$D$96,MATCH('STUDENT SCREENING'!AU69,'SCORING MASTER'!$C$95:$C$96,0)),""))</f>
        <v/>
      </c>
      <c r="AW69" s="58" t="str">
        <f aca="false">IF('STUDENT SCREENING'!AV69="","",IFERROR(INDEX('SCORING MASTER'!$D$98:$D$99,MATCH('STUDENT SCREENING'!AV69,'SCORING MASTER'!$C$98:$C$99,0)),""))</f>
        <v/>
      </c>
      <c r="AX69" s="58" t="str">
        <f aca="false">IF('STUDENT SCREENING'!AW69="","",IFERROR(INDEX('SCORING MASTER'!$D$101:$D$102,MATCH('STUDENT SCREENING'!AW69,'SCORING MASTER'!$C$101:$C$102,0)),""))</f>
        <v/>
      </c>
      <c r="AY69" s="58" t="str">
        <f aca="false">IF('STUDENT SCREENING'!AX69="","",IFERROR(INDEX('SCORING MASTER'!$D$104:$D$105,MATCH('STUDENT SCREENING'!AX69,'SCORING MASTER'!$C$104:$C$105,0)),""))</f>
        <v/>
      </c>
      <c r="AZ69" s="58" t="str">
        <f aca="false">IF('STUDENT SCREENING'!AY69="","",IFERROR(INDEX('SCORING MASTER'!$D$107:$D$108,MATCH('STUDENT SCREENING'!AY69,'SCORING MASTER'!$C$107:$C$108,0)),""))</f>
        <v/>
      </c>
      <c r="BA69" s="58" t="str">
        <f aca="false">IF('STUDENT SCREENING'!AZ69="","",IFERROR(INDEX('SCORING MASTER'!$D$110:$D$111,MATCH('STUDENT SCREENING'!AZ69,'SCORING MASTER'!$C$110:$C$111,0)),""))</f>
        <v/>
      </c>
      <c r="BB69" s="58" t="str">
        <f aca="false">IF('STUDENT SCREENING'!BA69="","",IFERROR(INDEX('SCORING MASTER'!$D$113:$D$115,MATCH('STUDENT SCREENING'!BA69,'SCORING MASTER'!$C$113:$C$115,0)),""))</f>
        <v/>
      </c>
      <c r="BC69" s="58" t="str">
        <f aca="false">IF('STUDENT SCREENING'!BB69="","",IFERROR(INDEX('SCORING MASTER'!$D$117:$D$119,MATCH('STUDENT SCREENING'!BB69,'SCORING MASTER'!$C$117:$C$119,0)),""))</f>
        <v/>
      </c>
      <c r="BD69" s="58" t="str">
        <f aca="false">IF('STUDENT SCREENING'!BC69="","",IFERROR(INDEX('SCORING MASTER'!$D$121:$D$123,MATCH('STUDENT SCREENING'!BC69,'SCORING MASTER'!$C$121:$C$123,0)),""))</f>
        <v/>
      </c>
      <c r="BE69" s="58" t="str">
        <f aca="false">IF('STUDENT SCREENING'!BD69="","",IFERROR(INDEX('SCORING MASTER'!$D$125:$D$126,MATCH('STUDENT SCREENING'!BD69,'SCORING MASTER'!$C$125:$C$126,0)),""))</f>
        <v/>
      </c>
      <c r="BF69" s="58" t="str">
        <f aca="false">IF('STUDENT SCREENING'!BE69="","",IFERROR(INDEX('SCORING MASTER'!$D$128:$D$129,MATCH('STUDENT SCREENING'!BE69,'SCORING MASTER'!$C$128:$C$129,0)),""))</f>
        <v/>
      </c>
      <c r="BG69" s="58" t="str">
        <f aca="false">IF('STUDENT SCREENING'!BP69="","",IFERROR(MATCH('STUDENT SCREENING'!BP69,{"Red - High Risk","Orange - Moderate Risk","Yellow - Mild Risk","Light Green - Mild Watch","Green - Healthy"},0)-1,""))</f>
        <v/>
      </c>
      <c r="BH69" s="58" t="str">
        <f aca="false">IF('STUDENT SCREENING'!BQ69="","",IF('STUDENT SCREENING'!BQ69="Yes",1,0))</f>
        <v/>
      </c>
      <c r="BI69" s="58" t="str">
        <f aca="false">IF('STUDENT SCREENING'!BR69="","",IF('STUDENT SCREENING'!BR69="Yes",1,0))</f>
        <v/>
      </c>
    </row>
    <row r="70" customFormat="false" ht="15" hidden="false" customHeight="false" outlineLevel="0" collapsed="false">
      <c r="A70" s="57" t="str">
        <f aca="false">'STUDENT SCREENING'!A70</f>
        <v/>
      </c>
      <c r="B70" s="57" t="n">
        <f aca="false">'STUDENT SCREENING'!C70</f>
        <v>0</v>
      </c>
      <c r="C70" s="57" t="n">
        <f aca="false">'STUDENT SCREENING'!D70</f>
        <v>0</v>
      </c>
      <c r="D70" s="57" t="n">
        <f aca="false">'STUDENT SCREENING'!E70</f>
        <v>0</v>
      </c>
      <c r="E70" s="57" t="n">
        <f aca="false">'STUDENT SCREENING'!F70</f>
        <v>0</v>
      </c>
      <c r="F70" s="57" t="n">
        <f aca="false">'STUDENT SCREENING'!K70</f>
        <v>0</v>
      </c>
      <c r="G70" s="57" t="n">
        <f aca="false">'STUDENT SCREENING'!J70</f>
        <v>0</v>
      </c>
      <c r="H70" s="57" t="str">
        <f aca="false">IF('STUDENT SCREENING'!K70="","",IFERROR(MATCH('STUDENT SCREENING'!K70,Adm_Gender,0),""))</f>
        <v/>
      </c>
      <c r="I70" s="57" t="n">
        <f aca="false">'STUDENT SCREENING'!Q70</f>
        <v>0</v>
      </c>
      <c r="J70" s="57" t="n">
        <f aca="false">'STUDENT SCREENING'!R70</f>
        <v>0</v>
      </c>
      <c r="K70" s="57" t="str">
        <f aca="false">'STUDENT SCREENING'!S70</f>
        <v/>
      </c>
      <c r="L70" s="57" t="n">
        <f aca="false">'STUDENT SCREENING'!U70</f>
        <v>0</v>
      </c>
      <c r="M70" s="57" t="n">
        <f aca="false">'STUDENT SCREENING'!V70</f>
        <v>0</v>
      </c>
      <c r="N70" s="57" t="str">
        <f aca="false">'STUDENT SCREENING'!BF70</f>
        <v/>
      </c>
      <c r="O70" s="57" t="str">
        <f aca="false">'STUDENT SCREENING'!BG70</f>
        <v/>
      </c>
      <c r="P70" s="57" t="str">
        <f aca="false">'STUDENT SCREENING'!BH70</f>
        <v/>
      </c>
      <c r="Q70" s="57" t="str">
        <f aca="false">'STUDENT SCREENING'!BI70</f>
        <v/>
      </c>
      <c r="R70" s="57" t="str">
        <f aca="false">'STUDENT SCREENING'!BJ70</f>
        <v/>
      </c>
      <c r="S70" s="57" t="str">
        <f aca="false">'STUDENT SCREENING'!BK70</f>
        <v/>
      </c>
      <c r="T70" s="57" t="str">
        <f aca="false">'STUDENT SCREENING'!BL70</f>
        <v/>
      </c>
      <c r="U70" s="57" t="str">
        <f aca="false">'STUDENT SCREENING'!BM70</f>
        <v/>
      </c>
      <c r="V70" s="57" t="str">
        <f aca="false">'STUDENT SCREENING'!BN70</f>
        <v/>
      </c>
      <c r="W70" s="57" t="str">
        <f aca="false">'STUDENT SCREENING'!BO70</f>
        <v/>
      </c>
      <c r="X70" s="57" t="str">
        <f aca="false">IF('STUDENT SCREENING'!W70="","",IFERROR(INDEX('SCORING MASTER'!$D$5:$D$7,MATCH('STUDENT SCREENING'!W70,'SCORING MASTER'!$C$5:$C$7,0)),""))</f>
        <v/>
      </c>
      <c r="Y70" s="57" t="str">
        <f aca="false">IF('STUDENT SCREENING'!X70="","",IFERROR(INDEX('SCORING MASTER'!$D$9:$D$11,MATCH('STUDENT SCREENING'!X70,'SCORING MASTER'!$C$9:$C$11,0)),""))</f>
        <v/>
      </c>
      <c r="Z70" s="57" t="str">
        <f aca="false">IF('STUDENT SCREENING'!Y70="","",IFERROR(INDEX('SCORING MASTER'!$D$13:$D$15,MATCH('STUDENT SCREENING'!Y70,'SCORING MASTER'!$C$13:$C$15,0)),""))</f>
        <v/>
      </c>
      <c r="AA70" s="57" t="str">
        <f aca="false">IF('STUDENT SCREENING'!Z70="","",IFERROR(INDEX('SCORING MASTER'!$D$17:$D$19,MATCH('STUDENT SCREENING'!Z70,'SCORING MASTER'!$C$17:$C$19,0)),""))</f>
        <v/>
      </c>
      <c r="AB70" s="57" t="str">
        <f aca="false">IF('STUDENT SCREENING'!AA70="","",IFERROR(INDEX('SCORING MASTER'!$D$21:$D$23,MATCH('STUDENT SCREENING'!AA70,'SCORING MASTER'!$C$21:$C$23,0)),""))</f>
        <v/>
      </c>
      <c r="AC70" s="57" t="str">
        <f aca="false">IF('STUDENT SCREENING'!AB70="","",IFERROR(INDEX('SCORING MASTER'!$D$25:$D$27,MATCH('STUDENT SCREENING'!AB70,'SCORING MASTER'!$C$25:$C$27,0)),""))</f>
        <v/>
      </c>
      <c r="AD70" s="57" t="str">
        <f aca="false">IF('STUDENT SCREENING'!AC70="","",IFERROR(INDEX('SCORING MASTER'!$D$29:$D$31,MATCH('STUDENT SCREENING'!AC70,'SCORING MASTER'!$C$29:$C$31,0)),""))</f>
        <v/>
      </c>
      <c r="AE70" s="57" t="str">
        <f aca="false">IF('STUDENT SCREENING'!AD70="","",IFERROR(INDEX('SCORING MASTER'!$D$33:$D$35,MATCH('STUDENT SCREENING'!AD70,'SCORING MASTER'!$C$33:$C$35,0)),""))</f>
        <v/>
      </c>
      <c r="AF70" s="57" t="str">
        <f aca="false">IF('STUDENT SCREENING'!AE70="","",IFERROR(INDEX('SCORING MASTER'!$D$37:$D$39,MATCH('STUDENT SCREENING'!AE70,'SCORING MASTER'!$C$37:$C$39,0)),""))</f>
        <v/>
      </c>
      <c r="AG70" s="57" t="str">
        <f aca="false">IF('STUDENT SCREENING'!AF70="","",IFERROR(INDEX('SCORING MASTER'!$D$41:$D$43,MATCH('STUDENT SCREENING'!AF70,'SCORING MASTER'!$C$41:$C$43,0)),""))</f>
        <v/>
      </c>
      <c r="AH70" s="57" t="str">
        <f aca="false">IF('STUDENT SCREENING'!AG70="","",IFERROR(INDEX('SCORING MASTER'!$D$45:$D$47,MATCH('STUDENT SCREENING'!AG70,'SCORING MASTER'!$C$45:$C$47,0)),""))</f>
        <v/>
      </c>
      <c r="AI70" s="57" t="str">
        <f aca="false">IF('STUDENT SCREENING'!AH70="","",IFERROR(INDEX('SCORING MASTER'!$D$49:$D$52,MATCH('STUDENT SCREENING'!AH70,'SCORING MASTER'!$C$49:$C$52,0)),""))</f>
        <v/>
      </c>
      <c r="AJ70" s="57" t="str">
        <f aca="false">IF('STUDENT SCREENING'!AI70="","",IFERROR(INDEX('SCORING MASTER'!$D$54:$D$57,MATCH('STUDENT SCREENING'!AI70,'SCORING MASTER'!$C$54:$C$57,0)),""))</f>
        <v/>
      </c>
      <c r="AK70" s="57" t="str">
        <f aca="false">IF('STUDENT SCREENING'!AJ70="","",IFERROR(INDEX('SCORING MASTER'!$D$59:$D$60,MATCH('STUDENT SCREENING'!AJ70,'SCORING MASTER'!$C$59:$C$60,0)),""))</f>
        <v/>
      </c>
      <c r="AL70" s="57" t="str">
        <f aca="false">IF('STUDENT SCREENING'!AK70="","",IFERROR(INDEX('SCORING MASTER'!$D$62:$D$63,MATCH('STUDENT SCREENING'!AK70,'SCORING MASTER'!$C$62:$C$63,0)),""))</f>
        <v/>
      </c>
      <c r="AM70" s="57" t="str">
        <f aca="false">IF('STUDENT SCREENING'!AL70="","",IFERROR(INDEX('SCORING MASTER'!$D$65:$D$66,MATCH('STUDENT SCREENING'!AL70,'SCORING MASTER'!$C$65:$C$66,0)),""))</f>
        <v/>
      </c>
      <c r="AN70" s="57" t="str">
        <f aca="false">IF('STUDENT SCREENING'!AM70="","",IFERROR(INDEX('SCORING MASTER'!$D$68:$D$69,MATCH('STUDENT SCREENING'!AM70,'SCORING MASTER'!$C$68:$C$69,0)),""))</f>
        <v/>
      </c>
      <c r="AO70" s="57" t="str">
        <f aca="false">IF('STUDENT SCREENING'!AN70="","",IFERROR(INDEX('SCORING MASTER'!$D$71:$D$72,MATCH('STUDENT SCREENING'!AN70,'SCORING MASTER'!$C$71:$C$72,0)),""))</f>
        <v/>
      </c>
      <c r="AP70" s="57" t="str">
        <f aca="false">IF('STUDENT SCREENING'!AO70="","",IFERROR(INDEX('SCORING MASTER'!$D$74:$D$75,MATCH('STUDENT SCREENING'!AO70,'SCORING MASTER'!$C$74:$C$75,0)),""))</f>
        <v/>
      </c>
      <c r="AQ70" s="57" t="str">
        <f aca="false">IF('STUDENT SCREENING'!AP70="","",IFERROR(INDEX('SCORING MASTER'!$D$77:$D$78,MATCH('STUDENT SCREENING'!AP70,'SCORING MASTER'!$C$77:$C$78,0)),""))</f>
        <v/>
      </c>
      <c r="AR70" s="57" t="str">
        <f aca="false">IF('STUDENT SCREENING'!AQ70="","",IFERROR(INDEX('SCORING MASTER'!$D$80:$D$82,MATCH('STUDENT SCREENING'!AQ70,'SCORING MASTER'!$C$80:$C$82,0)),""))</f>
        <v/>
      </c>
      <c r="AS70" s="57" t="str">
        <f aca="false">IF('STUDENT SCREENING'!AR70="","",IFERROR(INDEX('SCORING MASTER'!$D$84:$D$86,MATCH('STUDENT SCREENING'!AR70,'SCORING MASTER'!$C$84:$C$86,0)),""))</f>
        <v/>
      </c>
      <c r="AT70" s="57" t="str">
        <f aca="false">IF('STUDENT SCREENING'!AS70="","",IFERROR(INDEX('SCORING MASTER'!$D$88:$D$90,MATCH('STUDENT SCREENING'!AS70,'SCORING MASTER'!$C$88:$C$90,0)),""))</f>
        <v/>
      </c>
      <c r="AU70" s="57" t="str">
        <f aca="false">IF('STUDENT SCREENING'!AT70="","",IFERROR(INDEX('SCORING MASTER'!$D$92:$D$93,MATCH('STUDENT SCREENING'!AT70,'SCORING MASTER'!$C$92:$C$93,0)),""))</f>
        <v/>
      </c>
      <c r="AV70" s="57" t="str">
        <f aca="false">IF('STUDENT SCREENING'!AU70="","",IFERROR(INDEX('SCORING MASTER'!$D$95:$D$96,MATCH('STUDENT SCREENING'!AU70,'SCORING MASTER'!$C$95:$C$96,0)),""))</f>
        <v/>
      </c>
      <c r="AW70" s="57" t="str">
        <f aca="false">IF('STUDENT SCREENING'!AV70="","",IFERROR(INDEX('SCORING MASTER'!$D$98:$D$99,MATCH('STUDENT SCREENING'!AV70,'SCORING MASTER'!$C$98:$C$99,0)),""))</f>
        <v/>
      </c>
      <c r="AX70" s="57" t="str">
        <f aca="false">IF('STUDENT SCREENING'!AW70="","",IFERROR(INDEX('SCORING MASTER'!$D$101:$D$102,MATCH('STUDENT SCREENING'!AW70,'SCORING MASTER'!$C$101:$C$102,0)),""))</f>
        <v/>
      </c>
      <c r="AY70" s="57" t="str">
        <f aca="false">IF('STUDENT SCREENING'!AX70="","",IFERROR(INDEX('SCORING MASTER'!$D$104:$D$105,MATCH('STUDENT SCREENING'!AX70,'SCORING MASTER'!$C$104:$C$105,0)),""))</f>
        <v/>
      </c>
      <c r="AZ70" s="57" t="str">
        <f aca="false">IF('STUDENT SCREENING'!AY70="","",IFERROR(INDEX('SCORING MASTER'!$D$107:$D$108,MATCH('STUDENT SCREENING'!AY70,'SCORING MASTER'!$C$107:$C$108,0)),""))</f>
        <v/>
      </c>
      <c r="BA70" s="57" t="str">
        <f aca="false">IF('STUDENT SCREENING'!AZ70="","",IFERROR(INDEX('SCORING MASTER'!$D$110:$D$111,MATCH('STUDENT SCREENING'!AZ70,'SCORING MASTER'!$C$110:$C$111,0)),""))</f>
        <v/>
      </c>
      <c r="BB70" s="57" t="str">
        <f aca="false">IF('STUDENT SCREENING'!BA70="","",IFERROR(INDEX('SCORING MASTER'!$D$113:$D$115,MATCH('STUDENT SCREENING'!BA70,'SCORING MASTER'!$C$113:$C$115,0)),""))</f>
        <v/>
      </c>
      <c r="BC70" s="57" t="str">
        <f aca="false">IF('STUDENT SCREENING'!BB70="","",IFERROR(INDEX('SCORING MASTER'!$D$117:$D$119,MATCH('STUDENT SCREENING'!BB70,'SCORING MASTER'!$C$117:$C$119,0)),""))</f>
        <v/>
      </c>
      <c r="BD70" s="57" t="str">
        <f aca="false">IF('STUDENT SCREENING'!BC70="","",IFERROR(INDEX('SCORING MASTER'!$D$121:$D$123,MATCH('STUDENT SCREENING'!BC70,'SCORING MASTER'!$C$121:$C$123,0)),""))</f>
        <v/>
      </c>
      <c r="BE70" s="57" t="str">
        <f aca="false">IF('STUDENT SCREENING'!BD70="","",IFERROR(INDEX('SCORING MASTER'!$D$125:$D$126,MATCH('STUDENT SCREENING'!BD70,'SCORING MASTER'!$C$125:$C$126,0)),""))</f>
        <v/>
      </c>
      <c r="BF70" s="57" t="str">
        <f aca="false">IF('STUDENT SCREENING'!BE70="","",IFERROR(INDEX('SCORING MASTER'!$D$128:$D$129,MATCH('STUDENT SCREENING'!BE70,'SCORING MASTER'!$C$128:$C$129,0)),""))</f>
        <v/>
      </c>
      <c r="BG70" s="57" t="str">
        <f aca="false">IF('STUDENT SCREENING'!BP70="","",IFERROR(MATCH('STUDENT SCREENING'!BP70,{"Red - High Risk","Orange - Moderate Risk","Yellow - Mild Risk","Light Green - Mild Watch","Green - Healthy"},0)-1,""))</f>
        <v/>
      </c>
      <c r="BH70" s="57" t="str">
        <f aca="false">IF('STUDENT SCREENING'!BQ70="","",IF('STUDENT SCREENING'!BQ70="Yes",1,0))</f>
        <v/>
      </c>
      <c r="BI70" s="57" t="str">
        <f aca="false">IF('STUDENT SCREENING'!BR70="","",IF('STUDENT SCREENING'!BR70="Yes",1,0))</f>
        <v/>
      </c>
    </row>
    <row r="71" customFormat="false" ht="15" hidden="false" customHeight="false" outlineLevel="0" collapsed="false">
      <c r="A71" s="58" t="str">
        <f aca="false">'STUDENT SCREENING'!A71</f>
        <v/>
      </c>
      <c r="B71" s="58" t="n">
        <f aca="false">'STUDENT SCREENING'!C71</f>
        <v>0</v>
      </c>
      <c r="C71" s="58" t="n">
        <f aca="false">'STUDENT SCREENING'!D71</f>
        <v>0</v>
      </c>
      <c r="D71" s="58" t="n">
        <f aca="false">'STUDENT SCREENING'!E71</f>
        <v>0</v>
      </c>
      <c r="E71" s="58" t="n">
        <f aca="false">'STUDENT SCREENING'!F71</f>
        <v>0</v>
      </c>
      <c r="F71" s="58" t="n">
        <f aca="false">'STUDENT SCREENING'!K71</f>
        <v>0</v>
      </c>
      <c r="G71" s="58" t="n">
        <f aca="false">'STUDENT SCREENING'!J71</f>
        <v>0</v>
      </c>
      <c r="H71" s="58" t="str">
        <f aca="false">IF('STUDENT SCREENING'!K71="","",IFERROR(MATCH('STUDENT SCREENING'!K71,Adm_Gender,0),""))</f>
        <v/>
      </c>
      <c r="I71" s="58" t="n">
        <f aca="false">'STUDENT SCREENING'!Q71</f>
        <v>0</v>
      </c>
      <c r="J71" s="58" t="n">
        <f aca="false">'STUDENT SCREENING'!R71</f>
        <v>0</v>
      </c>
      <c r="K71" s="58" t="str">
        <f aca="false">'STUDENT SCREENING'!S71</f>
        <v/>
      </c>
      <c r="L71" s="58" t="n">
        <f aca="false">'STUDENT SCREENING'!U71</f>
        <v>0</v>
      </c>
      <c r="M71" s="58" t="n">
        <f aca="false">'STUDENT SCREENING'!V71</f>
        <v>0</v>
      </c>
      <c r="N71" s="58" t="str">
        <f aca="false">'STUDENT SCREENING'!BF71</f>
        <v/>
      </c>
      <c r="O71" s="58" t="str">
        <f aca="false">'STUDENT SCREENING'!BG71</f>
        <v/>
      </c>
      <c r="P71" s="58" t="str">
        <f aca="false">'STUDENT SCREENING'!BH71</f>
        <v/>
      </c>
      <c r="Q71" s="58" t="str">
        <f aca="false">'STUDENT SCREENING'!BI71</f>
        <v/>
      </c>
      <c r="R71" s="58" t="str">
        <f aca="false">'STUDENT SCREENING'!BJ71</f>
        <v/>
      </c>
      <c r="S71" s="58" t="str">
        <f aca="false">'STUDENT SCREENING'!BK71</f>
        <v/>
      </c>
      <c r="T71" s="58" t="str">
        <f aca="false">'STUDENT SCREENING'!BL71</f>
        <v/>
      </c>
      <c r="U71" s="58" t="str">
        <f aca="false">'STUDENT SCREENING'!BM71</f>
        <v/>
      </c>
      <c r="V71" s="58" t="str">
        <f aca="false">'STUDENT SCREENING'!BN71</f>
        <v/>
      </c>
      <c r="W71" s="58" t="str">
        <f aca="false">'STUDENT SCREENING'!BO71</f>
        <v/>
      </c>
      <c r="X71" s="58" t="str">
        <f aca="false">IF('STUDENT SCREENING'!W71="","",IFERROR(INDEX('SCORING MASTER'!$D$5:$D$7,MATCH('STUDENT SCREENING'!W71,'SCORING MASTER'!$C$5:$C$7,0)),""))</f>
        <v/>
      </c>
      <c r="Y71" s="58" t="str">
        <f aca="false">IF('STUDENT SCREENING'!X71="","",IFERROR(INDEX('SCORING MASTER'!$D$9:$D$11,MATCH('STUDENT SCREENING'!X71,'SCORING MASTER'!$C$9:$C$11,0)),""))</f>
        <v/>
      </c>
      <c r="Z71" s="58" t="str">
        <f aca="false">IF('STUDENT SCREENING'!Y71="","",IFERROR(INDEX('SCORING MASTER'!$D$13:$D$15,MATCH('STUDENT SCREENING'!Y71,'SCORING MASTER'!$C$13:$C$15,0)),""))</f>
        <v/>
      </c>
      <c r="AA71" s="58" t="str">
        <f aca="false">IF('STUDENT SCREENING'!Z71="","",IFERROR(INDEX('SCORING MASTER'!$D$17:$D$19,MATCH('STUDENT SCREENING'!Z71,'SCORING MASTER'!$C$17:$C$19,0)),""))</f>
        <v/>
      </c>
      <c r="AB71" s="58" t="str">
        <f aca="false">IF('STUDENT SCREENING'!AA71="","",IFERROR(INDEX('SCORING MASTER'!$D$21:$D$23,MATCH('STUDENT SCREENING'!AA71,'SCORING MASTER'!$C$21:$C$23,0)),""))</f>
        <v/>
      </c>
      <c r="AC71" s="58" t="str">
        <f aca="false">IF('STUDENT SCREENING'!AB71="","",IFERROR(INDEX('SCORING MASTER'!$D$25:$D$27,MATCH('STUDENT SCREENING'!AB71,'SCORING MASTER'!$C$25:$C$27,0)),""))</f>
        <v/>
      </c>
      <c r="AD71" s="58" t="str">
        <f aca="false">IF('STUDENT SCREENING'!AC71="","",IFERROR(INDEX('SCORING MASTER'!$D$29:$D$31,MATCH('STUDENT SCREENING'!AC71,'SCORING MASTER'!$C$29:$C$31,0)),""))</f>
        <v/>
      </c>
      <c r="AE71" s="58" t="str">
        <f aca="false">IF('STUDENT SCREENING'!AD71="","",IFERROR(INDEX('SCORING MASTER'!$D$33:$D$35,MATCH('STUDENT SCREENING'!AD71,'SCORING MASTER'!$C$33:$C$35,0)),""))</f>
        <v/>
      </c>
      <c r="AF71" s="58" t="str">
        <f aca="false">IF('STUDENT SCREENING'!AE71="","",IFERROR(INDEX('SCORING MASTER'!$D$37:$D$39,MATCH('STUDENT SCREENING'!AE71,'SCORING MASTER'!$C$37:$C$39,0)),""))</f>
        <v/>
      </c>
      <c r="AG71" s="58" t="str">
        <f aca="false">IF('STUDENT SCREENING'!AF71="","",IFERROR(INDEX('SCORING MASTER'!$D$41:$D$43,MATCH('STUDENT SCREENING'!AF71,'SCORING MASTER'!$C$41:$C$43,0)),""))</f>
        <v/>
      </c>
      <c r="AH71" s="58" t="str">
        <f aca="false">IF('STUDENT SCREENING'!AG71="","",IFERROR(INDEX('SCORING MASTER'!$D$45:$D$47,MATCH('STUDENT SCREENING'!AG71,'SCORING MASTER'!$C$45:$C$47,0)),""))</f>
        <v/>
      </c>
      <c r="AI71" s="58" t="str">
        <f aca="false">IF('STUDENT SCREENING'!AH71="","",IFERROR(INDEX('SCORING MASTER'!$D$49:$D$52,MATCH('STUDENT SCREENING'!AH71,'SCORING MASTER'!$C$49:$C$52,0)),""))</f>
        <v/>
      </c>
      <c r="AJ71" s="58" t="str">
        <f aca="false">IF('STUDENT SCREENING'!AI71="","",IFERROR(INDEX('SCORING MASTER'!$D$54:$D$57,MATCH('STUDENT SCREENING'!AI71,'SCORING MASTER'!$C$54:$C$57,0)),""))</f>
        <v/>
      </c>
      <c r="AK71" s="58" t="str">
        <f aca="false">IF('STUDENT SCREENING'!AJ71="","",IFERROR(INDEX('SCORING MASTER'!$D$59:$D$60,MATCH('STUDENT SCREENING'!AJ71,'SCORING MASTER'!$C$59:$C$60,0)),""))</f>
        <v/>
      </c>
      <c r="AL71" s="58" t="str">
        <f aca="false">IF('STUDENT SCREENING'!AK71="","",IFERROR(INDEX('SCORING MASTER'!$D$62:$D$63,MATCH('STUDENT SCREENING'!AK71,'SCORING MASTER'!$C$62:$C$63,0)),""))</f>
        <v/>
      </c>
      <c r="AM71" s="58" t="str">
        <f aca="false">IF('STUDENT SCREENING'!AL71="","",IFERROR(INDEX('SCORING MASTER'!$D$65:$D$66,MATCH('STUDENT SCREENING'!AL71,'SCORING MASTER'!$C$65:$C$66,0)),""))</f>
        <v/>
      </c>
      <c r="AN71" s="58" t="str">
        <f aca="false">IF('STUDENT SCREENING'!AM71="","",IFERROR(INDEX('SCORING MASTER'!$D$68:$D$69,MATCH('STUDENT SCREENING'!AM71,'SCORING MASTER'!$C$68:$C$69,0)),""))</f>
        <v/>
      </c>
      <c r="AO71" s="58" t="str">
        <f aca="false">IF('STUDENT SCREENING'!AN71="","",IFERROR(INDEX('SCORING MASTER'!$D$71:$D$72,MATCH('STUDENT SCREENING'!AN71,'SCORING MASTER'!$C$71:$C$72,0)),""))</f>
        <v/>
      </c>
      <c r="AP71" s="58" t="str">
        <f aca="false">IF('STUDENT SCREENING'!AO71="","",IFERROR(INDEX('SCORING MASTER'!$D$74:$D$75,MATCH('STUDENT SCREENING'!AO71,'SCORING MASTER'!$C$74:$C$75,0)),""))</f>
        <v/>
      </c>
      <c r="AQ71" s="58" t="str">
        <f aca="false">IF('STUDENT SCREENING'!AP71="","",IFERROR(INDEX('SCORING MASTER'!$D$77:$D$78,MATCH('STUDENT SCREENING'!AP71,'SCORING MASTER'!$C$77:$C$78,0)),""))</f>
        <v/>
      </c>
      <c r="AR71" s="58" t="str">
        <f aca="false">IF('STUDENT SCREENING'!AQ71="","",IFERROR(INDEX('SCORING MASTER'!$D$80:$D$82,MATCH('STUDENT SCREENING'!AQ71,'SCORING MASTER'!$C$80:$C$82,0)),""))</f>
        <v/>
      </c>
      <c r="AS71" s="58" t="str">
        <f aca="false">IF('STUDENT SCREENING'!AR71="","",IFERROR(INDEX('SCORING MASTER'!$D$84:$D$86,MATCH('STUDENT SCREENING'!AR71,'SCORING MASTER'!$C$84:$C$86,0)),""))</f>
        <v/>
      </c>
      <c r="AT71" s="58" t="str">
        <f aca="false">IF('STUDENT SCREENING'!AS71="","",IFERROR(INDEX('SCORING MASTER'!$D$88:$D$90,MATCH('STUDENT SCREENING'!AS71,'SCORING MASTER'!$C$88:$C$90,0)),""))</f>
        <v/>
      </c>
      <c r="AU71" s="58" t="str">
        <f aca="false">IF('STUDENT SCREENING'!AT71="","",IFERROR(INDEX('SCORING MASTER'!$D$92:$D$93,MATCH('STUDENT SCREENING'!AT71,'SCORING MASTER'!$C$92:$C$93,0)),""))</f>
        <v/>
      </c>
      <c r="AV71" s="58" t="str">
        <f aca="false">IF('STUDENT SCREENING'!AU71="","",IFERROR(INDEX('SCORING MASTER'!$D$95:$D$96,MATCH('STUDENT SCREENING'!AU71,'SCORING MASTER'!$C$95:$C$96,0)),""))</f>
        <v/>
      </c>
      <c r="AW71" s="58" t="str">
        <f aca="false">IF('STUDENT SCREENING'!AV71="","",IFERROR(INDEX('SCORING MASTER'!$D$98:$D$99,MATCH('STUDENT SCREENING'!AV71,'SCORING MASTER'!$C$98:$C$99,0)),""))</f>
        <v/>
      </c>
      <c r="AX71" s="58" t="str">
        <f aca="false">IF('STUDENT SCREENING'!AW71="","",IFERROR(INDEX('SCORING MASTER'!$D$101:$D$102,MATCH('STUDENT SCREENING'!AW71,'SCORING MASTER'!$C$101:$C$102,0)),""))</f>
        <v/>
      </c>
      <c r="AY71" s="58" t="str">
        <f aca="false">IF('STUDENT SCREENING'!AX71="","",IFERROR(INDEX('SCORING MASTER'!$D$104:$D$105,MATCH('STUDENT SCREENING'!AX71,'SCORING MASTER'!$C$104:$C$105,0)),""))</f>
        <v/>
      </c>
      <c r="AZ71" s="58" t="str">
        <f aca="false">IF('STUDENT SCREENING'!AY71="","",IFERROR(INDEX('SCORING MASTER'!$D$107:$D$108,MATCH('STUDENT SCREENING'!AY71,'SCORING MASTER'!$C$107:$C$108,0)),""))</f>
        <v/>
      </c>
      <c r="BA71" s="58" t="str">
        <f aca="false">IF('STUDENT SCREENING'!AZ71="","",IFERROR(INDEX('SCORING MASTER'!$D$110:$D$111,MATCH('STUDENT SCREENING'!AZ71,'SCORING MASTER'!$C$110:$C$111,0)),""))</f>
        <v/>
      </c>
      <c r="BB71" s="58" t="str">
        <f aca="false">IF('STUDENT SCREENING'!BA71="","",IFERROR(INDEX('SCORING MASTER'!$D$113:$D$115,MATCH('STUDENT SCREENING'!BA71,'SCORING MASTER'!$C$113:$C$115,0)),""))</f>
        <v/>
      </c>
      <c r="BC71" s="58" t="str">
        <f aca="false">IF('STUDENT SCREENING'!BB71="","",IFERROR(INDEX('SCORING MASTER'!$D$117:$D$119,MATCH('STUDENT SCREENING'!BB71,'SCORING MASTER'!$C$117:$C$119,0)),""))</f>
        <v/>
      </c>
      <c r="BD71" s="58" t="str">
        <f aca="false">IF('STUDENT SCREENING'!BC71="","",IFERROR(INDEX('SCORING MASTER'!$D$121:$D$123,MATCH('STUDENT SCREENING'!BC71,'SCORING MASTER'!$C$121:$C$123,0)),""))</f>
        <v/>
      </c>
      <c r="BE71" s="58" t="str">
        <f aca="false">IF('STUDENT SCREENING'!BD71="","",IFERROR(INDEX('SCORING MASTER'!$D$125:$D$126,MATCH('STUDENT SCREENING'!BD71,'SCORING MASTER'!$C$125:$C$126,0)),""))</f>
        <v/>
      </c>
      <c r="BF71" s="58" t="str">
        <f aca="false">IF('STUDENT SCREENING'!BE71="","",IFERROR(INDEX('SCORING MASTER'!$D$128:$D$129,MATCH('STUDENT SCREENING'!BE71,'SCORING MASTER'!$C$128:$C$129,0)),""))</f>
        <v/>
      </c>
      <c r="BG71" s="58" t="str">
        <f aca="false">IF('STUDENT SCREENING'!BP71="","",IFERROR(MATCH('STUDENT SCREENING'!BP71,{"Red - High Risk","Orange - Moderate Risk","Yellow - Mild Risk","Light Green - Mild Watch","Green - Healthy"},0)-1,""))</f>
        <v/>
      </c>
      <c r="BH71" s="58" t="str">
        <f aca="false">IF('STUDENT SCREENING'!BQ71="","",IF('STUDENT SCREENING'!BQ71="Yes",1,0))</f>
        <v/>
      </c>
      <c r="BI71" s="58" t="str">
        <f aca="false">IF('STUDENT SCREENING'!BR71="","",IF('STUDENT SCREENING'!BR71="Yes",1,0))</f>
        <v/>
      </c>
    </row>
    <row r="72" customFormat="false" ht="15" hidden="false" customHeight="false" outlineLevel="0" collapsed="false">
      <c r="A72" s="57" t="str">
        <f aca="false">'STUDENT SCREENING'!A72</f>
        <v/>
      </c>
      <c r="B72" s="57" t="n">
        <f aca="false">'STUDENT SCREENING'!C72</f>
        <v>0</v>
      </c>
      <c r="C72" s="57" t="n">
        <f aca="false">'STUDENT SCREENING'!D72</f>
        <v>0</v>
      </c>
      <c r="D72" s="57" t="n">
        <f aca="false">'STUDENT SCREENING'!E72</f>
        <v>0</v>
      </c>
      <c r="E72" s="57" t="n">
        <f aca="false">'STUDENT SCREENING'!F72</f>
        <v>0</v>
      </c>
      <c r="F72" s="57" t="n">
        <f aca="false">'STUDENT SCREENING'!K72</f>
        <v>0</v>
      </c>
      <c r="G72" s="57" t="n">
        <f aca="false">'STUDENT SCREENING'!J72</f>
        <v>0</v>
      </c>
      <c r="H72" s="57" t="str">
        <f aca="false">IF('STUDENT SCREENING'!K72="","",IFERROR(MATCH('STUDENT SCREENING'!K72,Adm_Gender,0),""))</f>
        <v/>
      </c>
      <c r="I72" s="57" t="n">
        <f aca="false">'STUDENT SCREENING'!Q72</f>
        <v>0</v>
      </c>
      <c r="J72" s="57" t="n">
        <f aca="false">'STUDENT SCREENING'!R72</f>
        <v>0</v>
      </c>
      <c r="K72" s="57" t="str">
        <f aca="false">'STUDENT SCREENING'!S72</f>
        <v/>
      </c>
      <c r="L72" s="57" t="n">
        <f aca="false">'STUDENT SCREENING'!U72</f>
        <v>0</v>
      </c>
      <c r="M72" s="57" t="n">
        <f aca="false">'STUDENT SCREENING'!V72</f>
        <v>0</v>
      </c>
      <c r="N72" s="57" t="str">
        <f aca="false">'STUDENT SCREENING'!BF72</f>
        <v/>
      </c>
      <c r="O72" s="57" t="str">
        <f aca="false">'STUDENT SCREENING'!BG72</f>
        <v/>
      </c>
      <c r="P72" s="57" t="str">
        <f aca="false">'STUDENT SCREENING'!BH72</f>
        <v/>
      </c>
      <c r="Q72" s="57" t="str">
        <f aca="false">'STUDENT SCREENING'!BI72</f>
        <v/>
      </c>
      <c r="R72" s="57" t="str">
        <f aca="false">'STUDENT SCREENING'!BJ72</f>
        <v/>
      </c>
      <c r="S72" s="57" t="str">
        <f aca="false">'STUDENT SCREENING'!BK72</f>
        <v/>
      </c>
      <c r="T72" s="57" t="str">
        <f aca="false">'STUDENT SCREENING'!BL72</f>
        <v/>
      </c>
      <c r="U72" s="57" t="str">
        <f aca="false">'STUDENT SCREENING'!BM72</f>
        <v/>
      </c>
      <c r="V72" s="57" t="str">
        <f aca="false">'STUDENT SCREENING'!BN72</f>
        <v/>
      </c>
      <c r="W72" s="57" t="str">
        <f aca="false">'STUDENT SCREENING'!BO72</f>
        <v/>
      </c>
      <c r="X72" s="57" t="str">
        <f aca="false">IF('STUDENT SCREENING'!W72="","",IFERROR(INDEX('SCORING MASTER'!$D$5:$D$7,MATCH('STUDENT SCREENING'!W72,'SCORING MASTER'!$C$5:$C$7,0)),""))</f>
        <v/>
      </c>
      <c r="Y72" s="57" t="str">
        <f aca="false">IF('STUDENT SCREENING'!X72="","",IFERROR(INDEX('SCORING MASTER'!$D$9:$D$11,MATCH('STUDENT SCREENING'!X72,'SCORING MASTER'!$C$9:$C$11,0)),""))</f>
        <v/>
      </c>
      <c r="Z72" s="57" t="str">
        <f aca="false">IF('STUDENT SCREENING'!Y72="","",IFERROR(INDEX('SCORING MASTER'!$D$13:$D$15,MATCH('STUDENT SCREENING'!Y72,'SCORING MASTER'!$C$13:$C$15,0)),""))</f>
        <v/>
      </c>
      <c r="AA72" s="57" t="str">
        <f aca="false">IF('STUDENT SCREENING'!Z72="","",IFERROR(INDEX('SCORING MASTER'!$D$17:$D$19,MATCH('STUDENT SCREENING'!Z72,'SCORING MASTER'!$C$17:$C$19,0)),""))</f>
        <v/>
      </c>
      <c r="AB72" s="57" t="str">
        <f aca="false">IF('STUDENT SCREENING'!AA72="","",IFERROR(INDEX('SCORING MASTER'!$D$21:$D$23,MATCH('STUDENT SCREENING'!AA72,'SCORING MASTER'!$C$21:$C$23,0)),""))</f>
        <v/>
      </c>
      <c r="AC72" s="57" t="str">
        <f aca="false">IF('STUDENT SCREENING'!AB72="","",IFERROR(INDEX('SCORING MASTER'!$D$25:$D$27,MATCH('STUDENT SCREENING'!AB72,'SCORING MASTER'!$C$25:$C$27,0)),""))</f>
        <v/>
      </c>
      <c r="AD72" s="57" t="str">
        <f aca="false">IF('STUDENT SCREENING'!AC72="","",IFERROR(INDEX('SCORING MASTER'!$D$29:$D$31,MATCH('STUDENT SCREENING'!AC72,'SCORING MASTER'!$C$29:$C$31,0)),""))</f>
        <v/>
      </c>
      <c r="AE72" s="57" t="str">
        <f aca="false">IF('STUDENT SCREENING'!AD72="","",IFERROR(INDEX('SCORING MASTER'!$D$33:$D$35,MATCH('STUDENT SCREENING'!AD72,'SCORING MASTER'!$C$33:$C$35,0)),""))</f>
        <v/>
      </c>
      <c r="AF72" s="57" t="str">
        <f aca="false">IF('STUDENT SCREENING'!AE72="","",IFERROR(INDEX('SCORING MASTER'!$D$37:$D$39,MATCH('STUDENT SCREENING'!AE72,'SCORING MASTER'!$C$37:$C$39,0)),""))</f>
        <v/>
      </c>
      <c r="AG72" s="57" t="str">
        <f aca="false">IF('STUDENT SCREENING'!AF72="","",IFERROR(INDEX('SCORING MASTER'!$D$41:$D$43,MATCH('STUDENT SCREENING'!AF72,'SCORING MASTER'!$C$41:$C$43,0)),""))</f>
        <v/>
      </c>
      <c r="AH72" s="57" t="str">
        <f aca="false">IF('STUDENT SCREENING'!AG72="","",IFERROR(INDEX('SCORING MASTER'!$D$45:$D$47,MATCH('STUDENT SCREENING'!AG72,'SCORING MASTER'!$C$45:$C$47,0)),""))</f>
        <v/>
      </c>
      <c r="AI72" s="57" t="str">
        <f aca="false">IF('STUDENT SCREENING'!AH72="","",IFERROR(INDEX('SCORING MASTER'!$D$49:$D$52,MATCH('STUDENT SCREENING'!AH72,'SCORING MASTER'!$C$49:$C$52,0)),""))</f>
        <v/>
      </c>
      <c r="AJ72" s="57" t="str">
        <f aca="false">IF('STUDENT SCREENING'!AI72="","",IFERROR(INDEX('SCORING MASTER'!$D$54:$D$57,MATCH('STUDENT SCREENING'!AI72,'SCORING MASTER'!$C$54:$C$57,0)),""))</f>
        <v/>
      </c>
      <c r="AK72" s="57" t="str">
        <f aca="false">IF('STUDENT SCREENING'!AJ72="","",IFERROR(INDEX('SCORING MASTER'!$D$59:$D$60,MATCH('STUDENT SCREENING'!AJ72,'SCORING MASTER'!$C$59:$C$60,0)),""))</f>
        <v/>
      </c>
      <c r="AL72" s="57" t="str">
        <f aca="false">IF('STUDENT SCREENING'!AK72="","",IFERROR(INDEX('SCORING MASTER'!$D$62:$D$63,MATCH('STUDENT SCREENING'!AK72,'SCORING MASTER'!$C$62:$C$63,0)),""))</f>
        <v/>
      </c>
      <c r="AM72" s="57" t="str">
        <f aca="false">IF('STUDENT SCREENING'!AL72="","",IFERROR(INDEX('SCORING MASTER'!$D$65:$D$66,MATCH('STUDENT SCREENING'!AL72,'SCORING MASTER'!$C$65:$C$66,0)),""))</f>
        <v/>
      </c>
      <c r="AN72" s="57" t="str">
        <f aca="false">IF('STUDENT SCREENING'!AM72="","",IFERROR(INDEX('SCORING MASTER'!$D$68:$D$69,MATCH('STUDENT SCREENING'!AM72,'SCORING MASTER'!$C$68:$C$69,0)),""))</f>
        <v/>
      </c>
      <c r="AO72" s="57" t="str">
        <f aca="false">IF('STUDENT SCREENING'!AN72="","",IFERROR(INDEX('SCORING MASTER'!$D$71:$D$72,MATCH('STUDENT SCREENING'!AN72,'SCORING MASTER'!$C$71:$C$72,0)),""))</f>
        <v/>
      </c>
      <c r="AP72" s="57" t="str">
        <f aca="false">IF('STUDENT SCREENING'!AO72="","",IFERROR(INDEX('SCORING MASTER'!$D$74:$D$75,MATCH('STUDENT SCREENING'!AO72,'SCORING MASTER'!$C$74:$C$75,0)),""))</f>
        <v/>
      </c>
      <c r="AQ72" s="57" t="str">
        <f aca="false">IF('STUDENT SCREENING'!AP72="","",IFERROR(INDEX('SCORING MASTER'!$D$77:$D$78,MATCH('STUDENT SCREENING'!AP72,'SCORING MASTER'!$C$77:$C$78,0)),""))</f>
        <v/>
      </c>
      <c r="AR72" s="57" t="str">
        <f aca="false">IF('STUDENT SCREENING'!AQ72="","",IFERROR(INDEX('SCORING MASTER'!$D$80:$D$82,MATCH('STUDENT SCREENING'!AQ72,'SCORING MASTER'!$C$80:$C$82,0)),""))</f>
        <v/>
      </c>
      <c r="AS72" s="57" t="str">
        <f aca="false">IF('STUDENT SCREENING'!AR72="","",IFERROR(INDEX('SCORING MASTER'!$D$84:$D$86,MATCH('STUDENT SCREENING'!AR72,'SCORING MASTER'!$C$84:$C$86,0)),""))</f>
        <v/>
      </c>
      <c r="AT72" s="57" t="str">
        <f aca="false">IF('STUDENT SCREENING'!AS72="","",IFERROR(INDEX('SCORING MASTER'!$D$88:$D$90,MATCH('STUDENT SCREENING'!AS72,'SCORING MASTER'!$C$88:$C$90,0)),""))</f>
        <v/>
      </c>
      <c r="AU72" s="57" t="str">
        <f aca="false">IF('STUDENT SCREENING'!AT72="","",IFERROR(INDEX('SCORING MASTER'!$D$92:$D$93,MATCH('STUDENT SCREENING'!AT72,'SCORING MASTER'!$C$92:$C$93,0)),""))</f>
        <v/>
      </c>
      <c r="AV72" s="57" t="str">
        <f aca="false">IF('STUDENT SCREENING'!AU72="","",IFERROR(INDEX('SCORING MASTER'!$D$95:$D$96,MATCH('STUDENT SCREENING'!AU72,'SCORING MASTER'!$C$95:$C$96,0)),""))</f>
        <v/>
      </c>
      <c r="AW72" s="57" t="str">
        <f aca="false">IF('STUDENT SCREENING'!AV72="","",IFERROR(INDEX('SCORING MASTER'!$D$98:$D$99,MATCH('STUDENT SCREENING'!AV72,'SCORING MASTER'!$C$98:$C$99,0)),""))</f>
        <v/>
      </c>
      <c r="AX72" s="57" t="str">
        <f aca="false">IF('STUDENT SCREENING'!AW72="","",IFERROR(INDEX('SCORING MASTER'!$D$101:$D$102,MATCH('STUDENT SCREENING'!AW72,'SCORING MASTER'!$C$101:$C$102,0)),""))</f>
        <v/>
      </c>
      <c r="AY72" s="57" t="str">
        <f aca="false">IF('STUDENT SCREENING'!AX72="","",IFERROR(INDEX('SCORING MASTER'!$D$104:$D$105,MATCH('STUDENT SCREENING'!AX72,'SCORING MASTER'!$C$104:$C$105,0)),""))</f>
        <v/>
      </c>
      <c r="AZ72" s="57" t="str">
        <f aca="false">IF('STUDENT SCREENING'!AY72="","",IFERROR(INDEX('SCORING MASTER'!$D$107:$D$108,MATCH('STUDENT SCREENING'!AY72,'SCORING MASTER'!$C$107:$C$108,0)),""))</f>
        <v/>
      </c>
      <c r="BA72" s="57" t="str">
        <f aca="false">IF('STUDENT SCREENING'!AZ72="","",IFERROR(INDEX('SCORING MASTER'!$D$110:$D$111,MATCH('STUDENT SCREENING'!AZ72,'SCORING MASTER'!$C$110:$C$111,0)),""))</f>
        <v/>
      </c>
      <c r="BB72" s="57" t="str">
        <f aca="false">IF('STUDENT SCREENING'!BA72="","",IFERROR(INDEX('SCORING MASTER'!$D$113:$D$115,MATCH('STUDENT SCREENING'!BA72,'SCORING MASTER'!$C$113:$C$115,0)),""))</f>
        <v/>
      </c>
      <c r="BC72" s="57" t="str">
        <f aca="false">IF('STUDENT SCREENING'!BB72="","",IFERROR(INDEX('SCORING MASTER'!$D$117:$D$119,MATCH('STUDENT SCREENING'!BB72,'SCORING MASTER'!$C$117:$C$119,0)),""))</f>
        <v/>
      </c>
      <c r="BD72" s="57" t="str">
        <f aca="false">IF('STUDENT SCREENING'!BC72="","",IFERROR(INDEX('SCORING MASTER'!$D$121:$D$123,MATCH('STUDENT SCREENING'!BC72,'SCORING MASTER'!$C$121:$C$123,0)),""))</f>
        <v/>
      </c>
      <c r="BE72" s="57" t="str">
        <f aca="false">IF('STUDENT SCREENING'!BD72="","",IFERROR(INDEX('SCORING MASTER'!$D$125:$D$126,MATCH('STUDENT SCREENING'!BD72,'SCORING MASTER'!$C$125:$C$126,0)),""))</f>
        <v/>
      </c>
      <c r="BF72" s="57" t="str">
        <f aca="false">IF('STUDENT SCREENING'!BE72="","",IFERROR(INDEX('SCORING MASTER'!$D$128:$D$129,MATCH('STUDENT SCREENING'!BE72,'SCORING MASTER'!$C$128:$C$129,0)),""))</f>
        <v/>
      </c>
      <c r="BG72" s="57" t="str">
        <f aca="false">IF('STUDENT SCREENING'!BP72="","",IFERROR(MATCH('STUDENT SCREENING'!BP72,{"Red - High Risk","Orange - Moderate Risk","Yellow - Mild Risk","Light Green - Mild Watch","Green - Healthy"},0)-1,""))</f>
        <v/>
      </c>
      <c r="BH72" s="57" t="str">
        <f aca="false">IF('STUDENT SCREENING'!BQ72="","",IF('STUDENT SCREENING'!BQ72="Yes",1,0))</f>
        <v/>
      </c>
      <c r="BI72" s="57" t="str">
        <f aca="false">IF('STUDENT SCREENING'!BR72="","",IF('STUDENT SCREENING'!BR72="Yes",1,0))</f>
        <v/>
      </c>
    </row>
    <row r="73" customFormat="false" ht="15" hidden="false" customHeight="false" outlineLevel="0" collapsed="false">
      <c r="A73" s="58" t="str">
        <f aca="false">'STUDENT SCREENING'!A73</f>
        <v/>
      </c>
      <c r="B73" s="58" t="n">
        <f aca="false">'STUDENT SCREENING'!C73</f>
        <v>0</v>
      </c>
      <c r="C73" s="58" t="n">
        <f aca="false">'STUDENT SCREENING'!D73</f>
        <v>0</v>
      </c>
      <c r="D73" s="58" t="n">
        <f aca="false">'STUDENT SCREENING'!E73</f>
        <v>0</v>
      </c>
      <c r="E73" s="58" t="n">
        <f aca="false">'STUDENT SCREENING'!F73</f>
        <v>0</v>
      </c>
      <c r="F73" s="58" t="n">
        <f aca="false">'STUDENT SCREENING'!K73</f>
        <v>0</v>
      </c>
      <c r="G73" s="58" t="n">
        <f aca="false">'STUDENT SCREENING'!J73</f>
        <v>0</v>
      </c>
      <c r="H73" s="58" t="str">
        <f aca="false">IF('STUDENT SCREENING'!K73="","",IFERROR(MATCH('STUDENT SCREENING'!K73,Adm_Gender,0),""))</f>
        <v/>
      </c>
      <c r="I73" s="58" t="n">
        <f aca="false">'STUDENT SCREENING'!Q73</f>
        <v>0</v>
      </c>
      <c r="J73" s="58" t="n">
        <f aca="false">'STUDENT SCREENING'!R73</f>
        <v>0</v>
      </c>
      <c r="K73" s="58" t="str">
        <f aca="false">'STUDENT SCREENING'!S73</f>
        <v/>
      </c>
      <c r="L73" s="58" t="n">
        <f aca="false">'STUDENT SCREENING'!U73</f>
        <v>0</v>
      </c>
      <c r="M73" s="58" t="n">
        <f aca="false">'STUDENT SCREENING'!V73</f>
        <v>0</v>
      </c>
      <c r="N73" s="58" t="str">
        <f aca="false">'STUDENT SCREENING'!BF73</f>
        <v/>
      </c>
      <c r="O73" s="58" t="str">
        <f aca="false">'STUDENT SCREENING'!BG73</f>
        <v/>
      </c>
      <c r="P73" s="58" t="str">
        <f aca="false">'STUDENT SCREENING'!BH73</f>
        <v/>
      </c>
      <c r="Q73" s="58" t="str">
        <f aca="false">'STUDENT SCREENING'!BI73</f>
        <v/>
      </c>
      <c r="R73" s="58" t="str">
        <f aca="false">'STUDENT SCREENING'!BJ73</f>
        <v/>
      </c>
      <c r="S73" s="58" t="str">
        <f aca="false">'STUDENT SCREENING'!BK73</f>
        <v/>
      </c>
      <c r="T73" s="58" t="str">
        <f aca="false">'STUDENT SCREENING'!BL73</f>
        <v/>
      </c>
      <c r="U73" s="58" t="str">
        <f aca="false">'STUDENT SCREENING'!BM73</f>
        <v/>
      </c>
      <c r="V73" s="58" t="str">
        <f aca="false">'STUDENT SCREENING'!BN73</f>
        <v/>
      </c>
      <c r="W73" s="58" t="str">
        <f aca="false">'STUDENT SCREENING'!BO73</f>
        <v/>
      </c>
      <c r="X73" s="58" t="str">
        <f aca="false">IF('STUDENT SCREENING'!W73="","",IFERROR(INDEX('SCORING MASTER'!$D$5:$D$7,MATCH('STUDENT SCREENING'!W73,'SCORING MASTER'!$C$5:$C$7,0)),""))</f>
        <v/>
      </c>
      <c r="Y73" s="58" t="str">
        <f aca="false">IF('STUDENT SCREENING'!X73="","",IFERROR(INDEX('SCORING MASTER'!$D$9:$D$11,MATCH('STUDENT SCREENING'!X73,'SCORING MASTER'!$C$9:$C$11,0)),""))</f>
        <v/>
      </c>
      <c r="Z73" s="58" t="str">
        <f aca="false">IF('STUDENT SCREENING'!Y73="","",IFERROR(INDEX('SCORING MASTER'!$D$13:$D$15,MATCH('STUDENT SCREENING'!Y73,'SCORING MASTER'!$C$13:$C$15,0)),""))</f>
        <v/>
      </c>
      <c r="AA73" s="58" t="str">
        <f aca="false">IF('STUDENT SCREENING'!Z73="","",IFERROR(INDEX('SCORING MASTER'!$D$17:$D$19,MATCH('STUDENT SCREENING'!Z73,'SCORING MASTER'!$C$17:$C$19,0)),""))</f>
        <v/>
      </c>
      <c r="AB73" s="58" t="str">
        <f aca="false">IF('STUDENT SCREENING'!AA73="","",IFERROR(INDEX('SCORING MASTER'!$D$21:$D$23,MATCH('STUDENT SCREENING'!AA73,'SCORING MASTER'!$C$21:$C$23,0)),""))</f>
        <v/>
      </c>
      <c r="AC73" s="58" t="str">
        <f aca="false">IF('STUDENT SCREENING'!AB73="","",IFERROR(INDEX('SCORING MASTER'!$D$25:$D$27,MATCH('STUDENT SCREENING'!AB73,'SCORING MASTER'!$C$25:$C$27,0)),""))</f>
        <v/>
      </c>
      <c r="AD73" s="58" t="str">
        <f aca="false">IF('STUDENT SCREENING'!AC73="","",IFERROR(INDEX('SCORING MASTER'!$D$29:$D$31,MATCH('STUDENT SCREENING'!AC73,'SCORING MASTER'!$C$29:$C$31,0)),""))</f>
        <v/>
      </c>
      <c r="AE73" s="58" t="str">
        <f aca="false">IF('STUDENT SCREENING'!AD73="","",IFERROR(INDEX('SCORING MASTER'!$D$33:$D$35,MATCH('STUDENT SCREENING'!AD73,'SCORING MASTER'!$C$33:$C$35,0)),""))</f>
        <v/>
      </c>
      <c r="AF73" s="58" t="str">
        <f aca="false">IF('STUDENT SCREENING'!AE73="","",IFERROR(INDEX('SCORING MASTER'!$D$37:$D$39,MATCH('STUDENT SCREENING'!AE73,'SCORING MASTER'!$C$37:$C$39,0)),""))</f>
        <v/>
      </c>
      <c r="AG73" s="58" t="str">
        <f aca="false">IF('STUDENT SCREENING'!AF73="","",IFERROR(INDEX('SCORING MASTER'!$D$41:$D$43,MATCH('STUDENT SCREENING'!AF73,'SCORING MASTER'!$C$41:$C$43,0)),""))</f>
        <v/>
      </c>
      <c r="AH73" s="58" t="str">
        <f aca="false">IF('STUDENT SCREENING'!AG73="","",IFERROR(INDEX('SCORING MASTER'!$D$45:$D$47,MATCH('STUDENT SCREENING'!AG73,'SCORING MASTER'!$C$45:$C$47,0)),""))</f>
        <v/>
      </c>
      <c r="AI73" s="58" t="str">
        <f aca="false">IF('STUDENT SCREENING'!AH73="","",IFERROR(INDEX('SCORING MASTER'!$D$49:$D$52,MATCH('STUDENT SCREENING'!AH73,'SCORING MASTER'!$C$49:$C$52,0)),""))</f>
        <v/>
      </c>
      <c r="AJ73" s="58" t="str">
        <f aca="false">IF('STUDENT SCREENING'!AI73="","",IFERROR(INDEX('SCORING MASTER'!$D$54:$D$57,MATCH('STUDENT SCREENING'!AI73,'SCORING MASTER'!$C$54:$C$57,0)),""))</f>
        <v/>
      </c>
      <c r="AK73" s="58" t="str">
        <f aca="false">IF('STUDENT SCREENING'!AJ73="","",IFERROR(INDEX('SCORING MASTER'!$D$59:$D$60,MATCH('STUDENT SCREENING'!AJ73,'SCORING MASTER'!$C$59:$C$60,0)),""))</f>
        <v/>
      </c>
      <c r="AL73" s="58" t="str">
        <f aca="false">IF('STUDENT SCREENING'!AK73="","",IFERROR(INDEX('SCORING MASTER'!$D$62:$D$63,MATCH('STUDENT SCREENING'!AK73,'SCORING MASTER'!$C$62:$C$63,0)),""))</f>
        <v/>
      </c>
      <c r="AM73" s="58" t="str">
        <f aca="false">IF('STUDENT SCREENING'!AL73="","",IFERROR(INDEX('SCORING MASTER'!$D$65:$D$66,MATCH('STUDENT SCREENING'!AL73,'SCORING MASTER'!$C$65:$C$66,0)),""))</f>
        <v/>
      </c>
      <c r="AN73" s="58" t="str">
        <f aca="false">IF('STUDENT SCREENING'!AM73="","",IFERROR(INDEX('SCORING MASTER'!$D$68:$D$69,MATCH('STUDENT SCREENING'!AM73,'SCORING MASTER'!$C$68:$C$69,0)),""))</f>
        <v/>
      </c>
      <c r="AO73" s="58" t="str">
        <f aca="false">IF('STUDENT SCREENING'!AN73="","",IFERROR(INDEX('SCORING MASTER'!$D$71:$D$72,MATCH('STUDENT SCREENING'!AN73,'SCORING MASTER'!$C$71:$C$72,0)),""))</f>
        <v/>
      </c>
      <c r="AP73" s="58" t="str">
        <f aca="false">IF('STUDENT SCREENING'!AO73="","",IFERROR(INDEX('SCORING MASTER'!$D$74:$D$75,MATCH('STUDENT SCREENING'!AO73,'SCORING MASTER'!$C$74:$C$75,0)),""))</f>
        <v/>
      </c>
      <c r="AQ73" s="58" t="str">
        <f aca="false">IF('STUDENT SCREENING'!AP73="","",IFERROR(INDEX('SCORING MASTER'!$D$77:$D$78,MATCH('STUDENT SCREENING'!AP73,'SCORING MASTER'!$C$77:$C$78,0)),""))</f>
        <v/>
      </c>
      <c r="AR73" s="58" t="str">
        <f aca="false">IF('STUDENT SCREENING'!AQ73="","",IFERROR(INDEX('SCORING MASTER'!$D$80:$D$82,MATCH('STUDENT SCREENING'!AQ73,'SCORING MASTER'!$C$80:$C$82,0)),""))</f>
        <v/>
      </c>
      <c r="AS73" s="58" t="str">
        <f aca="false">IF('STUDENT SCREENING'!AR73="","",IFERROR(INDEX('SCORING MASTER'!$D$84:$D$86,MATCH('STUDENT SCREENING'!AR73,'SCORING MASTER'!$C$84:$C$86,0)),""))</f>
        <v/>
      </c>
      <c r="AT73" s="58" t="str">
        <f aca="false">IF('STUDENT SCREENING'!AS73="","",IFERROR(INDEX('SCORING MASTER'!$D$88:$D$90,MATCH('STUDENT SCREENING'!AS73,'SCORING MASTER'!$C$88:$C$90,0)),""))</f>
        <v/>
      </c>
      <c r="AU73" s="58" t="str">
        <f aca="false">IF('STUDENT SCREENING'!AT73="","",IFERROR(INDEX('SCORING MASTER'!$D$92:$D$93,MATCH('STUDENT SCREENING'!AT73,'SCORING MASTER'!$C$92:$C$93,0)),""))</f>
        <v/>
      </c>
      <c r="AV73" s="58" t="str">
        <f aca="false">IF('STUDENT SCREENING'!AU73="","",IFERROR(INDEX('SCORING MASTER'!$D$95:$D$96,MATCH('STUDENT SCREENING'!AU73,'SCORING MASTER'!$C$95:$C$96,0)),""))</f>
        <v/>
      </c>
      <c r="AW73" s="58" t="str">
        <f aca="false">IF('STUDENT SCREENING'!AV73="","",IFERROR(INDEX('SCORING MASTER'!$D$98:$D$99,MATCH('STUDENT SCREENING'!AV73,'SCORING MASTER'!$C$98:$C$99,0)),""))</f>
        <v/>
      </c>
      <c r="AX73" s="58" t="str">
        <f aca="false">IF('STUDENT SCREENING'!AW73="","",IFERROR(INDEX('SCORING MASTER'!$D$101:$D$102,MATCH('STUDENT SCREENING'!AW73,'SCORING MASTER'!$C$101:$C$102,0)),""))</f>
        <v/>
      </c>
      <c r="AY73" s="58" t="str">
        <f aca="false">IF('STUDENT SCREENING'!AX73="","",IFERROR(INDEX('SCORING MASTER'!$D$104:$D$105,MATCH('STUDENT SCREENING'!AX73,'SCORING MASTER'!$C$104:$C$105,0)),""))</f>
        <v/>
      </c>
      <c r="AZ73" s="58" t="str">
        <f aca="false">IF('STUDENT SCREENING'!AY73="","",IFERROR(INDEX('SCORING MASTER'!$D$107:$D$108,MATCH('STUDENT SCREENING'!AY73,'SCORING MASTER'!$C$107:$C$108,0)),""))</f>
        <v/>
      </c>
      <c r="BA73" s="58" t="str">
        <f aca="false">IF('STUDENT SCREENING'!AZ73="","",IFERROR(INDEX('SCORING MASTER'!$D$110:$D$111,MATCH('STUDENT SCREENING'!AZ73,'SCORING MASTER'!$C$110:$C$111,0)),""))</f>
        <v/>
      </c>
      <c r="BB73" s="58" t="str">
        <f aca="false">IF('STUDENT SCREENING'!BA73="","",IFERROR(INDEX('SCORING MASTER'!$D$113:$D$115,MATCH('STUDENT SCREENING'!BA73,'SCORING MASTER'!$C$113:$C$115,0)),""))</f>
        <v/>
      </c>
      <c r="BC73" s="58" t="str">
        <f aca="false">IF('STUDENT SCREENING'!BB73="","",IFERROR(INDEX('SCORING MASTER'!$D$117:$D$119,MATCH('STUDENT SCREENING'!BB73,'SCORING MASTER'!$C$117:$C$119,0)),""))</f>
        <v/>
      </c>
      <c r="BD73" s="58" t="str">
        <f aca="false">IF('STUDENT SCREENING'!BC73="","",IFERROR(INDEX('SCORING MASTER'!$D$121:$D$123,MATCH('STUDENT SCREENING'!BC73,'SCORING MASTER'!$C$121:$C$123,0)),""))</f>
        <v/>
      </c>
      <c r="BE73" s="58" t="str">
        <f aca="false">IF('STUDENT SCREENING'!BD73="","",IFERROR(INDEX('SCORING MASTER'!$D$125:$D$126,MATCH('STUDENT SCREENING'!BD73,'SCORING MASTER'!$C$125:$C$126,0)),""))</f>
        <v/>
      </c>
      <c r="BF73" s="58" t="str">
        <f aca="false">IF('STUDENT SCREENING'!BE73="","",IFERROR(INDEX('SCORING MASTER'!$D$128:$D$129,MATCH('STUDENT SCREENING'!BE73,'SCORING MASTER'!$C$128:$C$129,0)),""))</f>
        <v/>
      </c>
      <c r="BG73" s="58" t="str">
        <f aca="false">IF('STUDENT SCREENING'!BP73="","",IFERROR(MATCH('STUDENT SCREENING'!BP73,{"Red - High Risk","Orange - Moderate Risk","Yellow - Mild Risk","Light Green - Mild Watch","Green - Healthy"},0)-1,""))</f>
        <v/>
      </c>
      <c r="BH73" s="58" t="str">
        <f aca="false">IF('STUDENT SCREENING'!BQ73="","",IF('STUDENT SCREENING'!BQ73="Yes",1,0))</f>
        <v/>
      </c>
      <c r="BI73" s="58" t="str">
        <f aca="false">IF('STUDENT SCREENING'!BR73="","",IF('STUDENT SCREENING'!BR73="Yes",1,0))</f>
        <v/>
      </c>
    </row>
    <row r="74" customFormat="false" ht="15" hidden="false" customHeight="false" outlineLevel="0" collapsed="false">
      <c r="A74" s="57" t="str">
        <f aca="false">'STUDENT SCREENING'!A74</f>
        <v/>
      </c>
      <c r="B74" s="57" t="n">
        <f aca="false">'STUDENT SCREENING'!C74</f>
        <v>0</v>
      </c>
      <c r="C74" s="57" t="n">
        <f aca="false">'STUDENT SCREENING'!D74</f>
        <v>0</v>
      </c>
      <c r="D74" s="57" t="n">
        <f aca="false">'STUDENT SCREENING'!E74</f>
        <v>0</v>
      </c>
      <c r="E74" s="57" t="n">
        <f aca="false">'STUDENT SCREENING'!F74</f>
        <v>0</v>
      </c>
      <c r="F74" s="57" t="n">
        <f aca="false">'STUDENT SCREENING'!K74</f>
        <v>0</v>
      </c>
      <c r="G74" s="57" t="n">
        <f aca="false">'STUDENT SCREENING'!J74</f>
        <v>0</v>
      </c>
      <c r="H74" s="57" t="str">
        <f aca="false">IF('STUDENT SCREENING'!K74="","",IFERROR(MATCH('STUDENT SCREENING'!K74,Adm_Gender,0),""))</f>
        <v/>
      </c>
      <c r="I74" s="57" t="n">
        <f aca="false">'STUDENT SCREENING'!Q74</f>
        <v>0</v>
      </c>
      <c r="J74" s="57" t="n">
        <f aca="false">'STUDENT SCREENING'!R74</f>
        <v>0</v>
      </c>
      <c r="K74" s="57" t="str">
        <f aca="false">'STUDENT SCREENING'!S74</f>
        <v/>
      </c>
      <c r="L74" s="57" t="n">
        <f aca="false">'STUDENT SCREENING'!U74</f>
        <v>0</v>
      </c>
      <c r="M74" s="57" t="n">
        <f aca="false">'STUDENT SCREENING'!V74</f>
        <v>0</v>
      </c>
      <c r="N74" s="57" t="str">
        <f aca="false">'STUDENT SCREENING'!BF74</f>
        <v/>
      </c>
      <c r="O74" s="57" t="str">
        <f aca="false">'STUDENT SCREENING'!BG74</f>
        <v/>
      </c>
      <c r="P74" s="57" t="str">
        <f aca="false">'STUDENT SCREENING'!BH74</f>
        <v/>
      </c>
      <c r="Q74" s="57" t="str">
        <f aca="false">'STUDENT SCREENING'!BI74</f>
        <v/>
      </c>
      <c r="R74" s="57" t="str">
        <f aca="false">'STUDENT SCREENING'!BJ74</f>
        <v/>
      </c>
      <c r="S74" s="57" t="str">
        <f aca="false">'STUDENT SCREENING'!BK74</f>
        <v/>
      </c>
      <c r="T74" s="57" t="str">
        <f aca="false">'STUDENT SCREENING'!BL74</f>
        <v/>
      </c>
      <c r="U74" s="57" t="str">
        <f aca="false">'STUDENT SCREENING'!BM74</f>
        <v/>
      </c>
      <c r="V74" s="57" t="str">
        <f aca="false">'STUDENT SCREENING'!BN74</f>
        <v/>
      </c>
      <c r="W74" s="57" t="str">
        <f aca="false">'STUDENT SCREENING'!BO74</f>
        <v/>
      </c>
      <c r="X74" s="57" t="str">
        <f aca="false">IF('STUDENT SCREENING'!W74="","",IFERROR(INDEX('SCORING MASTER'!$D$5:$D$7,MATCH('STUDENT SCREENING'!W74,'SCORING MASTER'!$C$5:$C$7,0)),""))</f>
        <v/>
      </c>
      <c r="Y74" s="57" t="str">
        <f aca="false">IF('STUDENT SCREENING'!X74="","",IFERROR(INDEX('SCORING MASTER'!$D$9:$D$11,MATCH('STUDENT SCREENING'!X74,'SCORING MASTER'!$C$9:$C$11,0)),""))</f>
        <v/>
      </c>
      <c r="Z74" s="57" t="str">
        <f aca="false">IF('STUDENT SCREENING'!Y74="","",IFERROR(INDEX('SCORING MASTER'!$D$13:$D$15,MATCH('STUDENT SCREENING'!Y74,'SCORING MASTER'!$C$13:$C$15,0)),""))</f>
        <v/>
      </c>
      <c r="AA74" s="57" t="str">
        <f aca="false">IF('STUDENT SCREENING'!Z74="","",IFERROR(INDEX('SCORING MASTER'!$D$17:$D$19,MATCH('STUDENT SCREENING'!Z74,'SCORING MASTER'!$C$17:$C$19,0)),""))</f>
        <v/>
      </c>
      <c r="AB74" s="57" t="str">
        <f aca="false">IF('STUDENT SCREENING'!AA74="","",IFERROR(INDEX('SCORING MASTER'!$D$21:$D$23,MATCH('STUDENT SCREENING'!AA74,'SCORING MASTER'!$C$21:$C$23,0)),""))</f>
        <v/>
      </c>
      <c r="AC74" s="57" t="str">
        <f aca="false">IF('STUDENT SCREENING'!AB74="","",IFERROR(INDEX('SCORING MASTER'!$D$25:$D$27,MATCH('STUDENT SCREENING'!AB74,'SCORING MASTER'!$C$25:$C$27,0)),""))</f>
        <v/>
      </c>
      <c r="AD74" s="57" t="str">
        <f aca="false">IF('STUDENT SCREENING'!AC74="","",IFERROR(INDEX('SCORING MASTER'!$D$29:$D$31,MATCH('STUDENT SCREENING'!AC74,'SCORING MASTER'!$C$29:$C$31,0)),""))</f>
        <v/>
      </c>
      <c r="AE74" s="57" t="str">
        <f aca="false">IF('STUDENT SCREENING'!AD74="","",IFERROR(INDEX('SCORING MASTER'!$D$33:$D$35,MATCH('STUDENT SCREENING'!AD74,'SCORING MASTER'!$C$33:$C$35,0)),""))</f>
        <v/>
      </c>
      <c r="AF74" s="57" t="str">
        <f aca="false">IF('STUDENT SCREENING'!AE74="","",IFERROR(INDEX('SCORING MASTER'!$D$37:$D$39,MATCH('STUDENT SCREENING'!AE74,'SCORING MASTER'!$C$37:$C$39,0)),""))</f>
        <v/>
      </c>
      <c r="AG74" s="57" t="str">
        <f aca="false">IF('STUDENT SCREENING'!AF74="","",IFERROR(INDEX('SCORING MASTER'!$D$41:$D$43,MATCH('STUDENT SCREENING'!AF74,'SCORING MASTER'!$C$41:$C$43,0)),""))</f>
        <v/>
      </c>
      <c r="AH74" s="57" t="str">
        <f aca="false">IF('STUDENT SCREENING'!AG74="","",IFERROR(INDEX('SCORING MASTER'!$D$45:$D$47,MATCH('STUDENT SCREENING'!AG74,'SCORING MASTER'!$C$45:$C$47,0)),""))</f>
        <v/>
      </c>
      <c r="AI74" s="57" t="str">
        <f aca="false">IF('STUDENT SCREENING'!AH74="","",IFERROR(INDEX('SCORING MASTER'!$D$49:$D$52,MATCH('STUDENT SCREENING'!AH74,'SCORING MASTER'!$C$49:$C$52,0)),""))</f>
        <v/>
      </c>
      <c r="AJ74" s="57" t="str">
        <f aca="false">IF('STUDENT SCREENING'!AI74="","",IFERROR(INDEX('SCORING MASTER'!$D$54:$D$57,MATCH('STUDENT SCREENING'!AI74,'SCORING MASTER'!$C$54:$C$57,0)),""))</f>
        <v/>
      </c>
      <c r="AK74" s="57" t="str">
        <f aca="false">IF('STUDENT SCREENING'!AJ74="","",IFERROR(INDEX('SCORING MASTER'!$D$59:$D$60,MATCH('STUDENT SCREENING'!AJ74,'SCORING MASTER'!$C$59:$C$60,0)),""))</f>
        <v/>
      </c>
      <c r="AL74" s="57" t="str">
        <f aca="false">IF('STUDENT SCREENING'!AK74="","",IFERROR(INDEX('SCORING MASTER'!$D$62:$D$63,MATCH('STUDENT SCREENING'!AK74,'SCORING MASTER'!$C$62:$C$63,0)),""))</f>
        <v/>
      </c>
      <c r="AM74" s="57" t="str">
        <f aca="false">IF('STUDENT SCREENING'!AL74="","",IFERROR(INDEX('SCORING MASTER'!$D$65:$D$66,MATCH('STUDENT SCREENING'!AL74,'SCORING MASTER'!$C$65:$C$66,0)),""))</f>
        <v/>
      </c>
      <c r="AN74" s="57" t="str">
        <f aca="false">IF('STUDENT SCREENING'!AM74="","",IFERROR(INDEX('SCORING MASTER'!$D$68:$D$69,MATCH('STUDENT SCREENING'!AM74,'SCORING MASTER'!$C$68:$C$69,0)),""))</f>
        <v/>
      </c>
      <c r="AO74" s="57" t="str">
        <f aca="false">IF('STUDENT SCREENING'!AN74="","",IFERROR(INDEX('SCORING MASTER'!$D$71:$D$72,MATCH('STUDENT SCREENING'!AN74,'SCORING MASTER'!$C$71:$C$72,0)),""))</f>
        <v/>
      </c>
      <c r="AP74" s="57" t="str">
        <f aca="false">IF('STUDENT SCREENING'!AO74="","",IFERROR(INDEX('SCORING MASTER'!$D$74:$D$75,MATCH('STUDENT SCREENING'!AO74,'SCORING MASTER'!$C$74:$C$75,0)),""))</f>
        <v/>
      </c>
      <c r="AQ74" s="57" t="str">
        <f aca="false">IF('STUDENT SCREENING'!AP74="","",IFERROR(INDEX('SCORING MASTER'!$D$77:$D$78,MATCH('STUDENT SCREENING'!AP74,'SCORING MASTER'!$C$77:$C$78,0)),""))</f>
        <v/>
      </c>
      <c r="AR74" s="57" t="str">
        <f aca="false">IF('STUDENT SCREENING'!AQ74="","",IFERROR(INDEX('SCORING MASTER'!$D$80:$D$82,MATCH('STUDENT SCREENING'!AQ74,'SCORING MASTER'!$C$80:$C$82,0)),""))</f>
        <v/>
      </c>
      <c r="AS74" s="57" t="str">
        <f aca="false">IF('STUDENT SCREENING'!AR74="","",IFERROR(INDEX('SCORING MASTER'!$D$84:$D$86,MATCH('STUDENT SCREENING'!AR74,'SCORING MASTER'!$C$84:$C$86,0)),""))</f>
        <v/>
      </c>
      <c r="AT74" s="57" t="str">
        <f aca="false">IF('STUDENT SCREENING'!AS74="","",IFERROR(INDEX('SCORING MASTER'!$D$88:$D$90,MATCH('STUDENT SCREENING'!AS74,'SCORING MASTER'!$C$88:$C$90,0)),""))</f>
        <v/>
      </c>
      <c r="AU74" s="57" t="str">
        <f aca="false">IF('STUDENT SCREENING'!AT74="","",IFERROR(INDEX('SCORING MASTER'!$D$92:$D$93,MATCH('STUDENT SCREENING'!AT74,'SCORING MASTER'!$C$92:$C$93,0)),""))</f>
        <v/>
      </c>
      <c r="AV74" s="57" t="str">
        <f aca="false">IF('STUDENT SCREENING'!AU74="","",IFERROR(INDEX('SCORING MASTER'!$D$95:$D$96,MATCH('STUDENT SCREENING'!AU74,'SCORING MASTER'!$C$95:$C$96,0)),""))</f>
        <v/>
      </c>
      <c r="AW74" s="57" t="str">
        <f aca="false">IF('STUDENT SCREENING'!AV74="","",IFERROR(INDEX('SCORING MASTER'!$D$98:$D$99,MATCH('STUDENT SCREENING'!AV74,'SCORING MASTER'!$C$98:$C$99,0)),""))</f>
        <v/>
      </c>
      <c r="AX74" s="57" t="str">
        <f aca="false">IF('STUDENT SCREENING'!AW74="","",IFERROR(INDEX('SCORING MASTER'!$D$101:$D$102,MATCH('STUDENT SCREENING'!AW74,'SCORING MASTER'!$C$101:$C$102,0)),""))</f>
        <v/>
      </c>
      <c r="AY74" s="57" t="str">
        <f aca="false">IF('STUDENT SCREENING'!AX74="","",IFERROR(INDEX('SCORING MASTER'!$D$104:$D$105,MATCH('STUDENT SCREENING'!AX74,'SCORING MASTER'!$C$104:$C$105,0)),""))</f>
        <v/>
      </c>
      <c r="AZ74" s="57" t="str">
        <f aca="false">IF('STUDENT SCREENING'!AY74="","",IFERROR(INDEX('SCORING MASTER'!$D$107:$D$108,MATCH('STUDENT SCREENING'!AY74,'SCORING MASTER'!$C$107:$C$108,0)),""))</f>
        <v/>
      </c>
      <c r="BA74" s="57" t="str">
        <f aca="false">IF('STUDENT SCREENING'!AZ74="","",IFERROR(INDEX('SCORING MASTER'!$D$110:$D$111,MATCH('STUDENT SCREENING'!AZ74,'SCORING MASTER'!$C$110:$C$111,0)),""))</f>
        <v/>
      </c>
      <c r="BB74" s="57" t="str">
        <f aca="false">IF('STUDENT SCREENING'!BA74="","",IFERROR(INDEX('SCORING MASTER'!$D$113:$D$115,MATCH('STUDENT SCREENING'!BA74,'SCORING MASTER'!$C$113:$C$115,0)),""))</f>
        <v/>
      </c>
      <c r="BC74" s="57" t="str">
        <f aca="false">IF('STUDENT SCREENING'!BB74="","",IFERROR(INDEX('SCORING MASTER'!$D$117:$D$119,MATCH('STUDENT SCREENING'!BB74,'SCORING MASTER'!$C$117:$C$119,0)),""))</f>
        <v/>
      </c>
      <c r="BD74" s="57" t="str">
        <f aca="false">IF('STUDENT SCREENING'!BC74="","",IFERROR(INDEX('SCORING MASTER'!$D$121:$D$123,MATCH('STUDENT SCREENING'!BC74,'SCORING MASTER'!$C$121:$C$123,0)),""))</f>
        <v/>
      </c>
      <c r="BE74" s="57" t="str">
        <f aca="false">IF('STUDENT SCREENING'!BD74="","",IFERROR(INDEX('SCORING MASTER'!$D$125:$D$126,MATCH('STUDENT SCREENING'!BD74,'SCORING MASTER'!$C$125:$C$126,0)),""))</f>
        <v/>
      </c>
      <c r="BF74" s="57" t="str">
        <f aca="false">IF('STUDENT SCREENING'!BE74="","",IFERROR(INDEX('SCORING MASTER'!$D$128:$D$129,MATCH('STUDENT SCREENING'!BE74,'SCORING MASTER'!$C$128:$C$129,0)),""))</f>
        <v/>
      </c>
      <c r="BG74" s="57" t="str">
        <f aca="false">IF('STUDENT SCREENING'!BP74="","",IFERROR(MATCH('STUDENT SCREENING'!BP74,{"Red - High Risk","Orange - Moderate Risk","Yellow - Mild Risk","Light Green - Mild Watch","Green - Healthy"},0)-1,""))</f>
        <v/>
      </c>
      <c r="BH74" s="57" t="str">
        <f aca="false">IF('STUDENT SCREENING'!BQ74="","",IF('STUDENT SCREENING'!BQ74="Yes",1,0))</f>
        <v/>
      </c>
      <c r="BI74" s="57" t="str">
        <f aca="false">IF('STUDENT SCREENING'!BR74="","",IF('STUDENT SCREENING'!BR74="Yes",1,0))</f>
        <v/>
      </c>
    </row>
    <row r="75" customFormat="false" ht="15" hidden="false" customHeight="false" outlineLevel="0" collapsed="false">
      <c r="A75" s="58" t="str">
        <f aca="false">'STUDENT SCREENING'!A75</f>
        <v/>
      </c>
      <c r="B75" s="58" t="n">
        <f aca="false">'STUDENT SCREENING'!C75</f>
        <v>0</v>
      </c>
      <c r="C75" s="58" t="n">
        <f aca="false">'STUDENT SCREENING'!D75</f>
        <v>0</v>
      </c>
      <c r="D75" s="58" t="n">
        <f aca="false">'STUDENT SCREENING'!E75</f>
        <v>0</v>
      </c>
      <c r="E75" s="58" t="n">
        <f aca="false">'STUDENT SCREENING'!F75</f>
        <v>0</v>
      </c>
      <c r="F75" s="58" t="n">
        <f aca="false">'STUDENT SCREENING'!K75</f>
        <v>0</v>
      </c>
      <c r="G75" s="58" t="n">
        <f aca="false">'STUDENT SCREENING'!J75</f>
        <v>0</v>
      </c>
      <c r="H75" s="58" t="str">
        <f aca="false">IF('STUDENT SCREENING'!K75="","",IFERROR(MATCH('STUDENT SCREENING'!K75,Adm_Gender,0),""))</f>
        <v/>
      </c>
      <c r="I75" s="58" t="n">
        <f aca="false">'STUDENT SCREENING'!Q75</f>
        <v>0</v>
      </c>
      <c r="J75" s="58" t="n">
        <f aca="false">'STUDENT SCREENING'!R75</f>
        <v>0</v>
      </c>
      <c r="K75" s="58" t="str">
        <f aca="false">'STUDENT SCREENING'!S75</f>
        <v/>
      </c>
      <c r="L75" s="58" t="n">
        <f aca="false">'STUDENT SCREENING'!U75</f>
        <v>0</v>
      </c>
      <c r="M75" s="58" t="n">
        <f aca="false">'STUDENT SCREENING'!V75</f>
        <v>0</v>
      </c>
      <c r="N75" s="58" t="str">
        <f aca="false">'STUDENT SCREENING'!BF75</f>
        <v/>
      </c>
      <c r="O75" s="58" t="str">
        <f aca="false">'STUDENT SCREENING'!BG75</f>
        <v/>
      </c>
      <c r="P75" s="58" t="str">
        <f aca="false">'STUDENT SCREENING'!BH75</f>
        <v/>
      </c>
      <c r="Q75" s="58" t="str">
        <f aca="false">'STUDENT SCREENING'!BI75</f>
        <v/>
      </c>
      <c r="R75" s="58" t="str">
        <f aca="false">'STUDENT SCREENING'!BJ75</f>
        <v/>
      </c>
      <c r="S75" s="58" t="str">
        <f aca="false">'STUDENT SCREENING'!BK75</f>
        <v/>
      </c>
      <c r="T75" s="58" t="str">
        <f aca="false">'STUDENT SCREENING'!BL75</f>
        <v/>
      </c>
      <c r="U75" s="58" t="str">
        <f aca="false">'STUDENT SCREENING'!BM75</f>
        <v/>
      </c>
      <c r="V75" s="58" t="str">
        <f aca="false">'STUDENT SCREENING'!BN75</f>
        <v/>
      </c>
      <c r="W75" s="58" t="str">
        <f aca="false">'STUDENT SCREENING'!BO75</f>
        <v/>
      </c>
      <c r="X75" s="58" t="str">
        <f aca="false">IF('STUDENT SCREENING'!W75="","",IFERROR(INDEX('SCORING MASTER'!$D$5:$D$7,MATCH('STUDENT SCREENING'!W75,'SCORING MASTER'!$C$5:$C$7,0)),""))</f>
        <v/>
      </c>
      <c r="Y75" s="58" t="str">
        <f aca="false">IF('STUDENT SCREENING'!X75="","",IFERROR(INDEX('SCORING MASTER'!$D$9:$D$11,MATCH('STUDENT SCREENING'!X75,'SCORING MASTER'!$C$9:$C$11,0)),""))</f>
        <v/>
      </c>
      <c r="Z75" s="58" t="str">
        <f aca="false">IF('STUDENT SCREENING'!Y75="","",IFERROR(INDEX('SCORING MASTER'!$D$13:$D$15,MATCH('STUDENT SCREENING'!Y75,'SCORING MASTER'!$C$13:$C$15,0)),""))</f>
        <v/>
      </c>
      <c r="AA75" s="58" t="str">
        <f aca="false">IF('STUDENT SCREENING'!Z75="","",IFERROR(INDEX('SCORING MASTER'!$D$17:$D$19,MATCH('STUDENT SCREENING'!Z75,'SCORING MASTER'!$C$17:$C$19,0)),""))</f>
        <v/>
      </c>
      <c r="AB75" s="58" t="str">
        <f aca="false">IF('STUDENT SCREENING'!AA75="","",IFERROR(INDEX('SCORING MASTER'!$D$21:$D$23,MATCH('STUDENT SCREENING'!AA75,'SCORING MASTER'!$C$21:$C$23,0)),""))</f>
        <v/>
      </c>
      <c r="AC75" s="58" t="str">
        <f aca="false">IF('STUDENT SCREENING'!AB75="","",IFERROR(INDEX('SCORING MASTER'!$D$25:$D$27,MATCH('STUDENT SCREENING'!AB75,'SCORING MASTER'!$C$25:$C$27,0)),""))</f>
        <v/>
      </c>
      <c r="AD75" s="58" t="str">
        <f aca="false">IF('STUDENT SCREENING'!AC75="","",IFERROR(INDEX('SCORING MASTER'!$D$29:$D$31,MATCH('STUDENT SCREENING'!AC75,'SCORING MASTER'!$C$29:$C$31,0)),""))</f>
        <v/>
      </c>
      <c r="AE75" s="58" t="str">
        <f aca="false">IF('STUDENT SCREENING'!AD75="","",IFERROR(INDEX('SCORING MASTER'!$D$33:$D$35,MATCH('STUDENT SCREENING'!AD75,'SCORING MASTER'!$C$33:$C$35,0)),""))</f>
        <v/>
      </c>
      <c r="AF75" s="58" t="str">
        <f aca="false">IF('STUDENT SCREENING'!AE75="","",IFERROR(INDEX('SCORING MASTER'!$D$37:$D$39,MATCH('STUDENT SCREENING'!AE75,'SCORING MASTER'!$C$37:$C$39,0)),""))</f>
        <v/>
      </c>
      <c r="AG75" s="58" t="str">
        <f aca="false">IF('STUDENT SCREENING'!AF75="","",IFERROR(INDEX('SCORING MASTER'!$D$41:$D$43,MATCH('STUDENT SCREENING'!AF75,'SCORING MASTER'!$C$41:$C$43,0)),""))</f>
        <v/>
      </c>
      <c r="AH75" s="58" t="str">
        <f aca="false">IF('STUDENT SCREENING'!AG75="","",IFERROR(INDEX('SCORING MASTER'!$D$45:$D$47,MATCH('STUDENT SCREENING'!AG75,'SCORING MASTER'!$C$45:$C$47,0)),""))</f>
        <v/>
      </c>
      <c r="AI75" s="58" t="str">
        <f aca="false">IF('STUDENT SCREENING'!AH75="","",IFERROR(INDEX('SCORING MASTER'!$D$49:$D$52,MATCH('STUDENT SCREENING'!AH75,'SCORING MASTER'!$C$49:$C$52,0)),""))</f>
        <v/>
      </c>
      <c r="AJ75" s="58" t="str">
        <f aca="false">IF('STUDENT SCREENING'!AI75="","",IFERROR(INDEX('SCORING MASTER'!$D$54:$D$57,MATCH('STUDENT SCREENING'!AI75,'SCORING MASTER'!$C$54:$C$57,0)),""))</f>
        <v/>
      </c>
      <c r="AK75" s="58" t="str">
        <f aca="false">IF('STUDENT SCREENING'!AJ75="","",IFERROR(INDEX('SCORING MASTER'!$D$59:$D$60,MATCH('STUDENT SCREENING'!AJ75,'SCORING MASTER'!$C$59:$C$60,0)),""))</f>
        <v/>
      </c>
      <c r="AL75" s="58" t="str">
        <f aca="false">IF('STUDENT SCREENING'!AK75="","",IFERROR(INDEX('SCORING MASTER'!$D$62:$D$63,MATCH('STUDENT SCREENING'!AK75,'SCORING MASTER'!$C$62:$C$63,0)),""))</f>
        <v/>
      </c>
      <c r="AM75" s="58" t="str">
        <f aca="false">IF('STUDENT SCREENING'!AL75="","",IFERROR(INDEX('SCORING MASTER'!$D$65:$D$66,MATCH('STUDENT SCREENING'!AL75,'SCORING MASTER'!$C$65:$C$66,0)),""))</f>
        <v/>
      </c>
      <c r="AN75" s="58" t="str">
        <f aca="false">IF('STUDENT SCREENING'!AM75="","",IFERROR(INDEX('SCORING MASTER'!$D$68:$D$69,MATCH('STUDENT SCREENING'!AM75,'SCORING MASTER'!$C$68:$C$69,0)),""))</f>
        <v/>
      </c>
      <c r="AO75" s="58" t="str">
        <f aca="false">IF('STUDENT SCREENING'!AN75="","",IFERROR(INDEX('SCORING MASTER'!$D$71:$D$72,MATCH('STUDENT SCREENING'!AN75,'SCORING MASTER'!$C$71:$C$72,0)),""))</f>
        <v/>
      </c>
      <c r="AP75" s="58" t="str">
        <f aca="false">IF('STUDENT SCREENING'!AO75="","",IFERROR(INDEX('SCORING MASTER'!$D$74:$D$75,MATCH('STUDENT SCREENING'!AO75,'SCORING MASTER'!$C$74:$C$75,0)),""))</f>
        <v/>
      </c>
      <c r="AQ75" s="58" t="str">
        <f aca="false">IF('STUDENT SCREENING'!AP75="","",IFERROR(INDEX('SCORING MASTER'!$D$77:$D$78,MATCH('STUDENT SCREENING'!AP75,'SCORING MASTER'!$C$77:$C$78,0)),""))</f>
        <v/>
      </c>
      <c r="AR75" s="58" t="str">
        <f aca="false">IF('STUDENT SCREENING'!AQ75="","",IFERROR(INDEX('SCORING MASTER'!$D$80:$D$82,MATCH('STUDENT SCREENING'!AQ75,'SCORING MASTER'!$C$80:$C$82,0)),""))</f>
        <v/>
      </c>
      <c r="AS75" s="58" t="str">
        <f aca="false">IF('STUDENT SCREENING'!AR75="","",IFERROR(INDEX('SCORING MASTER'!$D$84:$D$86,MATCH('STUDENT SCREENING'!AR75,'SCORING MASTER'!$C$84:$C$86,0)),""))</f>
        <v/>
      </c>
      <c r="AT75" s="58" t="str">
        <f aca="false">IF('STUDENT SCREENING'!AS75="","",IFERROR(INDEX('SCORING MASTER'!$D$88:$D$90,MATCH('STUDENT SCREENING'!AS75,'SCORING MASTER'!$C$88:$C$90,0)),""))</f>
        <v/>
      </c>
      <c r="AU75" s="58" t="str">
        <f aca="false">IF('STUDENT SCREENING'!AT75="","",IFERROR(INDEX('SCORING MASTER'!$D$92:$D$93,MATCH('STUDENT SCREENING'!AT75,'SCORING MASTER'!$C$92:$C$93,0)),""))</f>
        <v/>
      </c>
      <c r="AV75" s="58" t="str">
        <f aca="false">IF('STUDENT SCREENING'!AU75="","",IFERROR(INDEX('SCORING MASTER'!$D$95:$D$96,MATCH('STUDENT SCREENING'!AU75,'SCORING MASTER'!$C$95:$C$96,0)),""))</f>
        <v/>
      </c>
      <c r="AW75" s="58" t="str">
        <f aca="false">IF('STUDENT SCREENING'!AV75="","",IFERROR(INDEX('SCORING MASTER'!$D$98:$D$99,MATCH('STUDENT SCREENING'!AV75,'SCORING MASTER'!$C$98:$C$99,0)),""))</f>
        <v/>
      </c>
      <c r="AX75" s="58" t="str">
        <f aca="false">IF('STUDENT SCREENING'!AW75="","",IFERROR(INDEX('SCORING MASTER'!$D$101:$D$102,MATCH('STUDENT SCREENING'!AW75,'SCORING MASTER'!$C$101:$C$102,0)),""))</f>
        <v/>
      </c>
      <c r="AY75" s="58" t="str">
        <f aca="false">IF('STUDENT SCREENING'!AX75="","",IFERROR(INDEX('SCORING MASTER'!$D$104:$D$105,MATCH('STUDENT SCREENING'!AX75,'SCORING MASTER'!$C$104:$C$105,0)),""))</f>
        <v/>
      </c>
      <c r="AZ75" s="58" t="str">
        <f aca="false">IF('STUDENT SCREENING'!AY75="","",IFERROR(INDEX('SCORING MASTER'!$D$107:$D$108,MATCH('STUDENT SCREENING'!AY75,'SCORING MASTER'!$C$107:$C$108,0)),""))</f>
        <v/>
      </c>
      <c r="BA75" s="58" t="str">
        <f aca="false">IF('STUDENT SCREENING'!AZ75="","",IFERROR(INDEX('SCORING MASTER'!$D$110:$D$111,MATCH('STUDENT SCREENING'!AZ75,'SCORING MASTER'!$C$110:$C$111,0)),""))</f>
        <v/>
      </c>
      <c r="BB75" s="58" t="str">
        <f aca="false">IF('STUDENT SCREENING'!BA75="","",IFERROR(INDEX('SCORING MASTER'!$D$113:$D$115,MATCH('STUDENT SCREENING'!BA75,'SCORING MASTER'!$C$113:$C$115,0)),""))</f>
        <v/>
      </c>
      <c r="BC75" s="58" t="str">
        <f aca="false">IF('STUDENT SCREENING'!BB75="","",IFERROR(INDEX('SCORING MASTER'!$D$117:$D$119,MATCH('STUDENT SCREENING'!BB75,'SCORING MASTER'!$C$117:$C$119,0)),""))</f>
        <v/>
      </c>
      <c r="BD75" s="58" t="str">
        <f aca="false">IF('STUDENT SCREENING'!BC75="","",IFERROR(INDEX('SCORING MASTER'!$D$121:$D$123,MATCH('STUDENT SCREENING'!BC75,'SCORING MASTER'!$C$121:$C$123,0)),""))</f>
        <v/>
      </c>
      <c r="BE75" s="58" t="str">
        <f aca="false">IF('STUDENT SCREENING'!BD75="","",IFERROR(INDEX('SCORING MASTER'!$D$125:$D$126,MATCH('STUDENT SCREENING'!BD75,'SCORING MASTER'!$C$125:$C$126,0)),""))</f>
        <v/>
      </c>
      <c r="BF75" s="58" t="str">
        <f aca="false">IF('STUDENT SCREENING'!BE75="","",IFERROR(INDEX('SCORING MASTER'!$D$128:$D$129,MATCH('STUDENT SCREENING'!BE75,'SCORING MASTER'!$C$128:$C$129,0)),""))</f>
        <v/>
      </c>
      <c r="BG75" s="58" t="str">
        <f aca="false">IF('STUDENT SCREENING'!BP75="","",IFERROR(MATCH('STUDENT SCREENING'!BP75,{"Red - High Risk","Orange - Moderate Risk","Yellow - Mild Risk","Light Green - Mild Watch","Green - Healthy"},0)-1,""))</f>
        <v/>
      </c>
      <c r="BH75" s="58" t="str">
        <f aca="false">IF('STUDENT SCREENING'!BQ75="","",IF('STUDENT SCREENING'!BQ75="Yes",1,0))</f>
        <v/>
      </c>
      <c r="BI75" s="58" t="str">
        <f aca="false">IF('STUDENT SCREENING'!BR75="","",IF('STUDENT SCREENING'!BR75="Yes",1,0))</f>
        <v/>
      </c>
    </row>
    <row r="76" customFormat="false" ht="15" hidden="false" customHeight="false" outlineLevel="0" collapsed="false">
      <c r="A76" s="57" t="str">
        <f aca="false">'STUDENT SCREENING'!A76</f>
        <v/>
      </c>
      <c r="B76" s="57" t="n">
        <f aca="false">'STUDENT SCREENING'!C76</f>
        <v>0</v>
      </c>
      <c r="C76" s="57" t="n">
        <f aca="false">'STUDENT SCREENING'!D76</f>
        <v>0</v>
      </c>
      <c r="D76" s="57" t="n">
        <f aca="false">'STUDENT SCREENING'!E76</f>
        <v>0</v>
      </c>
      <c r="E76" s="57" t="n">
        <f aca="false">'STUDENT SCREENING'!F76</f>
        <v>0</v>
      </c>
      <c r="F76" s="57" t="n">
        <f aca="false">'STUDENT SCREENING'!K76</f>
        <v>0</v>
      </c>
      <c r="G76" s="57" t="n">
        <f aca="false">'STUDENT SCREENING'!J76</f>
        <v>0</v>
      </c>
      <c r="H76" s="57" t="str">
        <f aca="false">IF('STUDENT SCREENING'!K76="","",IFERROR(MATCH('STUDENT SCREENING'!K76,Adm_Gender,0),""))</f>
        <v/>
      </c>
      <c r="I76" s="57" t="n">
        <f aca="false">'STUDENT SCREENING'!Q76</f>
        <v>0</v>
      </c>
      <c r="J76" s="57" t="n">
        <f aca="false">'STUDENT SCREENING'!R76</f>
        <v>0</v>
      </c>
      <c r="K76" s="57" t="str">
        <f aca="false">'STUDENT SCREENING'!S76</f>
        <v/>
      </c>
      <c r="L76" s="57" t="n">
        <f aca="false">'STUDENT SCREENING'!U76</f>
        <v>0</v>
      </c>
      <c r="M76" s="57" t="n">
        <f aca="false">'STUDENT SCREENING'!V76</f>
        <v>0</v>
      </c>
      <c r="N76" s="57" t="str">
        <f aca="false">'STUDENT SCREENING'!BF76</f>
        <v/>
      </c>
      <c r="O76" s="57" t="str">
        <f aca="false">'STUDENT SCREENING'!BG76</f>
        <v/>
      </c>
      <c r="P76" s="57" t="str">
        <f aca="false">'STUDENT SCREENING'!BH76</f>
        <v/>
      </c>
      <c r="Q76" s="57" t="str">
        <f aca="false">'STUDENT SCREENING'!BI76</f>
        <v/>
      </c>
      <c r="R76" s="57" t="str">
        <f aca="false">'STUDENT SCREENING'!BJ76</f>
        <v/>
      </c>
      <c r="S76" s="57" t="str">
        <f aca="false">'STUDENT SCREENING'!BK76</f>
        <v/>
      </c>
      <c r="T76" s="57" t="str">
        <f aca="false">'STUDENT SCREENING'!BL76</f>
        <v/>
      </c>
      <c r="U76" s="57" t="str">
        <f aca="false">'STUDENT SCREENING'!BM76</f>
        <v/>
      </c>
      <c r="V76" s="57" t="str">
        <f aca="false">'STUDENT SCREENING'!BN76</f>
        <v/>
      </c>
      <c r="W76" s="57" t="str">
        <f aca="false">'STUDENT SCREENING'!BO76</f>
        <v/>
      </c>
      <c r="X76" s="57" t="str">
        <f aca="false">IF('STUDENT SCREENING'!W76="","",IFERROR(INDEX('SCORING MASTER'!$D$5:$D$7,MATCH('STUDENT SCREENING'!W76,'SCORING MASTER'!$C$5:$C$7,0)),""))</f>
        <v/>
      </c>
      <c r="Y76" s="57" t="str">
        <f aca="false">IF('STUDENT SCREENING'!X76="","",IFERROR(INDEX('SCORING MASTER'!$D$9:$D$11,MATCH('STUDENT SCREENING'!X76,'SCORING MASTER'!$C$9:$C$11,0)),""))</f>
        <v/>
      </c>
      <c r="Z76" s="57" t="str">
        <f aca="false">IF('STUDENT SCREENING'!Y76="","",IFERROR(INDEX('SCORING MASTER'!$D$13:$D$15,MATCH('STUDENT SCREENING'!Y76,'SCORING MASTER'!$C$13:$C$15,0)),""))</f>
        <v/>
      </c>
      <c r="AA76" s="57" t="str">
        <f aca="false">IF('STUDENT SCREENING'!Z76="","",IFERROR(INDEX('SCORING MASTER'!$D$17:$D$19,MATCH('STUDENT SCREENING'!Z76,'SCORING MASTER'!$C$17:$C$19,0)),""))</f>
        <v/>
      </c>
      <c r="AB76" s="57" t="str">
        <f aca="false">IF('STUDENT SCREENING'!AA76="","",IFERROR(INDEX('SCORING MASTER'!$D$21:$D$23,MATCH('STUDENT SCREENING'!AA76,'SCORING MASTER'!$C$21:$C$23,0)),""))</f>
        <v/>
      </c>
      <c r="AC76" s="57" t="str">
        <f aca="false">IF('STUDENT SCREENING'!AB76="","",IFERROR(INDEX('SCORING MASTER'!$D$25:$D$27,MATCH('STUDENT SCREENING'!AB76,'SCORING MASTER'!$C$25:$C$27,0)),""))</f>
        <v/>
      </c>
      <c r="AD76" s="57" t="str">
        <f aca="false">IF('STUDENT SCREENING'!AC76="","",IFERROR(INDEX('SCORING MASTER'!$D$29:$D$31,MATCH('STUDENT SCREENING'!AC76,'SCORING MASTER'!$C$29:$C$31,0)),""))</f>
        <v/>
      </c>
      <c r="AE76" s="57" t="str">
        <f aca="false">IF('STUDENT SCREENING'!AD76="","",IFERROR(INDEX('SCORING MASTER'!$D$33:$D$35,MATCH('STUDENT SCREENING'!AD76,'SCORING MASTER'!$C$33:$C$35,0)),""))</f>
        <v/>
      </c>
      <c r="AF76" s="57" t="str">
        <f aca="false">IF('STUDENT SCREENING'!AE76="","",IFERROR(INDEX('SCORING MASTER'!$D$37:$D$39,MATCH('STUDENT SCREENING'!AE76,'SCORING MASTER'!$C$37:$C$39,0)),""))</f>
        <v/>
      </c>
      <c r="AG76" s="57" t="str">
        <f aca="false">IF('STUDENT SCREENING'!AF76="","",IFERROR(INDEX('SCORING MASTER'!$D$41:$D$43,MATCH('STUDENT SCREENING'!AF76,'SCORING MASTER'!$C$41:$C$43,0)),""))</f>
        <v/>
      </c>
      <c r="AH76" s="57" t="str">
        <f aca="false">IF('STUDENT SCREENING'!AG76="","",IFERROR(INDEX('SCORING MASTER'!$D$45:$D$47,MATCH('STUDENT SCREENING'!AG76,'SCORING MASTER'!$C$45:$C$47,0)),""))</f>
        <v/>
      </c>
      <c r="AI76" s="57" t="str">
        <f aca="false">IF('STUDENT SCREENING'!AH76="","",IFERROR(INDEX('SCORING MASTER'!$D$49:$D$52,MATCH('STUDENT SCREENING'!AH76,'SCORING MASTER'!$C$49:$C$52,0)),""))</f>
        <v/>
      </c>
      <c r="AJ76" s="57" t="str">
        <f aca="false">IF('STUDENT SCREENING'!AI76="","",IFERROR(INDEX('SCORING MASTER'!$D$54:$D$57,MATCH('STUDENT SCREENING'!AI76,'SCORING MASTER'!$C$54:$C$57,0)),""))</f>
        <v/>
      </c>
      <c r="AK76" s="57" t="str">
        <f aca="false">IF('STUDENT SCREENING'!AJ76="","",IFERROR(INDEX('SCORING MASTER'!$D$59:$D$60,MATCH('STUDENT SCREENING'!AJ76,'SCORING MASTER'!$C$59:$C$60,0)),""))</f>
        <v/>
      </c>
      <c r="AL76" s="57" t="str">
        <f aca="false">IF('STUDENT SCREENING'!AK76="","",IFERROR(INDEX('SCORING MASTER'!$D$62:$D$63,MATCH('STUDENT SCREENING'!AK76,'SCORING MASTER'!$C$62:$C$63,0)),""))</f>
        <v/>
      </c>
      <c r="AM76" s="57" t="str">
        <f aca="false">IF('STUDENT SCREENING'!AL76="","",IFERROR(INDEX('SCORING MASTER'!$D$65:$D$66,MATCH('STUDENT SCREENING'!AL76,'SCORING MASTER'!$C$65:$C$66,0)),""))</f>
        <v/>
      </c>
      <c r="AN76" s="57" t="str">
        <f aca="false">IF('STUDENT SCREENING'!AM76="","",IFERROR(INDEX('SCORING MASTER'!$D$68:$D$69,MATCH('STUDENT SCREENING'!AM76,'SCORING MASTER'!$C$68:$C$69,0)),""))</f>
        <v/>
      </c>
      <c r="AO76" s="57" t="str">
        <f aca="false">IF('STUDENT SCREENING'!AN76="","",IFERROR(INDEX('SCORING MASTER'!$D$71:$D$72,MATCH('STUDENT SCREENING'!AN76,'SCORING MASTER'!$C$71:$C$72,0)),""))</f>
        <v/>
      </c>
      <c r="AP76" s="57" t="str">
        <f aca="false">IF('STUDENT SCREENING'!AO76="","",IFERROR(INDEX('SCORING MASTER'!$D$74:$D$75,MATCH('STUDENT SCREENING'!AO76,'SCORING MASTER'!$C$74:$C$75,0)),""))</f>
        <v/>
      </c>
      <c r="AQ76" s="57" t="str">
        <f aca="false">IF('STUDENT SCREENING'!AP76="","",IFERROR(INDEX('SCORING MASTER'!$D$77:$D$78,MATCH('STUDENT SCREENING'!AP76,'SCORING MASTER'!$C$77:$C$78,0)),""))</f>
        <v/>
      </c>
      <c r="AR76" s="57" t="str">
        <f aca="false">IF('STUDENT SCREENING'!AQ76="","",IFERROR(INDEX('SCORING MASTER'!$D$80:$D$82,MATCH('STUDENT SCREENING'!AQ76,'SCORING MASTER'!$C$80:$C$82,0)),""))</f>
        <v/>
      </c>
      <c r="AS76" s="57" t="str">
        <f aca="false">IF('STUDENT SCREENING'!AR76="","",IFERROR(INDEX('SCORING MASTER'!$D$84:$D$86,MATCH('STUDENT SCREENING'!AR76,'SCORING MASTER'!$C$84:$C$86,0)),""))</f>
        <v/>
      </c>
      <c r="AT76" s="57" t="str">
        <f aca="false">IF('STUDENT SCREENING'!AS76="","",IFERROR(INDEX('SCORING MASTER'!$D$88:$D$90,MATCH('STUDENT SCREENING'!AS76,'SCORING MASTER'!$C$88:$C$90,0)),""))</f>
        <v/>
      </c>
      <c r="AU76" s="57" t="str">
        <f aca="false">IF('STUDENT SCREENING'!AT76="","",IFERROR(INDEX('SCORING MASTER'!$D$92:$D$93,MATCH('STUDENT SCREENING'!AT76,'SCORING MASTER'!$C$92:$C$93,0)),""))</f>
        <v/>
      </c>
      <c r="AV76" s="57" t="str">
        <f aca="false">IF('STUDENT SCREENING'!AU76="","",IFERROR(INDEX('SCORING MASTER'!$D$95:$D$96,MATCH('STUDENT SCREENING'!AU76,'SCORING MASTER'!$C$95:$C$96,0)),""))</f>
        <v/>
      </c>
      <c r="AW76" s="57" t="str">
        <f aca="false">IF('STUDENT SCREENING'!AV76="","",IFERROR(INDEX('SCORING MASTER'!$D$98:$D$99,MATCH('STUDENT SCREENING'!AV76,'SCORING MASTER'!$C$98:$C$99,0)),""))</f>
        <v/>
      </c>
      <c r="AX76" s="57" t="str">
        <f aca="false">IF('STUDENT SCREENING'!AW76="","",IFERROR(INDEX('SCORING MASTER'!$D$101:$D$102,MATCH('STUDENT SCREENING'!AW76,'SCORING MASTER'!$C$101:$C$102,0)),""))</f>
        <v/>
      </c>
      <c r="AY76" s="57" t="str">
        <f aca="false">IF('STUDENT SCREENING'!AX76="","",IFERROR(INDEX('SCORING MASTER'!$D$104:$D$105,MATCH('STUDENT SCREENING'!AX76,'SCORING MASTER'!$C$104:$C$105,0)),""))</f>
        <v/>
      </c>
      <c r="AZ76" s="57" t="str">
        <f aca="false">IF('STUDENT SCREENING'!AY76="","",IFERROR(INDEX('SCORING MASTER'!$D$107:$D$108,MATCH('STUDENT SCREENING'!AY76,'SCORING MASTER'!$C$107:$C$108,0)),""))</f>
        <v/>
      </c>
      <c r="BA76" s="57" t="str">
        <f aca="false">IF('STUDENT SCREENING'!AZ76="","",IFERROR(INDEX('SCORING MASTER'!$D$110:$D$111,MATCH('STUDENT SCREENING'!AZ76,'SCORING MASTER'!$C$110:$C$111,0)),""))</f>
        <v/>
      </c>
      <c r="BB76" s="57" t="str">
        <f aca="false">IF('STUDENT SCREENING'!BA76="","",IFERROR(INDEX('SCORING MASTER'!$D$113:$D$115,MATCH('STUDENT SCREENING'!BA76,'SCORING MASTER'!$C$113:$C$115,0)),""))</f>
        <v/>
      </c>
      <c r="BC76" s="57" t="str">
        <f aca="false">IF('STUDENT SCREENING'!BB76="","",IFERROR(INDEX('SCORING MASTER'!$D$117:$D$119,MATCH('STUDENT SCREENING'!BB76,'SCORING MASTER'!$C$117:$C$119,0)),""))</f>
        <v/>
      </c>
      <c r="BD76" s="57" t="str">
        <f aca="false">IF('STUDENT SCREENING'!BC76="","",IFERROR(INDEX('SCORING MASTER'!$D$121:$D$123,MATCH('STUDENT SCREENING'!BC76,'SCORING MASTER'!$C$121:$C$123,0)),""))</f>
        <v/>
      </c>
      <c r="BE76" s="57" t="str">
        <f aca="false">IF('STUDENT SCREENING'!BD76="","",IFERROR(INDEX('SCORING MASTER'!$D$125:$D$126,MATCH('STUDENT SCREENING'!BD76,'SCORING MASTER'!$C$125:$C$126,0)),""))</f>
        <v/>
      </c>
      <c r="BF76" s="57" t="str">
        <f aca="false">IF('STUDENT SCREENING'!BE76="","",IFERROR(INDEX('SCORING MASTER'!$D$128:$D$129,MATCH('STUDENT SCREENING'!BE76,'SCORING MASTER'!$C$128:$C$129,0)),""))</f>
        <v/>
      </c>
      <c r="BG76" s="57" t="str">
        <f aca="false">IF('STUDENT SCREENING'!BP76="","",IFERROR(MATCH('STUDENT SCREENING'!BP76,{"Red - High Risk","Orange - Moderate Risk","Yellow - Mild Risk","Light Green - Mild Watch","Green - Healthy"},0)-1,""))</f>
        <v/>
      </c>
      <c r="BH76" s="57" t="str">
        <f aca="false">IF('STUDENT SCREENING'!BQ76="","",IF('STUDENT SCREENING'!BQ76="Yes",1,0))</f>
        <v/>
      </c>
      <c r="BI76" s="57" t="str">
        <f aca="false">IF('STUDENT SCREENING'!BR76="","",IF('STUDENT SCREENING'!BR76="Yes",1,0))</f>
        <v/>
      </c>
    </row>
    <row r="77" customFormat="false" ht="15" hidden="false" customHeight="false" outlineLevel="0" collapsed="false">
      <c r="A77" s="58" t="str">
        <f aca="false">'STUDENT SCREENING'!A77</f>
        <v/>
      </c>
      <c r="B77" s="58" t="n">
        <f aca="false">'STUDENT SCREENING'!C77</f>
        <v>0</v>
      </c>
      <c r="C77" s="58" t="n">
        <f aca="false">'STUDENT SCREENING'!D77</f>
        <v>0</v>
      </c>
      <c r="D77" s="58" t="n">
        <f aca="false">'STUDENT SCREENING'!E77</f>
        <v>0</v>
      </c>
      <c r="E77" s="58" t="n">
        <f aca="false">'STUDENT SCREENING'!F77</f>
        <v>0</v>
      </c>
      <c r="F77" s="58" t="n">
        <f aca="false">'STUDENT SCREENING'!K77</f>
        <v>0</v>
      </c>
      <c r="G77" s="58" t="n">
        <f aca="false">'STUDENT SCREENING'!J77</f>
        <v>0</v>
      </c>
      <c r="H77" s="58" t="str">
        <f aca="false">IF('STUDENT SCREENING'!K77="","",IFERROR(MATCH('STUDENT SCREENING'!K77,Adm_Gender,0),""))</f>
        <v/>
      </c>
      <c r="I77" s="58" t="n">
        <f aca="false">'STUDENT SCREENING'!Q77</f>
        <v>0</v>
      </c>
      <c r="J77" s="58" t="n">
        <f aca="false">'STUDENT SCREENING'!R77</f>
        <v>0</v>
      </c>
      <c r="K77" s="58" t="str">
        <f aca="false">'STUDENT SCREENING'!S77</f>
        <v/>
      </c>
      <c r="L77" s="58" t="n">
        <f aca="false">'STUDENT SCREENING'!U77</f>
        <v>0</v>
      </c>
      <c r="M77" s="58" t="n">
        <f aca="false">'STUDENT SCREENING'!V77</f>
        <v>0</v>
      </c>
      <c r="N77" s="58" t="str">
        <f aca="false">'STUDENT SCREENING'!BF77</f>
        <v/>
      </c>
      <c r="O77" s="58" t="str">
        <f aca="false">'STUDENT SCREENING'!BG77</f>
        <v/>
      </c>
      <c r="P77" s="58" t="str">
        <f aca="false">'STUDENT SCREENING'!BH77</f>
        <v/>
      </c>
      <c r="Q77" s="58" t="str">
        <f aca="false">'STUDENT SCREENING'!BI77</f>
        <v/>
      </c>
      <c r="R77" s="58" t="str">
        <f aca="false">'STUDENT SCREENING'!BJ77</f>
        <v/>
      </c>
      <c r="S77" s="58" t="str">
        <f aca="false">'STUDENT SCREENING'!BK77</f>
        <v/>
      </c>
      <c r="T77" s="58" t="str">
        <f aca="false">'STUDENT SCREENING'!BL77</f>
        <v/>
      </c>
      <c r="U77" s="58" t="str">
        <f aca="false">'STUDENT SCREENING'!BM77</f>
        <v/>
      </c>
      <c r="V77" s="58" t="str">
        <f aca="false">'STUDENT SCREENING'!BN77</f>
        <v/>
      </c>
      <c r="W77" s="58" t="str">
        <f aca="false">'STUDENT SCREENING'!BO77</f>
        <v/>
      </c>
      <c r="X77" s="58" t="str">
        <f aca="false">IF('STUDENT SCREENING'!W77="","",IFERROR(INDEX('SCORING MASTER'!$D$5:$D$7,MATCH('STUDENT SCREENING'!W77,'SCORING MASTER'!$C$5:$C$7,0)),""))</f>
        <v/>
      </c>
      <c r="Y77" s="58" t="str">
        <f aca="false">IF('STUDENT SCREENING'!X77="","",IFERROR(INDEX('SCORING MASTER'!$D$9:$D$11,MATCH('STUDENT SCREENING'!X77,'SCORING MASTER'!$C$9:$C$11,0)),""))</f>
        <v/>
      </c>
      <c r="Z77" s="58" t="str">
        <f aca="false">IF('STUDENT SCREENING'!Y77="","",IFERROR(INDEX('SCORING MASTER'!$D$13:$D$15,MATCH('STUDENT SCREENING'!Y77,'SCORING MASTER'!$C$13:$C$15,0)),""))</f>
        <v/>
      </c>
      <c r="AA77" s="58" t="str">
        <f aca="false">IF('STUDENT SCREENING'!Z77="","",IFERROR(INDEX('SCORING MASTER'!$D$17:$D$19,MATCH('STUDENT SCREENING'!Z77,'SCORING MASTER'!$C$17:$C$19,0)),""))</f>
        <v/>
      </c>
      <c r="AB77" s="58" t="str">
        <f aca="false">IF('STUDENT SCREENING'!AA77="","",IFERROR(INDEX('SCORING MASTER'!$D$21:$D$23,MATCH('STUDENT SCREENING'!AA77,'SCORING MASTER'!$C$21:$C$23,0)),""))</f>
        <v/>
      </c>
      <c r="AC77" s="58" t="str">
        <f aca="false">IF('STUDENT SCREENING'!AB77="","",IFERROR(INDEX('SCORING MASTER'!$D$25:$D$27,MATCH('STUDENT SCREENING'!AB77,'SCORING MASTER'!$C$25:$C$27,0)),""))</f>
        <v/>
      </c>
      <c r="AD77" s="58" t="str">
        <f aca="false">IF('STUDENT SCREENING'!AC77="","",IFERROR(INDEX('SCORING MASTER'!$D$29:$D$31,MATCH('STUDENT SCREENING'!AC77,'SCORING MASTER'!$C$29:$C$31,0)),""))</f>
        <v/>
      </c>
      <c r="AE77" s="58" t="str">
        <f aca="false">IF('STUDENT SCREENING'!AD77="","",IFERROR(INDEX('SCORING MASTER'!$D$33:$D$35,MATCH('STUDENT SCREENING'!AD77,'SCORING MASTER'!$C$33:$C$35,0)),""))</f>
        <v/>
      </c>
      <c r="AF77" s="58" t="str">
        <f aca="false">IF('STUDENT SCREENING'!AE77="","",IFERROR(INDEX('SCORING MASTER'!$D$37:$D$39,MATCH('STUDENT SCREENING'!AE77,'SCORING MASTER'!$C$37:$C$39,0)),""))</f>
        <v/>
      </c>
      <c r="AG77" s="58" t="str">
        <f aca="false">IF('STUDENT SCREENING'!AF77="","",IFERROR(INDEX('SCORING MASTER'!$D$41:$D$43,MATCH('STUDENT SCREENING'!AF77,'SCORING MASTER'!$C$41:$C$43,0)),""))</f>
        <v/>
      </c>
      <c r="AH77" s="58" t="str">
        <f aca="false">IF('STUDENT SCREENING'!AG77="","",IFERROR(INDEX('SCORING MASTER'!$D$45:$D$47,MATCH('STUDENT SCREENING'!AG77,'SCORING MASTER'!$C$45:$C$47,0)),""))</f>
        <v/>
      </c>
      <c r="AI77" s="58" t="str">
        <f aca="false">IF('STUDENT SCREENING'!AH77="","",IFERROR(INDEX('SCORING MASTER'!$D$49:$D$52,MATCH('STUDENT SCREENING'!AH77,'SCORING MASTER'!$C$49:$C$52,0)),""))</f>
        <v/>
      </c>
      <c r="AJ77" s="58" t="str">
        <f aca="false">IF('STUDENT SCREENING'!AI77="","",IFERROR(INDEX('SCORING MASTER'!$D$54:$D$57,MATCH('STUDENT SCREENING'!AI77,'SCORING MASTER'!$C$54:$C$57,0)),""))</f>
        <v/>
      </c>
      <c r="AK77" s="58" t="str">
        <f aca="false">IF('STUDENT SCREENING'!AJ77="","",IFERROR(INDEX('SCORING MASTER'!$D$59:$D$60,MATCH('STUDENT SCREENING'!AJ77,'SCORING MASTER'!$C$59:$C$60,0)),""))</f>
        <v/>
      </c>
      <c r="AL77" s="58" t="str">
        <f aca="false">IF('STUDENT SCREENING'!AK77="","",IFERROR(INDEX('SCORING MASTER'!$D$62:$D$63,MATCH('STUDENT SCREENING'!AK77,'SCORING MASTER'!$C$62:$C$63,0)),""))</f>
        <v/>
      </c>
      <c r="AM77" s="58" t="str">
        <f aca="false">IF('STUDENT SCREENING'!AL77="","",IFERROR(INDEX('SCORING MASTER'!$D$65:$D$66,MATCH('STUDENT SCREENING'!AL77,'SCORING MASTER'!$C$65:$C$66,0)),""))</f>
        <v/>
      </c>
      <c r="AN77" s="58" t="str">
        <f aca="false">IF('STUDENT SCREENING'!AM77="","",IFERROR(INDEX('SCORING MASTER'!$D$68:$D$69,MATCH('STUDENT SCREENING'!AM77,'SCORING MASTER'!$C$68:$C$69,0)),""))</f>
        <v/>
      </c>
      <c r="AO77" s="58" t="str">
        <f aca="false">IF('STUDENT SCREENING'!AN77="","",IFERROR(INDEX('SCORING MASTER'!$D$71:$D$72,MATCH('STUDENT SCREENING'!AN77,'SCORING MASTER'!$C$71:$C$72,0)),""))</f>
        <v/>
      </c>
      <c r="AP77" s="58" t="str">
        <f aca="false">IF('STUDENT SCREENING'!AO77="","",IFERROR(INDEX('SCORING MASTER'!$D$74:$D$75,MATCH('STUDENT SCREENING'!AO77,'SCORING MASTER'!$C$74:$C$75,0)),""))</f>
        <v/>
      </c>
      <c r="AQ77" s="58" t="str">
        <f aca="false">IF('STUDENT SCREENING'!AP77="","",IFERROR(INDEX('SCORING MASTER'!$D$77:$D$78,MATCH('STUDENT SCREENING'!AP77,'SCORING MASTER'!$C$77:$C$78,0)),""))</f>
        <v/>
      </c>
      <c r="AR77" s="58" t="str">
        <f aca="false">IF('STUDENT SCREENING'!AQ77="","",IFERROR(INDEX('SCORING MASTER'!$D$80:$D$82,MATCH('STUDENT SCREENING'!AQ77,'SCORING MASTER'!$C$80:$C$82,0)),""))</f>
        <v/>
      </c>
      <c r="AS77" s="58" t="str">
        <f aca="false">IF('STUDENT SCREENING'!AR77="","",IFERROR(INDEX('SCORING MASTER'!$D$84:$D$86,MATCH('STUDENT SCREENING'!AR77,'SCORING MASTER'!$C$84:$C$86,0)),""))</f>
        <v/>
      </c>
      <c r="AT77" s="58" t="str">
        <f aca="false">IF('STUDENT SCREENING'!AS77="","",IFERROR(INDEX('SCORING MASTER'!$D$88:$D$90,MATCH('STUDENT SCREENING'!AS77,'SCORING MASTER'!$C$88:$C$90,0)),""))</f>
        <v/>
      </c>
      <c r="AU77" s="58" t="str">
        <f aca="false">IF('STUDENT SCREENING'!AT77="","",IFERROR(INDEX('SCORING MASTER'!$D$92:$D$93,MATCH('STUDENT SCREENING'!AT77,'SCORING MASTER'!$C$92:$C$93,0)),""))</f>
        <v/>
      </c>
      <c r="AV77" s="58" t="str">
        <f aca="false">IF('STUDENT SCREENING'!AU77="","",IFERROR(INDEX('SCORING MASTER'!$D$95:$D$96,MATCH('STUDENT SCREENING'!AU77,'SCORING MASTER'!$C$95:$C$96,0)),""))</f>
        <v/>
      </c>
      <c r="AW77" s="58" t="str">
        <f aca="false">IF('STUDENT SCREENING'!AV77="","",IFERROR(INDEX('SCORING MASTER'!$D$98:$D$99,MATCH('STUDENT SCREENING'!AV77,'SCORING MASTER'!$C$98:$C$99,0)),""))</f>
        <v/>
      </c>
      <c r="AX77" s="58" t="str">
        <f aca="false">IF('STUDENT SCREENING'!AW77="","",IFERROR(INDEX('SCORING MASTER'!$D$101:$D$102,MATCH('STUDENT SCREENING'!AW77,'SCORING MASTER'!$C$101:$C$102,0)),""))</f>
        <v/>
      </c>
      <c r="AY77" s="58" t="str">
        <f aca="false">IF('STUDENT SCREENING'!AX77="","",IFERROR(INDEX('SCORING MASTER'!$D$104:$D$105,MATCH('STUDENT SCREENING'!AX77,'SCORING MASTER'!$C$104:$C$105,0)),""))</f>
        <v/>
      </c>
      <c r="AZ77" s="58" t="str">
        <f aca="false">IF('STUDENT SCREENING'!AY77="","",IFERROR(INDEX('SCORING MASTER'!$D$107:$D$108,MATCH('STUDENT SCREENING'!AY77,'SCORING MASTER'!$C$107:$C$108,0)),""))</f>
        <v/>
      </c>
      <c r="BA77" s="58" t="str">
        <f aca="false">IF('STUDENT SCREENING'!AZ77="","",IFERROR(INDEX('SCORING MASTER'!$D$110:$D$111,MATCH('STUDENT SCREENING'!AZ77,'SCORING MASTER'!$C$110:$C$111,0)),""))</f>
        <v/>
      </c>
      <c r="BB77" s="58" t="str">
        <f aca="false">IF('STUDENT SCREENING'!BA77="","",IFERROR(INDEX('SCORING MASTER'!$D$113:$D$115,MATCH('STUDENT SCREENING'!BA77,'SCORING MASTER'!$C$113:$C$115,0)),""))</f>
        <v/>
      </c>
      <c r="BC77" s="58" t="str">
        <f aca="false">IF('STUDENT SCREENING'!BB77="","",IFERROR(INDEX('SCORING MASTER'!$D$117:$D$119,MATCH('STUDENT SCREENING'!BB77,'SCORING MASTER'!$C$117:$C$119,0)),""))</f>
        <v/>
      </c>
      <c r="BD77" s="58" t="str">
        <f aca="false">IF('STUDENT SCREENING'!BC77="","",IFERROR(INDEX('SCORING MASTER'!$D$121:$D$123,MATCH('STUDENT SCREENING'!BC77,'SCORING MASTER'!$C$121:$C$123,0)),""))</f>
        <v/>
      </c>
      <c r="BE77" s="58" t="str">
        <f aca="false">IF('STUDENT SCREENING'!BD77="","",IFERROR(INDEX('SCORING MASTER'!$D$125:$D$126,MATCH('STUDENT SCREENING'!BD77,'SCORING MASTER'!$C$125:$C$126,0)),""))</f>
        <v/>
      </c>
      <c r="BF77" s="58" t="str">
        <f aca="false">IF('STUDENT SCREENING'!BE77="","",IFERROR(INDEX('SCORING MASTER'!$D$128:$D$129,MATCH('STUDENT SCREENING'!BE77,'SCORING MASTER'!$C$128:$C$129,0)),""))</f>
        <v/>
      </c>
      <c r="BG77" s="58" t="str">
        <f aca="false">IF('STUDENT SCREENING'!BP77="","",IFERROR(MATCH('STUDENT SCREENING'!BP77,{"Red - High Risk","Orange - Moderate Risk","Yellow - Mild Risk","Light Green - Mild Watch","Green - Healthy"},0)-1,""))</f>
        <v/>
      </c>
      <c r="BH77" s="58" t="str">
        <f aca="false">IF('STUDENT SCREENING'!BQ77="","",IF('STUDENT SCREENING'!BQ77="Yes",1,0))</f>
        <v/>
      </c>
      <c r="BI77" s="58" t="str">
        <f aca="false">IF('STUDENT SCREENING'!BR77="","",IF('STUDENT SCREENING'!BR77="Yes",1,0))</f>
        <v/>
      </c>
    </row>
    <row r="78" customFormat="false" ht="15" hidden="false" customHeight="false" outlineLevel="0" collapsed="false">
      <c r="A78" s="57" t="str">
        <f aca="false">'STUDENT SCREENING'!A78</f>
        <v/>
      </c>
      <c r="B78" s="57" t="n">
        <f aca="false">'STUDENT SCREENING'!C78</f>
        <v>0</v>
      </c>
      <c r="C78" s="57" t="n">
        <f aca="false">'STUDENT SCREENING'!D78</f>
        <v>0</v>
      </c>
      <c r="D78" s="57" t="n">
        <f aca="false">'STUDENT SCREENING'!E78</f>
        <v>0</v>
      </c>
      <c r="E78" s="57" t="n">
        <f aca="false">'STUDENT SCREENING'!F78</f>
        <v>0</v>
      </c>
      <c r="F78" s="57" t="n">
        <f aca="false">'STUDENT SCREENING'!K78</f>
        <v>0</v>
      </c>
      <c r="G78" s="57" t="n">
        <f aca="false">'STUDENT SCREENING'!J78</f>
        <v>0</v>
      </c>
      <c r="H78" s="57" t="str">
        <f aca="false">IF('STUDENT SCREENING'!K78="","",IFERROR(MATCH('STUDENT SCREENING'!K78,Adm_Gender,0),""))</f>
        <v/>
      </c>
      <c r="I78" s="57" t="n">
        <f aca="false">'STUDENT SCREENING'!Q78</f>
        <v>0</v>
      </c>
      <c r="J78" s="57" t="n">
        <f aca="false">'STUDENT SCREENING'!R78</f>
        <v>0</v>
      </c>
      <c r="K78" s="57" t="str">
        <f aca="false">'STUDENT SCREENING'!S78</f>
        <v/>
      </c>
      <c r="L78" s="57" t="n">
        <f aca="false">'STUDENT SCREENING'!U78</f>
        <v>0</v>
      </c>
      <c r="M78" s="57" t="n">
        <f aca="false">'STUDENT SCREENING'!V78</f>
        <v>0</v>
      </c>
      <c r="N78" s="57" t="str">
        <f aca="false">'STUDENT SCREENING'!BF78</f>
        <v/>
      </c>
      <c r="O78" s="57" t="str">
        <f aca="false">'STUDENT SCREENING'!BG78</f>
        <v/>
      </c>
      <c r="P78" s="57" t="str">
        <f aca="false">'STUDENT SCREENING'!BH78</f>
        <v/>
      </c>
      <c r="Q78" s="57" t="str">
        <f aca="false">'STUDENT SCREENING'!BI78</f>
        <v/>
      </c>
      <c r="R78" s="57" t="str">
        <f aca="false">'STUDENT SCREENING'!BJ78</f>
        <v/>
      </c>
      <c r="S78" s="57" t="str">
        <f aca="false">'STUDENT SCREENING'!BK78</f>
        <v/>
      </c>
      <c r="T78" s="57" t="str">
        <f aca="false">'STUDENT SCREENING'!BL78</f>
        <v/>
      </c>
      <c r="U78" s="57" t="str">
        <f aca="false">'STUDENT SCREENING'!BM78</f>
        <v/>
      </c>
      <c r="V78" s="57" t="str">
        <f aca="false">'STUDENT SCREENING'!BN78</f>
        <v/>
      </c>
      <c r="W78" s="57" t="str">
        <f aca="false">'STUDENT SCREENING'!BO78</f>
        <v/>
      </c>
      <c r="X78" s="57" t="str">
        <f aca="false">IF('STUDENT SCREENING'!W78="","",IFERROR(INDEX('SCORING MASTER'!$D$5:$D$7,MATCH('STUDENT SCREENING'!W78,'SCORING MASTER'!$C$5:$C$7,0)),""))</f>
        <v/>
      </c>
      <c r="Y78" s="57" t="str">
        <f aca="false">IF('STUDENT SCREENING'!X78="","",IFERROR(INDEX('SCORING MASTER'!$D$9:$D$11,MATCH('STUDENT SCREENING'!X78,'SCORING MASTER'!$C$9:$C$11,0)),""))</f>
        <v/>
      </c>
      <c r="Z78" s="57" t="str">
        <f aca="false">IF('STUDENT SCREENING'!Y78="","",IFERROR(INDEX('SCORING MASTER'!$D$13:$D$15,MATCH('STUDENT SCREENING'!Y78,'SCORING MASTER'!$C$13:$C$15,0)),""))</f>
        <v/>
      </c>
      <c r="AA78" s="57" t="str">
        <f aca="false">IF('STUDENT SCREENING'!Z78="","",IFERROR(INDEX('SCORING MASTER'!$D$17:$D$19,MATCH('STUDENT SCREENING'!Z78,'SCORING MASTER'!$C$17:$C$19,0)),""))</f>
        <v/>
      </c>
      <c r="AB78" s="57" t="str">
        <f aca="false">IF('STUDENT SCREENING'!AA78="","",IFERROR(INDEX('SCORING MASTER'!$D$21:$D$23,MATCH('STUDENT SCREENING'!AA78,'SCORING MASTER'!$C$21:$C$23,0)),""))</f>
        <v/>
      </c>
      <c r="AC78" s="57" t="str">
        <f aca="false">IF('STUDENT SCREENING'!AB78="","",IFERROR(INDEX('SCORING MASTER'!$D$25:$D$27,MATCH('STUDENT SCREENING'!AB78,'SCORING MASTER'!$C$25:$C$27,0)),""))</f>
        <v/>
      </c>
      <c r="AD78" s="57" t="str">
        <f aca="false">IF('STUDENT SCREENING'!AC78="","",IFERROR(INDEX('SCORING MASTER'!$D$29:$D$31,MATCH('STUDENT SCREENING'!AC78,'SCORING MASTER'!$C$29:$C$31,0)),""))</f>
        <v/>
      </c>
      <c r="AE78" s="57" t="str">
        <f aca="false">IF('STUDENT SCREENING'!AD78="","",IFERROR(INDEX('SCORING MASTER'!$D$33:$D$35,MATCH('STUDENT SCREENING'!AD78,'SCORING MASTER'!$C$33:$C$35,0)),""))</f>
        <v/>
      </c>
      <c r="AF78" s="57" t="str">
        <f aca="false">IF('STUDENT SCREENING'!AE78="","",IFERROR(INDEX('SCORING MASTER'!$D$37:$D$39,MATCH('STUDENT SCREENING'!AE78,'SCORING MASTER'!$C$37:$C$39,0)),""))</f>
        <v/>
      </c>
      <c r="AG78" s="57" t="str">
        <f aca="false">IF('STUDENT SCREENING'!AF78="","",IFERROR(INDEX('SCORING MASTER'!$D$41:$D$43,MATCH('STUDENT SCREENING'!AF78,'SCORING MASTER'!$C$41:$C$43,0)),""))</f>
        <v/>
      </c>
      <c r="AH78" s="57" t="str">
        <f aca="false">IF('STUDENT SCREENING'!AG78="","",IFERROR(INDEX('SCORING MASTER'!$D$45:$D$47,MATCH('STUDENT SCREENING'!AG78,'SCORING MASTER'!$C$45:$C$47,0)),""))</f>
        <v/>
      </c>
      <c r="AI78" s="57" t="str">
        <f aca="false">IF('STUDENT SCREENING'!AH78="","",IFERROR(INDEX('SCORING MASTER'!$D$49:$D$52,MATCH('STUDENT SCREENING'!AH78,'SCORING MASTER'!$C$49:$C$52,0)),""))</f>
        <v/>
      </c>
      <c r="AJ78" s="57" t="str">
        <f aca="false">IF('STUDENT SCREENING'!AI78="","",IFERROR(INDEX('SCORING MASTER'!$D$54:$D$57,MATCH('STUDENT SCREENING'!AI78,'SCORING MASTER'!$C$54:$C$57,0)),""))</f>
        <v/>
      </c>
      <c r="AK78" s="57" t="str">
        <f aca="false">IF('STUDENT SCREENING'!AJ78="","",IFERROR(INDEX('SCORING MASTER'!$D$59:$D$60,MATCH('STUDENT SCREENING'!AJ78,'SCORING MASTER'!$C$59:$C$60,0)),""))</f>
        <v/>
      </c>
      <c r="AL78" s="57" t="str">
        <f aca="false">IF('STUDENT SCREENING'!AK78="","",IFERROR(INDEX('SCORING MASTER'!$D$62:$D$63,MATCH('STUDENT SCREENING'!AK78,'SCORING MASTER'!$C$62:$C$63,0)),""))</f>
        <v/>
      </c>
      <c r="AM78" s="57" t="str">
        <f aca="false">IF('STUDENT SCREENING'!AL78="","",IFERROR(INDEX('SCORING MASTER'!$D$65:$D$66,MATCH('STUDENT SCREENING'!AL78,'SCORING MASTER'!$C$65:$C$66,0)),""))</f>
        <v/>
      </c>
      <c r="AN78" s="57" t="str">
        <f aca="false">IF('STUDENT SCREENING'!AM78="","",IFERROR(INDEX('SCORING MASTER'!$D$68:$D$69,MATCH('STUDENT SCREENING'!AM78,'SCORING MASTER'!$C$68:$C$69,0)),""))</f>
        <v/>
      </c>
      <c r="AO78" s="57" t="str">
        <f aca="false">IF('STUDENT SCREENING'!AN78="","",IFERROR(INDEX('SCORING MASTER'!$D$71:$D$72,MATCH('STUDENT SCREENING'!AN78,'SCORING MASTER'!$C$71:$C$72,0)),""))</f>
        <v/>
      </c>
      <c r="AP78" s="57" t="str">
        <f aca="false">IF('STUDENT SCREENING'!AO78="","",IFERROR(INDEX('SCORING MASTER'!$D$74:$D$75,MATCH('STUDENT SCREENING'!AO78,'SCORING MASTER'!$C$74:$C$75,0)),""))</f>
        <v/>
      </c>
      <c r="AQ78" s="57" t="str">
        <f aca="false">IF('STUDENT SCREENING'!AP78="","",IFERROR(INDEX('SCORING MASTER'!$D$77:$D$78,MATCH('STUDENT SCREENING'!AP78,'SCORING MASTER'!$C$77:$C$78,0)),""))</f>
        <v/>
      </c>
      <c r="AR78" s="57" t="str">
        <f aca="false">IF('STUDENT SCREENING'!AQ78="","",IFERROR(INDEX('SCORING MASTER'!$D$80:$D$82,MATCH('STUDENT SCREENING'!AQ78,'SCORING MASTER'!$C$80:$C$82,0)),""))</f>
        <v/>
      </c>
      <c r="AS78" s="57" t="str">
        <f aca="false">IF('STUDENT SCREENING'!AR78="","",IFERROR(INDEX('SCORING MASTER'!$D$84:$D$86,MATCH('STUDENT SCREENING'!AR78,'SCORING MASTER'!$C$84:$C$86,0)),""))</f>
        <v/>
      </c>
      <c r="AT78" s="57" t="str">
        <f aca="false">IF('STUDENT SCREENING'!AS78="","",IFERROR(INDEX('SCORING MASTER'!$D$88:$D$90,MATCH('STUDENT SCREENING'!AS78,'SCORING MASTER'!$C$88:$C$90,0)),""))</f>
        <v/>
      </c>
      <c r="AU78" s="57" t="str">
        <f aca="false">IF('STUDENT SCREENING'!AT78="","",IFERROR(INDEX('SCORING MASTER'!$D$92:$D$93,MATCH('STUDENT SCREENING'!AT78,'SCORING MASTER'!$C$92:$C$93,0)),""))</f>
        <v/>
      </c>
      <c r="AV78" s="57" t="str">
        <f aca="false">IF('STUDENT SCREENING'!AU78="","",IFERROR(INDEX('SCORING MASTER'!$D$95:$D$96,MATCH('STUDENT SCREENING'!AU78,'SCORING MASTER'!$C$95:$C$96,0)),""))</f>
        <v/>
      </c>
      <c r="AW78" s="57" t="str">
        <f aca="false">IF('STUDENT SCREENING'!AV78="","",IFERROR(INDEX('SCORING MASTER'!$D$98:$D$99,MATCH('STUDENT SCREENING'!AV78,'SCORING MASTER'!$C$98:$C$99,0)),""))</f>
        <v/>
      </c>
      <c r="AX78" s="57" t="str">
        <f aca="false">IF('STUDENT SCREENING'!AW78="","",IFERROR(INDEX('SCORING MASTER'!$D$101:$D$102,MATCH('STUDENT SCREENING'!AW78,'SCORING MASTER'!$C$101:$C$102,0)),""))</f>
        <v/>
      </c>
      <c r="AY78" s="57" t="str">
        <f aca="false">IF('STUDENT SCREENING'!AX78="","",IFERROR(INDEX('SCORING MASTER'!$D$104:$D$105,MATCH('STUDENT SCREENING'!AX78,'SCORING MASTER'!$C$104:$C$105,0)),""))</f>
        <v/>
      </c>
      <c r="AZ78" s="57" t="str">
        <f aca="false">IF('STUDENT SCREENING'!AY78="","",IFERROR(INDEX('SCORING MASTER'!$D$107:$D$108,MATCH('STUDENT SCREENING'!AY78,'SCORING MASTER'!$C$107:$C$108,0)),""))</f>
        <v/>
      </c>
      <c r="BA78" s="57" t="str">
        <f aca="false">IF('STUDENT SCREENING'!AZ78="","",IFERROR(INDEX('SCORING MASTER'!$D$110:$D$111,MATCH('STUDENT SCREENING'!AZ78,'SCORING MASTER'!$C$110:$C$111,0)),""))</f>
        <v/>
      </c>
      <c r="BB78" s="57" t="str">
        <f aca="false">IF('STUDENT SCREENING'!BA78="","",IFERROR(INDEX('SCORING MASTER'!$D$113:$D$115,MATCH('STUDENT SCREENING'!BA78,'SCORING MASTER'!$C$113:$C$115,0)),""))</f>
        <v/>
      </c>
      <c r="BC78" s="57" t="str">
        <f aca="false">IF('STUDENT SCREENING'!BB78="","",IFERROR(INDEX('SCORING MASTER'!$D$117:$D$119,MATCH('STUDENT SCREENING'!BB78,'SCORING MASTER'!$C$117:$C$119,0)),""))</f>
        <v/>
      </c>
      <c r="BD78" s="57" t="str">
        <f aca="false">IF('STUDENT SCREENING'!BC78="","",IFERROR(INDEX('SCORING MASTER'!$D$121:$D$123,MATCH('STUDENT SCREENING'!BC78,'SCORING MASTER'!$C$121:$C$123,0)),""))</f>
        <v/>
      </c>
      <c r="BE78" s="57" t="str">
        <f aca="false">IF('STUDENT SCREENING'!BD78="","",IFERROR(INDEX('SCORING MASTER'!$D$125:$D$126,MATCH('STUDENT SCREENING'!BD78,'SCORING MASTER'!$C$125:$C$126,0)),""))</f>
        <v/>
      </c>
      <c r="BF78" s="57" t="str">
        <f aca="false">IF('STUDENT SCREENING'!BE78="","",IFERROR(INDEX('SCORING MASTER'!$D$128:$D$129,MATCH('STUDENT SCREENING'!BE78,'SCORING MASTER'!$C$128:$C$129,0)),""))</f>
        <v/>
      </c>
      <c r="BG78" s="57" t="str">
        <f aca="false">IF('STUDENT SCREENING'!BP78="","",IFERROR(MATCH('STUDENT SCREENING'!BP78,{"Red - High Risk","Orange - Moderate Risk","Yellow - Mild Risk","Light Green - Mild Watch","Green - Healthy"},0)-1,""))</f>
        <v/>
      </c>
      <c r="BH78" s="57" t="str">
        <f aca="false">IF('STUDENT SCREENING'!BQ78="","",IF('STUDENT SCREENING'!BQ78="Yes",1,0))</f>
        <v/>
      </c>
      <c r="BI78" s="57" t="str">
        <f aca="false">IF('STUDENT SCREENING'!BR78="","",IF('STUDENT SCREENING'!BR78="Yes",1,0))</f>
        <v/>
      </c>
    </row>
    <row r="79" customFormat="false" ht="15" hidden="false" customHeight="false" outlineLevel="0" collapsed="false">
      <c r="A79" s="58" t="str">
        <f aca="false">'STUDENT SCREENING'!A79</f>
        <v/>
      </c>
      <c r="B79" s="58" t="n">
        <f aca="false">'STUDENT SCREENING'!C79</f>
        <v>0</v>
      </c>
      <c r="C79" s="58" t="n">
        <f aca="false">'STUDENT SCREENING'!D79</f>
        <v>0</v>
      </c>
      <c r="D79" s="58" t="n">
        <f aca="false">'STUDENT SCREENING'!E79</f>
        <v>0</v>
      </c>
      <c r="E79" s="58" t="n">
        <f aca="false">'STUDENT SCREENING'!F79</f>
        <v>0</v>
      </c>
      <c r="F79" s="58" t="n">
        <f aca="false">'STUDENT SCREENING'!K79</f>
        <v>0</v>
      </c>
      <c r="G79" s="58" t="n">
        <f aca="false">'STUDENT SCREENING'!J79</f>
        <v>0</v>
      </c>
      <c r="H79" s="58" t="str">
        <f aca="false">IF('STUDENT SCREENING'!K79="","",IFERROR(MATCH('STUDENT SCREENING'!K79,Adm_Gender,0),""))</f>
        <v/>
      </c>
      <c r="I79" s="58" t="n">
        <f aca="false">'STUDENT SCREENING'!Q79</f>
        <v>0</v>
      </c>
      <c r="J79" s="58" t="n">
        <f aca="false">'STUDENT SCREENING'!R79</f>
        <v>0</v>
      </c>
      <c r="K79" s="58" t="str">
        <f aca="false">'STUDENT SCREENING'!S79</f>
        <v/>
      </c>
      <c r="L79" s="58" t="n">
        <f aca="false">'STUDENT SCREENING'!U79</f>
        <v>0</v>
      </c>
      <c r="M79" s="58" t="n">
        <f aca="false">'STUDENT SCREENING'!V79</f>
        <v>0</v>
      </c>
      <c r="N79" s="58" t="str">
        <f aca="false">'STUDENT SCREENING'!BF79</f>
        <v/>
      </c>
      <c r="O79" s="58" t="str">
        <f aca="false">'STUDENT SCREENING'!BG79</f>
        <v/>
      </c>
      <c r="P79" s="58" t="str">
        <f aca="false">'STUDENT SCREENING'!BH79</f>
        <v/>
      </c>
      <c r="Q79" s="58" t="str">
        <f aca="false">'STUDENT SCREENING'!BI79</f>
        <v/>
      </c>
      <c r="R79" s="58" t="str">
        <f aca="false">'STUDENT SCREENING'!BJ79</f>
        <v/>
      </c>
      <c r="S79" s="58" t="str">
        <f aca="false">'STUDENT SCREENING'!BK79</f>
        <v/>
      </c>
      <c r="T79" s="58" t="str">
        <f aca="false">'STUDENT SCREENING'!BL79</f>
        <v/>
      </c>
      <c r="U79" s="58" t="str">
        <f aca="false">'STUDENT SCREENING'!BM79</f>
        <v/>
      </c>
      <c r="V79" s="58" t="str">
        <f aca="false">'STUDENT SCREENING'!BN79</f>
        <v/>
      </c>
      <c r="W79" s="58" t="str">
        <f aca="false">'STUDENT SCREENING'!BO79</f>
        <v/>
      </c>
      <c r="X79" s="58" t="str">
        <f aca="false">IF('STUDENT SCREENING'!W79="","",IFERROR(INDEX('SCORING MASTER'!$D$5:$D$7,MATCH('STUDENT SCREENING'!W79,'SCORING MASTER'!$C$5:$C$7,0)),""))</f>
        <v/>
      </c>
      <c r="Y79" s="58" t="str">
        <f aca="false">IF('STUDENT SCREENING'!X79="","",IFERROR(INDEX('SCORING MASTER'!$D$9:$D$11,MATCH('STUDENT SCREENING'!X79,'SCORING MASTER'!$C$9:$C$11,0)),""))</f>
        <v/>
      </c>
      <c r="Z79" s="58" t="str">
        <f aca="false">IF('STUDENT SCREENING'!Y79="","",IFERROR(INDEX('SCORING MASTER'!$D$13:$D$15,MATCH('STUDENT SCREENING'!Y79,'SCORING MASTER'!$C$13:$C$15,0)),""))</f>
        <v/>
      </c>
      <c r="AA79" s="58" t="str">
        <f aca="false">IF('STUDENT SCREENING'!Z79="","",IFERROR(INDEX('SCORING MASTER'!$D$17:$D$19,MATCH('STUDENT SCREENING'!Z79,'SCORING MASTER'!$C$17:$C$19,0)),""))</f>
        <v/>
      </c>
      <c r="AB79" s="58" t="str">
        <f aca="false">IF('STUDENT SCREENING'!AA79="","",IFERROR(INDEX('SCORING MASTER'!$D$21:$D$23,MATCH('STUDENT SCREENING'!AA79,'SCORING MASTER'!$C$21:$C$23,0)),""))</f>
        <v/>
      </c>
      <c r="AC79" s="58" t="str">
        <f aca="false">IF('STUDENT SCREENING'!AB79="","",IFERROR(INDEX('SCORING MASTER'!$D$25:$D$27,MATCH('STUDENT SCREENING'!AB79,'SCORING MASTER'!$C$25:$C$27,0)),""))</f>
        <v/>
      </c>
      <c r="AD79" s="58" t="str">
        <f aca="false">IF('STUDENT SCREENING'!AC79="","",IFERROR(INDEX('SCORING MASTER'!$D$29:$D$31,MATCH('STUDENT SCREENING'!AC79,'SCORING MASTER'!$C$29:$C$31,0)),""))</f>
        <v/>
      </c>
      <c r="AE79" s="58" t="str">
        <f aca="false">IF('STUDENT SCREENING'!AD79="","",IFERROR(INDEX('SCORING MASTER'!$D$33:$D$35,MATCH('STUDENT SCREENING'!AD79,'SCORING MASTER'!$C$33:$C$35,0)),""))</f>
        <v/>
      </c>
      <c r="AF79" s="58" t="str">
        <f aca="false">IF('STUDENT SCREENING'!AE79="","",IFERROR(INDEX('SCORING MASTER'!$D$37:$D$39,MATCH('STUDENT SCREENING'!AE79,'SCORING MASTER'!$C$37:$C$39,0)),""))</f>
        <v/>
      </c>
      <c r="AG79" s="58" t="str">
        <f aca="false">IF('STUDENT SCREENING'!AF79="","",IFERROR(INDEX('SCORING MASTER'!$D$41:$D$43,MATCH('STUDENT SCREENING'!AF79,'SCORING MASTER'!$C$41:$C$43,0)),""))</f>
        <v/>
      </c>
      <c r="AH79" s="58" t="str">
        <f aca="false">IF('STUDENT SCREENING'!AG79="","",IFERROR(INDEX('SCORING MASTER'!$D$45:$D$47,MATCH('STUDENT SCREENING'!AG79,'SCORING MASTER'!$C$45:$C$47,0)),""))</f>
        <v/>
      </c>
      <c r="AI79" s="58" t="str">
        <f aca="false">IF('STUDENT SCREENING'!AH79="","",IFERROR(INDEX('SCORING MASTER'!$D$49:$D$52,MATCH('STUDENT SCREENING'!AH79,'SCORING MASTER'!$C$49:$C$52,0)),""))</f>
        <v/>
      </c>
      <c r="AJ79" s="58" t="str">
        <f aca="false">IF('STUDENT SCREENING'!AI79="","",IFERROR(INDEX('SCORING MASTER'!$D$54:$D$57,MATCH('STUDENT SCREENING'!AI79,'SCORING MASTER'!$C$54:$C$57,0)),""))</f>
        <v/>
      </c>
      <c r="AK79" s="58" t="str">
        <f aca="false">IF('STUDENT SCREENING'!AJ79="","",IFERROR(INDEX('SCORING MASTER'!$D$59:$D$60,MATCH('STUDENT SCREENING'!AJ79,'SCORING MASTER'!$C$59:$C$60,0)),""))</f>
        <v/>
      </c>
      <c r="AL79" s="58" t="str">
        <f aca="false">IF('STUDENT SCREENING'!AK79="","",IFERROR(INDEX('SCORING MASTER'!$D$62:$D$63,MATCH('STUDENT SCREENING'!AK79,'SCORING MASTER'!$C$62:$C$63,0)),""))</f>
        <v/>
      </c>
      <c r="AM79" s="58" t="str">
        <f aca="false">IF('STUDENT SCREENING'!AL79="","",IFERROR(INDEX('SCORING MASTER'!$D$65:$D$66,MATCH('STUDENT SCREENING'!AL79,'SCORING MASTER'!$C$65:$C$66,0)),""))</f>
        <v/>
      </c>
      <c r="AN79" s="58" t="str">
        <f aca="false">IF('STUDENT SCREENING'!AM79="","",IFERROR(INDEX('SCORING MASTER'!$D$68:$D$69,MATCH('STUDENT SCREENING'!AM79,'SCORING MASTER'!$C$68:$C$69,0)),""))</f>
        <v/>
      </c>
      <c r="AO79" s="58" t="str">
        <f aca="false">IF('STUDENT SCREENING'!AN79="","",IFERROR(INDEX('SCORING MASTER'!$D$71:$D$72,MATCH('STUDENT SCREENING'!AN79,'SCORING MASTER'!$C$71:$C$72,0)),""))</f>
        <v/>
      </c>
      <c r="AP79" s="58" t="str">
        <f aca="false">IF('STUDENT SCREENING'!AO79="","",IFERROR(INDEX('SCORING MASTER'!$D$74:$D$75,MATCH('STUDENT SCREENING'!AO79,'SCORING MASTER'!$C$74:$C$75,0)),""))</f>
        <v/>
      </c>
      <c r="AQ79" s="58" t="str">
        <f aca="false">IF('STUDENT SCREENING'!AP79="","",IFERROR(INDEX('SCORING MASTER'!$D$77:$D$78,MATCH('STUDENT SCREENING'!AP79,'SCORING MASTER'!$C$77:$C$78,0)),""))</f>
        <v/>
      </c>
      <c r="AR79" s="58" t="str">
        <f aca="false">IF('STUDENT SCREENING'!AQ79="","",IFERROR(INDEX('SCORING MASTER'!$D$80:$D$82,MATCH('STUDENT SCREENING'!AQ79,'SCORING MASTER'!$C$80:$C$82,0)),""))</f>
        <v/>
      </c>
      <c r="AS79" s="58" t="str">
        <f aca="false">IF('STUDENT SCREENING'!AR79="","",IFERROR(INDEX('SCORING MASTER'!$D$84:$D$86,MATCH('STUDENT SCREENING'!AR79,'SCORING MASTER'!$C$84:$C$86,0)),""))</f>
        <v/>
      </c>
      <c r="AT79" s="58" t="str">
        <f aca="false">IF('STUDENT SCREENING'!AS79="","",IFERROR(INDEX('SCORING MASTER'!$D$88:$D$90,MATCH('STUDENT SCREENING'!AS79,'SCORING MASTER'!$C$88:$C$90,0)),""))</f>
        <v/>
      </c>
      <c r="AU79" s="58" t="str">
        <f aca="false">IF('STUDENT SCREENING'!AT79="","",IFERROR(INDEX('SCORING MASTER'!$D$92:$D$93,MATCH('STUDENT SCREENING'!AT79,'SCORING MASTER'!$C$92:$C$93,0)),""))</f>
        <v/>
      </c>
      <c r="AV79" s="58" t="str">
        <f aca="false">IF('STUDENT SCREENING'!AU79="","",IFERROR(INDEX('SCORING MASTER'!$D$95:$D$96,MATCH('STUDENT SCREENING'!AU79,'SCORING MASTER'!$C$95:$C$96,0)),""))</f>
        <v/>
      </c>
      <c r="AW79" s="58" t="str">
        <f aca="false">IF('STUDENT SCREENING'!AV79="","",IFERROR(INDEX('SCORING MASTER'!$D$98:$D$99,MATCH('STUDENT SCREENING'!AV79,'SCORING MASTER'!$C$98:$C$99,0)),""))</f>
        <v/>
      </c>
      <c r="AX79" s="58" t="str">
        <f aca="false">IF('STUDENT SCREENING'!AW79="","",IFERROR(INDEX('SCORING MASTER'!$D$101:$D$102,MATCH('STUDENT SCREENING'!AW79,'SCORING MASTER'!$C$101:$C$102,0)),""))</f>
        <v/>
      </c>
      <c r="AY79" s="58" t="str">
        <f aca="false">IF('STUDENT SCREENING'!AX79="","",IFERROR(INDEX('SCORING MASTER'!$D$104:$D$105,MATCH('STUDENT SCREENING'!AX79,'SCORING MASTER'!$C$104:$C$105,0)),""))</f>
        <v/>
      </c>
      <c r="AZ79" s="58" t="str">
        <f aca="false">IF('STUDENT SCREENING'!AY79="","",IFERROR(INDEX('SCORING MASTER'!$D$107:$D$108,MATCH('STUDENT SCREENING'!AY79,'SCORING MASTER'!$C$107:$C$108,0)),""))</f>
        <v/>
      </c>
      <c r="BA79" s="58" t="str">
        <f aca="false">IF('STUDENT SCREENING'!AZ79="","",IFERROR(INDEX('SCORING MASTER'!$D$110:$D$111,MATCH('STUDENT SCREENING'!AZ79,'SCORING MASTER'!$C$110:$C$111,0)),""))</f>
        <v/>
      </c>
      <c r="BB79" s="58" t="str">
        <f aca="false">IF('STUDENT SCREENING'!BA79="","",IFERROR(INDEX('SCORING MASTER'!$D$113:$D$115,MATCH('STUDENT SCREENING'!BA79,'SCORING MASTER'!$C$113:$C$115,0)),""))</f>
        <v/>
      </c>
      <c r="BC79" s="58" t="str">
        <f aca="false">IF('STUDENT SCREENING'!BB79="","",IFERROR(INDEX('SCORING MASTER'!$D$117:$D$119,MATCH('STUDENT SCREENING'!BB79,'SCORING MASTER'!$C$117:$C$119,0)),""))</f>
        <v/>
      </c>
      <c r="BD79" s="58" t="str">
        <f aca="false">IF('STUDENT SCREENING'!BC79="","",IFERROR(INDEX('SCORING MASTER'!$D$121:$D$123,MATCH('STUDENT SCREENING'!BC79,'SCORING MASTER'!$C$121:$C$123,0)),""))</f>
        <v/>
      </c>
      <c r="BE79" s="58" t="str">
        <f aca="false">IF('STUDENT SCREENING'!BD79="","",IFERROR(INDEX('SCORING MASTER'!$D$125:$D$126,MATCH('STUDENT SCREENING'!BD79,'SCORING MASTER'!$C$125:$C$126,0)),""))</f>
        <v/>
      </c>
      <c r="BF79" s="58" t="str">
        <f aca="false">IF('STUDENT SCREENING'!BE79="","",IFERROR(INDEX('SCORING MASTER'!$D$128:$D$129,MATCH('STUDENT SCREENING'!BE79,'SCORING MASTER'!$C$128:$C$129,0)),""))</f>
        <v/>
      </c>
      <c r="BG79" s="58" t="str">
        <f aca="false">IF('STUDENT SCREENING'!BP79="","",IFERROR(MATCH('STUDENT SCREENING'!BP79,{"Red - High Risk","Orange - Moderate Risk","Yellow - Mild Risk","Light Green - Mild Watch","Green - Healthy"},0)-1,""))</f>
        <v/>
      </c>
      <c r="BH79" s="58" t="str">
        <f aca="false">IF('STUDENT SCREENING'!BQ79="","",IF('STUDENT SCREENING'!BQ79="Yes",1,0))</f>
        <v/>
      </c>
      <c r="BI79" s="58" t="str">
        <f aca="false">IF('STUDENT SCREENING'!BR79="","",IF('STUDENT SCREENING'!BR79="Yes",1,0))</f>
        <v/>
      </c>
    </row>
    <row r="80" customFormat="false" ht="15" hidden="false" customHeight="false" outlineLevel="0" collapsed="false">
      <c r="A80" s="57" t="str">
        <f aca="false">'STUDENT SCREENING'!A80</f>
        <v/>
      </c>
      <c r="B80" s="57" t="n">
        <f aca="false">'STUDENT SCREENING'!C80</f>
        <v>0</v>
      </c>
      <c r="C80" s="57" t="n">
        <f aca="false">'STUDENT SCREENING'!D80</f>
        <v>0</v>
      </c>
      <c r="D80" s="57" t="n">
        <f aca="false">'STUDENT SCREENING'!E80</f>
        <v>0</v>
      </c>
      <c r="E80" s="57" t="n">
        <f aca="false">'STUDENT SCREENING'!F80</f>
        <v>0</v>
      </c>
      <c r="F80" s="57" t="n">
        <f aca="false">'STUDENT SCREENING'!K80</f>
        <v>0</v>
      </c>
      <c r="G80" s="57" t="n">
        <f aca="false">'STUDENT SCREENING'!J80</f>
        <v>0</v>
      </c>
      <c r="H80" s="57" t="str">
        <f aca="false">IF('STUDENT SCREENING'!K80="","",IFERROR(MATCH('STUDENT SCREENING'!K80,Adm_Gender,0),""))</f>
        <v/>
      </c>
      <c r="I80" s="57" t="n">
        <f aca="false">'STUDENT SCREENING'!Q80</f>
        <v>0</v>
      </c>
      <c r="J80" s="57" t="n">
        <f aca="false">'STUDENT SCREENING'!R80</f>
        <v>0</v>
      </c>
      <c r="K80" s="57" t="str">
        <f aca="false">'STUDENT SCREENING'!S80</f>
        <v/>
      </c>
      <c r="L80" s="57" t="n">
        <f aca="false">'STUDENT SCREENING'!U80</f>
        <v>0</v>
      </c>
      <c r="M80" s="57" t="n">
        <f aca="false">'STUDENT SCREENING'!V80</f>
        <v>0</v>
      </c>
      <c r="N80" s="57" t="str">
        <f aca="false">'STUDENT SCREENING'!BF80</f>
        <v/>
      </c>
      <c r="O80" s="57" t="str">
        <f aca="false">'STUDENT SCREENING'!BG80</f>
        <v/>
      </c>
      <c r="P80" s="57" t="str">
        <f aca="false">'STUDENT SCREENING'!BH80</f>
        <v/>
      </c>
      <c r="Q80" s="57" t="str">
        <f aca="false">'STUDENT SCREENING'!BI80</f>
        <v/>
      </c>
      <c r="R80" s="57" t="str">
        <f aca="false">'STUDENT SCREENING'!BJ80</f>
        <v/>
      </c>
      <c r="S80" s="57" t="str">
        <f aca="false">'STUDENT SCREENING'!BK80</f>
        <v/>
      </c>
      <c r="T80" s="57" t="str">
        <f aca="false">'STUDENT SCREENING'!BL80</f>
        <v/>
      </c>
      <c r="U80" s="57" t="str">
        <f aca="false">'STUDENT SCREENING'!BM80</f>
        <v/>
      </c>
      <c r="V80" s="57" t="str">
        <f aca="false">'STUDENT SCREENING'!BN80</f>
        <v/>
      </c>
      <c r="W80" s="57" t="str">
        <f aca="false">'STUDENT SCREENING'!BO80</f>
        <v/>
      </c>
      <c r="X80" s="57" t="str">
        <f aca="false">IF('STUDENT SCREENING'!W80="","",IFERROR(INDEX('SCORING MASTER'!$D$5:$D$7,MATCH('STUDENT SCREENING'!W80,'SCORING MASTER'!$C$5:$C$7,0)),""))</f>
        <v/>
      </c>
      <c r="Y80" s="57" t="str">
        <f aca="false">IF('STUDENT SCREENING'!X80="","",IFERROR(INDEX('SCORING MASTER'!$D$9:$D$11,MATCH('STUDENT SCREENING'!X80,'SCORING MASTER'!$C$9:$C$11,0)),""))</f>
        <v/>
      </c>
      <c r="Z80" s="57" t="str">
        <f aca="false">IF('STUDENT SCREENING'!Y80="","",IFERROR(INDEX('SCORING MASTER'!$D$13:$D$15,MATCH('STUDENT SCREENING'!Y80,'SCORING MASTER'!$C$13:$C$15,0)),""))</f>
        <v/>
      </c>
      <c r="AA80" s="57" t="str">
        <f aca="false">IF('STUDENT SCREENING'!Z80="","",IFERROR(INDEX('SCORING MASTER'!$D$17:$D$19,MATCH('STUDENT SCREENING'!Z80,'SCORING MASTER'!$C$17:$C$19,0)),""))</f>
        <v/>
      </c>
      <c r="AB80" s="57" t="str">
        <f aca="false">IF('STUDENT SCREENING'!AA80="","",IFERROR(INDEX('SCORING MASTER'!$D$21:$D$23,MATCH('STUDENT SCREENING'!AA80,'SCORING MASTER'!$C$21:$C$23,0)),""))</f>
        <v/>
      </c>
      <c r="AC80" s="57" t="str">
        <f aca="false">IF('STUDENT SCREENING'!AB80="","",IFERROR(INDEX('SCORING MASTER'!$D$25:$D$27,MATCH('STUDENT SCREENING'!AB80,'SCORING MASTER'!$C$25:$C$27,0)),""))</f>
        <v/>
      </c>
      <c r="AD80" s="57" t="str">
        <f aca="false">IF('STUDENT SCREENING'!AC80="","",IFERROR(INDEX('SCORING MASTER'!$D$29:$D$31,MATCH('STUDENT SCREENING'!AC80,'SCORING MASTER'!$C$29:$C$31,0)),""))</f>
        <v/>
      </c>
      <c r="AE80" s="57" t="str">
        <f aca="false">IF('STUDENT SCREENING'!AD80="","",IFERROR(INDEX('SCORING MASTER'!$D$33:$D$35,MATCH('STUDENT SCREENING'!AD80,'SCORING MASTER'!$C$33:$C$35,0)),""))</f>
        <v/>
      </c>
      <c r="AF80" s="57" t="str">
        <f aca="false">IF('STUDENT SCREENING'!AE80="","",IFERROR(INDEX('SCORING MASTER'!$D$37:$D$39,MATCH('STUDENT SCREENING'!AE80,'SCORING MASTER'!$C$37:$C$39,0)),""))</f>
        <v/>
      </c>
      <c r="AG80" s="57" t="str">
        <f aca="false">IF('STUDENT SCREENING'!AF80="","",IFERROR(INDEX('SCORING MASTER'!$D$41:$D$43,MATCH('STUDENT SCREENING'!AF80,'SCORING MASTER'!$C$41:$C$43,0)),""))</f>
        <v/>
      </c>
      <c r="AH80" s="57" t="str">
        <f aca="false">IF('STUDENT SCREENING'!AG80="","",IFERROR(INDEX('SCORING MASTER'!$D$45:$D$47,MATCH('STUDENT SCREENING'!AG80,'SCORING MASTER'!$C$45:$C$47,0)),""))</f>
        <v/>
      </c>
      <c r="AI80" s="57" t="str">
        <f aca="false">IF('STUDENT SCREENING'!AH80="","",IFERROR(INDEX('SCORING MASTER'!$D$49:$D$52,MATCH('STUDENT SCREENING'!AH80,'SCORING MASTER'!$C$49:$C$52,0)),""))</f>
        <v/>
      </c>
      <c r="AJ80" s="57" t="str">
        <f aca="false">IF('STUDENT SCREENING'!AI80="","",IFERROR(INDEX('SCORING MASTER'!$D$54:$D$57,MATCH('STUDENT SCREENING'!AI80,'SCORING MASTER'!$C$54:$C$57,0)),""))</f>
        <v/>
      </c>
      <c r="AK80" s="57" t="str">
        <f aca="false">IF('STUDENT SCREENING'!AJ80="","",IFERROR(INDEX('SCORING MASTER'!$D$59:$D$60,MATCH('STUDENT SCREENING'!AJ80,'SCORING MASTER'!$C$59:$C$60,0)),""))</f>
        <v/>
      </c>
      <c r="AL80" s="57" t="str">
        <f aca="false">IF('STUDENT SCREENING'!AK80="","",IFERROR(INDEX('SCORING MASTER'!$D$62:$D$63,MATCH('STUDENT SCREENING'!AK80,'SCORING MASTER'!$C$62:$C$63,0)),""))</f>
        <v/>
      </c>
      <c r="AM80" s="57" t="str">
        <f aca="false">IF('STUDENT SCREENING'!AL80="","",IFERROR(INDEX('SCORING MASTER'!$D$65:$D$66,MATCH('STUDENT SCREENING'!AL80,'SCORING MASTER'!$C$65:$C$66,0)),""))</f>
        <v/>
      </c>
      <c r="AN80" s="57" t="str">
        <f aca="false">IF('STUDENT SCREENING'!AM80="","",IFERROR(INDEX('SCORING MASTER'!$D$68:$D$69,MATCH('STUDENT SCREENING'!AM80,'SCORING MASTER'!$C$68:$C$69,0)),""))</f>
        <v/>
      </c>
      <c r="AO80" s="57" t="str">
        <f aca="false">IF('STUDENT SCREENING'!AN80="","",IFERROR(INDEX('SCORING MASTER'!$D$71:$D$72,MATCH('STUDENT SCREENING'!AN80,'SCORING MASTER'!$C$71:$C$72,0)),""))</f>
        <v/>
      </c>
      <c r="AP80" s="57" t="str">
        <f aca="false">IF('STUDENT SCREENING'!AO80="","",IFERROR(INDEX('SCORING MASTER'!$D$74:$D$75,MATCH('STUDENT SCREENING'!AO80,'SCORING MASTER'!$C$74:$C$75,0)),""))</f>
        <v/>
      </c>
      <c r="AQ80" s="57" t="str">
        <f aca="false">IF('STUDENT SCREENING'!AP80="","",IFERROR(INDEX('SCORING MASTER'!$D$77:$D$78,MATCH('STUDENT SCREENING'!AP80,'SCORING MASTER'!$C$77:$C$78,0)),""))</f>
        <v/>
      </c>
      <c r="AR80" s="57" t="str">
        <f aca="false">IF('STUDENT SCREENING'!AQ80="","",IFERROR(INDEX('SCORING MASTER'!$D$80:$D$82,MATCH('STUDENT SCREENING'!AQ80,'SCORING MASTER'!$C$80:$C$82,0)),""))</f>
        <v/>
      </c>
      <c r="AS80" s="57" t="str">
        <f aca="false">IF('STUDENT SCREENING'!AR80="","",IFERROR(INDEX('SCORING MASTER'!$D$84:$D$86,MATCH('STUDENT SCREENING'!AR80,'SCORING MASTER'!$C$84:$C$86,0)),""))</f>
        <v/>
      </c>
      <c r="AT80" s="57" t="str">
        <f aca="false">IF('STUDENT SCREENING'!AS80="","",IFERROR(INDEX('SCORING MASTER'!$D$88:$D$90,MATCH('STUDENT SCREENING'!AS80,'SCORING MASTER'!$C$88:$C$90,0)),""))</f>
        <v/>
      </c>
      <c r="AU80" s="57" t="str">
        <f aca="false">IF('STUDENT SCREENING'!AT80="","",IFERROR(INDEX('SCORING MASTER'!$D$92:$D$93,MATCH('STUDENT SCREENING'!AT80,'SCORING MASTER'!$C$92:$C$93,0)),""))</f>
        <v/>
      </c>
      <c r="AV80" s="57" t="str">
        <f aca="false">IF('STUDENT SCREENING'!AU80="","",IFERROR(INDEX('SCORING MASTER'!$D$95:$D$96,MATCH('STUDENT SCREENING'!AU80,'SCORING MASTER'!$C$95:$C$96,0)),""))</f>
        <v/>
      </c>
      <c r="AW80" s="57" t="str">
        <f aca="false">IF('STUDENT SCREENING'!AV80="","",IFERROR(INDEX('SCORING MASTER'!$D$98:$D$99,MATCH('STUDENT SCREENING'!AV80,'SCORING MASTER'!$C$98:$C$99,0)),""))</f>
        <v/>
      </c>
      <c r="AX80" s="57" t="str">
        <f aca="false">IF('STUDENT SCREENING'!AW80="","",IFERROR(INDEX('SCORING MASTER'!$D$101:$D$102,MATCH('STUDENT SCREENING'!AW80,'SCORING MASTER'!$C$101:$C$102,0)),""))</f>
        <v/>
      </c>
      <c r="AY80" s="57" t="str">
        <f aca="false">IF('STUDENT SCREENING'!AX80="","",IFERROR(INDEX('SCORING MASTER'!$D$104:$D$105,MATCH('STUDENT SCREENING'!AX80,'SCORING MASTER'!$C$104:$C$105,0)),""))</f>
        <v/>
      </c>
      <c r="AZ80" s="57" t="str">
        <f aca="false">IF('STUDENT SCREENING'!AY80="","",IFERROR(INDEX('SCORING MASTER'!$D$107:$D$108,MATCH('STUDENT SCREENING'!AY80,'SCORING MASTER'!$C$107:$C$108,0)),""))</f>
        <v/>
      </c>
      <c r="BA80" s="57" t="str">
        <f aca="false">IF('STUDENT SCREENING'!AZ80="","",IFERROR(INDEX('SCORING MASTER'!$D$110:$D$111,MATCH('STUDENT SCREENING'!AZ80,'SCORING MASTER'!$C$110:$C$111,0)),""))</f>
        <v/>
      </c>
      <c r="BB80" s="57" t="str">
        <f aca="false">IF('STUDENT SCREENING'!BA80="","",IFERROR(INDEX('SCORING MASTER'!$D$113:$D$115,MATCH('STUDENT SCREENING'!BA80,'SCORING MASTER'!$C$113:$C$115,0)),""))</f>
        <v/>
      </c>
      <c r="BC80" s="57" t="str">
        <f aca="false">IF('STUDENT SCREENING'!BB80="","",IFERROR(INDEX('SCORING MASTER'!$D$117:$D$119,MATCH('STUDENT SCREENING'!BB80,'SCORING MASTER'!$C$117:$C$119,0)),""))</f>
        <v/>
      </c>
      <c r="BD80" s="57" t="str">
        <f aca="false">IF('STUDENT SCREENING'!BC80="","",IFERROR(INDEX('SCORING MASTER'!$D$121:$D$123,MATCH('STUDENT SCREENING'!BC80,'SCORING MASTER'!$C$121:$C$123,0)),""))</f>
        <v/>
      </c>
      <c r="BE80" s="57" t="str">
        <f aca="false">IF('STUDENT SCREENING'!BD80="","",IFERROR(INDEX('SCORING MASTER'!$D$125:$D$126,MATCH('STUDENT SCREENING'!BD80,'SCORING MASTER'!$C$125:$C$126,0)),""))</f>
        <v/>
      </c>
      <c r="BF80" s="57" t="str">
        <f aca="false">IF('STUDENT SCREENING'!BE80="","",IFERROR(INDEX('SCORING MASTER'!$D$128:$D$129,MATCH('STUDENT SCREENING'!BE80,'SCORING MASTER'!$C$128:$C$129,0)),""))</f>
        <v/>
      </c>
      <c r="BG80" s="57" t="str">
        <f aca="false">IF('STUDENT SCREENING'!BP80="","",IFERROR(MATCH('STUDENT SCREENING'!BP80,{"Red - High Risk","Orange - Moderate Risk","Yellow - Mild Risk","Light Green - Mild Watch","Green - Healthy"},0)-1,""))</f>
        <v/>
      </c>
      <c r="BH80" s="57" t="str">
        <f aca="false">IF('STUDENT SCREENING'!BQ80="","",IF('STUDENT SCREENING'!BQ80="Yes",1,0))</f>
        <v/>
      </c>
      <c r="BI80" s="57" t="str">
        <f aca="false">IF('STUDENT SCREENING'!BR80="","",IF('STUDENT SCREENING'!BR80="Yes",1,0))</f>
        <v/>
      </c>
    </row>
    <row r="81" customFormat="false" ht="15" hidden="false" customHeight="false" outlineLevel="0" collapsed="false">
      <c r="A81" s="58" t="str">
        <f aca="false">'STUDENT SCREENING'!A81</f>
        <v/>
      </c>
      <c r="B81" s="58" t="n">
        <f aca="false">'STUDENT SCREENING'!C81</f>
        <v>0</v>
      </c>
      <c r="C81" s="58" t="n">
        <f aca="false">'STUDENT SCREENING'!D81</f>
        <v>0</v>
      </c>
      <c r="D81" s="58" t="n">
        <f aca="false">'STUDENT SCREENING'!E81</f>
        <v>0</v>
      </c>
      <c r="E81" s="58" t="n">
        <f aca="false">'STUDENT SCREENING'!F81</f>
        <v>0</v>
      </c>
      <c r="F81" s="58" t="n">
        <f aca="false">'STUDENT SCREENING'!K81</f>
        <v>0</v>
      </c>
      <c r="G81" s="58" t="n">
        <f aca="false">'STUDENT SCREENING'!J81</f>
        <v>0</v>
      </c>
      <c r="H81" s="58" t="str">
        <f aca="false">IF('STUDENT SCREENING'!K81="","",IFERROR(MATCH('STUDENT SCREENING'!K81,Adm_Gender,0),""))</f>
        <v/>
      </c>
      <c r="I81" s="58" t="n">
        <f aca="false">'STUDENT SCREENING'!Q81</f>
        <v>0</v>
      </c>
      <c r="J81" s="58" t="n">
        <f aca="false">'STUDENT SCREENING'!R81</f>
        <v>0</v>
      </c>
      <c r="K81" s="58" t="str">
        <f aca="false">'STUDENT SCREENING'!S81</f>
        <v/>
      </c>
      <c r="L81" s="58" t="n">
        <f aca="false">'STUDENT SCREENING'!U81</f>
        <v>0</v>
      </c>
      <c r="M81" s="58" t="n">
        <f aca="false">'STUDENT SCREENING'!V81</f>
        <v>0</v>
      </c>
      <c r="N81" s="58" t="str">
        <f aca="false">'STUDENT SCREENING'!BF81</f>
        <v/>
      </c>
      <c r="O81" s="58" t="str">
        <f aca="false">'STUDENT SCREENING'!BG81</f>
        <v/>
      </c>
      <c r="P81" s="58" t="str">
        <f aca="false">'STUDENT SCREENING'!BH81</f>
        <v/>
      </c>
      <c r="Q81" s="58" t="str">
        <f aca="false">'STUDENT SCREENING'!BI81</f>
        <v/>
      </c>
      <c r="R81" s="58" t="str">
        <f aca="false">'STUDENT SCREENING'!BJ81</f>
        <v/>
      </c>
      <c r="S81" s="58" t="str">
        <f aca="false">'STUDENT SCREENING'!BK81</f>
        <v/>
      </c>
      <c r="T81" s="58" t="str">
        <f aca="false">'STUDENT SCREENING'!BL81</f>
        <v/>
      </c>
      <c r="U81" s="58" t="str">
        <f aca="false">'STUDENT SCREENING'!BM81</f>
        <v/>
      </c>
      <c r="V81" s="58" t="str">
        <f aca="false">'STUDENT SCREENING'!BN81</f>
        <v/>
      </c>
      <c r="W81" s="58" t="str">
        <f aca="false">'STUDENT SCREENING'!BO81</f>
        <v/>
      </c>
      <c r="X81" s="58" t="str">
        <f aca="false">IF('STUDENT SCREENING'!W81="","",IFERROR(INDEX('SCORING MASTER'!$D$5:$D$7,MATCH('STUDENT SCREENING'!W81,'SCORING MASTER'!$C$5:$C$7,0)),""))</f>
        <v/>
      </c>
      <c r="Y81" s="58" t="str">
        <f aca="false">IF('STUDENT SCREENING'!X81="","",IFERROR(INDEX('SCORING MASTER'!$D$9:$D$11,MATCH('STUDENT SCREENING'!X81,'SCORING MASTER'!$C$9:$C$11,0)),""))</f>
        <v/>
      </c>
      <c r="Z81" s="58" t="str">
        <f aca="false">IF('STUDENT SCREENING'!Y81="","",IFERROR(INDEX('SCORING MASTER'!$D$13:$D$15,MATCH('STUDENT SCREENING'!Y81,'SCORING MASTER'!$C$13:$C$15,0)),""))</f>
        <v/>
      </c>
      <c r="AA81" s="58" t="str">
        <f aca="false">IF('STUDENT SCREENING'!Z81="","",IFERROR(INDEX('SCORING MASTER'!$D$17:$D$19,MATCH('STUDENT SCREENING'!Z81,'SCORING MASTER'!$C$17:$C$19,0)),""))</f>
        <v/>
      </c>
      <c r="AB81" s="58" t="str">
        <f aca="false">IF('STUDENT SCREENING'!AA81="","",IFERROR(INDEX('SCORING MASTER'!$D$21:$D$23,MATCH('STUDENT SCREENING'!AA81,'SCORING MASTER'!$C$21:$C$23,0)),""))</f>
        <v/>
      </c>
      <c r="AC81" s="58" t="str">
        <f aca="false">IF('STUDENT SCREENING'!AB81="","",IFERROR(INDEX('SCORING MASTER'!$D$25:$D$27,MATCH('STUDENT SCREENING'!AB81,'SCORING MASTER'!$C$25:$C$27,0)),""))</f>
        <v/>
      </c>
      <c r="AD81" s="58" t="str">
        <f aca="false">IF('STUDENT SCREENING'!AC81="","",IFERROR(INDEX('SCORING MASTER'!$D$29:$D$31,MATCH('STUDENT SCREENING'!AC81,'SCORING MASTER'!$C$29:$C$31,0)),""))</f>
        <v/>
      </c>
      <c r="AE81" s="58" t="str">
        <f aca="false">IF('STUDENT SCREENING'!AD81="","",IFERROR(INDEX('SCORING MASTER'!$D$33:$D$35,MATCH('STUDENT SCREENING'!AD81,'SCORING MASTER'!$C$33:$C$35,0)),""))</f>
        <v/>
      </c>
      <c r="AF81" s="58" t="str">
        <f aca="false">IF('STUDENT SCREENING'!AE81="","",IFERROR(INDEX('SCORING MASTER'!$D$37:$D$39,MATCH('STUDENT SCREENING'!AE81,'SCORING MASTER'!$C$37:$C$39,0)),""))</f>
        <v/>
      </c>
      <c r="AG81" s="58" t="str">
        <f aca="false">IF('STUDENT SCREENING'!AF81="","",IFERROR(INDEX('SCORING MASTER'!$D$41:$D$43,MATCH('STUDENT SCREENING'!AF81,'SCORING MASTER'!$C$41:$C$43,0)),""))</f>
        <v/>
      </c>
      <c r="AH81" s="58" t="str">
        <f aca="false">IF('STUDENT SCREENING'!AG81="","",IFERROR(INDEX('SCORING MASTER'!$D$45:$D$47,MATCH('STUDENT SCREENING'!AG81,'SCORING MASTER'!$C$45:$C$47,0)),""))</f>
        <v/>
      </c>
      <c r="AI81" s="58" t="str">
        <f aca="false">IF('STUDENT SCREENING'!AH81="","",IFERROR(INDEX('SCORING MASTER'!$D$49:$D$52,MATCH('STUDENT SCREENING'!AH81,'SCORING MASTER'!$C$49:$C$52,0)),""))</f>
        <v/>
      </c>
      <c r="AJ81" s="58" t="str">
        <f aca="false">IF('STUDENT SCREENING'!AI81="","",IFERROR(INDEX('SCORING MASTER'!$D$54:$D$57,MATCH('STUDENT SCREENING'!AI81,'SCORING MASTER'!$C$54:$C$57,0)),""))</f>
        <v/>
      </c>
      <c r="AK81" s="58" t="str">
        <f aca="false">IF('STUDENT SCREENING'!AJ81="","",IFERROR(INDEX('SCORING MASTER'!$D$59:$D$60,MATCH('STUDENT SCREENING'!AJ81,'SCORING MASTER'!$C$59:$C$60,0)),""))</f>
        <v/>
      </c>
      <c r="AL81" s="58" t="str">
        <f aca="false">IF('STUDENT SCREENING'!AK81="","",IFERROR(INDEX('SCORING MASTER'!$D$62:$D$63,MATCH('STUDENT SCREENING'!AK81,'SCORING MASTER'!$C$62:$C$63,0)),""))</f>
        <v/>
      </c>
      <c r="AM81" s="58" t="str">
        <f aca="false">IF('STUDENT SCREENING'!AL81="","",IFERROR(INDEX('SCORING MASTER'!$D$65:$D$66,MATCH('STUDENT SCREENING'!AL81,'SCORING MASTER'!$C$65:$C$66,0)),""))</f>
        <v/>
      </c>
      <c r="AN81" s="58" t="str">
        <f aca="false">IF('STUDENT SCREENING'!AM81="","",IFERROR(INDEX('SCORING MASTER'!$D$68:$D$69,MATCH('STUDENT SCREENING'!AM81,'SCORING MASTER'!$C$68:$C$69,0)),""))</f>
        <v/>
      </c>
      <c r="AO81" s="58" t="str">
        <f aca="false">IF('STUDENT SCREENING'!AN81="","",IFERROR(INDEX('SCORING MASTER'!$D$71:$D$72,MATCH('STUDENT SCREENING'!AN81,'SCORING MASTER'!$C$71:$C$72,0)),""))</f>
        <v/>
      </c>
      <c r="AP81" s="58" t="str">
        <f aca="false">IF('STUDENT SCREENING'!AO81="","",IFERROR(INDEX('SCORING MASTER'!$D$74:$D$75,MATCH('STUDENT SCREENING'!AO81,'SCORING MASTER'!$C$74:$C$75,0)),""))</f>
        <v/>
      </c>
      <c r="AQ81" s="58" t="str">
        <f aca="false">IF('STUDENT SCREENING'!AP81="","",IFERROR(INDEX('SCORING MASTER'!$D$77:$D$78,MATCH('STUDENT SCREENING'!AP81,'SCORING MASTER'!$C$77:$C$78,0)),""))</f>
        <v/>
      </c>
      <c r="AR81" s="58" t="str">
        <f aca="false">IF('STUDENT SCREENING'!AQ81="","",IFERROR(INDEX('SCORING MASTER'!$D$80:$D$82,MATCH('STUDENT SCREENING'!AQ81,'SCORING MASTER'!$C$80:$C$82,0)),""))</f>
        <v/>
      </c>
      <c r="AS81" s="58" t="str">
        <f aca="false">IF('STUDENT SCREENING'!AR81="","",IFERROR(INDEX('SCORING MASTER'!$D$84:$D$86,MATCH('STUDENT SCREENING'!AR81,'SCORING MASTER'!$C$84:$C$86,0)),""))</f>
        <v/>
      </c>
      <c r="AT81" s="58" t="str">
        <f aca="false">IF('STUDENT SCREENING'!AS81="","",IFERROR(INDEX('SCORING MASTER'!$D$88:$D$90,MATCH('STUDENT SCREENING'!AS81,'SCORING MASTER'!$C$88:$C$90,0)),""))</f>
        <v/>
      </c>
      <c r="AU81" s="58" t="str">
        <f aca="false">IF('STUDENT SCREENING'!AT81="","",IFERROR(INDEX('SCORING MASTER'!$D$92:$D$93,MATCH('STUDENT SCREENING'!AT81,'SCORING MASTER'!$C$92:$C$93,0)),""))</f>
        <v/>
      </c>
      <c r="AV81" s="58" t="str">
        <f aca="false">IF('STUDENT SCREENING'!AU81="","",IFERROR(INDEX('SCORING MASTER'!$D$95:$D$96,MATCH('STUDENT SCREENING'!AU81,'SCORING MASTER'!$C$95:$C$96,0)),""))</f>
        <v/>
      </c>
      <c r="AW81" s="58" t="str">
        <f aca="false">IF('STUDENT SCREENING'!AV81="","",IFERROR(INDEX('SCORING MASTER'!$D$98:$D$99,MATCH('STUDENT SCREENING'!AV81,'SCORING MASTER'!$C$98:$C$99,0)),""))</f>
        <v/>
      </c>
      <c r="AX81" s="58" t="str">
        <f aca="false">IF('STUDENT SCREENING'!AW81="","",IFERROR(INDEX('SCORING MASTER'!$D$101:$D$102,MATCH('STUDENT SCREENING'!AW81,'SCORING MASTER'!$C$101:$C$102,0)),""))</f>
        <v/>
      </c>
      <c r="AY81" s="58" t="str">
        <f aca="false">IF('STUDENT SCREENING'!AX81="","",IFERROR(INDEX('SCORING MASTER'!$D$104:$D$105,MATCH('STUDENT SCREENING'!AX81,'SCORING MASTER'!$C$104:$C$105,0)),""))</f>
        <v/>
      </c>
      <c r="AZ81" s="58" t="str">
        <f aca="false">IF('STUDENT SCREENING'!AY81="","",IFERROR(INDEX('SCORING MASTER'!$D$107:$D$108,MATCH('STUDENT SCREENING'!AY81,'SCORING MASTER'!$C$107:$C$108,0)),""))</f>
        <v/>
      </c>
      <c r="BA81" s="58" t="str">
        <f aca="false">IF('STUDENT SCREENING'!AZ81="","",IFERROR(INDEX('SCORING MASTER'!$D$110:$D$111,MATCH('STUDENT SCREENING'!AZ81,'SCORING MASTER'!$C$110:$C$111,0)),""))</f>
        <v/>
      </c>
      <c r="BB81" s="58" t="str">
        <f aca="false">IF('STUDENT SCREENING'!BA81="","",IFERROR(INDEX('SCORING MASTER'!$D$113:$D$115,MATCH('STUDENT SCREENING'!BA81,'SCORING MASTER'!$C$113:$C$115,0)),""))</f>
        <v/>
      </c>
      <c r="BC81" s="58" t="str">
        <f aca="false">IF('STUDENT SCREENING'!BB81="","",IFERROR(INDEX('SCORING MASTER'!$D$117:$D$119,MATCH('STUDENT SCREENING'!BB81,'SCORING MASTER'!$C$117:$C$119,0)),""))</f>
        <v/>
      </c>
      <c r="BD81" s="58" t="str">
        <f aca="false">IF('STUDENT SCREENING'!BC81="","",IFERROR(INDEX('SCORING MASTER'!$D$121:$D$123,MATCH('STUDENT SCREENING'!BC81,'SCORING MASTER'!$C$121:$C$123,0)),""))</f>
        <v/>
      </c>
      <c r="BE81" s="58" t="str">
        <f aca="false">IF('STUDENT SCREENING'!BD81="","",IFERROR(INDEX('SCORING MASTER'!$D$125:$D$126,MATCH('STUDENT SCREENING'!BD81,'SCORING MASTER'!$C$125:$C$126,0)),""))</f>
        <v/>
      </c>
      <c r="BF81" s="58" t="str">
        <f aca="false">IF('STUDENT SCREENING'!BE81="","",IFERROR(INDEX('SCORING MASTER'!$D$128:$D$129,MATCH('STUDENT SCREENING'!BE81,'SCORING MASTER'!$C$128:$C$129,0)),""))</f>
        <v/>
      </c>
      <c r="BG81" s="58" t="str">
        <f aca="false">IF('STUDENT SCREENING'!BP81="","",IFERROR(MATCH('STUDENT SCREENING'!BP81,{"Red - High Risk","Orange - Moderate Risk","Yellow - Mild Risk","Light Green - Mild Watch","Green - Healthy"},0)-1,""))</f>
        <v/>
      </c>
      <c r="BH81" s="58" t="str">
        <f aca="false">IF('STUDENT SCREENING'!BQ81="","",IF('STUDENT SCREENING'!BQ81="Yes",1,0))</f>
        <v/>
      </c>
      <c r="BI81" s="58" t="str">
        <f aca="false">IF('STUDENT SCREENING'!BR81="","",IF('STUDENT SCREENING'!BR81="Yes",1,0))</f>
        <v/>
      </c>
    </row>
    <row r="82" customFormat="false" ht="15" hidden="false" customHeight="false" outlineLevel="0" collapsed="false">
      <c r="A82" s="57" t="str">
        <f aca="false">'STUDENT SCREENING'!A82</f>
        <v/>
      </c>
      <c r="B82" s="57" t="n">
        <f aca="false">'STUDENT SCREENING'!C82</f>
        <v>0</v>
      </c>
      <c r="C82" s="57" t="n">
        <f aca="false">'STUDENT SCREENING'!D82</f>
        <v>0</v>
      </c>
      <c r="D82" s="57" t="n">
        <f aca="false">'STUDENT SCREENING'!E82</f>
        <v>0</v>
      </c>
      <c r="E82" s="57" t="n">
        <f aca="false">'STUDENT SCREENING'!F82</f>
        <v>0</v>
      </c>
      <c r="F82" s="57" t="n">
        <f aca="false">'STUDENT SCREENING'!K82</f>
        <v>0</v>
      </c>
      <c r="G82" s="57" t="n">
        <f aca="false">'STUDENT SCREENING'!J82</f>
        <v>0</v>
      </c>
      <c r="H82" s="57" t="str">
        <f aca="false">IF('STUDENT SCREENING'!K82="","",IFERROR(MATCH('STUDENT SCREENING'!K82,Adm_Gender,0),""))</f>
        <v/>
      </c>
      <c r="I82" s="57" t="n">
        <f aca="false">'STUDENT SCREENING'!Q82</f>
        <v>0</v>
      </c>
      <c r="J82" s="57" t="n">
        <f aca="false">'STUDENT SCREENING'!R82</f>
        <v>0</v>
      </c>
      <c r="K82" s="57" t="str">
        <f aca="false">'STUDENT SCREENING'!S82</f>
        <v/>
      </c>
      <c r="L82" s="57" t="n">
        <f aca="false">'STUDENT SCREENING'!U82</f>
        <v>0</v>
      </c>
      <c r="M82" s="57" t="n">
        <f aca="false">'STUDENT SCREENING'!V82</f>
        <v>0</v>
      </c>
      <c r="N82" s="57" t="str">
        <f aca="false">'STUDENT SCREENING'!BF82</f>
        <v/>
      </c>
      <c r="O82" s="57" t="str">
        <f aca="false">'STUDENT SCREENING'!BG82</f>
        <v/>
      </c>
      <c r="P82" s="57" t="str">
        <f aca="false">'STUDENT SCREENING'!BH82</f>
        <v/>
      </c>
      <c r="Q82" s="57" t="str">
        <f aca="false">'STUDENT SCREENING'!BI82</f>
        <v/>
      </c>
      <c r="R82" s="57" t="str">
        <f aca="false">'STUDENT SCREENING'!BJ82</f>
        <v/>
      </c>
      <c r="S82" s="57" t="str">
        <f aca="false">'STUDENT SCREENING'!BK82</f>
        <v/>
      </c>
      <c r="T82" s="57" t="str">
        <f aca="false">'STUDENT SCREENING'!BL82</f>
        <v/>
      </c>
      <c r="U82" s="57" t="str">
        <f aca="false">'STUDENT SCREENING'!BM82</f>
        <v/>
      </c>
      <c r="V82" s="57" t="str">
        <f aca="false">'STUDENT SCREENING'!BN82</f>
        <v/>
      </c>
      <c r="W82" s="57" t="str">
        <f aca="false">'STUDENT SCREENING'!BO82</f>
        <v/>
      </c>
      <c r="X82" s="57" t="str">
        <f aca="false">IF('STUDENT SCREENING'!W82="","",IFERROR(INDEX('SCORING MASTER'!$D$5:$D$7,MATCH('STUDENT SCREENING'!W82,'SCORING MASTER'!$C$5:$C$7,0)),""))</f>
        <v/>
      </c>
      <c r="Y82" s="57" t="str">
        <f aca="false">IF('STUDENT SCREENING'!X82="","",IFERROR(INDEX('SCORING MASTER'!$D$9:$D$11,MATCH('STUDENT SCREENING'!X82,'SCORING MASTER'!$C$9:$C$11,0)),""))</f>
        <v/>
      </c>
      <c r="Z82" s="57" t="str">
        <f aca="false">IF('STUDENT SCREENING'!Y82="","",IFERROR(INDEX('SCORING MASTER'!$D$13:$D$15,MATCH('STUDENT SCREENING'!Y82,'SCORING MASTER'!$C$13:$C$15,0)),""))</f>
        <v/>
      </c>
      <c r="AA82" s="57" t="str">
        <f aca="false">IF('STUDENT SCREENING'!Z82="","",IFERROR(INDEX('SCORING MASTER'!$D$17:$D$19,MATCH('STUDENT SCREENING'!Z82,'SCORING MASTER'!$C$17:$C$19,0)),""))</f>
        <v/>
      </c>
      <c r="AB82" s="57" t="str">
        <f aca="false">IF('STUDENT SCREENING'!AA82="","",IFERROR(INDEX('SCORING MASTER'!$D$21:$D$23,MATCH('STUDENT SCREENING'!AA82,'SCORING MASTER'!$C$21:$C$23,0)),""))</f>
        <v/>
      </c>
      <c r="AC82" s="57" t="str">
        <f aca="false">IF('STUDENT SCREENING'!AB82="","",IFERROR(INDEX('SCORING MASTER'!$D$25:$D$27,MATCH('STUDENT SCREENING'!AB82,'SCORING MASTER'!$C$25:$C$27,0)),""))</f>
        <v/>
      </c>
      <c r="AD82" s="57" t="str">
        <f aca="false">IF('STUDENT SCREENING'!AC82="","",IFERROR(INDEX('SCORING MASTER'!$D$29:$D$31,MATCH('STUDENT SCREENING'!AC82,'SCORING MASTER'!$C$29:$C$31,0)),""))</f>
        <v/>
      </c>
      <c r="AE82" s="57" t="str">
        <f aca="false">IF('STUDENT SCREENING'!AD82="","",IFERROR(INDEX('SCORING MASTER'!$D$33:$D$35,MATCH('STUDENT SCREENING'!AD82,'SCORING MASTER'!$C$33:$C$35,0)),""))</f>
        <v/>
      </c>
      <c r="AF82" s="57" t="str">
        <f aca="false">IF('STUDENT SCREENING'!AE82="","",IFERROR(INDEX('SCORING MASTER'!$D$37:$D$39,MATCH('STUDENT SCREENING'!AE82,'SCORING MASTER'!$C$37:$C$39,0)),""))</f>
        <v/>
      </c>
      <c r="AG82" s="57" t="str">
        <f aca="false">IF('STUDENT SCREENING'!AF82="","",IFERROR(INDEX('SCORING MASTER'!$D$41:$D$43,MATCH('STUDENT SCREENING'!AF82,'SCORING MASTER'!$C$41:$C$43,0)),""))</f>
        <v/>
      </c>
      <c r="AH82" s="57" t="str">
        <f aca="false">IF('STUDENT SCREENING'!AG82="","",IFERROR(INDEX('SCORING MASTER'!$D$45:$D$47,MATCH('STUDENT SCREENING'!AG82,'SCORING MASTER'!$C$45:$C$47,0)),""))</f>
        <v/>
      </c>
      <c r="AI82" s="57" t="str">
        <f aca="false">IF('STUDENT SCREENING'!AH82="","",IFERROR(INDEX('SCORING MASTER'!$D$49:$D$52,MATCH('STUDENT SCREENING'!AH82,'SCORING MASTER'!$C$49:$C$52,0)),""))</f>
        <v/>
      </c>
      <c r="AJ82" s="57" t="str">
        <f aca="false">IF('STUDENT SCREENING'!AI82="","",IFERROR(INDEX('SCORING MASTER'!$D$54:$D$57,MATCH('STUDENT SCREENING'!AI82,'SCORING MASTER'!$C$54:$C$57,0)),""))</f>
        <v/>
      </c>
      <c r="AK82" s="57" t="str">
        <f aca="false">IF('STUDENT SCREENING'!AJ82="","",IFERROR(INDEX('SCORING MASTER'!$D$59:$D$60,MATCH('STUDENT SCREENING'!AJ82,'SCORING MASTER'!$C$59:$C$60,0)),""))</f>
        <v/>
      </c>
      <c r="AL82" s="57" t="str">
        <f aca="false">IF('STUDENT SCREENING'!AK82="","",IFERROR(INDEX('SCORING MASTER'!$D$62:$D$63,MATCH('STUDENT SCREENING'!AK82,'SCORING MASTER'!$C$62:$C$63,0)),""))</f>
        <v/>
      </c>
      <c r="AM82" s="57" t="str">
        <f aca="false">IF('STUDENT SCREENING'!AL82="","",IFERROR(INDEX('SCORING MASTER'!$D$65:$D$66,MATCH('STUDENT SCREENING'!AL82,'SCORING MASTER'!$C$65:$C$66,0)),""))</f>
        <v/>
      </c>
      <c r="AN82" s="57" t="str">
        <f aca="false">IF('STUDENT SCREENING'!AM82="","",IFERROR(INDEX('SCORING MASTER'!$D$68:$D$69,MATCH('STUDENT SCREENING'!AM82,'SCORING MASTER'!$C$68:$C$69,0)),""))</f>
        <v/>
      </c>
      <c r="AO82" s="57" t="str">
        <f aca="false">IF('STUDENT SCREENING'!AN82="","",IFERROR(INDEX('SCORING MASTER'!$D$71:$D$72,MATCH('STUDENT SCREENING'!AN82,'SCORING MASTER'!$C$71:$C$72,0)),""))</f>
        <v/>
      </c>
      <c r="AP82" s="57" t="str">
        <f aca="false">IF('STUDENT SCREENING'!AO82="","",IFERROR(INDEX('SCORING MASTER'!$D$74:$D$75,MATCH('STUDENT SCREENING'!AO82,'SCORING MASTER'!$C$74:$C$75,0)),""))</f>
        <v/>
      </c>
      <c r="AQ82" s="57" t="str">
        <f aca="false">IF('STUDENT SCREENING'!AP82="","",IFERROR(INDEX('SCORING MASTER'!$D$77:$D$78,MATCH('STUDENT SCREENING'!AP82,'SCORING MASTER'!$C$77:$C$78,0)),""))</f>
        <v/>
      </c>
      <c r="AR82" s="57" t="str">
        <f aca="false">IF('STUDENT SCREENING'!AQ82="","",IFERROR(INDEX('SCORING MASTER'!$D$80:$D$82,MATCH('STUDENT SCREENING'!AQ82,'SCORING MASTER'!$C$80:$C$82,0)),""))</f>
        <v/>
      </c>
      <c r="AS82" s="57" t="str">
        <f aca="false">IF('STUDENT SCREENING'!AR82="","",IFERROR(INDEX('SCORING MASTER'!$D$84:$D$86,MATCH('STUDENT SCREENING'!AR82,'SCORING MASTER'!$C$84:$C$86,0)),""))</f>
        <v/>
      </c>
      <c r="AT82" s="57" t="str">
        <f aca="false">IF('STUDENT SCREENING'!AS82="","",IFERROR(INDEX('SCORING MASTER'!$D$88:$D$90,MATCH('STUDENT SCREENING'!AS82,'SCORING MASTER'!$C$88:$C$90,0)),""))</f>
        <v/>
      </c>
      <c r="AU82" s="57" t="str">
        <f aca="false">IF('STUDENT SCREENING'!AT82="","",IFERROR(INDEX('SCORING MASTER'!$D$92:$D$93,MATCH('STUDENT SCREENING'!AT82,'SCORING MASTER'!$C$92:$C$93,0)),""))</f>
        <v/>
      </c>
      <c r="AV82" s="57" t="str">
        <f aca="false">IF('STUDENT SCREENING'!AU82="","",IFERROR(INDEX('SCORING MASTER'!$D$95:$D$96,MATCH('STUDENT SCREENING'!AU82,'SCORING MASTER'!$C$95:$C$96,0)),""))</f>
        <v/>
      </c>
      <c r="AW82" s="57" t="str">
        <f aca="false">IF('STUDENT SCREENING'!AV82="","",IFERROR(INDEX('SCORING MASTER'!$D$98:$D$99,MATCH('STUDENT SCREENING'!AV82,'SCORING MASTER'!$C$98:$C$99,0)),""))</f>
        <v/>
      </c>
      <c r="AX82" s="57" t="str">
        <f aca="false">IF('STUDENT SCREENING'!AW82="","",IFERROR(INDEX('SCORING MASTER'!$D$101:$D$102,MATCH('STUDENT SCREENING'!AW82,'SCORING MASTER'!$C$101:$C$102,0)),""))</f>
        <v/>
      </c>
      <c r="AY82" s="57" t="str">
        <f aca="false">IF('STUDENT SCREENING'!AX82="","",IFERROR(INDEX('SCORING MASTER'!$D$104:$D$105,MATCH('STUDENT SCREENING'!AX82,'SCORING MASTER'!$C$104:$C$105,0)),""))</f>
        <v/>
      </c>
      <c r="AZ82" s="57" t="str">
        <f aca="false">IF('STUDENT SCREENING'!AY82="","",IFERROR(INDEX('SCORING MASTER'!$D$107:$D$108,MATCH('STUDENT SCREENING'!AY82,'SCORING MASTER'!$C$107:$C$108,0)),""))</f>
        <v/>
      </c>
      <c r="BA82" s="57" t="str">
        <f aca="false">IF('STUDENT SCREENING'!AZ82="","",IFERROR(INDEX('SCORING MASTER'!$D$110:$D$111,MATCH('STUDENT SCREENING'!AZ82,'SCORING MASTER'!$C$110:$C$111,0)),""))</f>
        <v/>
      </c>
      <c r="BB82" s="57" t="str">
        <f aca="false">IF('STUDENT SCREENING'!BA82="","",IFERROR(INDEX('SCORING MASTER'!$D$113:$D$115,MATCH('STUDENT SCREENING'!BA82,'SCORING MASTER'!$C$113:$C$115,0)),""))</f>
        <v/>
      </c>
      <c r="BC82" s="57" t="str">
        <f aca="false">IF('STUDENT SCREENING'!BB82="","",IFERROR(INDEX('SCORING MASTER'!$D$117:$D$119,MATCH('STUDENT SCREENING'!BB82,'SCORING MASTER'!$C$117:$C$119,0)),""))</f>
        <v/>
      </c>
      <c r="BD82" s="57" t="str">
        <f aca="false">IF('STUDENT SCREENING'!BC82="","",IFERROR(INDEX('SCORING MASTER'!$D$121:$D$123,MATCH('STUDENT SCREENING'!BC82,'SCORING MASTER'!$C$121:$C$123,0)),""))</f>
        <v/>
      </c>
      <c r="BE82" s="57" t="str">
        <f aca="false">IF('STUDENT SCREENING'!BD82="","",IFERROR(INDEX('SCORING MASTER'!$D$125:$D$126,MATCH('STUDENT SCREENING'!BD82,'SCORING MASTER'!$C$125:$C$126,0)),""))</f>
        <v/>
      </c>
      <c r="BF82" s="57" t="str">
        <f aca="false">IF('STUDENT SCREENING'!BE82="","",IFERROR(INDEX('SCORING MASTER'!$D$128:$D$129,MATCH('STUDENT SCREENING'!BE82,'SCORING MASTER'!$C$128:$C$129,0)),""))</f>
        <v/>
      </c>
      <c r="BG82" s="57" t="str">
        <f aca="false">IF('STUDENT SCREENING'!BP82="","",IFERROR(MATCH('STUDENT SCREENING'!BP82,{"Red - High Risk","Orange - Moderate Risk","Yellow - Mild Risk","Light Green - Mild Watch","Green - Healthy"},0)-1,""))</f>
        <v/>
      </c>
      <c r="BH82" s="57" t="str">
        <f aca="false">IF('STUDENT SCREENING'!BQ82="","",IF('STUDENT SCREENING'!BQ82="Yes",1,0))</f>
        <v/>
      </c>
      <c r="BI82" s="57" t="str">
        <f aca="false">IF('STUDENT SCREENING'!BR82="","",IF('STUDENT SCREENING'!BR82="Yes",1,0))</f>
        <v/>
      </c>
    </row>
    <row r="83" customFormat="false" ht="15" hidden="false" customHeight="false" outlineLevel="0" collapsed="false">
      <c r="A83" s="58" t="str">
        <f aca="false">'STUDENT SCREENING'!A83</f>
        <v/>
      </c>
      <c r="B83" s="58" t="n">
        <f aca="false">'STUDENT SCREENING'!C83</f>
        <v>0</v>
      </c>
      <c r="C83" s="58" t="n">
        <f aca="false">'STUDENT SCREENING'!D83</f>
        <v>0</v>
      </c>
      <c r="D83" s="58" t="n">
        <f aca="false">'STUDENT SCREENING'!E83</f>
        <v>0</v>
      </c>
      <c r="E83" s="58" t="n">
        <f aca="false">'STUDENT SCREENING'!F83</f>
        <v>0</v>
      </c>
      <c r="F83" s="58" t="n">
        <f aca="false">'STUDENT SCREENING'!K83</f>
        <v>0</v>
      </c>
      <c r="G83" s="58" t="n">
        <f aca="false">'STUDENT SCREENING'!J83</f>
        <v>0</v>
      </c>
      <c r="H83" s="58" t="str">
        <f aca="false">IF('STUDENT SCREENING'!K83="","",IFERROR(MATCH('STUDENT SCREENING'!K83,Adm_Gender,0),""))</f>
        <v/>
      </c>
      <c r="I83" s="58" t="n">
        <f aca="false">'STUDENT SCREENING'!Q83</f>
        <v>0</v>
      </c>
      <c r="J83" s="58" t="n">
        <f aca="false">'STUDENT SCREENING'!R83</f>
        <v>0</v>
      </c>
      <c r="K83" s="58" t="str">
        <f aca="false">'STUDENT SCREENING'!S83</f>
        <v/>
      </c>
      <c r="L83" s="58" t="n">
        <f aca="false">'STUDENT SCREENING'!U83</f>
        <v>0</v>
      </c>
      <c r="M83" s="58" t="n">
        <f aca="false">'STUDENT SCREENING'!V83</f>
        <v>0</v>
      </c>
      <c r="N83" s="58" t="str">
        <f aca="false">'STUDENT SCREENING'!BF83</f>
        <v/>
      </c>
      <c r="O83" s="58" t="str">
        <f aca="false">'STUDENT SCREENING'!BG83</f>
        <v/>
      </c>
      <c r="P83" s="58" t="str">
        <f aca="false">'STUDENT SCREENING'!BH83</f>
        <v/>
      </c>
      <c r="Q83" s="58" t="str">
        <f aca="false">'STUDENT SCREENING'!BI83</f>
        <v/>
      </c>
      <c r="R83" s="58" t="str">
        <f aca="false">'STUDENT SCREENING'!BJ83</f>
        <v/>
      </c>
      <c r="S83" s="58" t="str">
        <f aca="false">'STUDENT SCREENING'!BK83</f>
        <v/>
      </c>
      <c r="T83" s="58" t="str">
        <f aca="false">'STUDENT SCREENING'!BL83</f>
        <v/>
      </c>
      <c r="U83" s="58" t="str">
        <f aca="false">'STUDENT SCREENING'!BM83</f>
        <v/>
      </c>
      <c r="V83" s="58" t="str">
        <f aca="false">'STUDENT SCREENING'!BN83</f>
        <v/>
      </c>
      <c r="W83" s="58" t="str">
        <f aca="false">'STUDENT SCREENING'!BO83</f>
        <v/>
      </c>
      <c r="X83" s="58" t="str">
        <f aca="false">IF('STUDENT SCREENING'!W83="","",IFERROR(INDEX('SCORING MASTER'!$D$5:$D$7,MATCH('STUDENT SCREENING'!W83,'SCORING MASTER'!$C$5:$C$7,0)),""))</f>
        <v/>
      </c>
      <c r="Y83" s="58" t="str">
        <f aca="false">IF('STUDENT SCREENING'!X83="","",IFERROR(INDEX('SCORING MASTER'!$D$9:$D$11,MATCH('STUDENT SCREENING'!X83,'SCORING MASTER'!$C$9:$C$11,0)),""))</f>
        <v/>
      </c>
      <c r="Z83" s="58" t="str">
        <f aca="false">IF('STUDENT SCREENING'!Y83="","",IFERROR(INDEX('SCORING MASTER'!$D$13:$D$15,MATCH('STUDENT SCREENING'!Y83,'SCORING MASTER'!$C$13:$C$15,0)),""))</f>
        <v/>
      </c>
      <c r="AA83" s="58" t="str">
        <f aca="false">IF('STUDENT SCREENING'!Z83="","",IFERROR(INDEX('SCORING MASTER'!$D$17:$D$19,MATCH('STUDENT SCREENING'!Z83,'SCORING MASTER'!$C$17:$C$19,0)),""))</f>
        <v/>
      </c>
      <c r="AB83" s="58" t="str">
        <f aca="false">IF('STUDENT SCREENING'!AA83="","",IFERROR(INDEX('SCORING MASTER'!$D$21:$D$23,MATCH('STUDENT SCREENING'!AA83,'SCORING MASTER'!$C$21:$C$23,0)),""))</f>
        <v/>
      </c>
      <c r="AC83" s="58" t="str">
        <f aca="false">IF('STUDENT SCREENING'!AB83="","",IFERROR(INDEX('SCORING MASTER'!$D$25:$D$27,MATCH('STUDENT SCREENING'!AB83,'SCORING MASTER'!$C$25:$C$27,0)),""))</f>
        <v/>
      </c>
      <c r="AD83" s="58" t="str">
        <f aca="false">IF('STUDENT SCREENING'!AC83="","",IFERROR(INDEX('SCORING MASTER'!$D$29:$D$31,MATCH('STUDENT SCREENING'!AC83,'SCORING MASTER'!$C$29:$C$31,0)),""))</f>
        <v/>
      </c>
      <c r="AE83" s="58" t="str">
        <f aca="false">IF('STUDENT SCREENING'!AD83="","",IFERROR(INDEX('SCORING MASTER'!$D$33:$D$35,MATCH('STUDENT SCREENING'!AD83,'SCORING MASTER'!$C$33:$C$35,0)),""))</f>
        <v/>
      </c>
      <c r="AF83" s="58" t="str">
        <f aca="false">IF('STUDENT SCREENING'!AE83="","",IFERROR(INDEX('SCORING MASTER'!$D$37:$D$39,MATCH('STUDENT SCREENING'!AE83,'SCORING MASTER'!$C$37:$C$39,0)),""))</f>
        <v/>
      </c>
      <c r="AG83" s="58" t="str">
        <f aca="false">IF('STUDENT SCREENING'!AF83="","",IFERROR(INDEX('SCORING MASTER'!$D$41:$D$43,MATCH('STUDENT SCREENING'!AF83,'SCORING MASTER'!$C$41:$C$43,0)),""))</f>
        <v/>
      </c>
      <c r="AH83" s="58" t="str">
        <f aca="false">IF('STUDENT SCREENING'!AG83="","",IFERROR(INDEX('SCORING MASTER'!$D$45:$D$47,MATCH('STUDENT SCREENING'!AG83,'SCORING MASTER'!$C$45:$C$47,0)),""))</f>
        <v/>
      </c>
      <c r="AI83" s="58" t="str">
        <f aca="false">IF('STUDENT SCREENING'!AH83="","",IFERROR(INDEX('SCORING MASTER'!$D$49:$D$52,MATCH('STUDENT SCREENING'!AH83,'SCORING MASTER'!$C$49:$C$52,0)),""))</f>
        <v/>
      </c>
      <c r="AJ83" s="58" t="str">
        <f aca="false">IF('STUDENT SCREENING'!AI83="","",IFERROR(INDEX('SCORING MASTER'!$D$54:$D$57,MATCH('STUDENT SCREENING'!AI83,'SCORING MASTER'!$C$54:$C$57,0)),""))</f>
        <v/>
      </c>
      <c r="AK83" s="58" t="str">
        <f aca="false">IF('STUDENT SCREENING'!AJ83="","",IFERROR(INDEX('SCORING MASTER'!$D$59:$D$60,MATCH('STUDENT SCREENING'!AJ83,'SCORING MASTER'!$C$59:$C$60,0)),""))</f>
        <v/>
      </c>
      <c r="AL83" s="58" t="str">
        <f aca="false">IF('STUDENT SCREENING'!AK83="","",IFERROR(INDEX('SCORING MASTER'!$D$62:$D$63,MATCH('STUDENT SCREENING'!AK83,'SCORING MASTER'!$C$62:$C$63,0)),""))</f>
        <v/>
      </c>
      <c r="AM83" s="58" t="str">
        <f aca="false">IF('STUDENT SCREENING'!AL83="","",IFERROR(INDEX('SCORING MASTER'!$D$65:$D$66,MATCH('STUDENT SCREENING'!AL83,'SCORING MASTER'!$C$65:$C$66,0)),""))</f>
        <v/>
      </c>
      <c r="AN83" s="58" t="str">
        <f aca="false">IF('STUDENT SCREENING'!AM83="","",IFERROR(INDEX('SCORING MASTER'!$D$68:$D$69,MATCH('STUDENT SCREENING'!AM83,'SCORING MASTER'!$C$68:$C$69,0)),""))</f>
        <v/>
      </c>
      <c r="AO83" s="58" t="str">
        <f aca="false">IF('STUDENT SCREENING'!AN83="","",IFERROR(INDEX('SCORING MASTER'!$D$71:$D$72,MATCH('STUDENT SCREENING'!AN83,'SCORING MASTER'!$C$71:$C$72,0)),""))</f>
        <v/>
      </c>
      <c r="AP83" s="58" t="str">
        <f aca="false">IF('STUDENT SCREENING'!AO83="","",IFERROR(INDEX('SCORING MASTER'!$D$74:$D$75,MATCH('STUDENT SCREENING'!AO83,'SCORING MASTER'!$C$74:$C$75,0)),""))</f>
        <v/>
      </c>
      <c r="AQ83" s="58" t="str">
        <f aca="false">IF('STUDENT SCREENING'!AP83="","",IFERROR(INDEX('SCORING MASTER'!$D$77:$D$78,MATCH('STUDENT SCREENING'!AP83,'SCORING MASTER'!$C$77:$C$78,0)),""))</f>
        <v/>
      </c>
      <c r="AR83" s="58" t="str">
        <f aca="false">IF('STUDENT SCREENING'!AQ83="","",IFERROR(INDEX('SCORING MASTER'!$D$80:$D$82,MATCH('STUDENT SCREENING'!AQ83,'SCORING MASTER'!$C$80:$C$82,0)),""))</f>
        <v/>
      </c>
      <c r="AS83" s="58" t="str">
        <f aca="false">IF('STUDENT SCREENING'!AR83="","",IFERROR(INDEX('SCORING MASTER'!$D$84:$D$86,MATCH('STUDENT SCREENING'!AR83,'SCORING MASTER'!$C$84:$C$86,0)),""))</f>
        <v/>
      </c>
      <c r="AT83" s="58" t="str">
        <f aca="false">IF('STUDENT SCREENING'!AS83="","",IFERROR(INDEX('SCORING MASTER'!$D$88:$D$90,MATCH('STUDENT SCREENING'!AS83,'SCORING MASTER'!$C$88:$C$90,0)),""))</f>
        <v/>
      </c>
      <c r="AU83" s="58" t="str">
        <f aca="false">IF('STUDENT SCREENING'!AT83="","",IFERROR(INDEX('SCORING MASTER'!$D$92:$D$93,MATCH('STUDENT SCREENING'!AT83,'SCORING MASTER'!$C$92:$C$93,0)),""))</f>
        <v/>
      </c>
      <c r="AV83" s="58" t="str">
        <f aca="false">IF('STUDENT SCREENING'!AU83="","",IFERROR(INDEX('SCORING MASTER'!$D$95:$D$96,MATCH('STUDENT SCREENING'!AU83,'SCORING MASTER'!$C$95:$C$96,0)),""))</f>
        <v/>
      </c>
      <c r="AW83" s="58" t="str">
        <f aca="false">IF('STUDENT SCREENING'!AV83="","",IFERROR(INDEX('SCORING MASTER'!$D$98:$D$99,MATCH('STUDENT SCREENING'!AV83,'SCORING MASTER'!$C$98:$C$99,0)),""))</f>
        <v/>
      </c>
      <c r="AX83" s="58" t="str">
        <f aca="false">IF('STUDENT SCREENING'!AW83="","",IFERROR(INDEX('SCORING MASTER'!$D$101:$D$102,MATCH('STUDENT SCREENING'!AW83,'SCORING MASTER'!$C$101:$C$102,0)),""))</f>
        <v/>
      </c>
      <c r="AY83" s="58" t="str">
        <f aca="false">IF('STUDENT SCREENING'!AX83="","",IFERROR(INDEX('SCORING MASTER'!$D$104:$D$105,MATCH('STUDENT SCREENING'!AX83,'SCORING MASTER'!$C$104:$C$105,0)),""))</f>
        <v/>
      </c>
      <c r="AZ83" s="58" t="str">
        <f aca="false">IF('STUDENT SCREENING'!AY83="","",IFERROR(INDEX('SCORING MASTER'!$D$107:$D$108,MATCH('STUDENT SCREENING'!AY83,'SCORING MASTER'!$C$107:$C$108,0)),""))</f>
        <v/>
      </c>
      <c r="BA83" s="58" t="str">
        <f aca="false">IF('STUDENT SCREENING'!AZ83="","",IFERROR(INDEX('SCORING MASTER'!$D$110:$D$111,MATCH('STUDENT SCREENING'!AZ83,'SCORING MASTER'!$C$110:$C$111,0)),""))</f>
        <v/>
      </c>
      <c r="BB83" s="58" t="str">
        <f aca="false">IF('STUDENT SCREENING'!BA83="","",IFERROR(INDEX('SCORING MASTER'!$D$113:$D$115,MATCH('STUDENT SCREENING'!BA83,'SCORING MASTER'!$C$113:$C$115,0)),""))</f>
        <v/>
      </c>
      <c r="BC83" s="58" t="str">
        <f aca="false">IF('STUDENT SCREENING'!BB83="","",IFERROR(INDEX('SCORING MASTER'!$D$117:$D$119,MATCH('STUDENT SCREENING'!BB83,'SCORING MASTER'!$C$117:$C$119,0)),""))</f>
        <v/>
      </c>
      <c r="BD83" s="58" t="str">
        <f aca="false">IF('STUDENT SCREENING'!BC83="","",IFERROR(INDEX('SCORING MASTER'!$D$121:$D$123,MATCH('STUDENT SCREENING'!BC83,'SCORING MASTER'!$C$121:$C$123,0)),""))</f>
        <v/>
      </c>
      <c r="BE83" s="58" t="str">
        <f aca="false">IF('STUDENT SCREENING'!BD83="","",IFERROR(INDEX('SCORING MASTER'!$D$125:$D$126,MATCH('STUDENT SCREENING'!BD83,'SCORING MASTER'!$C$125:$C$126,0)),""))</f>
        <v/>
      </c>
      <c r="BF83" s="58" t="str">
        <f aca="false">IF('STUDENT SCREENING'!BE83="","",IFERROR(INDEX('SCORING MASTER'!$D$128:$D$129,MATCH('STUDENT SCREENING'!BE83,'SCORING MASTER'!$C$128:$C$129,0)),""))</f>
        <v/>
      </c>
      <c r="BG83" s="58" t="str">
        <f aca="false">IF('STUDENT SCREENING'!BP83="","",IFERROR(MATCH('STUDENT SCREENING'!BP83,{"Red - High Risk","Orange - Moderate Risk","Yellow - Mild Risk","Light Green - Mild Watch","Green - Healthy"},0)-1,""))</f>
        <v/>
      </c>
      <c r="BH83" s="58" t="str">
        <f aca="false">IF('STUDENT SCREENING'!BQ83="","",IF('STUDENT SCREENING'!BQ83="Yes",1,0))</f>
        <v/>
      </c>
      <c r="BI83" s="58" t="str">
        <f aca="false">IF('STUDENT SCREENING'!BR83="","",IF('STUDENT SCREENING'!BR83="Yes",1,0))</f>
        <v/>
      </c>
    </row>
    <row r="84" customFormat="false" ht="15" hidden="false" customHeight="false" outlineLevel="0" collapsed="false">
      <c r="A84" s="57" t="str">
        <f aca="false">'STUDENT SCREENING'!A84</f>
        <v/>
      </c>
      <c r="B84" s="57" t="n">
        <f aca="false">'STUDENT SCREENING'!C84</f>
        <v>0</v>
      </c>
      <c r="C84" s="57" t="n">
        <f aca="false">'STUDENT SCREENING'!D84</f>
        <v>0</v>
      </c>
      <c r="D84" s="57" t="n">
        <f aca="false">'STUDENT SCREENING'!E84</f>
        <v>0</v>
      </c>
      <c r="E84" s="57" t="n">
        <f aca="false">'STUDENT SCREENING'!F84</f>
        <v>0</v>
      </c>
      <c r="F84" s="57" t="n">
        <f aca="false">'STUDENT SCREENING'!K84</f>
        <v>0</v>
      </c>
      <c r="G84" s="57" t="n">
        <f aca="false">'STUDENT SCREENING'!J84</f>
        <v>0</v>
      </c>
      <c r="H84" s="57" t="str">
        <f aca="false">IF('STUDENT SCREENING'!K84="","",IFERROR(MATCH('STUDENT SCREENING'!K84,Adm_Gender,0),""))</f>
        <v/>
      </c>
      <c r="I84" s="57" t="n">
        <f aca="false">'STUDENT SCREENING'!Q84</f>
        <v>0</v>
      </c>
      <c r="J84" s="57" t="n">
        <f aca="false">'STUDENT SCREENING'!R84</f>
        <v>0</v>
      </c>
      <c r="K84" s="57" t="str">
        <f aca="false">'STUDENT SCREENING'!S84</f>
        <v/>
      </c>
      <c r="L84" s="57" t="n">
        <f aca="false">'STUDENT SCREENING'!U84</f>
        <v>0</v>
      </c>
      <c r="M84" s="57" t="n">
        <f aca="false">'STUDENT SCREENING'!V84</f>
        <v>0</v>
      </c>
      <c r="N84" s="57" t="str">
        <f aca="false">'STUDENT SCREENING'!BF84</f>
        <v/>
      </c>
      <c r="O84" s="57" t="str">
        <f aca="false">'STUDENT SCREENING'!BG84</f>
        <v/>
      </c>
      <c r="P84" s="57" t="str">
        <f aca="false">'STUDENT SCREENING'!BH84</f>
        <v/>
      </c>
      <c r="Q84" s="57" t="str">
        <f aca="false">'STUDENT SCREENING'!BI84</f>
        <v/>
      </c>
      <c r="R84" s="57" t="str">
        <f aca="false">'STUDENT SCREENING'!BJ84</f>
        <v/>
      </c>
      <c r="S84" s="57" t="str">
        <f aca="false">'STUDENT SCREENING'!BK84</f>
        <v/>
      </c>
      <c r="T84" s="57" t="str">
        <f aca="false">'STUDENT SCREENING'!BL84</f>
        <v/>
      </c>
      <c r="U84" s="57" t="str">
        <f aca="false">'STUDENT SCREENING'!BM84</f>
        <v/>
      </c>
      <c r="V84" s="57" t="str">
        <f aca="false">'STUDENT SCREENING'!BN84</f>
        <v/>
      </c>
      <c r="W84" s="57" t="str">
        <f aca="false">'STUDENT SCREENING'!BO84</f>
        <v/>
      </c>
      <c r="X84" s="57" t="str">
        <f aca="false">IF('STUDENT SCREENING'!W84="","",IFERROR(INDEX('SCORING MASTER'!$D$5:$D$7,MATCH('STUDENT SCREENING'!W84,'SCORING MASTER'!$C$5:$C$7,0)),""))</f>
        <v/>
      </c>
      <c r="Y84" s="57" t="str">
        <f aca="false">IF('STUDENT SCREENING'!X84="","",IFERROR(INDEX('SCORING MASTER'!$D$9:$D$11,MATCH('STUDENT SCREENING'!X84,'SCORING MASTER'!$C$9:$C$11,0)),""))</f>
        <v/>
      </c>
      <c r="Z84" s="57" t="str">
        <f aca="false">IF('STUDENT SCREENING'!Y84="","",IFERROR(INDEX('SCORING MASTER'!$D$13:$D$15,MATCH('STUDENT SCREENING'!Y84,'SCORING MASTER'!$C$13:$C$15,0)),""))</f>
        <v/>
      </c>
      <c r="AA84" s="57" t="str">
        <f aca="false">IF('STUDENT SCREENING'!Z84="","",IFERROR(INDEX('SCORING MASTER'!$D$17:$D$19,MATCH('STUDENT SCREENING'!Z84,'SCORING MASTER'!$C$17:$C$19,0)),""))</f>
        <v/>
      </c>
      <c r="AB84" s="57" t="str">
        <f aca="false">IF('STUDENT SCREENING'!AA84="","",IFERROR(INDEX('SCORING MASTER'!$D$21:$D$23,MATCH('STUDENT SCREENING'!AA84,'SCORING MASTER'!$C$21:$C$23,0)),""))</f>
        <v/>
      </c>
      <c r="AC84" s="57" t="str">
        <f aca="false">IF('STUDENT SCREENING'!AB84="","",IFERROR(INDEX('SCORING MASTER'!$D$25:$D$27,MATCH('STUDENT SCREENING'!AB84,'SCORING MASTER'!$C$25:$C$27,0)),""))</f>
        <v/>
      </c>
      <c r="AD84" s="57" t="str">
        <f aca="false">IF('STUDENT SCREENING'!AC84="","",IFERROR(INDEX('SCORING MASTER'!$D$29:$D$31,MATCH('STUDENT SCREENING'!AC84,'SCORING MASTER'!$C$29:$C$31,0)),""))</f>
        <v/>
      </c>
      <c r="AE84" s="57" t="str">
        <f aca="false">IF('STUDENT SCREENING'!AD84="","",IFERROR(INDEX('SCORING MASTER'!$D$33:$D$35,MATCH('STUDENT SCREENING'!AD84,'SCORING MASTER'!$C$33:$C$35,0)),""))</f>
        <v/>
      </c>
      <c r="AF84" s="57" t="str">
        <f aca="false">IF('STUDENT SCREENING'!AE84="","",IFERROR(INDEX('SCORING MASTER'!$D$37:$D$39,MATCH('STUDENT SCREENING'!AE84,'SCORING MASTER'!$C$37:$C$39,0)),""))</f>
        <v/>
      </c>
      <c r="AG84" s="57" t="str">
        <f aca="false">IF('STUDENT SCREENING'!AF84="","",IFERROR(INDEX('SCORING MASTER'!$D$41:$D$43,MATCH('STUDENT SCREENING'!AF84,'SCORING MASTER'!$C$41:$C$43,0)),""))</f>
        <v/>
      </c>
      <c r="AH84" s="57" t="str">
        <f aca="false">IF('STUDENT SCREENING'!AG84="","",IFERROR(INDEX('SCORING MASTER'!$D$45:$D$47,MATCH('STUDENT SCREENING'!AG84,'SCORING MASTER'!$C$45:$C$47,0)),""))</f>
        <v/>
      </c>
      <c r="AI84" s="57" t="str">
        <f aca="false">IF('STUDENT SCREENING'!AH84="","",IFERROR(INDEX('SCORING MASTER'!$D$49:$D$52,MATCH('STUDENT SCREENING'!AH84,'SCORING MASTER'!$C$49:$C$52,0)),""))</f>
        <v/>
      </c>
      <c r="AJ84" s="57" t="str">
        <f aca="false">IF('STUDENT SCREENING'!AI84="","",IFERROR(INDEX('SCORING MASTER'!$D$54:$D$57,MATCH('STUDENT SCREENING'!AI84,'SCORING MASTER'!$C$54:$C$57,0)),""))</f>
        <v/>
      </c>
      <c r="AK84" s="57" t="str">
        <f aca="false">IF('STUDENT SCREENING'!AJ84="","",IFERROR(INDEX('SCORING MASTER'!$D$59:$D$60,MATCH('STUDENT SCREENING'!AJ84,'SCORING MASTER'!$C$59:$C$60,0)),""))</f>
        <v/>
      </c>
      <c r="AL84" s="57" t="str">
        <f aca="false">IF('STUDENT SCREENING'!AK84="","",IFERROR(INDEX('SCORING MASTER'!$D$62:$D$63,MATCH('STUDENT SCREENING'!AK84,'SCORING MASTER'!$C$62:$C$63,0)),""))</f>
        <v/>
      </c>
      <c r="AM84" s="57" t="str">
        <f aca="false">IF('STUDENT SCREENING'!AL84="","",IFERROR(INDEX('SCORING MASTER'!$D$65:$D$66,MATCH('STUDENT SCREENING'!AL84,'SCORING MASTER'!$C$65:$C$66,0)),""))</f>
        <v/>
      </c>
      <c r="AN84" s="57" t="str">
        <f aca="false">IF('STUDENT SCREENING'!AM84="","",IFERROR(INDEX('SCORING MASTER'!$D$68:$D$69,MATCH('STUDENT SCREENING'!AM84,'SCORING MASTER'!$C$68:$C$69,0)),""))</f>
        <v/>
      </c>
      <c r="AO84" s="57" t="str">
        <f aca="false">IF('STUDENT SCREENING'!AN84="","",IFERROR(INDEX('SCORING MASTER'!$D$71:$D$72,MATCH('STUDENT SCREENING'!AN84,'SCORING MASTER'!$C$71:$C$72,0)),""))</f>
        <v/>
      </c>
      <c r="AP84" s="57" t="str">
        <f aca="false">IF('STUDENT SCREENING'!AO84="","",IFERROR(INDEX('SCORING MASTER'!$D$74:$D$75,MATCH('STUDENT SCREENING'!AO84,'SCORING MASTER'!$C$74:$C$75,0)),""))</f>
        <v/>
      </c>
      <c r="AQ84" s="57" t="str">
        <f aca="false">IF('STUDENT SCREENING'!AP84="","",IFERROR(INDEX('SCORING MASTER'!$D$77:$D$78,MATCH('STUDENT SCREENING'!AP84,'SCORING MASTER'!$C$77:$C$78,0)),""))</f>
        <v/>
      </c>
      <c r="AR84" s="57" t="str">
        <f aca="false">IF('STUDENT SCREENING'!AQ84="","",IFERROR(INDEX('SCORING MASTER'!$D$80:$D$82,MATCH('STUDENT SCREENING'!AQ84,'SCORING MASTER'!$C$80:$C$82,0)),""))</f>
        <v/>
      </c>
      <c r="AS84" s="57" t="str">
        <f aca="false">IF('STUDENT SCREENING'!AR84="","",IFERROR(INDEX('SCORING MASTER'!$D$84:$D$86,MATCH('STUDENT SCREENING'!AR84,'SCORING MASTER'!$C$84:$C$86,0)),""))</f>
        <v/>
      </c>
      <c r="AT84" s="57" t="str">
        <f aca="false">IF('STUDENT SCREENING'!AS84="","",IFERROR(INDEX('SCORING MASTER'!$D$88:$D$90,MATCH('STUDENT SCREENING'!AS84,'SCORING MASTER'!$C$88:$C$90,0)),""))</f>
        <v/>
      </c>
      <c r="AU84" s="57" t="str">
        <f aca="false">IF('STUDENT SCREENING'!AT84="","",IFERROR(INDEX('SCORING MASTER'!$D$92:$D$93,MATCH('STUDENT SCREENING'!AT84,'SCORING MASTER'!$C$92:$C$93,0)),""))</f>
        <v/>
      </c>
      <c r="AV84" s="57" t="str">
        <f aca="false">IF('STUDENT SCREENING'!AU84="","",IFERROR(INDEX('SCORING MASTER'!$D$95:$D$96,MATCH('STUDENT SCREENING'!AU84,'SCORING MASTER'!$C$95:$C$96,0)),""))</f>
        <v/>
      </c>
      <c r="AW84" s="57" t="str">
        <f aca="false">IF('STUDENT SCREENING'!AV84="","",IFERROR(INDEX('SCORING MASTER'!$D$98:$D$99,MATCH('STUDENT SCREENING'!AV84,'SCORING MASTER'!$C$98:$C$99,0)),""))</f>
        <v/>
      </c>
      <c r="AX84" s="57" t="str">
        <f aca="false">IF('STUDENT SCREENING'!AW84="","",IFERROR(INDEX('SCORING MASTER'!$D$101:$D$102,MATCH('STUDENT SCREENING'!AW84,'SCORING MASTER'!$C$101:$C$102,0)),""))</f>
        <v/>
      </c>
      <c r="AY84" s="57" t="str">
        <f aca="false">IF('STUDENT SCREENING'!AX84="","",IFERROR(INDEX('SCORING MASTER'!$D$104:$D$105,MATCH('STUDENT SCREENING'!AX84,'SCORING MASTER'!$C$104:$C$105,0)),""))</f>
        <v/>
      </c>
      <c r="AZ84" s="57" t="str">
        <f aca="false">IF('STUDENT SCREENING'!AY84="","",IFERROR(INDEX('SCORING MASTER'!$D$107:$D$108,MATCH('STUDENT SCREENING'!AY84,'SCORING MASTER'!$C$107:$C$108,0)),""))</f>
        <v/>
      </c>
      <c r="BA84" s="57" t="str">
        <f aca="false">IF('STUDENT SCREENING'!AZ84="","",IFERROR(INDEX('SCORING MASTER'!$D$110:$D$111,MATCH('STUDENT SCREENING'!AZ84,'SCORING MASTER'!$C$110:$C$111,0)),""))</f>
        <v/>
      </c>
      <c r="BB84" s="57" t="str">
        <f aca="false">IF('STUDENT SCREENING'!BA84="","",IFERROR(INDEX('SCORING MASTER'!$D$113:$D$115,MATCH('STUDENT SCREENING'!BA84,'SCORING MASTER'!$C$113:$C$115,0)),""))</f>
        <v/>
      </c>
      <c r="BC84" s="57" t="str">
        <f aca="false">IF('STUDENT SCREENING'!BB84="","",IFERROR(INDEX('SCORING MASTER'!$D$117:$D$119,MATCH('STUDENT SCREENING'!BB84,'SCORING MASTER'!$C$117:$C$119,0)),""))</f>
        <v/>
      </c>
      <c r="BD84" s="57" t="str">
        <f aca="false">IF('STUDENT SCREENING'!BC84="","",IFERROR(INDEX('SCORING MASTER'!$D$121:$D$123,MATCH('STUDENT SCREENING'!BC84,'SCORING MASTER'!$C$121:$C$123,0)),""))</f>
        <v/>
      </c>
      <c r="BE84" s="57" t="str">
        <f aca="false">IF('STUDENT SCREENING'!BD84="","",IFERROR(INDEX('SCORING MASTER'!$D$125:$D$126,MATCH('STUDENT SCREENING'!BD84,'SCORING MASTER'!$C$125:$C$126,0)),""))</f>
        <v/>
      </c>
      <c r="BF84" s="57" t="str">
        <f aca="false">IF('STUDENT SCREENING'!BE84="","",IFERROR(INDEX('SCORING MASTER'!$D$128:$D$129,MATCH('STUDENT SCREENING'!BE84,'SCORING MASTER'!$C$128:$C$129,0)),""))</f>
        <v/>
      </c>
      <c r="BG84" s="57" t="str">
        <f aca="false">IF('STUDENT SCREENING'!BP84="","",IFERROR(MATCH('STUDENT SCREENING'!BP84,{"Red - High Risk","Orange - Moderate Risk","Yellow - Mild Risk","Light Green - Mild Watch","Green - Healthy"},0)-1,""))</f>
        <v/>
      </c>
      <c r="BH84" s="57" t="str">
        <f aca="false">IF('STUDENT SCREENING'!BQ84="","",IF('STUDENT SCREENING'!BQ84="Yes",1,0))</f>
        <v/>
      </c>
      <c r="BI84" s="57" t="str">
        <f aca="false">IF('STUDENT SCREENING'!BR84="","",IF('STUDENT SCREENING'!BR84="Yes",1,0))</f>
        <v/>
      </c>
    </row>
    <row r="85" customFormat="false" ht="15" hidden="false" customHeight="false" outlineLevel="0" collapsed="false">
      <c r="A85" s="58" t="str">
        <f aca="false">'STUDENT SCREENING'!A85</f>
        <v/>
      </c>
      <c r="B85" s="58" t="n">
        <f aca="false">'STUDENT SCREENING'!C85</f>
        <v>0</v>
      </c>
      <c r="C85" s="58" t="n">
        <f aca="false">'STUDENT SCREENING'!D85</f>
        <v>0</v>
      </c>
      <c r="D85" s="58" t="n">
        <f aca="false">'STUDENT SCREENING'!E85</f>
        <v>0</v>
      </c>
      <c r="E85" s="58" t="n">
        <f aca="false">'STUDENT SCREENING'!F85</f>
        <v>0</v>
      </c>
      <c r="F85" s="58" t="n">
        <f aca="false">'STUDENT SCREENING'!K85</f>
        <v>0</v>
      </c>
      <c r="G85" s="58" t="n">
        <f aca="false">'STUDENT SCREENING'!J85</f>
        <v>0</v>
      </c>
      <c r="H85" s="58" t="str">
        <f aca="false">IF('STUDENT SCREENING'!K85="","",IFERROR(MATCH('STUDENT SCREENING'!K85,Adm_Gender,0),""))</f>
        <v/>
      </c>
      <c r="I85" s="58" t="n">
        <f aca="false">'STUDENT SCREENING'!Q85</f>
        <v>0</v>
      </c>
      <c r="J85" s="58" t="n">
        <f aca="false">'STUDENT SCREENING'!R85</f>
        <v>0</v>
      </c>
      <c r="K85" s="58" t="str">
        <f aca="false">'STUDENT SCREENING'!S85</f>
        <v/>
      </c>
      <c r="L85" s="58" t="n">
        <f aca="false">'STUDENT SCREENING'!U85</f>
        <v>0</v>
      </c>
      <c r="M85" s="58" t="n">
        <f aca="false">'STUDENT SCREENING'!V85</f>
        <v>0</v>
      </c>
      <c r="N85" s="58" t="str">
        <f aca="false">'STUDENT SCREENING'!BF85</f>
        <v/>
      </c>
      <c r="O85" s="58" t="str">
        <f aca="false">'STUDENT SCREENING'!BG85</f>
        <v/>
      </c>
      <c r="P85" s="58" t="str">
        <f aca="false">'STUDENT SCREENING'!BH85</f>
        <v/>
      </c>
      <c r="Q85" s="58" t="str">
        <f aca="false">'STUDENT SCREENING'!BI85</f>
        <v/>
      </c>
      <c r="R85" s="58" t="str">
        <f aca="false">'STUDENT SCREENING'!BJ85</f>
        <v/>
      </c>
      <c r="S85" s="58" t="str">
        <f aca="false">'STUDENT SCREENING'!BK85</f>
        <v/>
      </c>
      <c r="T85" s="58" t="str">
        <f aca="false">'STUDENT SCREENING'!BL85</f>
        <v/>
      </c>
      <c r="U85" s="58" t="str">
        <f aca="false">'STUDENT SCREENING'!BM85</f>
        <v/>
      </c>
      <c r="V85" s="58" t="str">
        <f aca="false">'STUDENT SCREENING'!BN85</f>
        <v/>
      </c>
      <c r="W85" s="58" t="str">
        <f aca="false">'STUDENT SCREENING'!BO85</f>
        <v/>
      </c>
      <c r="X85" s="58" t="str">
        <f aca="false">IF('STUDENT SCREENING'!W85="","",IFERROR(INDEX('SCORING MASTER'!$D$5:$D$7,MATCH('STUDENT SCREENING'!W85,'SCORING MASTER'!$C$5:$C$7,0)),""))</f>
        <v/>
      </c>
      <c r="Y85" s="58" t="str">
        <f aca="false">IF('STUDENT SCREENING'!X85="","",IFERROR(INDEX('SCORING MASTER'!$D$9:$D$11,MATCH('STUDENT SCREENING'!X85,'SCORING MASTER'!$C$9:$C$11,0)),""))</f>
        <v/>
      </c>
      <c r="Z85" s="58" t="str">
        <f aca="false">IF('STUDENT SCREENING'!Y85="","",IFERROR(INDEX('SCORING MASTER'!$D$13:$D$15,MATCH('STUDENT SCREENING'!Y85,'SCORING MASTER'!$C$13:$C$15,0)),""))</f>
        <v/>
      </c>
      <c r="AA85" s="58" t="str">
        <f aca="false">IF('STUDENT SCREENING'!Z85="","",IFERROR(INDEX('SCORING MASTER'!$D$17:$D$19,MATCH('STUDENT SCREENING'!Z85,'SCORING MASTER'!$C$17:$C$19,0)),""))</f>
        <v/>
      </c>
      <c r="AB85" s="58" t="str">
        <f aca="false">IF('STUDENT SCREENING'!AA85="","",IFERROR(INDEX('SCORING MASTER'!$D$21:$D$23,MATCH('STUDENT SCREENING'!AA85,'SCORING MASTER'!$C$21:$C$23,0)),""))</f>
        <v/>
      </c>
      <c r="AC85" s="58" t="str">
        <f aca="false">IF('STUDENT SCREENING'!AB85="","",IFERROR(INDEX('SCORING MASTER'!$D$25:$D$27,MATCH('STUDENT SCREENING'!AB85,'SCORING MASTER'!$C$25:$C$27,0)),""))</f>
        <v/>
      </c>
      <c r="AD85" s="58" t="str">
        <f aca="false">IF('STUDENT SCREENING'!AC85="","",IFERROR(INDEX('SCORING MASTER'!$D$29:$D$31,MATCH('STUDENT SCREENING'!AC85,'SCORING MASTER'!$C$29:$C$31,0)),""))</f>
        <v/>
      </c>
      <c r="AE85" s="58" t="str">
        <f aca="false">IF('STUDENT SCREENING'!AD85="","",IFERROR(INDEX('SCORING MASTER'!$D$33:$D$35,MATCH('STUDENT SCREENING'!AD85,'SCORING MASTER'!$C$33:$C$35,0)),""))</f>
        <v/>
      </c>
      <c r="AF85" s="58" t="str">
        <f aca="false">IF('STUDENT SCREENING'!AE85="","",IFERROR(INDEX('SCORING MASTER'!$D$37:$D$39,MATCH('STUDENT SCREENING'!AE85,'SCORING MASTER'!$C$37:$C$39,0)),""))</f>
        <v/>
      </c>
      <c r="AG85" s="58" t="str">
        <f aca="false">IF('STUDENT SCREENING'!AF85="","",IFERROR(INDEX('SCORING MASTER'!$D$41:$D$43,MATCH('STUDENT SCREENING'!AF85,'SCORING MASTER'!$C$41:$C$43,0)),""))</f>
        <v/>
      </c>
      <c r="AH85" s="58" t="str">
        <f aca="false">IF('STUDENT SCREENING'!AG85="","",IFERROR(INDEX('SCORING MASTER'!$D$45:$D$47,MATCH('STUDENT SCREENING'!AG85,'SCORING MASTER'!$C$45:$C$47,0)),""))</f>
        <v/>
      </c>
      <c r="AI85" s="58" t="str">
        <f aca="false">IF('STUDENT SCREENING'!AH85="","",IFERROR(INDEX('SCORING MASTER'!$D$49:$D$52,MATCH('STUDENT SCREENING'!AH85,'SCORING MASTER'!$C$49:$C$52,0)),""))</f>
        <v/>
      </c>
      <c r="AJ85" s="58" t="str">
        <f aca="false">IF('STUDENT SCREENING'!AI85="","",IFERROR(INDEX('SCORING MASTER'!$D$54:$D$57,MATCH('STUDENT SCREENING'!AI85,'SCORING MASTER'!$C$54:$C$57,0)),""))</f>
        <v/>
      </c>
      <c r="AK85" s="58" t="str">
        <f aca="false">IF('STUDENT SCREENING'!AJ85="","",IFERROR(INDEX('SCORING MASTER'!$D$59:$D$60,MATCH('STUDENT SCREENING'!AJ85,'SCORING MASTER'!$C$59:$C$60,0)),""))</f>
        <v/>
      </c>
      <c r="AL85" s="58" t="str">
        <f aca="false">IF('STUDENT SCREENING'!AK85="","",IFERROR(INDEX('SCORING MASTER'!$D$62:$D$63,MATCH('STUDENT SCREENING'!AK85,'SCORING MASTER'!$C$62:$C$63,0)),""))</f>
        <v/>
      </c>
      <c r="AM85" s="58" t="str">
        <f aca="false">IF('STUDENT SCREENING'!AL85="","",IFERROR(INDEX('SCORING MASTER'!$D$65:$D$66,MATCH('STUDENT SCREENING'!AL85,'SCORING MASTER'!$C$65:$C$66,0)),""))</f>
        <v/>
      </c>
      <c r="AN85" s="58" t="str">
        <f aca="false">IF('STUDENT SCREENING'!AM85="","",IFERROR(INDEX('SCORING MASTER'!$D$68:$D$69,MATCH('STUDENT SCREENING'!AM85,'SCORING MASTER'!$C$68:$C$69,0)),""))</f>
        <v/>
      </c>
      <c r="AO85" s="58" t="str">
        <f aca="false">IF('STUDENT SCREENING'!AN85="","",IFERROR(INDEX('SCORING MASTER'!$D$71:$D$72,MATCH('STUDENT SCREENING'!AN85,'SCORING MASTER'!$C$71:$C$72,0)),""))</f>
        <v/>
      </c>
      <c r="AP85" s="58" t="str">
        <f aca="false">IF('STUDENT SCREENING'!AO85="","",IFERROR(INDEX('SCORING MASTER'!$D$74:$D$75,MATCH('STUDENT SCREENING'!AO85,'SCORING MASTER'!$C$74:$C$75,0)),""))</f>
        <v/>
      </c>
      <c r="AQ85" s="58" t="str">
        <f aca="false">IF('STUDENT SCREENING'!AP85="","",IFERROR(INDEX('SCORING MASTER'!$D$77:$D$78,MATCH('STUDENT SCREENING'!AP85,'SCORING MASTER'!$C$77:$C$78,0)),""))</f>
        <v/>
      </c>
      <c r="AR85" s="58" t="str">
        <f aca="false">IF('STUDENT SCREENING'!AQ85="","",IFERROR(INDEX('SCORING MASTER'!$D$80:$D$82,MATCH('STUDENT SCREENING'!AQ85,'SCORING MASTER'!$C$80:$C$82,0)),""))</f>
        <v/>
      </c>
      <c r="AS85" s="58" t="str">
        <f aca="false">IF('STUDENT SCREENING'!AR85="","",IFERROR(INDEX('SCORING MASTER'!$D$84:$D$86,MATCH('STUDENT SCREENING'!AR85,'SCORING MASTER'!$C$84:$C$86,0)),""))</f>
        <v/>
      </c>
      <c r="AT85" s="58" t="str">
        <f aca="false">IF('STUDENT SCREENING'!AS85="","",IFERROR(INDEX('SCORING MASTER'!$D$88:$D$90,MATCH('STUDENT SCREENING'!AS85,'SCORING MASTER'!$C$88:$C$90,0)),""))</f>
        <v/>
      </c>
      <c r="AU85" s="58" t="str">
        <f aca="false">IF('STUDENT SCREENING'!AT85="","",IFERROR(INDEX('SCORING MASTER'!$D$92:$D$93,MATCH('STUDENT SCREENING'!AT85,'SCORING MASTER'!$C$92:$C$93,0)),""))</f>
        <v/>
      </c>
      <c r="AV85" s="58" t="str">
        <f aca="false">IF('STUDENT SCREENING'!AU85="","",IFERROR(INDEX('SCORING MASTER'!$D$95:$D$96,MATCH('STUDENT SCREENING'!AU85,'SCORING MASTER'!$C$95:$C$96,0)),""))</f>
        <v/>
      </c>
      <c r="AW85" s="58" t="str">
        <f aca="false">IF('STUDENT SCREENING'!AV85="","",IFERROR(INDEX('SCORING MASTER'!$D$98:$D$99,MATCH('STUDENT SCREENING'!AV85,'SCORING MASTER'!$C$98:$C$99,0)),""))</f>
        <v/>
      </c>
      <c r="AX85" s="58" t="str">
        <f aca="false">IF('STUDENT SCREENING'!AW85="","",IFERROR(INDEX('SCORING MASTER'!$D$101:$D$102,MATCH('STUDENT SCREENING'!AW85,'SCORING MASTER'!$C$101:$C$102,0)),""))</f>
        <v/>
      </c>
      <c r="AY85" s="58" t="str">
        <f aca="false">IF('STUDENT SCREENING'!AX85="","",IFERROR(INDEX('SCORING MASTER'!$D$104:$D$105,MATCH('STUDENT SCREENING'!AX85,'SCORING MASTER'!$C$104:$C$105,0)),""))</f>
        <v/>
      </c>
      <c r="AZ85" s="58" t="str">
        <f aca="false">IF('STUDENT SCREENING'!AY85="","",IFERROR(INDEX('SCORING MASTER'!$D$107:$D$108,MATCH('STUDENT SCREENING'!AY85,'SCORING MASTER'!$C$107:$C$108,0)),""))</f>
        <v/>
      </c>
      <c r="BA85" s="58" t="str">
        <f aca="false">IF('STUDENT SCREENING'!AZ85="","",IFERROR(INDEX('SCORING MASTER'!$D$110:$D$111,MATCH('STUDENT SCREENING'!AZ85,'SCORING MASTER'!$C$110:$C$111,0)),""))</f>
        <v/>
      </c>
      <c r="BB85" s="58" t="str">
        <f aca="false">IF('STUDENT SCREENING'!BA85="","",IFERROR(INDEX('SCORING MASTER'!$D$113:$D$115,MATCH('STUDENT SCREENING'!BA85,'SCORING MASTER'!$C$113:$C$115,0)),""))</f>
        <v/>
      </c>
      <c r="BC85" s="58" t="str">
        <f aca="false">IF('STUDENT SCREENING'!BB85="","",IFERROR(INDEX('SCORING MASTER'!$D$117:$D$119,MATCH('STUDENT SCREENING'!BB85,'SCORING MASTER'!$C$117:$C$119,0)),""))</f>
        <v/>
      </c>
      <c r="BD85" s="58" t="str">
        <f aca="false">IF('STUDENT SCREENING'!BC85="","",IFERROR(INDEX('SCORING MASTER'!$D$121:$D$123,MATCH('STUDENT SCREENING'!BC85,'SCORING MASTER'!$C$121:$C$123,0)),""))</f>
        <v/>
      </c>
      <c r="BE85" s="58" t="str">
        <f aca="false">IF('STUDENT SCREENING'!BD85="","",IFERROR(INDEX('SCORING MASTER'!$D$125:$D$126,MATCH('STUDENT SCREENING'!BD85,'SCORING MASTER'!$C$125:$C$126,0)),""))</f>
        <v/>
      </c>
      <c r="BF85" s="58" t="str">
        <f aca="false">IF('STUDENT SCREENING'!BE85="","",IFERROR(INDEX('SCORING MASTER'!$D$128:$D$129,MATCH('STUDENT SCREENING'!BE85,'SCORING MASTER'!$C$128:$C$129,0)),""))</f>
        <v/>
      </c>
      <c r="BG85" s="58" t="str">
        <f aca="false">IF('STUDENT SCREENING'!BP85="","",IFERROR(MATCH('STUDENT SCREENING'!BP85,{"Red - High Risk","Orange - Moderate Risk","Yellow - Mild Risk","Light Green - Mild Watch","Green - Healthy"},0)-1,""))</f>
        <v/>
      </c>
      <c r="BH85" s="58" t="str">
        <f aca="false">IF('STUDENT SCREENING'!BQ85="","",IF('STUDENT SCREENING'!BQ85="Yes",1,0))</f>
        <v/>
      </c>
      <c r="BI85" s="58" t="str">
        <f aca="false">IF('STUDENT SCREENING'!BR85="","",IF('STUDENT SCREENING'!BR85="Yes",1,0))</f>
        <v/>
      </c>
    </row>
    <row r="86" customFormat="false" ht="15" hidden="false" customHeight="false" outlineLevel="0" collapsed="false">
      <c r="A86" s="57" t="str">
        <f aca="false">'STUDENT SCREENING'!A86</f>
        <v/>
      </c>
      <c r="B86" s="57" t="n">
        <f aca="false">'STUDENT SCREENING'!C86</f>
        <v>0</v>
      </c>
      <c r="C86" s="57" t="n">
        <f aca="false">'STUDENT SCREENING'!D86</f>
        <v>0</v>
      </c>
      <c r="D86" s="57" t="n">
        <f aca="false">'STUDENT SCREENING'!E86</f>
        <v>0</v>
      </c>
      <c r="E86" s="57" t="n">
        <f aca="false">'STUDENT SCREENING'!F86</f>
        <v>0</v>
      </c>
      <c r="F86" s="57" t="n">
        <f aca="false">'STUDENT SCREENING'!K86</f>
        <v>0</v>
      </c>
      <c r="G86" s="57" t="n">
        <f aca="false">'STUDENT SCREENING'!J86</f>
        <v>0</v>
      </c>
      <c r="H86" s="57" t="str">
        <f aca="false">IF('STUDENT SCREENING'!K86="","",IFERROR(MATCH('STUDENT SCREENING'!K86,Adm_Gender,0),""))</f>
        <v/>
      </c>
      <c r="I86" s="57" t="n">
        <f aca="false">'STUDENT SCREENING'!Q86</f>
        <v>0</v>
      </c>
      <c r="J86" s="57" t="n">
        <f aca="false">'STUDENT SCREENING'!R86</f>
        <v>0</v>
      </c>
      <c r="K86" s="57" t="str">
        <f aca="false">'STUDENT SCREENING'!S86</f>
        <v/>
      </c>
      <c r="L86" s="57" t="n">
        <f aca="false">'STUDENT SCREENING'!U86</f>
        <v>0</v>
      </c>
      <c r="M86" s="57" t="n">
        <f aca="false">'STUDENT SCREENING'!V86</f>
        <v>0</v>
      </c>
      <c r="N86" s="57" t="str">
        <f aca="false">'STUDENT SCREENING'!BF86</f>
        <v/>
      </c>
      <c r="O86" s="57" t="str">
        <f aca="false">'STUDENT SCREENING'!BG86</f>
        <v/>
      </c>
      <c r="P86" s="57" t="str">
        <f aca="false">'STUDENT SCREENING'!BH86</f>
        <v/>
      </c>
      <c r="Q86" s="57" t="str">
        <f aca="false">'STUDENT SCREENING'!BI86</f>
        <v/>
      </c>
      <c r="R86" s="57" t="str">
        <f aca="false">'STUDENT SCREENING'!BJ86</f>
        <v/>
      </c>
      <c r="S86" s="57" t="str">
        <f aca="false">'STUDENT SCREENING'!BK86</f>
        <v/>
      </c>
      <c r="T86" s="57" t="str">
        <f aca="false">'STUDENT SCREENING'!BL86</f>
        <v/>
      </c>
      <c r="U86" s="57" t="str">
        <f aca="false">'STUDENT SCREENING'!BM86</f>
        <v/>
      </c>
      <c r="V86" s="57" t="str">
        <f aca="false">'STUDENT SCREENING'!BN86</f>
        <v/>
      </c>
      <c r="W86" s="57" t="str">
        <f aca="false">'STUDENT SCREENING'!BO86</f>
        <v/>
      </c>
      <c r="X86" s="57" t="str">
        <f aca="false">IF('STUDENT SCREENING'!W86="","",IFERROR(INDEX('SCORING MASTER'!$D$5:$D$7,MATCH('STUDENT SCREENING'!W86,'SCORING MASTER'!$C$5:$C$7,0)),""))</f>
        <v/>
      </c>
      <c r="Y86" s="57" t="str">
        <f aca="false">IF('STUDENT SCREENING'!X86="","",IFERROR(INDEX('SCORING MASTER'!$D$9:$D$11,MATCH('STUDENT SCREENING'!X86,'SCORING MASTER'!$C$9:$C$11,0)),""))</f>
        <v/>
      </c>
      <c r="Z86" s="57" t="str">
        <f aca="false">IF('STUDENT SCREENING'!Y86="","",IFERROR(INDEX('SCORING MASTER'!$D$13:$D$15,MATCH('STUDENT SCREENING'!Y86,'SCORING MASTER'!$C$13:$C$15,0)),""))</f>
        <v/>
      </c>
      <c r="AA86" s="57" t="str">
        <f aca="false">IF('STUDENT SCREENING'!Z86="","",IFERROR(INDEX('SCORING MASTER'!$D$17:$D$19,MATCH('STUDENT SCREENING'!Z86,'SCORING MASTER'!$C$17:$C$19,0)),""))</f>
        <v/>
      </c>
      <c r="AB86" s="57" t="str">
        <f aca="false">IF('STUDENT SCREENING'!AA86="","",IFERROR(INDEX('SCORING MASTER'!$D$21:$D$23,MATCH('STUDENT SCREENING'!AA86,'SCORING MASTER'!$C$21:$C$23,0)),""))</f>
        <v/>
      </c>
      <c r="AC86" s="57" t="str">
        <f aca="false">IF('STUDENT SCREENING'!AB86="","",IFERROR(INDEX('SCORING MASTER'!$D$25:$D$27,MATCH('STUDENT SCREENING'!AB86,'SCORING MASTER'!$C$25:$C$27,0)),""))</f>
        <v/>
      </c>
      <c r="AD86" s="57" t="str">
        <f aca="false">IF('STUDENT SCREENING'!AC86="","",IFERROR(INDEX('SCORING MASTER'!$D$29:$D$31,MATCH('STUDENT SCREENING'!AC86,'SCORING MASTER'!$C$29:$C$31,0)),""))</f>
        <v/>
      </c>
      <c r="AE86" s="57" t="str">
        <f aca="false">IF('STUDENT SCREENING'!AD86="","",IFERROR(INDEX('SCORING MASTER'!$D$33:$D$35,MATCH('STUDENT SCREENING'!AD86,'SCORING MASTER'!$C$33:$C$35,0)),""))</f>
        <v/>
      </c>
      <c r="AF86" s="57" t="str">
        <f aca="false">IF('STUDENT SCREENING'!AE86="","",IFERROR(INDEX('SCORING MASTER'!$D$37:$D$39,MATCH('STUDENT SCREENING'!AE86,'SCORING MASTER'!$C$37:$C$39,0)),""))</f>
        <v/>
      </c>
      <c r="AG86" s="57" t="str">
        <f aca="false">IF('STUDENT SCREENING'!AF86="","",IFERROR(INDEX('SCORING MASTER'!$D$41:$D$43,MATCH('STUDENT SCREENING'!AF86,'SCORING MASTER'!$C$41:$C$43,0)),""))</f>
        <v/>
      </c>
      <c r="AH86" s="57" t="str">
        <f aca="false">IF('STUDENT SCREENING'!AG86="","",IFERROR(INDEX('SCORING MASTER'!$D$45:$D$47,MATCH('STUDENT SCREENING'!AG86,'SCORING MASTER'!$C$45:$C$47,0)),""))</f>
        <v/>
      </c>
      <c r="AI86" s="57" t="str">
        <f aca="false">IF('STUDENT SCREENING'!AH86="","",IFERROR(INDEX('SCORING MASTER'!$D$49:$D$52,MATCH('STUDENT SCREENING'!AH86,'SCORING MASTER'!$C$49:$C$52,0)),""))</f>
        <v/>
      </c>
      <c r="AJ86" s="57" t="str">
        <f aca="false">IF('STUDENT SCREENING'!AI86="","",IFERROR(INDEX('SCORING MASTER'!$D$54:$D$57,MATCH('STUDENT SCREENING'!AI86,'SCORING MASTER'!$C$54:$C$57,0)),""))</f>
        <v/>
      </c>
      <c r="AK86" s="57" t="str">
        <f aca="false">IF('STUDENT SCREENING'!AJ86="","",IFERROR(INDEX('SCORING MASTER'!$D$59:$D$60,MATCH('STUDENT SCREENING'!AJ86,'SCORING MASTER'!$C$59:$C$60,0)),""))</f>
        <v/>
      </c>
      <c r="AL86" s="57" t="str">
        <f aca="false">IF('STUDENT SCREENING'!AK86="","",IFERROR(INDEX('SCORING MASTER'!$D$62:$D$63,MATCH('STUDENT SCREENING'!AK86,'SCORING MASTER'!$C$62:$C$63,0)),""))</f>
        <v/>
      </c>
      <c r="AM86" s="57" t="str">
        <f aca="false">IF('STUDENT SCREENING'!AL86="","",IFERROR(INDEX('SCORING MASTER'!$D$65:$D$66,MATCH('STUDENT SCREENING'!AL86,'SCORING MASTER'!$C$65:$C$66,0)),""))</f>
        <v/>
      </c>
      <c r="AN86" s="57" t="str">
        <f aca="false">IF('STUDENT SCREENING'!AM86="","",IFERROR(INDEX('SCORING MASTER'!$D$68:$D$69,MATCH('STUDENT SCREENING'!AM86,'SCORING MASTER'!$C$68:$C$69,0)),""))</f>
        <v/>
      </c>
      <c r="AO86" s="57" t="str">
        <f aca="false">IF('STUDENT SCREENING'!AN86="","",IFERROR(INDEX('SCORING MASTER'!$D$71:$D$72,MATCH('STUDENT SCREENING'!AN86,'SCORING MASTER'!$C$71:$C$72,0)),""))</f>
        <v/>
      </c>
      <c r="AP86" s="57" t="str">
        <f aca="false">IF('STUDENT SCREENING'!AO86="","",IFERROR(INDEX('SCORING MASTER'!$D$74:$D$75,MATCH('STUDENT SCREENING'!AO86,'SCORING MASTER'!$C$74:$C$75,0)),""))</f>
        <v/>
      </c>
      <c r="AQ86" s="57" t="str">
        <f aca="false">IF('STUDENT SCREENING'!AP86="","",IFERROR(INDEX('SCORING MASTER'!$D$77:$D$78,MATCH('STUDENT SCREENING'!AP86,'SCORING MASTER'!$C$77:$C$78,0)),""))</f>
        <v/>
      </c>
      <c r="AR86" s="57" t="str">
        <f aca="false">IF('STUDENT SCREENING'!AQ86="","",IFERROR(INDEX('SCORING MASTER'!$D$80:$D$82,MATCH('STUDENT SCREENING'!AQ86,'SCORING MASTER'!$C$80:$C$82,0)),""))</f>
        <v/>
      </c>
      <c r="AS86" s="57" t="str">
        <f aca="false">IF('STUDENT SCREENING'!AR86="","",IFERROR(INDEX('SCORING MASTER'!$D$84:$D$86,MATCH('STUDENT SCREENING'!AR86,'SCORING MASTER'!$C$84:$C$86,0)),""))</f>
        <v/>
      </c>
      <c r="AT86" s="57" t="str">
        <f aca="false">IF('STUDENT SCREENING'!AS86="","",IFERROR(INDEX('SCORING MASTER'!$D$88:$D$90,MATCH('STUDENT SCREENING'!AS86,'SCORING MASTER'!$C$88:$C$90,0)),""))</f>
        <v/>
      </c>
      <c r="AU86" s="57" t="str">
        <f aca="false">IF('STUDENT SCREENING'!AT86="","",IFERROR(INDEX('SCORING MASTER'!$D$92:$D$93,MATCH('STUDENT SCREENING'!AT86,'SCORING MASTER'!$C$92:$C$93,0)),""))</f>
        <v/>
      </c>
      <c r="AV86" s="57" t="str">
        <f aca="false">IF('STUDENT SCREENING'!AU86="","",IFERROR(INDEX('SCORING MASTER'!$D$95:$D$96,MATCH('STUDENT SCREENING'!AU86,'SCORING MASTER'!$C$95:$C$96,0)),""))</f>
        <v/>
      </c>
      <c r="AW86" s="57" t="str">
        <f aca="false">IF('STUDENT SCREENING'!AV86="","",IFERROR(INDEX('SCORING MASTER'!$D$98:$D$99,MATCH('STUDENT SCREENING'!AV86,'SCORING MASTER'!$C$98:$C$99,0)),""))</f>
        <v/>
      </c>
      <c r="AX86" s="57" t="str">
        <f aca="false">IF('STUDENT SCREENING'!AW86="","",IFERROR(INDEX('SCORING MASTER'!$D$101:$D$102,MATCH('STUDENT SCREENING'!AW86,'SCORING MASTER'!$C$101:$C$102,0)),""))</f>
        <v/>
      </c>
      <c r="AY86" s="57" t="str">
        <f aca="false">IF('STUDENT SCREENING'!AX86="","",IFERROR(INDEX('SCORING MASTER'!$D$104:$D$105,MATCH('STUDENT SCREENING'!AX86,'SCORING MASTER'!$C$104:$C$105,0)),""))</f>
        <v/>
      </c>
      <c r="AZ86" s="57" t="str">
        <f aca="false">IF('STUDENT SCREENING'!AY86="","",IFERROR(INDEX('SCORING MASTER'!$D$107:$D$108,MATCH('STUDENT SCREENING'!AY86,'SCORING MASTER'!$C$107:$C$108,0)),""))</f>
        <v/>
      </c>
      <c r="BA86" s="57" t="str">
        <f aca="false">IF('STUDENT SCREENING'!AZ86="","",IFERROR(INDEX('SCORING MASTER'!$D$110:$D$111,MATCH('STUDENT SCREENING'!AZ86,'SCORING MASTER'!$C$110:$C$111,0)),""))</f>
        <v/>
      </c>
      <c r="BB86" s="57" t="str">
        <f aca="false">IF('STUDENT SCREENING'!BA86="","",IFERROR(INDEX('SCORING MASTER'!$D$113:$D$115,MATCH('STUDENT SCREENING'!BA86,'SCORING MASTER'!$C$113:$C$115,0)),""))</f>
        <v/>
      </c>
      <c r="BC86" s="57" t="str">
        <f aca="false">IF('STUDENT SCREENING'!BB86="","",IFERROR(INDEX('SCORING MASTER'!$D$117:$D$119,MATCH('STUDENT SCREENING'!BB86,'SCORING MASTER'!$C$117:$C$119,0)),""))</f>
        <v/>
      </c>
      <c r="BD86" s="57" t="str">
        <f aca="false">IF('STUDENT SCREENING'!BC86="","",IFERROR(INDEX('SCORING MASTER'!$D$121:$D$123,MATCH('STUDENT SCREENING'!BC86,'SCORING MASTER'!$C$121:$C$123,0)),""))</f>
        <v/>
      </c>
      <c r="BE86" s="57" t="str">
        <f aca="false">IF('STUDENT SCREENING'!BD86="","",IFERROR(INDEX('SCORING MASTER'!$D$125:$D$126,MATCH('STUDENT SCREENING'!BD86,'SCORING MASTER'!$C$125:$C$126,0)),""))</f>
        <v/>
      </c>
      <c r="BF86" s="57" t="str">
        <f aca="false">IF('STUDENT SCREENING'!BE86="","",IFERROR(INDEX('SCORING MASTER'!$D$128:$D$129,MATCH('STUDENT SCREENING'!BE86,'SCORING MASTER'!$C$128:$C$129,0)),""))</f>
        <v/>
      </c>
      <c r="BG86" s="57" t="str">
        <f aca="false">IF('STUDENT SCREENING'!BP86="","",IFERROR(MATCH('STUDENT SCREENING'!BP86,{"Red - High Risk","Orange - Moderate Risk","Yellow - Mild Risk","Light Green - Mild Watch","Green - Healthy"},0)-1,""))</f>
        <v/>
      </c>
      <c r="BH86" s="57" t="str">
        <f aca="false">IF('STUDENT SCREENING'!BQ86="","",IF('STUDENT SCREENING'!BQ86="Yes",1,0))</f>
        <v/>
      </c>
      <c r="BI86" s="57" t="str">
        <f aca="false">IF('STUDENT SCREENING'!BR86="","",IF('STUDENT SCREENING'!BR86="Yes",1,0))</f>
        <v/>
      </c>
    </row>
    <row r="87" customFormat="false" ht="15" hidden="false" customHeight="false" outlineLevel="0" collapsed="false">
      <c r="A87" s="58" t="str">
        <f aca="false">'STUDENT SCREENING'!A87</f>
        <v/>
      </c>
      <c r="B87" s="58" t="n">
        <f aca="false">'STUDENT SCREENING'!C87</f>
        <v>0</v>
      </c>
      <c r="C87" s="58" t="n">
        <f aca="false">'STUDENT SCREENING'!D87</f>
        <v>0</v>
      </c>
      <c r="D87" s="58" t="n">
        <f aca="false">'STUDENT SCREENING'!E87</f>
        <v>0</v>
      </c>
      <c r="E87" s="58" t="n">
        <f aca="false">'STUDENT SCREENING'!F87</f>
        <v>0</v>
      </c>
      <c r="F87" s="58" t="n">
        <f aca="false">'STUDENT SCREENING'!K87</f>
        <v>0</v>
      </c>
      <c r="G87" s="58" t="n">
        <f aca="false">'STUDENT SCREENING'!J87</f>
        <v>0</v>
      </c>
      <c r="H87" s="58" t="str">
        <f aca="false">IF('STUDENT SCREENING'!K87="","",IFERROR(MATCH('STUDENT SCREENING'!K87,Adm_Gender,0),""))</f>
        <v/>
      </c>
      <c r="I87" s="58" t="n">
        <f aca="false">'STUDENT SCREENING'!Q87</f>
        <v>0</v>
      </c>
      <c r="J87" s="58" t="n">
        <f aca="false">'STUDENT SCREENING'!R87</f>
        <v>0</v>
      </c>
      <c r="K87" s="58" t="str">
        <f aca="false">'STUDENT SCREENING'!S87</f>
        <v/>
      </c>
      <c r="L87" s="58" t="n">
        <f aca="false">'STUDENT SCREENING'!U87</f>
        <v>0</v>
      </c>
      <c r="M87" s="58" t="n">
        <f aca="false">'STUDENT SCREENING'!V87</f>
        <v>0</v>
      </c>
      <c r="N87" s="58" t="str">
        <f aca="false">'STUDENT SCREENING'!BF87</f>
        <v/>
      </c>
      <c r="O87" s="58" t="str">
        <f aca="false">'STUDENT SCREENING'!BG87</f>
        <v/>
      </c>
      <c r="P87" s="58" t="str">
        <f aca="false">'STUDENT SCREENING'!BH87</f>
        <v/>
      </c>
      <c r="Q87" s="58" t="str">
        <f aca="false">'STUDENT SCREENING'!BI87</f>
        <v/>
      </c>
      <c r="R87" s="58" t="str">
        <f aca="false">'STUDENT SCREENING'!BJ87</f>
        <v/>
      </c>
      <c r="S87" s="58" t="str">
        <f aca="false">'STUDENT SCREENING'!BK87</f>
        <v/>
      </c>
      <c r="T87" s="58" t="str">
        <f aca="false">'STUDENT SCREENING'!BL87</f>
        <v/>
      </c>
      <c r="U87" s="58" t="str">
        <f aca="false">'STUDENT SCREENING'!BM87</f>
        <v/>
      </c>
      <c r="V87" s="58" t="str">
        <f aca="false">'STUDENT SCREENING'!BN87</f>
        <v/>
      </c>
      <c r="W87" s="58" t="str">
        <f aca="false">'STUDENT SCREENING'!BO87</f>
        <v/>
      </c>
      <c r="X87" s="58" t="str">
        <f aca="false">IF('STUDENT SCREENING'!W87="","",IFERROR(INDEX('SCORING MASTER'!$D$5:$D$7,MATCH('STUDENT SCREENING'!W87,'SCORING MASTER'!$C$5:$C$7,0)),""))</f>
        <v/>
      </c>
      <c r="Y87" s="58" t="str">
        <f aca="false">IF('STUDENT SCREENING'!X87="","",IFERROR(INDEX('SCORING MASTER'!$D$9:$D$11,MATCH('STUDENT SCREENING'!X87,'SCORING MASTER'!$C$9:$C$11,0)),""))</f>
        <v/>
      </c>
      <c r="Z87" s="58" t="str">
        <f aca="false">IF('STUDENT SCREENING'!Y87="","",IFERROR(INDEX('SCORING MASTER'!$D$13:$D$15,MATCH('STUDENT SCREENING'!Y87,'SCORING MASTER'!$C$13:$C$15,0)),""))</f>
        <v/>
      </c>
      <c r="AA87" s="58" t="str">
        <f aca="false">IF('STUDENT SCREENING'!Z87="","",IFERROR(INDEX('SCORING MASTER'!$D$17:$D$19,MATCH('STUDENT SCREENING'!Z87,'SCORING MASTER'!$C$17:$C$19,0)),""))</f>
        <v/>
      </c>
      <c r="AB87" s="58" t="str">
        <f aca="false">IF('STUDENT SCREENING'!AA87="","",IFERROR(INDEX('SCORING MASTER'!$D$21:$D$23,MATCH('STUDENT SCREENING'!AA87,'SCORING MASTER'!$C$21:$C$23,0)),""))</f>
        <v/>
      </c>
      <c r="AC87" s="58" t="str">
        <f aca="false">IF('STUDENT SCREENING'!AB87="","",IFERROR(INDEX('SCORING MASTER'!$D$25:$D$27,MATCH('STUDENT SCREENING'!AB87,'SCORING MASTER'!$C$25:$C$27,0)),""))</f>
        <v/>
      </c>
      <c r="AD87" s="58" t="str">
        <f aca="false">IF('STUDENT SCREENING'!AC87="","",IFERROR(INDEX('SCORING MASTER'!$D$29:$D$31,MATCH('STUDENT SCREENING'!AC87,'SCORING MASTER'!$C$29:$C$31,0)),""))</f>
        <v/>
      </c>
      <c r="AE87" s="58" t="str">
        <f aca="false">IF('STUDENT SCREENING'!AD87="","",IFERROR(INDEX('SCORING MASTER'!$D$33:$D$35,MATCH('STUDENT SCREENING'!AD87,'SCORING MASTER'!$C$33:$C$35,0)),""))</f>
        <v/>
      </c>
      <c r="AF87" s="58" t="str">
        <f aca="false">IF('STUDENT SCREENING'!AE87="","",IFERROR(INDEX('SCORING MASTER'!$D$37:$D$39,MATCH('STUDENT SCREENING'!AE87,'SCORING MASTER'!$C$37:$C$39,0)),""))</f>
        <v/>
      </c>
      <c r="AG87" s="58" t="str">
        <f aca="false">IF('STUDENT SCREENING'!AF87="","",IFERROR(INDEX('SCORING MASTER'!$D$41:$D$43,MATCH('STUDENT SCREENING'!AF87,'SCORING MASTER'!$C$41:$C$43,0)),""))</f>
        <v/>
      </c>
      <c r="AH87" s="58" t="str">
        <f aca="false">IF('STUDENT SCREENING'!AG87="","",IFERROR(INDEX('SCORING MASTER'!$D$45:$D$47,MATCH('STUDENT SCREENING'!AG87,'SCORING MASTER'!$C$45:$C$47,0)),""))</f>
        <v/>
      </c>
      <c r="AI87" s="58" t="str">
        <f aca="false">IF('STUDENT SCREENING'!AH87="","",IFERROR(INDEX('SCORING MASTER'!$D$49:$D$52,MATCH('STUDENT SCREENING'!AH87,'SCORING MASTER'!$C$49:$C$52,0)),""))</f>
        <v/>
      </c>
      <c r="AJ87" s="58" t="str">
        <f aca="false">IF('STUDENT SCREENING'!AI87="","",IFERROR(INDEX('SCORING MASTER'!$D$54:$D$57,MATCH('STUDENT SCREENING'!AI87,'SCORING MASTER'!$C$54:$C$57,0)),""))</f>
        <v/>
      </c>
      <c r="AK87" s="58" t="str">
        <f aca="false">IF('STUDENT SCREENING'!AJ87="","",IFERROR(INDEX('SCORING MASTER'!$D$59:$D$60,MATCH('STUDENT SCREENING'!AJ87,'SCORING MASTER'!$C$59:$C$60,0)),""))</f>
        <v/>
      </c>
      <c r="AL87" s="58" t="str">
        <f aca="false">IF('STUDENT SCREENING'!AK87="","",IFERROR(INDEX('SCORING MASTER'!$D$62:$D$63,MATCH('STUDENT SCREENING'!AK87,'SCORING MASTER'!$C$62:$C$63,0)),""))</f>
        <v/>
      </c>
      <c r="AM87" s="58" t="str">
        <f aca="false">IF('STUDENT SCREENING'!AL87="","",IFERROR(INDEX('SCORING MASTER'!$D$65:$D$66,MATCH('STUDENT SCREENING'!AL87,'SCORING MASTER'!$C$65:$C$66,0)),""))</f>
        <v/>
      </c>
      <c r="AN87" s="58" t="str">
        <f aca="false">IF('STUDENT SCREENING'!AM87="","",IFERROR(INDEX('SCORING MASTER'!$D$68:$D$69,MATCH('STUDENT SCREENING'!AM87,'SCORING MASTER'!$C$68:$C$69,0)),""))</f>
        <v/>
      </c>
      <c r="AO87" s="58" t="str">
        <f aca="false">IF('STUDENT SCREENING'!AN87="","",IFERROR(INDEX('SCORING MASTER'!$D$71:$D$72,MATCH('STUDENT SCREENING'!AN87,'SCORING MASTER'!$C$71:$C$72,0)),""))</f>
        <v/>
      </c>
      <c r="AP87" s="58" t="str">
        <f aca="false">IF('STUDENT SCREENING'!AO87="","",IFERROR(INDEX('SCORING MASTER'!$D$74:$D$75,MATCH('STUDENT SCREENING'!AO87,'SCORING MASTER'!$C$74:$C$75,0)),""))</f>
        <v/>
      </c>
      <c r="AQ87" s="58" t="str">
        <f aca="false">IF('STUDENT SCREENING'!AP87="","",IFERROR(INDEX('SCORING MASTER'!$D$77:$D$78,MATCH('STUDENT SCREENING'!AP87,'SCORING MASTER'!$C$77:$C$78,0)),""))</f>
        <v/>
      </c>
      <c r="AR87" s="58" t="str">
        <f aca="false">IF('STUDENT SCREENING'!AQ87="","",IFERROR(INDEX('SCORING MASTER'!$D$80:$D$82,MATCH('STUDENT SCREENING'!AQ87,'SCORING MASTER'!$C$80:$C$82,0)),""))</f>
        <v/>
      </c>
      <c r="AS87" s="58" t="str">
        <f aca="false">IF('STUDENT SCREENING'!AR87="","",IFERROR(INDEX('SCORING MASTER'!$D$84:$D$86,MATCH('STUDENT SCREENING'!AR87,'SCORING MASTER'!$C$84:$C$86,0)),""))</f>
        <v/>
      </c>
      <c r="AT87" s="58" t="str">
        <f aca="false">IF('STUDENT SCREENING'!AS87="","",IFERROR(INDEX('SCORING MASTER'!$D$88:$D$90,MATCH('STUDENT SCREENING'!AS87,'SCORING MASTER'!$C$88:$C$90,0)),""))</f>
        <v/>
      </c>
      <c r="AU87" s="58" t="str">
        <f aca="false">IF('STUDENT SCREENING'!AT87="","",IFERROR(INDEX('SCORING MASTER'!$D$92:$D$93,MATCH('STUDENT SCREENING'!AT87,'SCORING MASTER'!$C$92:$C$93,0)),""))</f>
        <v/>
      </c>
      <c r="AV87" s="58" t="str">
        <f aca="false">IF('STUDENT SCREENING'!AU87="","",IFERROR(INDEX('SCORING MASTER'!$D$95:$D$96,MATCH('STUDENT SCREENING'!AU87,'SCORING MASTER'!$C$95:$C$96,0)),""))</f>
        <v/>
      </c>
      <c r="AW87" s="58" t="str">
        <f aca="false">IF('STUDENT SCREENING'!AV87="","",IFERROR(INDEX('SCORING MASTER'!$D$98:$D$99,MATCH('STUDENT SCREENING'!AV87,'SCORING MASTER'!$C$98:$C$99,0)),""))</f>
        <v/>
      </c>
      <c r="AX87" s="58" t="str">
        <f aca="false">IF('STUDENT SCREENING'!AW87="","",IFERROR(INDEX('SCORING MASTER'!$D$101:$D$102,MATCH('STUDENT SCREENING'!AW87,'SCORING MASTER'!$C$101:$C$102,0)),""))</f>
        <v/>
      </c>
      <c r="AY87" s="58" t="str">
        <f aca="false">IF('STUDENT SCREENING'!AX87="","",IFERROR(INDEX('SCORING MASTER'!$D$104:$D$105,MATCH('STUDENT SCREENING'!AX87,'SCORING MASTER'!$C$104:$C$105,0)),""))</f>
        <v/>
      </c>
      <c r="AZ87" s="58" t="str">
        <f aca="false">IF('STUDENT SCREENING'!AY87="","",IFERROR(INDEX('SCORING MASTER'!$D$107:$D$108,MATCH('STUDENT SCREENING'!AY87,'SCORING MASTER'!$C$107:$C$108,0)),""))</f>
        <v/>
      </c>
      <c r="BA87" s="58" t="str">
        <f aca="false">IF('STUDENT SCREENING'!AZ87="","",IFERROR(INDEX('SCORING MASTER'!$D$110:$D$111,MATCH('STUDENT SCREENING'!AZ87,'SCORING MASTER'!$C$110:$C$111,0)),""))</f>
        <v/>
      </c>
      <c r="BB87" s="58" t="str">
        <f aca="false">IF('STUDENT SCREENING'!BA87="","",IFERROR(INDEX('SCORING MASTER'!$D$113:$D$115,MATCH('STUDENT SCREENING'!BA87,'SCORING MASTER'!$C$113:$C$115,0)),""))</f>
        <v/>
      </c>
      <c r="BC87" s="58" t="str">
        <f aca="false">IF('STUDENT SCREENING'!BB87="","",IFERROR(INDEX('SCORING MASTER'!$D$117:$D$119,MATCH('STUDENT SCREENING'!BB87,'SCORING MASTER'!$C$117:$C$119,0)),""))</f>
        <v/>
      </c>
      <c r="BD87" s="58" t="str">
        <f aca="false">IF('STUDENT SCREENING'!BC87="","",IFERROR(INDEX('SCORING MASTER'!$D$121:$D$123,MATCH('STUDENT SCREENING'!BC87,'SCORING MASTER'!$C$121:$C$123,0)),""))</f>
        <v/>
      </c>
      <c r="BE87" s="58" t="str">
        <f aca="false">IF('STUDENT SCREENING'!BD87="","",IFERROR(INDEX('SCORING MASTER'!$D$125:$D$126,MATCH('STUDENT SCREENING'!BD87,'SCORING MASTER'!$C$125:$C$126,0)),""))</f>
        <v/>
      </c>
      <c r="BF87" s="58" t="str">
        <f aca="false">IF('STUDENT SCREENING'!BE87="","",IFERROR(INDEX('SCORING MASTER'!$D$128:$D$129,MATCH('STUDENT SCREENING'!BE87,'SCORING MASTER'!$C$128:$C$129,0)),""))</f>
        <v/>
      </c>
      <c r="BG87" s="58" t="str">
        <f aca="false">IF('STUDENT SCREENING'!BP87="","",IFERROR(MATCH('STUDENT SCREENING'!BP87,{"Red - High Risk","Orange - Moderate Risk","Yellow - Mild Risk","Light Green - Mild Watch","Green - Healthy"},0)-1,""))</f>
        <v/>
      </c>
      <c r="BH87" s="58" t="str">
        <f aca="false">IF('STUDENT SCREENING'!BQ87="","",IF('STUDENT SCREENING'!BQ87="Yes",1,0))</f>
        <v/>
      </c>
      <c r="BI87" s="58" t="str">
        <f aca="false">IF('STUDENT SCREENING'!BR87="","",IF('STUDENT SCREENING'!BR87="Yes",1,0))</f>
        <v/>
      </c>
    </row>
    <row r="88" customFormat="false" ht="15" hidden="false" customHeight="false" outlineLevel="0" collapsed="false">
      <c r="A88" s="57" t="str">
        <f aca="false">'STUDENT SCREENING'!A88</f>
        <v/>
      </c>
      <c r="B88" s="57" t="n">
        <f aca="false">'STUDENT SCREENING'!C88</f>
        <v>0</v>
      </c>
      <c r="C88" s="57" t="n">
        <f aca="false">'STUDENT SCREENING'!D88</f>
        <v>0</v>
      </c>
      <c r="D88" s="57" t="n">
        <f aca="false">'STUDENT SCREENING'!E88</f>
        <v>0</v>
      </c>
      <c r="E88" s="57" t="n">
        <f aca="false">'STUDENT SCREENING'!F88</f>
        <v>0</v>
      </c>
      <c r="F88" s="57" t="n">
        <f aca="false">'STUDENT SCREENING'!K88</f>
        <v>0</v>
      </c>
      <c r="G88" s="57" t="n">
        <f aca="false">'STUDENT SCREENING'!J88</f>
        <v>0</v>
      </c>
      <c r="H88" s="57" t="str">
        <f aca="false">IF('STUDENT SCREENING'!K88="","",IFERROR(MATCH('STUDENT SCREENING'!K88,Adm_Gender,0),""))</f>
        <v/>
      </c>
      <c r="I88" s="57" t="n">
        <f aca="false">'STUDENT SCREENING'!Q88</f>
        <v>0</v>
      </c>
      <c r="J88" s="57" t="n">
        <f aca="false">'STUDENT SCREENING'!R88</f>
        <v>0</v>
      </c>
      <c r="K88" s="57" t="str">
        <f aca="false">'STUDENT SCREENING'!S88</f>
        <v/>
      </c>
      <c r="L88" s="57" t="n">
        <f aca="false">'STUDENT SCREENING'!U88</f>
        <v>0</v>
      </c>
      <c r="M88" s="57" t="n">
        <f aca="false">'STUDENT SCREENING'!V88</f>
        <v>0</v>
      </c>
      <c r="N88" s="57" t="str">
        <f aca="false">'STUDENT SCREENING'!BF88</f>
        <v/>
      </c>
      <c r="O88" s="57" t="str">
        <f aca="false">'STUDENT SCREENING'!BG88</f>
        <v/>
      </c>
      <c r="P88" s="57" t="str">
        <f aca="false">'STUDENT SCREENING'!BH88</f>
        <v/>
      </c>
      <c r="Q88" s="57" t="str">
        <f aca="false">'STUDENT SCREENING'!BI88</f>
        <v/>
      </c>
      <c r="R88" s="57" t="str">
        <f aca="false">'STUDENT SCREENING'!BJ88</f>
        <v/>
      </c>
      <c r="S88" s="57" t="str">
        <f aca="false">'STUDENT SCREENING'!BK88</f>
        <v/>
      </c>
      <c r="T88" s="57" t="str">
        <f aca="false">'STUDENT SCREENING'!BL88</f>
        <v/>
      </c>
      <c r="U88" s="57" t="str">
        <f aca="false">'STUDENT SCREENING'!BM88</f>
        <v/>
      </c>
      <c r="V88" s="57" t="str">
        <f aca="false">'STUDENT SCREENING'!BN88</f>
        <v/>
      </c>
      <c r="W88" s="57" t="str">
        <f aca="false">'STUDENT SCREENING'!BO88</f>
        <v/>
      </c>
      <c r="X88" s="57" t="str">
        <f aca="false">IF('STUDENT SCREENING'!W88="","",IFERROR(INDEX('SCORING MASTER'!$D$5:$D$7,MATCH('STUDENT SCREENING'!W88,'SCORING MASTER'!$C$5:$C$7,0)),""))</f>
        <v/>
      </c>
      <c r="Y88" s="57" t="str">
        <f aca="false">IF('STUDENT SCREENING'!X88="","",IFERROR(INDEX('SCORING MASTER'!$D$9:$D$11,MATCH('STUDENT SCREENING'!X88,'SCORING MASTER'!$C$9:$C$11,0)),""))</f>
        <v/>
      </c>
      <c r="Z88" s="57" t="str">
        <f aca="false">IF('STUDENT SCREENING'!Y88="","",IFERROR(INDEX('SCORING MASTER'!$D$13:$D$15,MATCH('STUDENT SCREENING'!Y88,'SCORING MASTER'!$C$13:$C$15,0)),""))</f>
        <v/>
      </c>
      <c r="AA88" s="57" t="str">
        <f aca="false">IF('STUDENT SCREENING'!Z88="","",IFERROR(INDEX('SCORING MASTER'!$D$17:$D$19,MATCH('STUDENT SCREENING'!Z88,'SCORING MASTER'!$C$17:$C$19,0)),""))</f>
        <v/>
      </c>
      <c r="AB88" s="57" t="str">
        <f aca="false">IF('STUDENT SCREENING'!AA88="","",IFERROR(INDEX('SCORING MASTER'!$D$21:$D$23,MATCH('STUDENT SCREENING'!AA88,'SCORING MASTER'!$C$21:$C$23,0)),""))</f>
        <v/>
      </c>
      <c r="AC88" s="57" t="str">
        <f aca="false">IF('STUDENT SCREENING'!AB88="","",IFERROR(INDEX('SCORING MASTER'!$D$25:$D$27,MATCH('STUDENT SCREENING'!AB88,'SCORING MASTER'!$C$25:$C$27,0)),""))</f>
        <v/>
      </c>
      <c r="AD88" s="57" t="str">
        <f aca="false">IF('STUDENT SCREENING'!AC88="","",IFERROR(INDEX('SCORING MASTER'!$D$29:$D$31,MATCH('STUDENT SCREENING'!AC88,'SCORING MASTER'!$C$29:$C$31,0)),""))</f>
        <v/>
      </c>
      <c r="AE88" s="57" t="str">
        <f aca="false">IF('STUDENT SCREENING'!AD88="","",IFERROR(INDEX('SCORING MASTER'!$D$33:$D$35,MATCH('STUDENT SCREENING'!AD88,'SCORING MASTER'!$C$33:$C$35,0)),""))</f>
        <v/>
      </c>
      <c r="AF88" s="57" t="str">
        <f aca="false">IF('STUDENT SCREENING'!AE88="","",IFERROR(INDEX('SCORING MASTER'!$D$37:$D$39,MATCH('STUDENT SCREENING'!AE88,'SCORING MASTER'!$C$37:$C$39,0)),""))</f>
        <v/>
      </c>
      <c r="AG88" s="57" t="str">
        <f aca="false">IF('STUDENT SCREENING'!AF88="","",IFERROR(INDEX('SCORING MASTER'!$D$41:$D$43,MATCH('STUDENT SCREENING'!AF88,'SCORING MASTER'!$C$41:$C$43,0)),""))</f>
        <v/>
      </c>
      <c r="AH88" s="57" t="str">
        <f aca="false">IF('STUDENT SCREENING'!AG88="","",IFERROR(INDEX('SCORING MASTER'!$D$45:$D$47,MATCH('STUDENT SCREENING'!AG88,'SCORING MASTER'!$C$45:$C$47,0)),""))</f>
        <v/>
      </c>
      <c r="AI88" s="57" t="str">
        <f aca="false">IF('STUDENT SCREENING'!AH88="","",IFERROR(INDEX('SCORING MASTER'!$D$49:$D$52,MATCH('STUDENT SCREENING'!AH88,'SCORING MASTER'!$C$49:$C$52,0)),""))</f>
        <v/>
      </c>
      <c r="AJ88" s="57" t="str">
        <f aca="false">IF('STUDENT SCREENING'!AI88="","",IFERROR(INDEX('SCORING MASTER'!$D$54:$D$57,MATCH('STUDENT SCREENING'!AI88,'SCORING MASTER'!$C$54:$C$57,0)),""))</f>
        <v/>
      </c>
      <c r="AK88" s="57" t="str">
        <f aca="false">IF('STUDENT SCREENING'!AJ88="","",IFERROR(INDEX('SCORING MASTER'!$D$59:$D$60,MATCH('STUDENT SCREENING'!AJ88,'SCORING MASTER'!$C$59:$C$60,0)),""))</f>
        <v/>
      </c>
      <c r="AL88" s="57" t="str">
        <f aca="false">IF('STUDENT SCREENING'!AK88="","",IFERROR(INDEX('SCORING MASTER'!$D$62:$D$63,MATCH('STUDENT SCREENING'!AK88,'SCORING MASTER'!$C$62:$C$63,0)),""))</f>
        <v/>
      </c>
      <c r="AM88" s="57" t="str">
        <f aca="false">IF('STUDENT SCREENING'!AL88="","",IFERROR(INDEX('SCORING MASTER'!$D$65:$D$66,MATCH('STUDENT SCREENING'!AL88,'SCORING MASTER'!$C$65:$C$66,0)),""))</f>
        <v/>
      </c>
      <c r="AN88" s="57" t="str">
        <f aca="false">IF('STUDENT SCREENING'!AM88="","",IFERROR(INDEX('SCORING MASTER'!$D$68:$D$69,MATCH('STUDENT SCREENING'!AM88,'SCORING MASTER'!$C$68:$C$69,0)),""))</f>
        <v/>
      </c>
      <c r="AO88" s="57" t="str">
        <f aca="false">IF('STUDENT SCREENING'!AN88="","",IFERROR(INDEX('SCORING MASTER'!$D$71:$D$72,MATCH('STUDENT SCREENING'!AN88,'SCORING MASTER'!$C$71:$C$72,0)),""))</f>
        <v/>
      </c>
      <c r="AP88" s="57" t="str">
        <f aca="false">IF('STUDENT SCREENING'!AO88="","",IFERROR(INDEX('SCORING MASTER'!$D$74:$D$75,MATCH('STUDENT SCREENING'!AO88,'SCORING MASTER'!$C$74:$C$75,0)),""))</f>
        <v/>
      </c>
      <c r="AQ88" s="57" t="str">
        <f aca="false">IF('STUDENT SCREENING'!AP88="","",IFERROR(INDEX('SCORING MASTER'!$D$77:$D$78,MATCH('STUDENT SCREENING'!AP88,'SCORING MASTER'!$C$77:$C$78,0)),""))</f>
        <v/>
      </c>
      <c r="AR88" s="57" t="str">
        <f aca="false">IF('STUDENT SCREENING'!AQ88="","",IFERROR(INDEX('SCORING MASTER'!$D$80:$D$82,MATCH('STUDENT SCREENING'!AQ88,'SCORING MASTER'!$C$80:$C$82,0)),""))</f>
        <v/>
      </c>
      <c r="AS88" s="57" t="str">
        <f aca="false">IF('STUDENT SCREENING'!AR88="","",IFERROR(INDEX('SCORING MASTER'!$D$84:$D$86,MATCH('STUDENT SCREENING'!AR88,'SCORING MASTER'!$C$84:$C$86,0)),""))</f>
        <v/>
      </c>
      <c r="AT88" s="57" t="str">
        <f aca="false">IF('STUDENT SCREENING'!AS88="","",IFERROR(INDEX('SCORING MASTER'!$D$88:$D$90,MATCH('STUDENT SCREENING'!AS88,'SCORING MASTER'!$C$88:$C$90,0)),""))</f>
        <v/>
      </c>
      <c r="AU88" s="57" t="str">
        <f aca="false">IF('STUDENT SCREENING'!AT88="","",IFERROR(INDEX('SCORING MASTER'!$D$92:$D$93,MATCH('STUDENT SCREENING'!AT88,'SCORING MASTER'!$C$92:$C$93,0)),""))</f>
        <v/>
      </c>
      <c r="AV88" s="57" t="str">
        <f aca="false">IF('STUDENT SCREENING'!AU88="","",IFERROR(INDEX('SCORING MASTER'!$D$95:$D$96,MATCH('STUDENT SCREENING'!AU88,'SCORING MASTER'!$C$95:$C$96,0)),""))</f>
        <v/>
      </c>
      <c r="AW88" s="57" t="str">
        <f aca="false">IF('STUDENT SCREENING'!AV88="","",IFERROR(INDEX('SCORING MASTER'!$D$98:$D$99,MATCH('STUDENT SCREENING'!AV88,'SCORING MASTER'!$C$98:$C$99,0)),""))</f>
        <v/>
      </c>
      <c r="AX88" s="57" t="str">
        <f aca="false">IF('STUDENT SCREENING'!AW88="","",IFERROR(INDEX('SCORING MASTER'!$D$101:$D$102,MATCH('STUDENT SCREENING'!AW88,'SCORING MASTER'!$C$101:$C$102,0)),""))</f>
        <v/>
      </c>
      <c r="AY88" s="57" t="str">
        <f aca="false">IF('STUDENT SCREENING'!AX88="","",IFERROR(INDEX('SCORING MASTER'!$D$104:$D$105,MATCH('STUDENT SCREENING'!AX88,'SCORING MASTER'!$C$104:$C$105,0)),""))</f>
        <v/>
      </c>
      <c r="AZ88" s="57" t="str">
        <f aca="false">IF('STUDENT SCREENING'!AY88="","",IFERROR(INDEX('SCORING MASTER'!$D$107:$D$108,MATCH('STUDENT SCREENING'!AY88,'SCORING MASTER'!$C$107:$C$108,0)),""))</f>
        <v/>
      </c>
      <c r="BA88" s="57" t="str">
        <f aca="false">IF('STUDENT SCREENING'!AZ88="","",IFERROR(INDEX('SCORING MASTER'!$D$110:$D$111,MATCH('STUDENT SCREENING'!AZ88,'SCORING MASTER'!$C$110:$C$111,0)),""))</f>
        <v/>
      </c>
      <c r="BB88" s="57" t="str">
        <f aca="false">IF('STUDENT SCREENING'!BA88="","",IFERROR(INDEX('SCORING MASTER'!$D$113:$D$115,MATCH('STUDENT SCREENING'!BA88,'SCORING MASTER'!$C$113:$C$115,0)),""))</f>
        <v/>
      </c>
      <c r="BC88" s="57" t="str">
        <f aca="false">IF('STUDENT SCREENING'!BB88="","",IFERROR(INDEX('SCORING MASTER'!$D$117:$D$119,MATCH('STUDENT SCREENING'!BB88,'SCORING MASTER'!$C$117:$C$119,0)),""))</f>
        <v/>
      </c>
      <c r="BD88" s="57" t="str">
        <f aca="false">IF('STUDENT SCREENING'!BC88="","",IFERROR(INDEX('SCORING MASTER'!$D$121:$D$123,MATCH('STUDENT SCREENING'!BC88,'SCORING MASTER'!$C$121:$C$123,0)),""))</f>
        <v/>
      </c>
      <c r="BE88" s="57" t="str">
        <f aca="false">IF('STUDENT SCREENING'!BD88="","",IFERROR(INDEX('SCORING MASTER'!$D$125:$D$126,MATCH('STUDENT SCREENING'!BD88,'SCORING MASTER'!$C$125:$C$126,0)),""))</f>
        <v/>
      </c>
      <c r="BF88" s="57" t="str">
        <f aca="false">IF('STUDENT SCREENING'!BE88="","",IFERROR(INDEX('SCORING MASTER'!$D$128:$D$129,MATCH('STUDENT SCREENING'!BE88,'SCORING MASTER'!$C$128:$C$129,0)),""))</f>
        <v/>
      </c>
      <c r="BG88" s="57" t="str">
        <f aca="false">IF('STUDENT SCREENING'!BP88="","",IFERROR(MATCH('STUDENT SCREENING'!BP88,{"Red - High Risk","Orange - Moderate Risk","Yellow - Mild Risk","Light Green - Mild Watch","Green - Healthy"},0)-1,""))</f>
        <v/>
      </c>
      <c r="BH88" s="57" t="str">
        <f aca="false">IF('STUDENT SCREENING'!BQ88="","",IF('STUDENT SCREENING'!BQ88="Yes",1,0))</f>
        <v/>
      </c>
      <c r="BI88" s="57" t="str">
        <f aca="false">IF('STUDENT SCREENING'!BR88="","",IF('STUDENT SCREENING'!BR88="Yes",1,0))</f>
        <v/>
      </c>
    </row>
    <row r="89" customFormat="false" ht="15" hidden="false" customHeight="false" outlineLevel="0" collapsed="false">
      <c r="A89" s="58" t="str">
        <f aca="false">'STUDENT SCREENING'!A89</f>
        <v/>
      </c>
      <c r="B89" s="58" t="n">
        <f aca="false">'STUDENT SCREENING'!C89</f>
        <v>0</v>
      </c>
      <c r="C89" s="58" t="n">
        <f aca="false">'STUDENT SCREENING'!D89</f>
        <v>0</v>
      </c>
      <c r="D89" s="58" t="n">
        <f aca="false">'STUDENT SCREENING'!E89</f>
        <v>0</v>
      </c>
      <c r="E89" s="58" t="n">
        <f aca="false">'STUDENT SCREENING'!F89</f>
        <v>0</v>
      </c>
      <c r="F89" s="58" t="n">
        <f aca="false">'STUDENT SCREENING'!K89</f>
        <v>0</v>
      </c>
      <c r="G89" s="58" t="n">
        <f aca="false">'STUDENT SCREENING'!J89</f>
        <v>0</v>
      </c>
      <c r="H89" s="58" t="str">
        <f aca="false">IF('STUDENT SCREENING'!K89="","",IFERROR(MATCH('STUDENT SCREENING'!K89,Adm_Gender,0),""))</f>
        <v/>
      </c>
      <c r="I89" s="58" t="n">
        <f aca="false">'STUDENT SCREENING'!Q89</f>
        <v>0</v>
      </c>
      <c r="J89" s="58" t="n">
        <f aca="false">'STUDENT SCREENING'!R89</f>
        <v>0</v>
      </c>
      <c r="K89" s="58" t="str">
        <f aca="false">'STUDENT SCREENING'!S89</f>
        <v/>
      </c>
      <c r="L89" s="58" t="n">
        <f aca="false">'STUDENT SCREENING'!U89</f>
        <v>0</v>
      </c>
      <c r="M89" s="58" t="n">
        <f aca="false">'STUDENT SCREENING'!V89</f>
        <v>0</v>
      </c>
      <c r="N89" s="58" t="str">
        <f aca="false">'STUDENT SCREENING'!BF89</f>
        <v/>
      </c>
      <c r="O89" s="58" t="str">
        <f aca="false">'STUDENT SCREENING'!BG89</f>
        <v/>
      </c>
      <c r="P89" s="58" t="str">
        <f aca="false">'STUDENT SCREENING'!BH89</f>
        <v/>
      </c>
      <c r="Q89" s="58" t="str">
        <f aca="false">'STUDENT SCREENING'!BI89</f>
        <v/>
      </c>
      <c r="R89" s="58" t="str">
        <f aca="false">'STUDENT SCREENING'!BJ89</f>
        <v/>
      </c>
      <c r="S89" s="58" t="str">
        <f aca="false">'STUDENT SCREENING'!BK89</f>
        <v/>
      </c>
      <c r="T89" s="58" t="str">
        <f aca="false">'STUDENT SCREENING'!BL89</f>
        <v/>
      </c>
      <c r="U89" s="58" t="str">
        <f aca="false">'STUDENT SCREENING'!BM89</f>
        <v/>
      </c>
      <c r="V89" s="58" t="str">
        <f aca="false">'STUDENT SCREENING'!BN89</f>
        <v/>
      </c>
      <c r="W89" s="58" t="str">
        <f aca="false">'STUDENT SCREENING'!BO89</f>
        <v/>
      </c>
      <c r="X89" s="58" t="str">
        <f aca="false">IF('STUDENT SCREENING'!W89="","",IFERROR(INDEX('SCORING MASTER'!$D$5:$D$7,MATCH('STUDENT SCREENING'!W89,'SCORING MASTER'!$C$5:$C$7,0)),""))</f>
        <v/>
      </c>
      <c r="Y89" s="58" t="str">
        <f aca="false">IF('STUDENT SCREENING'!X89="","",IFERROR(INDEX('SCORING MASTER'!$D$9:$D$11,MATCH('STUDENT SCREENING'!X89,'SCORING MASTER'!$C$9:$C$11,0)),""))</f>
        <v/>
      </c>
      <c r="Z89" s="58" t="str">
        <f aca="false">IF('STUDENT SCREENING'!Y89="","",IFERROR(INDEX('SCORING MASTER'!$D$13:$D$15,MATCH('STUDENT SCREENING'!Y89,'SCORING MASTER'!$C$13:$C$15,0)),""))</f>
        <v/>
      </c>
      <c r="AA89" s="58" t="str">
        <f aca="false">IF('STUDENT SCREENING'!Z89="","",IFERROR(INDEX('SCORING MASTER'!$D$17:$D$19,MATCH('STUDENT SCREENING'!Z89,'SCORING MASTER'!$C$17:$C$19,0)),""))</f>
        <v/>
      </c>
      <c r="AB89" s="58" t="str">
        <f aca="false">IF('STUDENT SCREENING'!AA89="","",IFERROR(INDEX('SCORING MASTER'!$D$21:$D$23,MATCH('STUDENT SCREENING'!AA89,'SCORING MASTER'!$C$21:$C$23,0)),""))</f>
        <v/>
      </c>
      <c r="AC89" s="58" t="str">
        <f aca="false">IF('STUDENT SCREENING'!AB89="","",IFERROR(INDEX('SCORING MASTER'!$D$25:$D$27,MATCH('STUDENT SCREENING'!AB89,'SCORING MASTER'!$C$25:$C$27,0)),""))</f>
        <v/>
      </c>
      <c r="AD89" s="58" t="str">
        <f aca="false">IF('STUDENT SCREENING'!AC89="","",IFERROR(INDEX('SCORING MASTER'!$D$29:$D$31,MATCH('STUDENT SCREENING'!AC89,'SCORING MASTER'!$C$29:$C$31,0)),""))</f>
        <v/>
      </c>
      <c r="AE89" s="58" t="str">
        <f aca="false">IF('STUDENT SCREENING'!AD89="","",IFERROR(INDEX('SCORING MASTER'!$D$33:$D$35,MATCH('STUDENT SCREENING'!AD89,'SCORING MASTER'!$C$33:$C$35,0)),""))</f>
        <v/>
      </c>
      <c r="AF89" s="58" t="str">
        <f aca="false">IF('STUDENT SCREENING'!AE89="","",IFERROR(INDEX('SCORING MASTER'!$D$37:$D$39,MATCH('STUDENT SCREENING'!AE89,'SCORING MASTER'!$C$37:$C$39,0)),""))</f>
        <v/>
      </c>
      <c r="AG89" s="58" t="str">
        <f aca="false">IF('STUDENT SCREENING'!AF89="","",IFERROR(INDEX('SCORING MASTER'!$D$41:$D$43,MATCH('STUDENT SCREENING'!AF89,'SCORING MASTER'!$C$41:$C$43,0)),""))</f>
        <v/>
      </c>
      <c r="AH89" s="58" t="str">
        <f aca="false">IF('STUDENT SCREENING'!AG89="","",IFERROR(INDEX('SCORING MASTER'!$D$45:$D$47,MATCH('STUDENT SCREENING'!AG89,'SCORING MASTER'!$C$45:$C$47,0)),""))</f>
        <v/>
      </c>
      <c r="AI89" s="58" t="str">
        <f aca="false">IF('STUDENT SCREENING'!AH89="","",IFERROR(INDEX('SCORING MASTER'!$D$49:$D$52,MATCH('STUDENT SCREENING'!AH89,'SCORING MASTER'!$C$49:$C$52,0)),""))</f>
        <v/>
      </c>
      <c r="AJ89" s="58" t="str">
        <f aca="false">IF('STUDENT SCREENING'!AI89="","",IFERROR(INDEX('SCORING MASTER'!$D$54:$D$57,MATCH('STUDENT SCREENING'!AI89,'SCORING MASTER'!$C$54:$C$57,0)),""))</f>
        <v/>
      </c>
      <c r="AK89" s="58" t="str">
        <f aca="false">IF('STUDENT SCREENING'!AJ89="","",IFERROR(INDEX('SCORING MASTER'!$D$59:$D$60,MATCH('STUDENT SCREENING'!AJ89,'SCORING MASTER'!$C$59:$C$60,0)),""))</f>
        <v/>
      </c>
      <c r="AL89" s="58" t="str">
        <f aca="false">IF('STUDENT SCREENING'!AK89="","",IFERROR(INDEX('SCORING MASTER'!$D$62:$D$63,MATCH('STUDENT SCREENING'!AK89,'SCORING MASTER'!$C$62:$C$63,0)),""))</f>
        <v/>
      </c>
      <c r="AM89" s="58" t="str">
        <f aca="false">IF('STUDENT SCREENING'!AL89="","",IFERROR(INDEX('SCORING MASTER'!$D$65:$D$66,MATCH('STUDENT SCREENING'!AL89,'SCORING MASTER'!$C$65:$C$66,0)),""))</f>
        <v/>
      </c>
      <c r="AN89" s="58" t="str">
        <f aca="false">IF('STUDENT SCREENING'!AM89="","",IFERROR(INDEX('SCORING MASTER'!$D$68:$D$69,MATCH('STUDENT SCREENING'!AM89,'SCORING MASTER'!$C$68:$C$69,0)),""))</f>
        <v/>
      </c>
      <c r="AO89" s="58" t="str">
        <f aca="false">IF('STUDENT SCREENING'!AN89="","",IFERROR(INDEX('SCORING MASTER'!$D$71:$D$72,MATCH('STUDENT SCREENING'!AN89,'SCORING MASTER'!$C$71:$C$72,0)),""))</f>
        <v/>
      </c>
      <c r="AP89" s="58" t="str">
        <f aca="false">IF('STUDENT SCREENING'!AO89="","",IFERROR(INDEX('SCORING MASTER'!$D$74:$D$75,MATCH('STUDENT SCREENING'!AO89,'SCORING MASTER'!$C$74:$C$75,0)),""))</f>
        <v/>
      </c>
      <c r="AQ89" s="58" t="str">
        <f aca="false">IF('STUDENT SCREENING'!AP89="","",IFERROR(INDEX('SCORING MASTER'!$D$77:$D$78,MATCH('STUDENT SCREENING'!AP89,'SCORING MASTER'!$C$77:$C$78,0)),""))</f>
        <v/>
      </c>
      <c r="AR89" s="58" t="str">
        <f aca="false">IF('STUDENT SCREENING'!AQ89="","",IFERROR(INDEX('SCORING MASTER'!$D$80:$D$82,MATCH('STUDENT SCREENING'!AQ89,'SCORING MASTER'!$C$80:$C$82,0)),""))</f>
        <v/>
      </c>
      <c r="AS89" s="58" t="str">
        <f aca="false">IF('STUDENT SCREENING'!AR89="","",IFERROR(INDEX('SCORING MASTER'!$D$84:$D$86,MATCH('STUDENT SCREENING'!AR89,'SCORING MASTER'!$C$84:$C$86,0)),""))</f>
        <v/>
      </c>
      <c r="AT89" s="58" t="str">
        <f aca="false">IF('STUDENT SCREENING'!AS89="","",IFERROR(INDEX('SCORING MASTER'!$D$88:$D$90,MATCH('STUDENT SCREENING'!AS89,'SCORING MASTER'!$C$88:$C$90,0)),""))</f>
        <v/>
      </c>
      <c r="AU89" s="58" t="str">
        <f aca="false">IF('STUDENT SCREENING'!AT89="","",IFERROR(INDEX('SCORING MASTER'!$D$92:$D$93,MATCH('STUDENT SCREENING'!AT89,'SCORING MASTER'!$C$92:$C$93,0)),""))</f>
        <v/>
      </c>
      <c r="AV89" s="58" t="str">
        <f aca="false">IF('STUDENT SCREENING'!AU89="","",IFERROR(INDEX('SCORING MASTER'!$D$95:$D$96,MATCH('STUDENT SCREENING'!AU89,'SCORING MASTER'!$C$95:$C$96,0)),""))</f>
        <v/>
      </c>
      <c r="AW89" s="58" t="str">
        <f aca="false">IF('STUDENT SCREENING'!AV89="","",IFERROR(INDEX('SCORING MASTER'!$D$98:$D$99,MATCH('STUDENT SCREENING'!AV89,'SCORING MASTER'!$C$98:$C$99,0)),""))</f>
        <v/>
      </c>
      <c r="AX89" s="58" t="str">
        <f aca="false">IF('STUDENT SCREENING'!AW89="","",IFERROR(INDEX('SCORING MASTER'!$D$101:$D$102,MATCH('STUDENT SCREENING'!AW89,'SCORING MASTER'!$C$101:$C$102,0)),""))</f>
        <v/>
      </c>
      <c r="AY89" s="58" t="str">
        <f aca="false">IF('STUDENT SCREENING'!AX89="","",IFERROR(INDEX('SCORING MASTER'!$D$104:$D$105,MATCH('STUDENT SCREENING'!AX89,'SCORING MASTER'!$C$104:$C$105,0)),""))</f>
        <v/>
      </c>
      <c r="AZ89" s="58" t="str">
        <f aca="false">IF('STUDENT SCREENING'!AY89="","",IFERROR(INDEX('SCORING MASTER'!$D$107:$D$108,MATCH('STUDENT SCREENING'!AY89,'SCORING MASTER'!$C$107:$C$108,0)),""))</f>
        <v/>
      </c>
      <c r="BA89" s="58" t="str">
        <f aca="false">IF('STUDENT SCREENING'!AZ89="","",IFERROR(INDEX('SCORING MASTER'!$D$110:$D$111,MATCH('STUDENT SCREENING'!AZ89,'SCORING MASTER'!$C$110:$C$111,0)),""))</f>
        <v/>
      </c>
      <c r="BB89" s="58" t="str">
        <f aca="false">IF('STUDENT SCREENING'!BA89="","",IFERROR(INDEX('SCORING MASTER'!$D$113:$D$115,MATCH('STUDENT SCREENING'!BA89,'SCORING MASTER'!$C$113:$C$115,0)),""))</f>
        <v/>
      </c>
      <c r="BC89" s="58" t="str">
        <f aca="false">IF('STUDENT SCREENING'!BB89="","",IFERROR(INDEX('SCORING MASTER'!$D$117:$D$119,MATCH('STUDENT SCREENING'!BB89,'SCORING MASTER'!$C$117:$C$119,0)),""))</f>
        <v/>
      </c>
      <c r="BD89" s="58" t="str">
        <f aca="false">IF('STUDENT SCREENING'!BC89="","",IFERROR(INDEX('SCORING MASTER'!$D$121:$D$123,MATCH('STUDENT SCREENING'!BC89,'SCORING MASTER'!$C$121:$C$123,0)),""))</f>
        <v/>
      </c>
      <c r="BE89" s="58" t="str">
        <f aca="false">IF('STUDENT SCREENING'!BD89="","",IFERROR(INDEX('SCORING MASTER'!$D$125:$D$126,MATCH('STUDENT SCREENING'!BD89,'SCORING MASTER'!$C$125:$C$126,0)),""))</f>
        <v/>
      </c>
      <c r="BF89" s="58" t="str">
        <f aca="false">IF('STUDENT SCREENING'!BE89="","",IFERROR(INDEX('SCORING MASTER'!$D$128:$D$129,MATCH('STUDENT SCREENING'!BE89,'SCORING MASTER'!$C$128:$C$129,0)),""))</f>
        <v/>
      </c>
      <c r="BG89" s="58" t="str">
        <f aca="false">IF('STUDENT SCREENING'!BP89="","",IFERROR(MATCH('STUDENT SCREENING'!BP89,{"Red - High Risk","Orange - Moderate Risk","Yellow - Mild Risk","Light Green - Mild Watch","Green - Healthy"},0)-1,""))</f>
        <v/>
      </c>
      <c r="BH89" s="58" t="str">
        <f aca="false">IF('STUDENT SCREENING'!BQ89="","",IF('STUDENT SCREENING'!BQ89="Yes",1,0))</f>
        <v/>
      </c>
      <c r="BI89" s="58" t="str">
        <f aca="false">IF('STUDENT SCREENING'!BR89="","",IF('STUDENT SCREENING'!BR89="Yes",1,0))</f>
        <v/>
      </c>
    </row>
    <row r="90" customFormat="false" ht="15" hidden="false" customHeight="false" outlineLevel="0" collapsed="false">
      <c r="A90" s="57" t="str">
        <f aca="false">'STUDENT SCREENING'!A90</f>
        <v/>
      </c>
      <c r="B90" s="57" t="n">
        <f aca="false">'STUDENT SCREENING'!C90</f>
        <v>0</v>
      </c>
      <c r="C90" s="57" t="n">
        <f aca="false">'STUDENT SCREENING'!D90</f>
        <v>0</v>
      </c>
      <c r="D90" s="57" t="n">
        <f aca="false">'STUDENT SCREENING'!E90</f>
        <v>0</v>
      </c>
      <c r="E90" s="57" t="n">
        <f aca="false">'STUDENT SCREENING'!F90</f>
        <v>0</v>
      </c>
      <c r="F90" s="57" t="n">
        <f aca="false">'STUDENT SCREENING'!K90</f>
        <v>0</v>
      </c>
      <c r="G90" s="57" t="n">
        <f aca="false">'STUDENT SCREENING'!J90</f>
        <v>0</v>
      </c>
      <c r="H90" s="57" t="str">
        <f aca="false">IF('STUDENT SCREENING'!K90="","",IFERROR(MATCH('STUDENT SCREENING'!K90,Adm_Gender,0),""))</f>
        <v/>
      </c>
      <c r="I90" s="57" t="n">
        <f aca="false">'STUDENT SCREENING'!Q90</f>
        <v>0</v>
      </c>
      <c r="J90" s="57" t="n">
        <f aca="false">'STUDENT SCREENING'!R90</f>
        <v>0</v>
      </c>
      <c r="K90" s="57" t="str">
        <f aca="false">'STUDENT SCREENING'!S90</f>
        <v/>
      </c>
      <c r="L90" s="57" t="n">
        <f aca="false">'STUDENT SCREENING'!U90</f>
        <v>0</v>
      </c>
      <c r="M90" s="57" t="n">
        <f aca="false">'STUDENT SCREENING'!V90</f>
        <v>0</v>
      </c>
      <c r="N90" s="57" t="str">
        <f aca="false">'STUDENT SCREENING'!BF90</f>
        <v/>
      </c>
      <c r="O90" s="57" t="str">
        <f aca="false">'STUDENT SCREENING'!BG90</f>
        <v/>
      </c>
      <c r="P90" s="57" t="str">
        <f aca="false">'STUDENT SCREENING'!BH90</f>
        <v/>
      </c>
      <c r="Q90" s="57" t="str">
        <f aca="false">'STUDENT SCREENING'!BI90</f>
        <v/>
      </c>
      <c r="R90" s="57" t="str">
        <f aca="false">'STUDENT SCREENING'!BJ90</f>
        <v/>
      </c>
      <c r="S90" s="57" t="str">
        <f aca="false">'STUDENT SCREENING'!BK90</f>
        <v/>
      </c>
      <c r="T90" s="57" t="str">
        <f aca="false">'STUDENT SCREENING'!BL90</f>
        <v/>
      </c>
      <c r="U90" s="57" t="str">
        <f aca="false">'STUDENT SCREENING'!BM90</f>
        <v/>
      </c>
      <c r="V90" s="57" t="str">
        <f aca="false">'STUDENT SCREENING'!BN90</f>
        <v/>
      </c>
      <c r="W90" s="57" t="str">
        <f aca="false">'STUDENT SCREENING'!BO90</f>
        <v/>
      </c>
      <c r="X90" s="57" t="str">
        <f aca="false">IF('STUDENT SCREENING'!W90="","",IFERROR(INDEX('SCORING MASTER'!$D$5:$D$7,MATCH('STUDENT SCREENING'!W90,'SCORING MASTER'!$C$5:$C$7,0)),""))</f>
        <v/>
      </c>
      <c r="Y90" s="57" t="str">
        <f aca="false">IF('STUDENT SCREENING'!X90="","",IFERROR(INDEX('SCORING MASTER'!$D$9:$D$11,MATCH('STUDENT SCREENING'!X90,'SCORING MASTER'!$C$9:$C$11,0)),""))</f>
        <v/>
      </c>
      <c r="Z90" s="57" t="str">
        <f aca="false">IF('STUDENT SCREENING'!Y90="","",IFERROR(INDEX('SCORING MASTER'!$D$13:$D$15,MATCH('STUDENT SCREENING'!Y90,'SCORING MASTER'!$C$13:$C$15,0)),""))</f>
        <v/>
      </c>
      <c r="AA90" s="57" t="str">
        <f aca="false">IF('STUDENT SCREENING'!Z90="","",IFERROR(INDEX('SCORING MASTER'!$D$17:$D$19,MATCH('STUDENT SCREENING'!Z90,'SCORING MASTER'!$C$17:$C$19,0)),""))</f>
        <v/>
      </c>
      <c r="AB90" s="57" t="str">
        <f aca="false">IF('STUDENT SCREENING'!AA90="","",IFERROR(INDEX('SCORING MASTER'!$D$21:$D$23,MATCH('STUDENT SCREENING'!AA90,'SCORING MASTER'!$C$21:$C$23,0)),""))</f>
        <v/>
      </c>
      <c r="AC90" s="57" t="str">
        <f aca="false">IF('STUDENT SCREENING'!AB90="","",IFERROR(INDEX('SCORING MASTER'!$D$25:$D$27,MATCH('STUDENT SCREENING'!AB90,'SCORING MASTER'!$C$25:$C$27,0)),""))</f>
        <v/>
      </c>
      <c r="AD90" s="57" t="str">
        <f aca="false">IF('STUDENT SCREENING'!AC90="","",IFERROR(INDEX('SCORING MASTER'!$D$29:$D$31,MATCH('STUDENT SCREENING'!AC90,'SCORING MASTER'!$C$29:$C$31,0)),""))</f>
        <v/>
      </c>
      <c r="AE90" s="57" t="str">
        <f aca="false">IF('STUDENT SCREENING'!AD90="","",IFERROR(INDEX('SCORING MASTER'!$D$33:$D$35,MATCH('STUDENT SCREENING'!AD90,'SCORING MASTER'!$C$33:$C$35,0)),""))</f>
        <v/>
      </c>
      <c r="AF90" s="57" t="str">
        <f aca="false">IF('STUDENT SCREENING'!AE90="","",IFERROR(INDEX('SCORING MASTER'!$D$37:$D$39,MATCH('STUDENT SCREENING'!AE90,'SCORING MASTER'!$C$37:$C$39,0)),""))</f>
        <v/>
      </c>
      <c r="AG90" s="57" t="str">
        <f aca="false">IF('STUDENT SCREENING'!AF90="","",IFERROR(INDEX('SCORING MASTER'!$D$41:$D$43,MATCH('STUDENT SCREENING'!AF90,'SCORING MASTER'!$C$41:$C$43,0)),""))</f>
        <v/>
      </c>
      <c r="AH90" s="57" t="str">
        <f aca="false">IF('STUDENT SCREENING'!AG90="","",IFERROR(INDEX('SCORING MASTER'!$D$45:$D$47,MATCH('STUDENT SCREENING'!AG90,'SCORING MASTER'!$C$45:$C$47,0)),""))</f>
        <v/>
      </c>
      <c r="AI90" s="57" t="str">
        <f aca="false">IF('STUDENT SCREENING'!AH90="","",IFERROR(INDEX('SCORING MASTER'!$D$49:$D$52,MATCH('STUDENT SCREENING'!AH90,'SCORING MASTER'!$C$49:$C$52,0)),""))</f>
        <v/>
      </c>
      <c r="AJ90" s="57" t="str">
        <f aca="false">IF('STUDENT SCREENING'!AI90="","",IFERROR(INDEX('SCORING MASTER'!$D$54:$D$57,MATCH('STUDENT SCREENING'!AI90,'SCORING MASTER'!$C$54:$C$57,0)),""))</f>
        <v/>
      </c>
      <c r="AK90" s="57" t="str">
        <f aca="false">IF('STUDENT SCREENING'!AJ90="","",IFERROR(INDEX('SCORING MASTER'!$D$59:$D$60,MATCH('STUDENT SCREENING'!AJ90,'SCORING MASTER'!$C$59:$C$60,0)),""))</f>
        <v/>
      </c>
      <c r="AL90" s="57" t="str">
        <f aca="false">IF('STUDENT SCREENING'!AK90="","",IFERROR(INDEX('SCORING MASTER'!$D$62:$D$63,MATCH('STUDENT SCREENING'!AK90,'SCORING MASTER'!$C$62:$C$63,0)),""))</f>
        <v/>
      </c>
      <c r="AM90" s="57" t="str">
        <f aca="false">IF('STUDENT SCREENING'!AL90="","",IFERROR(INDEX('SCORING MASTER'!$D$65:$D$66,MATCH('STUDENT SCREENING'!AL90,'SCORING MASTER'!$C$65:$C$66,0)),""))</f>
        <v/>
      </c>
      <c r="AN90" s="57" t="str">
        <f aca="false">IF('STUDENT SCREENING'!AM90="","",IFERROR(INDEX('SCORING MASTER'!$D$68:$D$69,MATCH('STUDENT SCREENING'!AM90,'SCORING MASTER'!$C$68:$C$69,0)),""))</f>
        <v/>
      </c>
      <c r="AO90" s="57" t="str">
        <f aca="false">IF('STUDENT SCREENING'!AN90="","",IFERROR(INDEX('SCORING MASTER'!$D$71:$D$72,MATCH('STUDENT SCREENING'!AN90,'SCORING MASTER'!$C$71:$C$72,0)),""))</f>
        <v/>
      </c>
      <c r="AP90" s="57" t="str">
        <f aca="false">IF('STUDENT SCREENING'!AO90="","",IFERROR(INDEX('SCORING MASTER'!$D$74:$D$75,MATCH('STUDENT SCREENING'!AO90,'SCORING MASTER'!$C$74:$C$75,0)),""))</f>
        <v/>
      </c>
      <c r="AQ90" s="57" t="str">
        <f aca="false">IF('STUDENT SCREENING'!AP90="","",IFERROR(INDEX('SCORING MASTER'!$D$77:$D$78,MATCH('STUDENT SCREENING'!AP90,'SCORING MASTER'!$C$77:$C$78,0)),""))</f>
        <v/>
      </c>
      <c r="AR90" s="57" t="str">
        <f aca="false">IF('STUDENT SCREENING'!AQ90="","",IFERROR(INDEX('SCORING MASTER'!$D$80:$D$82,MATCH('STUDENT SCREENING'!AQ90,'SCORING MASTER'!$C$80:$C$82,0)),""))</f>
        <v/>
      </c>
      <c r="AS90" s="57" t="str">
        <f aca="false">IF('STUDENT SCREENING'!AR90="","",IFERROR(INDEX('SCORING MASTER'!$D$84:$D$86,MATCH('STUDENT SCREENING'!AR90,'SCORING MASTER'!$C$84:$C$86,0)),""))</f>
        <v/>
      </c>
      <c r="AT90" s="57" t="str">
        <f aca="false">IF('STUDENT SCREENING'!AS90="","",IFERROR(INDEX('SCORING MASTER'!$D$88:$D$90,MATCH('STUDENT SCREENING'!AS90,'SCORING MASTER'!$C$88:$C$90,0)),""))</f>
        <v/>
      </c>
      <c r="AU90" s="57" t="str">
        <f aca="false">IF('STUDENT SCREENING'!AT90="","",IFERROR(INDEX('SCORING MASTER'!$D$92:$D$93,MATCH('STUDENT SCREENING'!AT90,'SCORING MASTER'!$C$92:$C$93,0)),""))</f>
        <v/>
      </c>
      <c r="AV90" s="57" t="str">
        <f aca="false">IF('STUDENT SCREENING'!AU90="","",IFERROR(INDEX('SCORING MASTER'!$D$95:$D$96,MATCH('STUDENT SCREENING'!AU90,'SCORING MASTER'!$C$95:$C$96,0)),""))</f>
        <v/>
      </c>
      <c r="AW90" s="57" t="str">
        <f aca="false">IF('STUDENT SCREENING'!AV90="","",IFERROR(INDEX('SCORING MASTER'!$D$98:$D$99,MATCH('STUDENT SCREENING'!AV90,'SCORING MASTER'!$C$98:$C$99,0)),""))</f>
        <v/>
      </c>
      <c r="AX90" s="57" t="str">
        <f aca="false">IF('STUDENT SCREENING'!AW90="","",IFERROR(INDEX('SCORING MASTER'!$D$101:$D$102,MATCH('STUDENT SCREENING'!AW90,'SCORING MASTER'!$C$101:$C$102,0)),""))</f>
        <v/>
      </c>
      <c r="AY90" s="57" t="str">
        <f aca="false">IF('STUDENT SCREENING'!AX90="","",IFERROR(INDEX('SCORING MASTER'!$D$104:$D$105,MATCH('STUDENT SCREENING'!AX90,'SCORING MASTER'!$C$104:$C$105,0)),""))</f>
        <v/>
      </c>
      <c r="AZ90" s="57" t="str">
        <f aca="false">IF('STUDENT SCREENING'!AY90="","",IFERROR(INDEX('SCORING MASTER'!$D$107:$D$108,MATCH('STUDENT SCREENING'!AY90,'SCORING MASTER'!$C$107:$C$108,0)),""))</f>
        <v/>
      </c>
      <c r="BA90" s="57" t="str">
        <f aca="false">IF('STUDENT SCREENING'!AZ90="","",IFERROR(INDEX('SCORING MASTER'!$D$110:$D$111,MATCH('STUDENT SCREENING'!AZ90,'SCORING MASTER'!$C$110:$C$111,0)),""))</f>
        <v/>
      </c>
      <c r="BB90" s="57" t="str">
        <f aca="false">IF('STUDENT SCREENING'!BA90="","",IFERROR(INDEX('SCORING MASTER'!$D$113:$D$115,MATCH('STUDENT SCREENING'!BA90,'SCORING MASTER'!$C$113:$C$115,0)),""))</f>
        <v/>
      </c>
      <c r="BC90" s="57" t="str">
        <f aca="false">IF('STUDENT SCREENING'!BB90="","",IFERROR(INDEX('SCORING MASTER'!$D$117:$D$119,MATCH('STUDENT SCREENING'!BB90,'SCORING MASTER'!$C$117:$C$119,0)),""))</f>
        <v/>
      </c>
      <c r="BD90" s="57" t="str">
        <f aca="false">IF('STUDENT SCREENING'!BC90="","",IFERROR(INDEX('SCORING MASTER'!$D$121:$D$123,MATCH('STUDENT SCREENING'!BC90,'SCORING MASTER'!$C$121:$C$123,0)),""))</f>
        <v/>
      </c>
      <c r="BE90" s="57" t="str">
        <f aca="false">IF('STUDENT SCREENING'!BD90="","",IFERROR(INDEX('SCORING MASTER'!$D$125:$D$126,MATCH('STUDENT SCREENING'!BD90,'SCORING MASTER'!$C$125:$C$126,0)),""))</f>
        <v/>
      </c>
      <c r="BF90" s="57" t="str">
        <f aca="false">IF('STUDENT SCREENING'!BE90="","",IFERROR(INDEX('SCORING MASTER'!$D$128:$D$129,MATCH('STUDENT SCREENING'!BE90,'SCORING MASTER'!$C$128:$C$129,0)),""))</f>
        <v/>
      </c>
      <c r="BG90" s="57" t="str">
        <f aca="false">IF('STUDENT SCREENING'!BP90="","",IFERROR(MATCH('STUDENT SCREENING'!BP90,{"Red - High Risk","Orange - Moderate Risk","Yellow - Mild Risk","Light Green - Mild Watch","Green - Healthy"},0)-1,""))</f>
        <v/>
      </c>
      <c r="BH90" s="57" t="str">
        <f aca="false">IF('STUDENT SCREENING'!BQ90="","",IF('STUDENT SCREENING'!BQ90="Yes",1,0))</f>
        <v/>
      </c>
      <c r="BI90" s="57" t="str">
        <f aca="false">IF('STUDENT SCREENING'!BR90="","",IF('STUDENT SCREENING'!BR90="Yes",1,0))</f>
        <v/>
      </c>
    </row>
    <row r="91" customFormat="false" ht="15" hidden="false" customHeight="false" outlineLevel="0" collapsed="false">
      <c r="A91" s="58" t="str">
        <f aca="false">'STUDENT SCREENING'!A91</f>
        <v/>
      </c>
      <c r="B91" s="58" t="n">
        <f aca="false">'STUDENT SCREENING'!C91</f>
        <v>0</v>
      </c>
      <c r="C91" s="58" t="n">
        <f aca="false">'STUDENT SCREENING'!D91</f>
        <v>0</v>
      </c>
      <c r="D91" s="58" t="n">
        <f aca="false">'STUDENT SCREENING'!E91</f>
        <v>0</v>
      </c>
      <c r="E91" s="58" t="n">
        <f aca="false">'STUDENT SCREENING'!F91</f>
        <v>0</v>
      </c>
      <c r="F91" s="58" t="n">
        <f aca="false">'STUDENT SCREENING'!K91</f>
        <v>0</v>
      </c>
      <c r="G91" s="58" t="n">
        <f aca="false">'STUDENT SCREENING'!J91</f>
        <v>0</v>
      </c>
      <c r="H91" s="58" t="str">
        <f aca="false">IF('STUDENT SCREENING'!K91="","",IFERROR(MATCH('STUDENT SCREENING'!K91,Adm_Gender,0),""))</f>
        <v/>
      </c>
      <c r="I91" s="58" t="n">
        <f aca="false">'STUDENT SCREENING'!Q91</f>
        <v>0</v>
      </c>
      <c r="J91" s="58" t="n">
        <f aca="false">'STUDENT SCREENING'!R91</f>
        <v>0</v>
      </c>
      <c r="K91" s="58" t="str">
        <f aca="false">'STUDENT SCREENING'!S91</f>
        <v/>
      </c>
      <c r="L91" s="58" t="n">
        <f aca="false">'STUDENT SCREENING'!U91</f>
        <v>0</v>
      </c>
      <c r="M91" s="58" t="n">
        <f aca="false">'STUDENT SCREENING'!V91</f>
        <v>0</v>
      </c>
      <c r="N91" s="58" t="str">
        <f aca="false">'STUDENT SCREENING'!BF91</f>
        <v/>
      </c>
      <c r="O91" s="58" t="str">
        <f aca="false">'STUDENT SCREENING'!BG91</f>
        <v/>
      </c>
      <c r="P91" s="58" t="str">
        <f aca="false">'STUDENT SCREENING'!BH91</f>
        <v/>
      </c>
      <c r="Q91" s="58" t="str">
        <f aca="false">'STUDENT SCREENING'!BI91</f>
        <v/>
      </c>
      <c r="R91" s="58" t="str">
        <f aca="false">'STUDENT SCREENING'!BJ91</f>
        <v/>
      </c>
      <c r="S91" s="58" t="str">
        <f aca="false">'STUDENT SCREENING'!BK91</f>
        <v/>
      </c>
      <c r="T91" s="58" t="str">
        <f aca="false">'STUDENT SCREENING'!BL91</f>
        <v/>
      </c>
      <c r="U91" s="58" t="str">
        <f aca="false">'STUDENT SCREENING'!BM91</f>
        <v/>
      </c>
      <c r="V91" s="58" t="str">
        <f aca="false">'STUDENT SCREENING'!BN91</f>
        <v/>
      </c>
      <c r="W91" s="58" t="str">
        <f aca="false">'STUDENT SCREENING'!BO91</f>
        <v/>
      </c>
      <c r="X91" s="58" t="str">
        <f aca="false">IF('STUDENT SCREENING'!W91="","",IFERROR(INDEX('SCORING MASTER'!$D$5:$D$7,MATCH('STUDENT SCREENING'!W91,'SCORING MASTER'!$C$5:$C$7,0)),""))</f>
        <v/>
      </c>
      <c r="Y91" s="58" t="str">
        <f aca="false">IF('STUDENT SCREENING'!X91="","",IFERROR(INDEX('SCORING MASTER'!$D$9:$D$11,MATCH('STUDENT SCREENING'!X91,'SCORING MASTER'!$C$9:$C$11,0)),""))</f>
        <v/>
      </c>
      <c r="Z91" s="58" t="str">
        <f aca="false">IF('STUDENT SCREENING'!Y91="","",IFERROR(INDEX('SCORING MASTER'!$D$13:$D$15,MATCH('STUDENT SCREENING'!Y91,'SCORING MASTER'!$C$13:$C$15,0)),""))</f>
        <v/>
      </c>
      <c r="AA91" s="58" t="str">
        <f aca="false">IF('STUDENT SCREENING'!Z91="","",IFERROR(INDEX('SCORING MASTER'!$D$17:$D$19,MATCH('STUDENT SCREENING'!Z91,'SCORING MASTER'!$C$17:$C$19,0)),""))</f>
        <v/>
      </c>
      <c r="AB91" s="58" t="str">
        <f aca="false">IF('STUDENT SCREENING'!AA91="","",IFERROR(INDEX('SCORING MASTER'!$D$21:$D$23,MATCH('STUDENT SCREENING'!AA91,'SCORING MASTER'!$C$21:$C$23,0)),""))</f>
        <v/>
      </c>
      <c r="AC91" s="58" t="str">
        <f aca="false">IF('STUDENT SCREENING'!AB91="","",IFERROR(INDEX('SCORING MASTER'!$D$25:$D$27,MATCH('STUDENT SCREENING'!AB91,'SCORING MASTER'!$C$25:$C$27,0)),""))</f>
        <v/>
      </c>
      <c r="AD91" s="58" t="str">
        <f aca="false">IF('STUDENT SCREENING'!AC91="","",IFERROR(INDEX('SCORING MASTER'!$D$29:$D$31,MATCH('STUDENT SCREENING'!AC91,'SCORING MASTER'!$C$29:$C$31,0)),""))</f>
        <v/>
      </c>
      <c r="AE91" s="58" t="str">
        <f aca="false">IF('STUDENT SCREENING'!AD91="","",IFERROR(INDEX('SCORING MASTER'!$D$33:$D$35,MATCH('STUDENT SCREENING'!AD91,'SCORING MASTER'!$C$33:$C$35,0)),""))</f>
        <v/>
      </c>
      <c r="AF91" s="58" t="str">
        <f aca="false">IF('STUDENT SCREENING'!AE91="","",IFERROR(INDEX('SCORING MASTER'!$D$37:$D$39,MATCH('STUDENT SCREENING'!AE91,'SCORING MASTER'!$C$37:$C$39,0)),""))</f>
        <v/>
      </c>
      <c r="AG91" s="58" t="str">
        <f aca="false">IF('STUDENT SCREENING'!AF91="","",IFERROR(INDEX('SCORING MASTER'!$D$41:$D$43,MATCH('STUDENT SCREENING'!AF91,'SCORING MASTER'!$C$41:$C$43,0)),""))</f>
        <v/>
      </c>
      <c r="AH91" s="58" t="str">
        <f aca="false">IF('STUDENT SCREENING'!AG91="","",IFERROR(INDEX('SCORING MASTER'!$D$45:$D$47,MATCH('STUDENT SCREENING'!AG91,'SCORING MASTER'!$C$45:$C$47,0)),""))</f>
        <v/>
      </c>
      <c r="AI91" s="58" t="str">
        <f aca="false">IF('STUDENT SCREENING'!AH91="","",IFERROR(INDEX('SCORING MASTER'!$D$49:$D$52,MATCH('STUDENT SCREENING'!AH91,'SCORING MASTER'!$C$49:$C$52,0)),""))</f>
        <v/>
      </c>
      <c r="AJ91" s="58" t="str">
        <f aca="false">IF('STUDENT SCREENING'!AI91="","",IFERROR(INDEX('SCORING MASTER'!$D$54:$D$57,MATCH('STUDENT SCREENING'!AI91,'SCORING MASTER'!$C$54:$C$57,0)),""))</f>
        <v/>
      </c>
      <c r="AK91" s="58" t="str">
        <f aca="false">IF('STUDENT SCREENING'!AJ91="","",IFERROR(INDEX('SCORING MASTER'!$D$59:$D$60,MATCH('STUDENT SCREENING'!AJ91,'SCORING MASTER'!$C$59:$C$60,0)),""))</f>
        <v/>
      </c>
      <c r="AL91" s="58" t="str">
        <f aca="false">IF('STUDENT SCREENING'!AK91="","",IFERROR(INDEX('SCORING MASTER'!$D$62:$D$63,MATCH('STUDENT SCREENING'!AK91,'SCORING MASTER'!$C$62:$C$63,0)),""))</f>
        <v/>
      </c>
      <c r="AM91" s="58" t="str">
        <f aca="false">IF('STUDENT SCREENING'!AL91="","",IFERROR(INDEX('SCORING MASTER'!$D$65:$D$66,MATCH('STUDENT SCREENING'!AL91,'SCORING MASTER'!$C$65:$C$66,0)),""))</f>
        <v/>
      </c>
      <c r="AN91" s="58" t="str">
        <f aca="false">IF('STUDENT SCREENING'!AM91="","",IFERROR(INDEX('SCORING MASTER'!$D$68:$D$69,MATCH('STUDENT SCREENING'!AM91,'SCORING MASTER'!$C$68:$C$69,0)),""))</f>
        <v/>
      </c>
      <c r="AO91" s="58" t="str">
        <f aca="false">IF('STUDENT SCREENING'!AN91="","",IFERROR(INDEX('SCORING MASTER'!$D$71:$D$72,MATCH('STUDENT SCREENING'!AN91,'SCORING MASTER'!$C$71:$C$72,0)),""))</f>
        <v/>
      </c>
      <c r="AP91" s="58" t="str">
        <f aca="false">IF('STUDENT SCREENING'!AO91="","",IFERROR(INDEX('SCORING MASTER'!$D$74:$D$75,MATCH('STUDENT SCREENING'!AO91,'SCORING MASTER'!$C$74:$C$75,0)),""))</f>
        <v/>
      </c>
      <c r="AQ91" s="58" t="str">
        <f aca="false">IF('STUDENT SCREENING'!AP91="","",IFERROR(INDEX('SCORING MASTER'!$D$77:$D$78,MATCH('STUDENT SCREENING'!AP91,'SCORING MASTER'!$C$77:$C$78,0)),""))</f>
        <v/>
      </c>
      <c r="AR91" s="58" t="str">
        <f aca="false">IF('STUDENT SCREENING'!AQ91="","",IFERROR(INDEX('SCORING MASTER'!$D$80:$D$82,MATCH('STUDENT SCREENING'!AQ91,'SCORING MASTER'!$C$80:$C$82,0)),""))</f>
        <v/>
      </c>
      <c r="AS91" s="58" t="str">
        <f aca="false">IF('STUDENT SCREENING'!AR91="","",IFERROR(INDEX('SCORING MASTER'!$D$84:$D$86,MATCH('STUDENT SCREENING'!AR91,'SCORING MASTER'!$C$84:$C$86,0)),""))</f>
        <v/>
      </c>
      <c r="AT91" s="58" t="str">
        <f aca="false">IF('STUDENT SCREENING'!AS91="","",IFERROR(INDEX('SCORING MASTER'!$D$88:$D$90,MATCH('STUDENT SCREENING'!AS91,'SCORING MASTER'!$C$88:$C$90,0)),""))</f>
        <v/>
      </c>
      <c r="AU91" s="58" t="str">
        <f aca="false">IF('STUDENT SCREENING'!AT91="","",IFERROR(INDEX('SCORING MASTER'!$D$92:$D$93,MATCH('STUDENT SCREENING'!AT91,'SCORING MASTER'!$C$92:$C$93,0)),""))</f>
        <v/>
      </c>
      <c r="AV91" s="58" t="str">
        <f aca="false">IF('STUDENT SCREENING'!AU91="","",IFERROR(INDEX('SCORING MASTER'!$D$95:$D$96,MATCH('STUDENT SCREENING'!AU91,'SCORING MASTER'!$C$95:$C$96,0)),""))</f>
        <v/>
      </c>
      <c r="AW91" s="58" t="str">
        <f aca="false">IF('STUDENT SCREENING'!AV91="","",IFERROR(INDEX('SCORING MASTER'!$D$98:$D$99,MATCH('STUDENT SCREENING'!AV91,'SCORING MASTER'!$C$98:$C$99,0)),""))</f>
        <v/>
      </c>
      <c r="AX91" s="58" t="str">
        <f aca="false">IF('STUDENT SCREENING'!AW91="","",IFERROR(INDEX('SCORING MASTER'!$D$101:$D$102,MATCH('STUDENT SCREENING'!AW91,'SCORING MASTER'!$C$101:$C$102,0)),""))</f>
        <v/>
      </c>
      <c r="AY91" s="58" t="str">
        <f aca="false">IF('STUDENT SCREENING'!AX91="","",IFERROR(INDEX('SCORING MASTER'!$D$104:$D$105,MATCH('STUDENT SCREENING'!AX91,'SCORING MASTER'!$C$104:$C$105,0)),""))</f>
        <v/>
      </c>
      <c r="AZ91" s="58" t="str">
        <f aca="false">IF('STUDENT SCREENING'!AY91="","",IFERROR(INDEX('SCORING MASTER'!$D$107:$D$108,MATCH('STUDENT SCREENING'!AY91,'SCORING MASTER'!$C$107:$C$108,0)),""))</f>
        <v/>
      </c>
      <c r="BA91" s="58" t="str">
        <f aca="false">IF('STUDENT SCREENING'!AZ91="","",IFERROR(INDEX('SCORING MASTER'!$D$110:$D$111,MATCH('STUDENT SCREENING'!AZ91,'SCORING MASTER'!$C$110:$C$111,0)),""))</f>
        <v/>
      </c>
      <c r="BB91" s="58" t="str">
        <f aca="false">IF('STUDENT SCREENING'!BA91="","",IFERROR(INDEX('SCORING MASTER'!$D$113:$D$115,MATCH('STUDENT SCREENING'!BA91,'SCORING MASTER'!$C$113:$C$115,0)),""))</f>
        <v/>
      </c>
      <c r="BC91" s="58" t="str">
        <f aca="false">IF('STUDENT SCREENING'!BB91="","",IFERROR(INDEX('SCORING MASTER'!$D$117:$D$119,MATCH('STUDENT SCREENING'!BB91,'SCORING MASTER'!$C$117:$C$119,0)),""))</f>
        <v/>
      </c>
      <c r="BD91" s="58" t="str">
        <f aca="false">IF('STUDENT SCREENING'!BC91="","",IFERROR(INDEX('SCORING MASTER'!$D$121:$D$123,MATCH('STUDENT SCREENING'!BC91,'SCORING MASTER'!$C$121:$C$123,0)),""))</f>
        <v/>
      </c>
      <c r="BE91" s="58" t="str">
        <f aca="false">IF('STUDENT SCREENING'!BD91="","",IFERROR(INDEX('SCORING MASTER'!$D$125:$D$126,MATCH('STUDENT SCREENING'!BD91,'SCORING MASTER'!$C$125:$C$126,0)),""))</f>
        <v/>
      </c>
      <c r="BF91" s="58" t="str">
        <f aca="false">IF('STUDENT SCREENING'!BE91="","",IFERROR(INDEX('SCORING MASTER'!$D$128:$D$129,MATCH('STUDENT SCREENING'!BE91,'SCORING MASTER'!$C$128:$C$129,0)),""))</f>
        <v/>
      </c>
      <c r="BG91" s="58" t="str">
        <f aca="false">IF('STUDENT SCREENING'!BP91="","",IFERROR(MATCH('STUDENT SCREENING'!BP91,{"Red - High Risk","Orange - Moderate Risk","Yellow - Mild Risk","Light Green - Mild Watch","Green - Healthy"},0)-1,""))</f>
        <v/>
      </c>
      <c r="BH91" s="58" t="str">
        <f aca="false">IF('STUDENT SCREENING'!BQ91="","",IF('STUDENT SCREENING'!BQ91="Yes",1,0))</f>
        <v/>
      </c>
      <c r="BI91" s="58" t="str">
        <f aca="false">IF('STUDENT SCREENING'!BR91="","",IF('STUDENT SCREENING'!BR91="Yes",1,0))</f>
        <v/>
      </c>
    </row>
    <row r="92" customFormat="false" ht="15" hidden="false" customHeight="false" outlineLevel="0" collapsed="false">
      <c r="A92" s="57" t="str">
        <f aca="false">'STUDENT SCREENING'!A92</f>
        <v/>
      </c>
      <c r="B92" s="57" t="n">
        <f aca="false">'STUDENT SCREENING'!C92</f>
        <v>0</v>
      </c>
      <c r="C92" s="57" t="n">
        <f aca="false">'STUDENT SCREENING'!D92</f>
        <v>0</v>
      </c>
      <c r="D92" s="57" t="n">
        <f aca="false">'STUDENT SCREENING'!E92</f>
        <v>0</v>
      </c>
      <c r="E92" s="57" t="n">
        <f aca="false">'STUDENT SCREENING'!F92</f>
        <v>0</v>
      </c>
      <c r="F92" s="57" t="n">
        <f aca="false">'STUDENT SCREENING'!K92</f>
        <v>0</v>
      </c>
      <c r="G92" s="57" t="n">
        <f aca="false">'STUDENT SCREENING'!J92</f>
        <v>0</v>
      </c>
      <c r="H92" s="57" t="str">
        <f aca="false">IF('STUDENT SCREENING'!K92="","",IFERROR(MATCH('STUDENT SCREENING'!K92,Adm_Gender,0),""))</f>
        <v/>
      </c>
      <c r="I92" s="57" t="n">
        <f aca="false">'STUDENT SCREENING'!Q92</f>
        <v>0</v>
      </c>
      <c r="J92" s="57" t="n">
        <f aca="false">'STUDENT SCREENING'!R92</f>
        <v>0</v>
      </c>
      <c r="K92" s="57" t="str">
        <f aca="false">'STUDENT SCREENING'!S92</f>
        <v/>
      </c>
      <c r="L92" s="57" t="n">
        <f aca="false">'STUDENT SCREENING'!U92</f>
        <v>0</v>
      </c>
      <c r="M92" s="57" t="n">
        <f aca="false">'STUDENT SCREENING'!V92</f>
        <v>0</v>
      </c>
      <c r="N92" s="57" t="str">
        <f aca="false">'STUDENT SCREENING'!BF92</f>
        <v/>
      </c>
      <c r="O92" s="57" t="str">
        <f aca="false">'STUDENT SCREENING'!BG92</f>
        <v/>
      </c>
      <c r="P92" s="57" t="str">
        <f aca="false">'STUDENT SCREENING'!BH92</f>
        <v/>
      </c>
      <c r="Q92" s="57" t="str">
        <f aca="false">'STUDENT SCREENING'!BI92</f>
        <v/>
      </c>
      <c r="R92" s="57" t="str">
        <f aca="false">'STUDENT SCREENING'!BJ92</f>
        <v/>
      </c>
      <c r="S92" s="57" t="str">
        <f aca="false">'STUDENT SCREENING'!BK92</f>
        <v/>
      </c>
      <c r="T92" s="57" t="str">
        <f aca="false">'STUDENT SCREENING'!BL92</f>
        <v/>
      </c>
      <c r="U92" s="57" t="str">
        <f aca="false">'STUDENT SCREENING'!BM92</f>
        <v/>
      </c>
      <c r="V92" s="57" t="str">
        <f aca="false">'STUDENT SCREENING'!BN92</f>
        <v/>
      </c>
      <c r="W92" s="57" t="str">
        <f aca="false">'STUDENT SCREENING'!BO92</f>
        <v/>
      </c>
      <c r="X92" s="57" t="str">
        <f aca="false">IF('STUDENT SCREENING'!W92="","",IFERROR(INDEX('SCORING MASTER'!$D$5:$D$7,MATCH('STUDENT SCREENING'!W92,'SCORING MASTER'!$C$5:$C$7,0)),""))</f>
        <v/>
      </c>
      <c r="Y92" s="57" t="str">
        <f aca="false">IF('STUDENT SCREENING'!X92="","",IFERROR(INDEX('SCORING MASTER'!$D$9:$D$11,MATCH('STUDENT SCREENING'!X92,'SCORING MASTER'!$C$9:$C$11,0)),""))</f>
        <v/>
      </c>
      <c r="Z92" s="57" t="str">
        <f aca="false">IF('STUDENT SCREENING'!Y92="","",IFERROR(INDEX('SCORING MASTER'!$D$13:$D$15,MATCH('STUDENT SCREENING'!Y92,'SCORING MASTER'!$C$13:$C$15,0)),""))</f>
        <v/>
      </c>
      <c r="AA92" s="57" t="str">
        <f aca="false">IF('STUDENT SCREENING'!Z92="","",IFERROR(INDEX('SCORING MASTER'!$D$17:$D$19,MATCH('STUDENT SCREENING'!Z92,'SCORING MASTER'!$C$17:$C$19,0)),""))</f>
        <v/>
      </c>
      <c r="AB92" s="57" t="str">
        <f aca="false">IF('STUDENT SCREENING'!AA92="","",IFERROR(INDEX('SCORING MASTER'!$D$21:$D$23,MATCH('STUDENT SCREENING'!AA92,'SCORING MASTER'!$C$21:$C$23,0)),""))</f>
        <v/>
      </c>
      <c r="AC92" s="57" t="str">
        <f aca="false">IF('STUDENT SCREENING'!AB92="","",IFERROR(INDEX('SCORING MASTER'!$D$25:$D$27,MATCH('STUDENT SCREENING'!AB92,'SCORING MASTER'!$C$25:$C$27,0)),""))</f>
        <v/>
      </c>
      <c r="AD92" s="57" t="str">
        <f aca="false">IF('STUDENT SCREENING'!AC92="","",IFERROR(INDEX('SCORING MASTER'!$D$29:$D$31,MATCH('STUDENT SCREENING'!AC92,'SCORING MASTER'!$C$29:$C$31,0)),""))</f>
        <v/>
      </c>
      <c r="AE92" s="57" t="str">
        <f aca="false">IF('STUDENT SCREENING'!AD92="","",IFERROR(INDEX('SCORING MASTER'!$D$33:$D$35,MATCH('STUDENT SCREENING'!AD92,'SCORING MASTER'!$C$33:$C$35,0)),""))</f>
        <v/>
      </c>
      <c r="AF92" s="57" t="str">
        <f aca="false">IF('STUDENT SCREENING'!AE92="","",IFERROR(INDEX('SCORING MASTER'!$D$37:$D$39,MATCH('STUDENT SCREENING'!AE92,'SCORING MASTER'!$C$37:$C$39,0)),""))</f>
        <v/>
      </c>
      <c r="AG92" s="57" t="str">
        <f aca="false">IF('STUDENT SCREENING'!AF92="","",IFERROR(INDEX('SCORING MASTER'!$D$41:$D$43,MATCH('STUDENT SCREENING'!AF92,'SCORING MASTER'!$C$41:$C$43,0)),""))</f>
        <v/>
      </c>
      <c r="AH92" s="57" t="str">
        <f aca="false">IF('STUDENT SCREENING'!AG92="","",IFERROR(INDEX('SCORING MASTER'!$D$45:$D$47,MATCH('STUDENT SCREENING'!AG92,'SCORING MASTER'!$C$45:$C$47,0)),""))</f>
        <v/>
      </c>
      <c r="AI92" s="57" t="str">
        <f aca="false">IF('STUDENT SCREENING'!AH92="","",IFERROR(INDEX('SCORING MASTER'!$D$49:$D$52,MATCH('STUDENT SCREENING'!AH92,'SCORING MASTER'!$C$49:$C$52,0)),""))</f>
        <v/>
      </c>
      <c r="AJ92" s="57" t="str">
        <f aca="false">IF('STUDENT SCREENING'!AI92="","",IFERROR(INDEX('SCORING MASTER'!$D$54:$D$57,MATCH('STUDENT SCREENING'!AI92,'SCORING MASTER'!$C$54:$C$57,0)),""))</f>
        <v/>
      </c>
      <c r="AK92" s="57" t="str">
        <f aca="false">IF('STUDENT SCREENING'!AJ92="","",IFERROR(INDEX('SCORING MASTER'!$D$59:$D$60,MATCH('STUDENT SCREENING'!AJ92,'SCORING MASTER'!$C$59:$C$60,0)),""))</f>
        <v/>
      </c>
      <c r="AL92" s="57" t="str">
        <f aca="false">IF('STUDENT SCREENING'!AK92="","",IFERROR(INDEX('SCORING MASTER'!$D$62:$D$63,MATCH('STUDENT SCREENING'!AK92,'SCORING MASTER'!$C$62:$C$63,0)),""))</f>
        <v/>
      </c>
      <c r="AM92" s="57" t="str">
        <f aca="false">IF('STUDENT SCREENING'!AL92="","",IFERROR(INDEX('SCORING MASTER'!$D$65:$D$66,MATCH('STUDENT SCREENING'!AL92,'SCORING MASTER'!$C$65:$C$66,0)),""))</f>
        <v/>
      </c>
      <c r="AN92" s="57" t="str">
        <f aca="false">IF('STUDENT SCREENING'!AM92="","",IFERROR(INDEX('SCORING MASTER'!$D$68:$D$69,MATCH('STUDENT SCREENING'!AM92,'SCORING MASTER'!$C$68:$C$69,0)),""))</f>
        <v/>
      </c>
      <c r="AO92" s="57" t="str">
        <f aca="false">IF('STUDENT SCREENING'!AN92="","",IFERROR(INDEX('SCORING MASTER'!$D$71:$D$72,MATCH('STUDENT SCREENING'!AN92,'SCORING MASTER'!$C$71:$C$72,0)),""))</f>
        <v/>
      </c>
      <c r="AP92" s="57" t="str">
        <f aca="false">IF('STUDENT SCREENING'!AO92="","",IFERROR(INDEX('SCORING MASTER'!$D$74:$D$75,MATCH('STUDENT SCREENING'!AO92,'SCORING MASTER'!$C$74:$C$75,0)),""))</f>
        <v/>
      </c>
      <c r="AQ92" s="57" t="str">
        <f aca="false">IF('STUDENT SCREENING'!AP92="","",IFERROR(INDEX('SCORING MASTER'!$D$77:$D$78,MATCH('STUDENT SCREENING'!AP92,'SCORING MASTER'!$C$77:$C$78,0)),""))</f>
        <v/>
      </c>
      <c r="AR92" s="57" t="str">
        <f aca="false">IF('STUDENT SCREENING'!AQ92="","",IFERROR(INDEX('SCORING MASTER'!$D$80:$D$82,MATCH('STUDENT SCREENING'!AQ92,'SCORING MASTER'!$C$80:$C$82,0)),""))</f>
        <v/>
      </c>
      <c r="AS92" s="57" t="str">
        <f aca="false">IF('STUDENT SCREENING'!AR92="","",IFERROR(INDEX('SCORING MASTER'!$D$84:$D$86,MATCH('STUDENT SCREENING'!AR92,'SCORING MASTER'!$C$84:$C$86,0)),""))</f>
        <v/>
      </c>
      <c r="AT92" s="57" t="str">
        <f aca="false">IF('STUDENT SCREENING'!AS92="","",IFERROR(INDEX('SCORING MASTER'!$D$88:$D$90,MATCH('STUDENT SCREENING'!AS92,'SCORING MASTER'!$C$88:$C$90,0)),""))</f>
        <v/>
      </c>
      <c r="AU92" s="57" t="str">
        <f aca="false">IF('STUDENT SCREENING'!AT92="","",IFERROR(INDEX('SCORING MASTER'!$D$92:$D$93,MATCH('STUDENT SCREENING'!AT92,'SCORING MASTER'!$C$92:$C$93,0)),""))</f>
        <v/>
      </c>
      <c r="AV92" s="57" t="str">
        <f aca="false">IF('STUDENT SCREENING'!AU92="","",IFERROR(INDEX('SCORING MASTER'!$D$95:$D$96,MATCH('STUDENT SCREENING'!AU92,'SCORING MASTER'!$C$95:$C$96,0)),""))</f>
        <v/>
      </c>
      <c r="AW92" s="57" t="str">
        <f aca="false">IF('STUDENT SCREENING'!AV92="","",IFERROR(INDEX('SCORING MASTER'!$D$98:$D$99,MATCH('STUDENT SCREENING'!AV92,'SCORING MASTER'!$C$98:$C$99,0)),""))</f>
        <v/>
      </c>
      <c r="AX92" s="57" t="str">
        <f aca="false">IF('STUDENT SCREENING'!AW92="","",IFERROR(INDEX('SCORING MASTER'!$D$101:$D$102,MATCH('STUDENT SCREENING'!AW92,'SCORING MASTER'!$C$101:$C$102,0)),""))</f>
        <v/>
      </c>
      <c r="AY92" s="57" t="str">
        <f aca="false">IF('STUDENT SCREENING'!AX92="","",IFERROR(INDEX('SCORING MASTER'!$D$104:$D$105,MATCH('STUDENT SCREENING'!AX92,'SCORING MASTER'!$C$104:$C$105,0)),""))</f>
        <v/>
      </c>
      <c r="AZ92" s="57" t="str">
        <f aca="false">IF('STUDENT SCREENING'!AY92="","",IFERROR(INDEX('SCORING MASTER'!$D$107:$D$108,MATCH('STUDENT SCREENING'!AY92,'SCORING MASTER'!$C$107:$C$108,0)),""))</f>
        <v/>
      </c>
      <c r="BA92" s="57" t="str">
        <f aca="false">IF('STUDENT SCREENING'!AZ92="","",IFERROR(INDEX('SCORING MASTER'!$D$110:$D$111,MATCH('STUDENT SCREENING'!AZ92,'SCORING MASTER'!$C$110:$C$111,0)),""))</f>
        <v/>
      </c>
      <c r="BB92" s="57" t="str">
        <f aca="false">IF('STUDENT SCREENING'!BA92="","",IFERROR(INDEX('SCORING MASTER'!$D$113:$D$115,MATCH('STUDENT SCREENING'!BA92,'SCORING MASTER'!$C$113:$C$115,0)),""))</f>
        <v/>
      </c>
      <c r="BC92" s="57" t="str">
        <f aca="false">IF('STUDENT SCREENING'!BB92="","",IFERROR(INDEX('SCORING MASTER'!$D$117:$D$119,MATCH('STUDENT SCREENING'!BB92,'SCORING MASTER'!$C$117:$C$119,0)),""))</f>
        <v/>
      </c>
      <c r="BD92" s="57" t="str">
        <f aca="false">IF('STUDENT SCREENING'!BC92="","",IFERROR(INDEX('SCORING MASTER'!$D$121:$D$123,MATCH('STUDENT SCREENING'!BC92,'SCORING MASTER'!$C$121:$C$123,0)),""))</f>
        <v/>
      </c>
      <c r="BE92" s="57" t="str">
        <f aca="false">IF('STUDENT SCREENING'!BD92="","",IFERROR(INDEX('SCORING MASTER'!$D$125:$D$126,MATCH('STUDENT SCREENING'!BD92,'SCORING MASTER'!$C$125:$C$126,0)),""))</f>
        <v/>
      </c>
      <c r="BF92" s="57" t="str">
        <f aca="false">IF('STUDENT SCREENING'!BE92="","",IFERROR(INDEX('SCORING MASTER'!$D$128:$D$129,MATCH('STUDENT SCREENING'!BE92,'SCORING MASTER'!$C$128:$C$129,0)),""))</f>
        <v/>
      </c>
      <c r="BG92" s="57" t="str">
        <f aca="false">IF('STUDENT SCREENING'!BP92="","",IFERROR(MATCH('STUDENT SCREENING'!BP92,{"Red - High Risk","Orange - Moderate Risk","Yellow - Mild Risk","Light Green - Mild Watch","Green - Healthy"},0)-1,""))</f>
        <v/>
      </c>
      <c r="BH92" s="57" t="str">
        <f aca="false">IF('STUDENT SCREENING'!BQ92="","",IF('STUDENT SCREENING'!BQ92="Yes",1,0))</f>
        <v/>
      </c>
      <c r="BI92" s="57" t="str">
        <f aca="false">IF('STUDENT SCREENING'!BR92="","",IF('STUDENT SCREENING'!BR92="Yes",1,0))</f>
        <v/>
      </c>
    </row>
    <row r="93" customFormat="false" ht="15" hidden="false" customHeight="false" outlineLevel="0" collapsed="false">
      <c r="A93" s="58" t="str">
        <f aca="false">'STUDENT SCREENING'!A93</f>
        <v/>
      </c>
      <c r="B93" s="58" t="n">
        <f aca="false">'STUDENT SCREENING'!C93</f>
        <v>0</v>
      </c>
      <c r="C93" s="58" t="n">
        <f aca="false">'STUDENT SCREENING'!D93</f>
        <v>0</v>
      </c>
      <c r="D93" s="58" t="n">
        <f aca="false">'STUDENT SCREENING'!E93</f>
        <v>0</v>
      </c>
      <c r="E93" s="58" t="n">
        <f aca="false">'STUDENT SCREENING'!F93</f>
        <v>0</v>
      </c>
      <c r="F93" s="58" t="n">
        <f aca="false">'STUDENT SCREENING'!K93</f>
        <v>0</v>
      </c>
      <c r="G93" s="58" t="n">
        <f aca="false">'STUDENT SCREENING'!J93</f>
        <v>0</v>
      </c>
      <c r="H93" s="58" t="str">
        <f aca="false">IF('STUDENT SCREENING'!K93="","",IFERROR(MATCH('STUDENT SCREENING'!K93,Adm_Gender,0),""))</f>
        <v/>
      </c>
      <c r="I93" s="58" t="n">
        <f aca="false">'STUDENT SCREENING'!Q93</f>
        <v>0</v>
      </c>
      <c r="J93" s="58" t="n">
        <f aca="false">'STUDENT SCREENING'!R93</f>
        <v>0</v>
      </c>
      <c r="K93" s="58" t="str">
        <f aca="false">'STUDENT SCREENING'!S93</f>
        <v/>
      </c>
      <c r="L93" s="58" t="n">
        <f aca="false">'STUDENT SCREENING'!U93</f>
        <v>0</v>
      </c>
      <c r="M93" s="58" t="n">
        <f aca="false">'STUDENT SCREENING'!V93</f>
        <v>0</v>
      </c>
      <c r="N93" s="58" t="str">
        <f aca="false">'STUDENT SCREENING'!BF93</f>
        <v/>
      </c>
      <c r="O93" s="58" t="str">
        <f aca="false">'STUDENT SCREENING'!BG93</f>
        <v/>
      </c>
      <c r="P93" s="58" t="str">
        <f aca="false">'STUDENT SCREENING'!BH93</f>
        <v/>
      </c>
      <c r="Q93" s="58" t="str">
        <f aca="false">'STUDENT SCREENING'!BI93</f>
        <v/>
      </c>
      <c r="R93" s="58" t="str">
        <f aca="false">'STUDENT SCREENING'!BJ93</f>
        <v/>
      </c>
      <c r="S93" s="58" t="str">
        <f aca="false">'STUDENT SCREENING'!BK93</f>
        <v/>
      </c>
      <c r="T93" s="58" t="str">
        <f aca="false">'STUDENT SCREENING'!BL93</f>
        <v/>
      </c>
      <c r="U93" s="58" t="str">
        <f aca="false">'STUDENT SCREENING'!BM93</f>
        <v/>
      </c>
      <c r="V93" s="58" t="str">
        <f aca="false">'STUDENT SCREENING'!BN93</f>
        <v/>
      </c>
      <c r="W93" s="58" t="str">
        <f aca="false">'STUDENT SCREENING'!BO93</f>
        <v/>
      </c>
      <c r="X93" s="58" t="str">
        <f aca="false">IF('STUDENT SCREENING'!W93="","",IFERROR(INDEX('SCORING MASTER'!$D$5:$D$7,MATCH('STUDENT SCREENING'!W93,'SCORING MASTER'!$C$5:$C$7,0)),""))</f>
        <v/>
      </c>
      <c r="Y93" s="58" t="str">
        <f aca="false">IF('STUDENT SCREENING'!X93="","",IFERROR(INDEX('SCORING MASTER'!$D$9:$D$11,MATCH('STUDENT SCREENING'!X93,'SCORING MASTER'!$C$9:$C$11,0)),""))</f>
        <v/>
      </c>
      <c r="Z93" s="58" t="str">
        <f aca="false">IF('STUDENT SCREENING'!Y93="","",IFERROR(INDEX('SCORING MASTER'!$D$13:$D$15,MATCH('STUDENT SCREENING'!Y93,'SCORING MASTER'!$C$13:$C$15,0)),""))</f>
        <v/>
      </c>
      <c r="AA93" s="58" t="str">
        <f aca="false">IF('STUDENT SCREENING'!Z93="","",IFERROR(INDEX('SCORING MASTER'!$D$17:$D$19,MATCH('STUDENT SCREENING'!Z93,'SCORING MASTER'!$C$17:$C$19,0)),""))</f>
        <v/>
      </c>
      <c r="AB93" s="58" t="str">
        <f aca="false">IF('STUDENT SCREENING'!AA93="","",IFERROR(INDEX('SCORING MASTER'!$D$21:$D$23,MATCH('STUDENT SCREENING'!AA93,'SCORING MASTER'!$C$21:$C$23,0)),""))</f>
        <v/>
      </c>
      <c r="AC93" s="58" t="str">
        <f aca="false">IF('STUDENT SCREENING'!AB93="","",IFERROR(INDEX('SCORING MASTER'!$D$25:$D$27,MATCH('STUDENT SCREENING'!AB93,'SCORING MASTER'!$C$25:$C$27,0)),""))</f>
        <v/>
      </c>
      <c r="AD93" s="58" t="str">
        <f aca="false">IF('STUDENT SCREENING'!AC93="","",IFERROR(INDEX('SCORING MASTER'!$D$29:$D$31,MATCH('STUDENT SCREENING'!AC93,'SCORING MASTER'!$C$29:$C$31,0)),""))</f>
        <v/>
      </c>
      <c r="AE93" s="58" t="str">
        <f aca="false">IF('STUDENT SCREENING'!AD93="","",IFERROR(INDEX('SCORING MASTER'!$D$33:$D$35,MATCH('STUDENT SCREENING'!AD93,'SCORING MASTER'!$C$33:$C$35,0)),""))</f>
        <v/>
      </c>
      <c r="AF93" s="58" t="str">
        <f aca="false">IF('STUDENT SCREENING'!AE93="","",IFERROR(INDEX('SCORING MASTER'!$D$37:$D$39,MATCH('STUDENT SCREENING'!AE93,'SCORING MASTER'!$C$37:$C$39,0)),""))</f>
        <v/>
      </c>
      <c r="AG93" s="58" t="str">
        <f aca="false">IF('STUDENT SCREENING'!AF93="","",IFERROR(INDEX('SCORING MASTER'!$D$41:$D$43,MATCH('STUDENT SCREENING'!AF93,'SCORING MASTER'!$C$41:$C$43,0)),""))</f>
        <v/>
      </c>
      <c r="AH93" s="58" t="str">
        <f aca="false">IF('STUDENT SCREENING'!AG93="","",IFERROR(INDEX('SCORING MASTER'!$D$45:$D$47,MATCH('STUDENT SCREENING'!AG93,'SCORING MASTER'!$C$45:$C$47,0)),""))</f>
        <v/>
      </c>
      <c r="AI93" s="58" t="str">
        <f aca="false">IF('STUDENT SCREENING'!AH93="","",IFERROR(INDEX('SCORING MASTER'!$D$49:$D$52,MATCH('STUDENT SCREENING'!AH93,'SCORING MASTER'!$C$49:$C$52,0)),""))</f>
        <v/>
      </c>
      <c r="AJ93" s="58" t="str">
        <f aca="false">IF('STUDENT SCREENING'!AI93="","",IFERROR(INDEX('SCORING MASTER'!$D$54:$D$57,MATCH('STUDENT SCREENING'!AI93,'SCORING MASTER'!$C$54:$C$57,0)),""))</f>
        <v/>
      </c>
      <c r="AK93" s="58" t="str">
        <f aca="false">IF('STUDENT SCREENING'!AJ93="","",IFERROR(INDEX('SCORING MASTER'!$D$59:$D$60,MATCH('STUDENT SCREENING'!AJ93,'SCORING MASTER'!$C$59:$C$60,0)),""))</f>
        <v/>
      </c>
      <c r="AL93" s="58" t="str">
        <f aca="false">IF('STUDENT SCREENING'!AK93="","",IFERROR(INDEX('SCORING MASTER'!$D$62:$D$63,MATCH('STUDENT SCREENING'!AK93,'SCORING MASTER'!$C$62:$C$63,0)),""))</f>
        <v/>
      </c>
      <c r="AM93" s="58" t="str">
        <f aca="false">IF('STUDENT SCREENING'!AL93="","",IFERROR(INDEX('SCORING MASTER'!$D$65:$D$66,MATCH('STUDENT SCREENING'!AL93,'SCORING MASTER'!$C$65:$C$66,0)),""))</f>
        <v/>
      </c>
      <c r="AN93" s="58" t="str">
        <f aca="false">IF('STUDENT SCREENING'!AM93="","",IFERROR(INDEX('SCORING MASTER'!$D$68:$D$69,MATCH('STUDENT SCREENING'!AM93,'SCORING MASTER'!$C$68:$C$69,0)),""))</f>
        <v/>
      </c>
      <c r="AO93" s="58" t="str">
        <f aca="false">IF('STUDENT SCREENING'!AN93="","",IFERROR(INDEX('SCORING MASTER'!$D$71:$D$72,MATCH('STUDENT SCREENING'!AN93,'SCORING MASTER'!$C$71:$C$72,0)),""))</f>
        <v/>
      </c>
      <c r="AP93" s="58" t="str">
        <f aca="false">IF('STUDENT SCREENING'!AO93="","",IFERROR(INDEX('SCORING MASTER'!$D$74:$D$75,MATCH('STUDENT SCREENING'!AO93,'SCORING MASTER'!$C$74:$C$75,0)),""))</f>
        <v/>
      </c>
      <c r="AQ93" s="58" t="str">
        <f aca="false">IF('STUDENT SCREENING'!AP93="","",IFERROR(INDEX('SCORING MASTER'!$D$77:$D$78,MATCH('STUDENT SCREENING'!AP93,'SCORING MASTER'!$C$77:$C$78,0)),""))</f>
        <v/>
      </c>
      <c r="AR93" s="58" t="str">
        <f aca="false">IF('STUDENT SCREENING'!AQ93="","",IFERROR(INDEX('SCORING MASTER'!$D$80:$D$82,MATCH('STUDENT SCREENING'!AQ93,'SCORING MASTER'!$C$80:$C$82,0)),""))</f>
        <v/>
      </c>
      <c r="AS93" s="58" t="str">
        <f aca="false">IF('STUDENT SCREENING'!AR93="","",IFERROR(INDEX('SCORING MASTER'!$D$84:$D$86,MATCH('STUDENT SCREENING'!AR93,'SCORING MASTER'!$C$84:$C$86,0)),""))</f>
        <v/>
      </c>
      <c r="AT93" s="58" t="str">
        <f aca="false">IF('STUDENT SCREENING'!AS93="","",IFERROR(INDEX('SCORING MASTER'!$D$88:$D$90,MATCH('STUDENT SCREENING'!AS93,'SCORING MASTER'!$C$88:$C$90,0)),""))</f>
        <v/>
      </c>
      <c r="AU93" s="58" t="str">
        <f aca="false">IF('STUDENT SCREENING'!AT93="","",IFERROR(INDEX('SCORING MASTER'!$D$92:$D$93,MATCH('STUDENT SCREENING'!AT93,'SCORING MASTER'!$C$92:$C$93,0)),""))</f>
        <v/>
      </c>
      <c r="AV93" s="58" t="str">
        <f aca="false">IF('STUDENT SCREENING'!AU93="","",IFERROR(INDEX('SCORING MASTER'!$D$95:$D$96,MATCH('STUDENT SCREENING'!AU93,'SCORING MASTER'!$C$95:$C$96,0)),""))</f>
        <v/>
      </c>
      <c r="AW93" s="58" t="str">
        <f aca="false">IF('STUDENT SCREENING'!AV93="","",IFERROR(INDEX('SCORING MASTER'!$D$98:$D$99,MATCH('STUDENT SCREENING'!AV93,'SCORING MASTER'!$C$98:$C$99,0)),""))</f>
        <v/>
      </c>
      <c r="AX93" s="58" t="str">
        <f aca="false">IF('STUDENT SCREENING'!AW93="","",IFERROR(INDEX('SCORING MASTER'!$D$101:$D$102,MATCH('STUDENT SCREENING'!AW93,'SCORING MASTER'!$C$101:$C$102,0)),""))</f>
        <v/>
      </c>
      <c r="AY93" s="58" t="str">
        <f aca="false">IF('STUDENT SCREENING'!AX93="","",IFERROR(INDEX('SCORING MASTER'!$D$104:$D$105,MATCH('STUDENT SCREENING'!AX93,'SCORING MASTER'!$C$104:$C$105,0)),""))</f>
        <v/>
      </c>
      <c r="AZ93" s="58" t="str">
        <f aca="false">IF('STUDENT SCREENING'!AY93="","",IFERROR(INDEX('SCORING MASTER'!$D$107:$D$108,MATCH('STUDENT SCREENING'!AY93,'SCORING MASTER'!$C$107:$C$108,0)),""))</f>
        <v/>
      </c>
      <c r="BA93" s="58" t="str">
        <f aca="false">IF('STUDENT SCREENING'!AZ93="","",IFERROR(INDEX('SCORING MASTER'!$D$110:$D$111,MATCH('STUDENT SCREENING'!AZ93,'SCORING MASTER'!$C$110:$C$111,0)),""))</f>
        <v/>
      </c>
      <c r="BB93" s="58" t="str">
        <f aca="false">IF('STUDENT SCREENING'!BA93="","",IFERROR(INDEX('SCORING MASTER'!$D$113:$D$115,MATCH('STUDENT SCREENING'!BA93,'SCORING MASTER'!$C$113:$C$115,0)),""))</f>
        <v/>
      </c>
      <c r="BC93" s="58" t="str">
        <f aca="false">IF('STUDENT SCREENING'!BB93="","",IFERROR(INDEX('SCORING MASTER'!$D$117:$D$119,MATCH('STUDENT SCREENING'!BB93,'SCORING MASTER'!$C$117:$C$119,0)),""))</f>
        <v/>
      </c>
      <c r="BD93" s="58" t="str">
        <f aca="false">IF('STUDENT SCREENING'!BC93="","",IFERROR(INDEX('SCORING MASTER'!$D$121:$D$123,MATCH('STUDENT SCREENING'!BC93,'SCORING MASTER'!$C$121:$C$123,0)),""))</f>
        <v/>
      </c>
      <c r="BE93" s="58" t="str">
        <f aca="false">IF('STUDENT SCREENING'!BD93="","",IFERROR(INDEX('SCORING MASTER'!$D$125:$D$126,MATCH('STUDENT SCREENING'!BD93,'SCORING MASTER'!$C$125:$C$126,0)),""))</f>
        <v/>
      </c>
      <c r="BF93" s="58" t="str">
        <f aca="false">IF('STUDENT SCREENING'!BE93="","",IFERROR(INDEX('SCORING MASTER'!$D$128:$D$129,MATCH('STUDENT SCREENING'!BE93,'SCORING MASTER'!$C$128:$C$129,0)),""))</f>
        <v/>
      </c>
      <c r="BG93" s="58" t="str">
        <f aca="false">IF('STUDENT SCREENING'!BP93="","",IFERROR(MATCH('STUDENT SCREENING'!BP93,{"Red - High Risk","Orange - Moderate Risk","Yellow - Mild Risk","Light Green - Mild Watch","Green - Healthy"},0)-1,""))</f>
        <v/>
      </c>
      <c r="BH93" s="58" t="str">
        <f aca="false">IF('STUDENT SCREENING'!BQ93="","",IF('STUDENT SCREENING'!BQ93="Yes",1,0))</f>
        <v/>
      </c>
      <c r="BI93" s="58" t="str">
        <f aca="false">IF('STUDENT SCREENING'!BR93="","",IF('STUDENT SCREENING'!BR93="Yes",1,0))</f>
        <v/>
      </c>
    </row>
    <row r="94" customFormat="false" ht="15" hidden="false" customHeight="false" outlineLevel="0" collapsed="false">
      <c r="A94" s="57" t="str">
        <f aca="false">'STUDENT SCREENING'!A94</f>
        <v/>
      </c>
      <c r="B94" s="57" t="n">
        <f aca="false">'STUDENT SCREENING'!C94</f>
        <v>0</v>
      </c>
      <c r="C94" s="57" t="n">
        <f aca="false">'STUDENT SCREENING'!D94</f>
        <v>0</v>
      </c>
      <c r="D94" s="57" t="n">
        <f aca="false">'STUDENT SCREENING'!E94</f>
        <v>0</v>
      </c>
      <c r="E94" s="57" t="n">
        <f aca="false">'STUDENT SCREENING'!F94</f>
        <v>0</v>
      </c>
      <c r="F94" s="57" t="n">
        <f aca="false">'STUDENT SCREENING'!K94</f>
        <v>0</v>
      </c>
      <c r="G94" s="57" t="n">
        <f aca="false">'STUDENT SCREENING'!J94</f>
        <v>0</v>
      </c>
      <c r="H94" s="57" t="str">
        <f aca="false">IF('STUDENT SCREENING'!K94="","",IFERROR(MATCH('STUDENT SCREENING'!K94,Adm_Gender,0),""))</f>
        <v/>
      </c>
      <c r="I94" s="57" t="n">
        <f aca="false">'STUDENT SCREENING'!Q94</f>
        <v>0</v>
      </c>
      <c r="J94" s="57" t="n">
        <f aca="false">'STUDENT SCREENING'!R94</f>
        <v>0</v>
      </c>
      <c r="K94" s="57" t="str">
        <f aca="false">'STUDENT SCREENING'!S94</f>
        <v/>
      </c>
      <c r="L94" s="57" t="n">
        <f aca="false">'STUDENT SCREENING'!U94</f>
        <v>0</v>
      </c>
      <c r="M94" s="57" t="n">
        <f aca="false">'STUDENT SCREENING'!V94</f>
        <v>0</v>
      </c>
      <c r="N94" s="57" t="str">
        <f aca="false">'STUDENT SCREENING'!BF94</f>
        <v/>
      </c>
      <c r="O94" s="57" t="str">
        <f aca="false">'STUDENT SCREENING'!BG94</f>
        <v/>
      </c>
      <c r="P94" s="57" t="str">
        <f aca="false">'STUDENT SCREENING'!BH94</f>
        <v/>
      </c>
      <c r="Q94" s="57" t="str">
        <f aca="false">'STUDENT SCREENING'!BI94</f>
        <v/>
      </c>
      <c r="R94" s="57" t="str">
        <f aca="false">'STUDENT SCREENING'!BJ94</f>
        <v/>
      </c>
      <c r="S94" s="57" t="str">
        <f aca="false">'STUDENT SCREENING'!BK94</f>
        <v/>
      </c>
      <c r="T94" s="57" t="str">
        <f aca="false">'STUDENT SCREENING'!BL94</f>
        <v/>
      </c>
      <c r="U94" s="57" t="str">
        <f aca="false">'STUDENT SCREENING'!BM94</f>
        <v/>
      </c>
      <c r="V94" s="57" t="str">
        <f aca="false">'STUDENT SCREENING'!BN94</f>
        <v/>
      </c>
      <c r="W94" s="57" t="str">
        <f aca="false">'STUDENT SCREENING'!BO94</f>
        <v/>
      </c>
      <c r="X94" s="57" t="str">
        <f aca="false">IF('STUDENT SCREENING'!W94="","",IFERROR(INDEX('SCORING MASTER'!$D$5:$D$7,MATCH('STUDENT SCREENING'!W94,'SCORING MASTER'!$C$5:$C$7,0)),""))</f>
        <v/>
      </c>
      <c r="Y94" s="57" t="str">
        <f aca="false">IF('STUDENT SCREENING'!X94="","",IFERROR(INDEX('SCORING MASTER'!$D$9:$D$11,MATCH('STUDENT SCREENING'!X94,'SCORING MASTER'!$C$9:$C$11,0)),""))</f>
        <v/>
      </c>
      <c r="Z94" s="57" t="str">
        <f aca="false">IF('STUDENT SCREENING'!Y94="","",IFERROR(INDEX('SCORING MASTER'!$D$13:$D$15,MATCH('STUDENT SCREENING'!Y94,'SCORING MASTER'!$C$13:$C$15,0)),""))</f>
        <v/>
      </c>
      <c r="AA94" s="57" t="str">
        <f aca="false">IF('STUDENT SCREENING'!Z94="","",IFERROR(INDEX('SCORING MASTER'!$D$17:$D$19,MATCH('STUDENT SCREENING'!Z94,'SCORING MASTER'!$C$17:$C$19,0)),""))</f>
        <v/>
      </c>
      <c r="AB94" s="57" t="str">
        <f aca="false">IF('STUDENT SCREENING'!AA94="","",IFERROR(INDEX('SCORING MASTER'!$D$21:$D$23,MATCH('STUDENT SCREENING'!AA94,'SCORING MASTER'!$C$21:$C$23,0)),""))</f>
        <v/>
      </c>
      <c r="AC94" s="57" t="str">
        <f aca="false">IF('STUDENT SCREENING'!AB94="","",IFERROR(INDEX('SCORING MASTER'!$D$25:$D$27,MATCH('STUDENT SCREENING'!AB94,'SCORING MASTER'!$C$25:$C$27,0)),""))</f>
        <v/>
      </c>
      <c r="AD94" s="57" t="str">
        <f aca="false">IF('STUDENT SCREENING'!AC94="","",IFERROR(INDEX('SCORING MASTER'!$D$29:$D$31,MATCH('STUDENT SCREENING'!AC94,'SCORING MASTER'!$C$29:$C$31,0)),""))</f>
        <v/>
      </c>
      <c r="AE94" s="57" t="str">
        <f aca="false">IF('STUDENT SCREENING'!AD94="","",IFERROR(INDEX('SCORING MASTER'!$D$33:$D$35,MATCH('STUDENT SCREENING'!AD94,'SCORING MASTER'!$C$33:$C$35,0)),""))</f>
        <v/>
      </c>
      <c r="AF94" s="57" t="str">
        <f aca="false">IF('STUDENT SCREENING'!AE94="","",IFERROR(INDEX('SCORING MASTER'!$D$37:$D$39,MATCH('STUDENT SCREENING'!AE94,'SCORING MASTER'!$C$37:$C$39,0)),""))</f>
        <v/>
      </c>
      <c r="AG94" s="57" t="str">
        <f aca="false">IF('STUDENT SCREENING'!AF94="","",IFERROR(INDEX('SCORING MASTER'!$D$41:$D$43,MATCH('STUDENT SCREENING'!AF94,'SCORING MASTER'!$C$41:$C$43,0)),""))</f>
        <v/>
      </c>
      <c r="AH94" s="57" t="str">
        <f aca="false">IF('STUDENT SCREENING'!AG94="","",IFERROR(INDEX('SCORING MASTER'!$D$45:$D$47,MATCH('STUDENT SCREENING'!AG94,'SCORING MASTER'!$C$45:$C$47,0)),""))</f>
        <v/>
      </c>
      <c r="AI94" s="57" t="str">
        <f aca="false">IF('STUDENT SCREENING'!AH94="","",IFERROR(INDEX('SCORING MASTER'!$D$49:$D$52,MATCH('STUDENT SCREENING'!AH94,'SCORING MASTER'!$C$49:$C$52,0)),""))</f>
        <v/>
      </c>
      <c r="AJ94" s="57" t="str">
        <f aca="false">IF('STUDENT SCREENING'!AI94="","",IFERROR(INDEX('SCORING MASTER'!$D$54:$D$57,MATCH('STUDENT SCREENING'!AI94,'SCORING MASTER'!$C$54:$C$57,0)),""))</f>
        <v/>
      </c>
      <c r="AK94" s="57" t="str">
        <f aca="false">IF('STUDENT SCREENING'!AJ94="","",IFERROR(INDEX('SCORING MASTER'!$D$59:$D$60,MATCH('STUDENT SCREENING'!AJ94,'SCORING MASTER'!$C$59:$C$60,0)),""))</f>
        <v/>
      </c>
      <c r="AL94" s="57" t="str">
        <f aca="false">IF('STUDENT SCREENING'!AK94="","",IFERROR(INDEX('SCORING MASTER'!$D$62:$D$63,MATCH('STUDENT SCREENING'!AK94,'SCORING MASTER'!$C$62:$C$63,0)),""))</f>
        <v/>
      </c>
      <c r="AM94" s="57" t="str">
        <f aca="false">IF('STUDENT SCREENING'!AL94="","",IFERROR(INDEX('SCORING MASTER'!$D$65:$D$66,MATCH('STUDENT SCREENING'!AL94,'SCORING MASTER'!$C$65:$C$66,0)),""))</f>
        <v/>
      </c>
      <c r="AN94" s="57" t="str">
        <f aca="false">IF('STUDENT SCREENING'!AM94="","",IFERROR(INDEX('SCORING MASTER'!$D$68:$D$69,MATCH('STUDENT SCREENING'!AM94,'SCORING MASTER'!$C$68:$C$69,0)),""))</f>
        <v/>
      </c>
      <c r="AO94" s="57" t="str">
        <f aca="false">IF('STUDENT SCREENING'!AN94="","",IFERROR(INDEX('SCORING MASTER'!$D$71:$D$72,MATCH('STUDENT SCREENING'!AN94,'SCORING MASTER'!$C$71:$C$72,0)),""))</f>
        <v/>
      </c>
      <c r="AP94" s="57" t="str">
        <f aca="false">IF('STUDENT SCREENING'!AO94="","",IFERROR(INDEX('SCORING MASTER'!$D$74:$D$75,MATCH('STUDENT SCREENING'!AO94,'SCORING MASTER'!$C$74:$C$75,0)),""))</f>
        <v/>
      </c>
      <c r="AQ94" s="57" t="str">
        <f aca="false">IF('STUDENT SCREENING'!AP94="","",IFERROR(INDEX('SCORING MASTER'!$D$77:$D$78,MATCH('STUDENT SCREENING'!AP94,'SCORING MASTER'!$C$77:$C$78,0)),""))</f>
        <v/>
      </c>
      <c r="AR94" s="57" t="str">
        <f aca="false">IF('STUDENT SCREENING'!AQ94="","",IFERROR(INDEX('SCORING MASTER'!$D$80:$D$82,MATCH('STUDENT SCREENING'!AQ94,'SCORING MASTER'!$C$80:$C$82,0)),""))</f>
        <v/>
      </c>
      <c r="AS94" s="57" t="str">
        <f aca="false">IF('STUDENT SCREENING'!AR94="","",IFERROR(INDEX('SCORING MASTER'!$D$84:$D$86,MATCH('STUDENT SCREENING'!AR94,'SCORING MASTER'!$C$84:$C$86,0)),""))</f>
        <v/>
      </c>
      <c r="AT94" s="57" t="str">
        <f aca="false">IF('STUDENT SCREENING'!AS94="","",IFERROR(INDEX('SCORING MASTER'!$D$88:$D$90,MATCH('STUDENT SCREENING'!AS94,'SCORING MASTER'!$C$88:$C$90,0)),""))</f>
        <v/>
      </c>
      <c r="AU94" s="57" t="str">
        <f aca="false">IF('STUDENT SCREENING'!AT94="","",IFERROR(INDEX('SCORING MASTER'!$D$92:$D$93,MATCH('STUDENT SCREENING'!AT94,'SCORING MASTER'!$C$92:$C$93,0)),""))</f>
        <v/>
      </c>
      <c r="AV94" s="57" t="str">
        <f aca="false">IF('STUDENT SCREENING'!AU94="","",IFERROR(INDEX('SCORING MASTER'!$D$95:$D$96,MATCH('STUDENT SCREENING'!AU94,'SCORING MASTER'!$C$95:$C$96,0)),""))</f>
        <v/>
      </c>
      <c r="AW94" s="57" t="str">
        <f aca="false">IF('STUDENT SCREENING'!AV94="","",IFERROR(INDEX('SCORING MASTER'!$D$98:$D$99,MATCH('STUDENT SCREENING'!AV94,'SCORING MASTER'!$C$98:$C$99,0)),""))</f>
        <v/>
      </c>
      <c r="AX94" s="57" t="str">
        <f aca="false">IF('STUDENT SCREENING'!AW94="","",IFERROR(INDEX('SCORING MASTER'!$D$101:$D$102,MATCH('STUDENT SCREENING'!AW94,'SCORING MASTER'!$C$101:$C$102,0)),""))</f>
        <v/>
      </c>
      <c r="AY94" s="57" t="str">
        <f aca="false">IF('STUDENT SCREENING'!AX94="","",IFERROR(INDEX('SCORING MASTER'!$D$104:$D$105,MATCH('STUDENT SCREENING'!AX94,'SCORING MASTER'!$C$104:$C$105,0)),""))</f>
        <v/>
      </c>
      <c r="AZ94" s="57" t="str">
        <f aca="false">IF('STUDENT SCREENING'!AY94="","",IFERROR(INDEX('SCORING MASTER'!$D$107:$D$108,MATCH('STUDENT SCREENING'!AY94,'SCORING MASTER'!$C$107:$C$108,0)),""))</f>
        <v/>
      </c>
      <c r="BA94" s="57" t="str">
        <f aca="false">IF('STUDENT SCREENING'!AZ94="","",IFERROR(INDEX('SCORING MASTER'!$D$110:$D$111,MATCH('STUDENT SCREENING'!AZ94,'SCORING MASTER'!$C$110:$C$111,0)),""))</f>
        <v/>
      </c>
      <c r="BB94" s="57" t="str">
        <f aca="false">IF('STUDENT SCREENING'!BA94="","",IFERROR(INDEX('SCORING MASTER'!$D$113:$D$115,MATCH('STUDENT SCREENING'!BA94,'SCORING MASTER'!$C$113:$C$115,0)),""))</f>
        <v/>
      </c>
      <c r="BC94" s="57" t="str">
        <f aca="false">IF('STUDENT SCREENING'!BB94="","",IFERROR(INDEX('SCORING MASTER'!$D$117:$D$119,MATCH('STUDENT SCREENING'!BB94,'SCORING MASTER'!$C$117:$C$119,0)),""))</f>
        <v/>
      </c>
      <c r="BD94" s="57" t="str">
        <f aca="false">IF('STUDENT SCREENING'!BC94="","",IFERROR(INDEX('SCORING MASTER'!$D$121:$D$123,MATCH('STUDENT SCREENING'!BC94,'SCORING MASTER'!$C$121:$C$123,0)),""))</f>
        <v/>
      </c>
      <c r="BE94" s="57" t="str">
        <f aca="false">IF('STUDENT SCREENING'!BD94="","",IFERROR(INDEX('SCORING MASTER'!$D$125:$D$126,MATCH('STUDENT SCREENING'!BD94,'SCORING MASTER'!$C$125:$C$126,0)),""))</f>
        <v/>
      </c>
      <c r="BF94" s="57" t="str">
        <f aca="false">IF('STUDENT SCREENING'!BE94="","",IFERROR(INDEX('SCORING MASTER'!$D$128:$D$129,MATCH('STUDENT SCREENING'!BE94,'SCORING MASTER'!$C$128:$C$129,0)),""))</f>
        <v/>
      </c>
      <c r="BG94" s="57" t="str">
        <f aca="false">IF('STUDENT SCREENING'!BP94="","",IFERROR(MATCH('STUDENT SCREENING'!BP94,{"Red - High Risk","Orange - Moderate Risk","Yellow - Mild Risk","Light Green - Mild Watch","Green - Healthy"},0)-1,""))</f>
        <v/>
      </c>
      <c r="BH94" s="57" t="str">
        <f aca="false">IF('STUDENT SCREENING'!BQ94="","",IF('STUDENT SCREENING'!BQ94="Yes",1,0))</f>
        <v/>
      </c>
      <c r="BI94" s="57" t="str">
        <f aca="false">IF('STUDENT SCREENING'!BR94="","",IF('STUDENT SCREENING'!BR94="Yes",1,0))</f>
        <v/>
      </c>
    </row>
    <row r="95" customFormat="false" ht="15" hidden="false" customHeight="false" outlineLevel="0" collapsed="false">
      <c r="A95" s="58" t="str">
        <f aca="false">'STUDENT SCREENING'!A95</f>
        <v/>
      </c>
      <c r="B95" s="58" t="n">
        <f aca="false">'STUDENT SCREENING'!C95</f>
        <v>0</v>
      </c>
      <c r="C95" s="58" t="n">
        <f aca="false">'STUDENT SCREENING'!D95</f>
        <v>0</v>
      </c>
      <c r="D95" s="58" t="n">
        <f aca="false">'STUDENT SCREENING'!E95</f>
        <v>0</v>
      </c>
      <c r="E95" s="58" t="n">
        <f aca="false">'STUDENT SCREENING'!F95</f>
        <v>0</v>
      </c>
      <c r="F95" s="58" t="n">
        <f aca="false">'STUDENT SCREENING'!K95</f>
        <v>0</v>
      </c>
      <c r="G95" s="58" t="n">
        <f aca="false">'STUDENT SCREENING'!J95</f>
        <v>0</v>
      </c>
      <c r="H95" s="58" t="str">
        <f aca="false">IF('STUDENT SCREENING'!K95="","",IFERROR(MATCH('STUDENT SCREENING'!K95,Adm_Gender,0),""))</f>
        <v/>
      </c>
      <c r="I95" s="58" t="n">
        <f aca="false">'STUDENT SCREENING'!Q95</f>
        <v>0</v>
      </c>
      <c r="J95" s="58" t="n">
        <f aca="false">'STUDENT SCREENING'!R95</f>
        <v>0</v>
      </c>
      <c r="K95" s="58" t="str">
        <f aca="false">'STUDENT SCREENING'!S95</f>
        <v/>
      </c>
      <c r="L95" s="58" t="n">
        <f aca="false">'STUDENT SCREENING'!U95</f>
        <v>0</v>
      </c>
      <c r="M95" s="58" t="n">
        <f aca="false">'STUDENT SCREENING'!V95</f>
        <v>0</v>
      </c>
      <c r="N95" s="58" t="str">
        <f aca="false">'STUDENT SCREENING'!BF95</f>
        <v/>
      </c>
      <c r="O95" s="58" t="str">
        <f aca="false">'STUDENT SCREENING'!BG95</f>
        <v/>
      </c>
      <c r="P95" s="58" t="str">
        <f aca="false">'STUDENT SCREENING'!BH95</f>
        <v/>
      </c>
      <c r="Q95" s="58" t="str">
        <f aca="false">'STUDENT SCREENING'!BI95</f>
        <v/>
      </c>
      <c r="R95" s="58" t="str">
        <f aca="false">'STUDENT SCREENING'!BJ95</f>
        <v/>
      </c>
      <c r="S95" s="58" t="str">
        <f aca="false">'STUDENT SCREENING'!BK95</f>
        <v/>
      </c>
      <c r="T95" s="58" t="str">
        <f aca="false">'STUDENT SCREENING'!BL95</f>
        <v/>
      </c>
      <c r="U95" s="58" t="str">
        <f aca="false">'STUDENT SCREENING'!BM95</f>
        <v/>
      </c>
      <c r="V95" s="58" t="str">
        <f aca="false">'STUDENT SCREENING'!BN95</f>
        <v/>
      </c>
      <c r="W95" s="58" t="str">
        <f aca="false">'STUDENT SCREENING'!BO95</f>
        <v/>
      </c>
      <c r="X95" s="58" t="str">
        <f aca="false">IF('STUDENT SCREENING'!W95="","",IFERROR(INDEX('SCORING MASTER'!$D$5:$D$7,MATCH('STUDENT SCREENING'!W95,'SCORING MASTER'!$C$5:$C$7,0)),""))</f>
        <v/>
      </c>
      <c r="Y95" s="58" t="str">
        <f aca="false">IF('STUDENT SCREENING'!X95="","",IFERROR(INDEX('SCORING MASTER'!$D$9:$D$11,MATCH('STUDENT SCREENING'!X95,'SCORING MASTER'!$C$9:$C$11,0)),""))</f>
        <v/>
      </c>
      <c r="Z95" s="58" t="str">
        <f aca="false">IF('STUDENT SCREENING'!Y95="","",IFERROR(INDEX('SCORING MASTER'!$D$13:$D$15,MATCH('STUDENT SCREENING'!Y95,'SCORING MASTER'!$C$13:$C$15,0)),""))</f>
        <v/>
      </c>
      <c r="AA95" s="58" t="str">
        <f aca="false">IF('STUDENT SCREENING'!Z95="","",IFERROR(INDEX('SCORING MASTER'!$D$17:$D$19,MATCH('STUDENT SCREENING'!Z95,'SCORING MASTER'!$C$17:$C$19,0)),""))</f>
        <v/>
      </c>
      <c r="AB95" s="58" t="str">
        <f aca="false">IF('STUDENT SCREENING'!AA95="","",IFERROR(INDEX('SCORING MASTER'!$D$21:$D$23,MATCH('STUDENT SCREENING'!AA95,'SCORING MASTER'!$C$21:$C$23,0)),""))</f>
        <v/>
      </c>
      <c r="AC95" s="58" t="str">
        <f aca="false">IF('STUDENT SCREENING'!AB95="","",IFERROR(INDEX('SCORING MASTER'!$D$25:$D$27,MATCH('STUDENT SCREENING'!AB95,'SCORING MASTER'!$C$25:$C$27,0)),""))</f>
        <v/>
      </c>
      <c r="AD95" s="58" t="str">
        <f aca="false">IF('STUDENT SCREENING'!AC95="","",IFERROR(INDEX('SCORING MASTER'!$D$29:$D$31,MATCH('STUDENT SCREENING'!AC95,'SCORING MASTER'!$C$29:$C$31,0)),""))</f>
        <v/>
      </c>
      <c r="AE95" s="58" t="str">
        <f aca="false">IF('STUDENT SCREENING'!AD95="","",IFERROR(INDEX('SCORING MASTER'!$D$33:$D$35,MATCH('STUDENT SCREENING'!AD95,'SCORING MASTER'!$C$33:$C$35,0)),""))</f>
        <v/>
      </c>
      <c r="AF95" s="58" t="str">
        <f aca="false">IF('STUDENT SCREENING'!AE95="","",IFERROR(INDEX('SCORING MASTER'!$D$37:$D$39,MATCH('STUDENT SCREENING'!AE95,'SCORING MASTER'!$C$37:$C$39,0)),""))</f>
        <v/>
      </c>
      <c r="AG95" s="58" t="str">
        <f aca="false">IF('STUDENT SCREENING'!AF95="","",IFERROR(INDEX('SCORING MASTER'!$D$41:$D$43,MATCH('STUDENT SCREENING'!AF95,'SCORING MASTER'!$C$41:$C$43,0)),""))</f>
        <v/>
      </c>
      <c r="AH95" s="58" t="str">
        <f aca="false">IF('STUDENT SCREENING'!AG95="","",IFERROR(INDEX('SCORING MASTER'!$D$45:$D$47,MATCH('STUDENT SCREENING'!AG95,'SCORING MASTER'!$C$45:$C$47,0)),""))</f>
        <v/>
      </c>
      <c r="AI95" s="58" t="str">
        <f aca="false">IF('STUDENT SCREENING'!AH95="","",IFERROR(INDEX('SCORING MASTER'!$D$49:$D$52,MATCH('STUDENT SCREENING'!AH95,'SCORING MASTER'!$C$49:$C$52,0)),""))</f>
        <v/>
      </c>
      <c r="AJ95" s="58" t="str">
        <f aca="false">IF('STUDENT SCREENING'!AI95="","",IFERROR(INDEX('SCORING MASTER'!$D$54:$D$57,MATCH('STUDENT SCREENING'!AI95,'SCORING MASTER'!$C$54:$C$57,0)),""))</f>
        <v/>
      </c>
      <c r="AK95" s="58" t="str">
        <f aca="false">IF('STUDENT SCREENING'!AJ95="","",IFERROR(INDEX('SCORING MASTER'!$D$59:$D$60,MATCH('STUDENT SCREENING'!AJ95,'SCORING MASTER'!$C$59:$C$60,0)),""))</f>
        <v/>
      </c>
      <c r="AL95" s="58" t="str">
        <f aca="false">IF('STUDENT SCREENING'!AK95="","",IFERROR(INDEX('SCORING MASTER'!$D$62:$D$63,MATCH('STUDENT SCREENING'!AK95,'SCORING MASTER'!$C$62:$C$63,0)),""))</f>
        <v/>
      </c>
      <c r="AM95" s="58" t="str">
        <f aca="false">IF('STUDENT SCREENING'!AL95="","",IFERROR(INDEX('SCORING MASTER'!$D$65:$D$66,MATCH('STUDENT SCREENING'!AL95,'SCORING MASTER'!$C$65:$C$66,0)),""))</f>
        <v/>
      </c>
      <c r="AN95" s="58" t="str">
        <f aca="false">IF('STUDENT SCREENING'!AM95="","",IFERROR(INDEX('SCORING MASTER'!$D$68:$D$69,MATCH('STUDENT SCREENING'!AM95,'SCORING MASTER'!$C$68:$C$69,0)),""))</f>
        <v/>
      </c>
      <c r="AO95" s="58" t="str">
        <f aca="false">IF('STUDENT SCREENING'!AN95="","",IFERROR(INDEX('SCORING MASTER'!$D$71:$D$72,MATCH('STUDENT SCREENING'!AN95,'SCORING MASTER'!$C$71:$C$72,0)),""))</f>
        <v/>
      </c>
      <c r="AP95" s="58" t="str">
        <f aca="false">IF('STUDENT SCREENING'!AO95="","",IFERROR(INDEX('SCORING MASTER'!$D$74:$D$75,MATCH('STUDENT SCREENING'!AO95,'SCORING MASTER'!$C$74:$C$75,0)),""))</f>
        <v/>
      </c>
      <c r="AQ95" s="58" t="str">
        <f aca="false">IF('STUDENT SCREENING'!AP95="","",IFERROR(INDEX('SCORING MASTER'!$D$77:$D$78,MATCH('STUDENT SCREENING'!AP95,'SCORING MASTER'!$C$77:$C$78,0)),""))</f>
        <v/>
      </c>
      <c r="AR95" s="58" t="str">
        <f aca="false">IF('STUDENT SCREENING'!AQ95="","",IFERROR(INDEX('SCORING MASTER'!$D$80:$D$82,MATCH('STUDENT SCREENING'!AQ95,'SCORING MASTER'!$C$80:$C$82,0)),""))</f>
        <v/>
      </c>
      <c r="AS95" s="58" t="str">
        <f aca="false">IF('STUDENT SCREENING'!AR95="","",IFERROR(INDEX('SCORING MASTER'!$D$84:$D$86,MATCH('STUDENT SCREENING'!AR95,'SCORING MASTER'!$C$84:$C$86,0)),""))</f>
        <v/>
      </c>
      <c r="AT95" s="58" t="str">
        <f aca="false">IF('STUDENT SCREENING'!AS95="","",IFERROR(INDEX('SCORING MASTER'!$D$88:$D$90,MATCH('STUDENT SCREENING'!AS95,'SCORING MASTER'!$C$88:$C$90,0)),""))</f>
        <v/>
      </c>
      <c r="AU95" s="58" t="str">
        <f aca="false">IF('STUDENT SCREENING'!AT95="","",IFERROR(INDEX('SCORING MASTER'!$D$92:$D$93,MATCH('STUDENT SCREENING'!AT95,'SCORING MASTER'!$C$92:$C$93,0)),""))</f>
        <v/>
      </c>
      <c r="AV95" s="58" t="str">
        <f aca="false">IF('STUDENT SCREENING'!AU95="","",IFERROR(INDEX('SCORING MASTER'!$D$95:$D$96,MATCH('STUDENT SCREENING'!AU95,'SCORING MASTER'!$C$95:$C$96,0)),""))</f>
        <v/>
      </c>
      <c r="AW95" s="58" t="str">
        <f aca="false">IF('STUDENT SCREENING'!AV95="","",IFERROR(INDEX('SCORING MASTER'!$D$98:$D$99,MATCH('STUDENT SCREENING'!AV95,'SCORING MASTER'!$C$98:$C$99,0)),""))</f>
        <v/>
      </c>
      <c r="AX95" s="58" t="str">
        <f aca="false">IF('STUDENT SCREENING'!AW95="","",IFERROR(INDEX('SCORING MASTER'!$D$101:$D$102,MATCH('STUDENT SCREENING'!AW95,'SCORING MASTER'!$C$101:$C$102,0)),""))</f>
        <v/>
      </c>
      <c r="AY95" s="58" t="str">
        <f aca="false">IF('STUDENT SCREENING'!AX95="","",IFERROR(INDEX('SCORING MASTER'!$D$104:$D$105,MATCH('STUDENT SCREENING'!AX95,'SCORING MASTER'!$C$104:$C$105,0)),""))</f>
        <v/>
      </c>
      <c r="AZ95" s="58" t="str">
        <f aca="false">IF('STUDENT SCREENING'!AY95="","",IFERROR(INDEX('SCORING MASTER'!$D$107:$D$108,MATCH('STUDENT SCREENING'!AY95,'SCORING MASTER'!$C$107:$C$108,0)),""))</f>
        <v/>
      </c>
      <c r="BA95" s="58" t="str">
        <f aca="false">IF('STUDENT SCREENING'!AZ95="","",IFERROR(INDEX('SCORING MASTER'!$D$110:$D$111,MATCH('STUDENT SCREENING'!AZ95,'SCORING MASTER'!$C$110:$C$111,0)),""))</f>
        <v/>
      </c>
      <c r="BB95" s="58" t="str">
        <f aca="false">IF('STUDENT SCREENING'!BA95="","",IFERROR(INDEX('SCORING MASTER'!$D$113:$D$115,MATCH('STUDENT SCREENING'!BA95,'SCORING MASTER'!$C$113:$C$115,0)),""))</f>
        <v/>
      </c>
      <c r="BC95" s="58" t="str">
        <f aca="false">IF('STUDENT SCREENING'!BB95="","",IFERROR(INDEX('SCORING MASTER'!$D$117:$D$119,MATCH('STUDENT SCREENING'!BB95,'SCORING MASTER'!$C$117:$C$119,0)),""))</f>
        <v/>
      </c>
      <c r="BD95" s="58" t="str">
        <f aca="false">IF('STUDENT SCREENING'!BC95="","",IFERROR(INDEX('SCORING MASTER'!$D$121:$D$123,MATCH('STUDENT SCREENING'!BC95,'SCORING MASTER'!$C$121:$C$123,0)),""))</f>
        <v/>
      </c>
      <c r="BE95" s="58" t="str">
        <f aca="false">IF('STUDENT SCREENING'!BD95="","",IFERROR(INDEX('SCORING MASTER'!$D$125:$D$126,MATCH('STUDENT SCREENING'!BD95,'SCORING MASTER'!$C$125:$C$126,0)),""))</f>
        <v/>
      </c>
      <c r="BF95" s="58" t="str">
        <f aca="false">IF('STUDENT SCREENING'!BE95="","",IFERROR(INDEX('SCORING MASTER'!$D$128:$D$129,MATCH('STUDENT SCREENING'!BE95,'SCORING MASTER'!$C$128:$C$129,0)),""))</f>
        <v/>
      </c>
      <c r="BG95" s="58" t="str">
        <f aca="false">IF('STUDENT SCREENING'!BP95="","",IFERROR(MATCH('STUDENT SCREENING'!BP95,{"Red - High Risk","Orange - Moderate Risk","Yellow - Mild Risk","Light Green - Mild Watch","Green - Healthy"},0)-1,""))</f>
        <v/>
      </c>
      <c r="BH95" s="58" t="str">
        <f aca="false">IF('STUDENT SCREENING'!BQ95="","",IF('STUDENT SCREENING'!BQ95="Yes",1,0))</f>
        <v/>
      </c>
      <c r="BI95" s="58" t="str">
        <f aca="false">IF('STUDENT SCREENING'!BR95="","",IF('STUDENT SCREENING'!BR95="Yes",1,0))</f>
        <v/>
      </c>
    </row>
    <row r="96" customFormat="false" ht="15" hidden="false" customHeight="false" outlineLevel="0" collapsed="false">
      <c r="A96" s="57" t="str">
        <f aca="false">'STUDENT SCREENING'!A96</f>
        <v/>
      </c>
      <c r="B96" s="57" t="n">
        <f aca="false">'STUDENT SCREENING'!C96</f>
        <v>0</v>
      </c>
      <c r="C96" s="57" t="n">
        <f aca="false">'STUDENT SCREENING'!D96</f>
        <v>0</v>
      </c>
      <c r="D96" s="57" t="n">
        <f aca="false">'STUDENT SCREENING'!E96</f>
        <v>0</v>
      </c>
      <c r="E96" s="57" t="n">
        <f aca="false">'STUDENT SCREENING'!F96</f>
        <v>0</v>
      </c>
      <c r="F96" s="57" t="n">
        <f aca="false">'STUDENT SCREENING'!K96</f>
        <v>0</v>
      </c>
      <c r="G96" s="57" t="n">
        <f aca="false">'STUDENT SCREENING'!J96</f>
        <v>0</v>
      </c>
      <c r="H96" s="57" t="str">
        <f aca="false">IF('STUDENT SCREENING'!K96="","",IFERROR(MATCH('STUDENT SCREENING'!K96,Adm_Gender,0),""))</f>
        <v/>
      </c>
      <c r="I96" s="57" t="n">
        <f aca="false">'STUDENT SCREENING'!Q96</f>
        <v>0</v>
      </c>
      <c r="J96" s="57" t="n">
        <f aca="false">'STUDENT SCREENING'!R96</f>
        <v>0</v>
      </c>
      <c r="K96" s="57" t="str">
        <f aca="false">'STUDENT SCREENING'!S96</f>
        <v/>
      </c>
      <c r="L96" s="57" t="n">
        <f aca="false">'STUDENT SCREENING'!U96</f>
        <v>0</v>
      </c>
      <c r="M96" s="57" t="n">
        <f aca="false">'STUDENT SCREENING'!V96</f>
        <v>0</v>
      </c>
      <c r="N96" s="57" t="str">
        <f aca="false">'STUDENT SCREENING'!BF96</f>
        <v/>
      </c>
      <c r="O96" s="57" t="str">
        <f aca="false">'STUDENT SCREENING'!BG96</f>
        <v/>
      </c>
      <c r="P96" s="57" t="str">
        <f aca="false">'STUDENT SCREENING'!BH96</f>
        <v/>
      </c>
      <c r="Q96" s="57" t="str">
        <f aca="false">'STUDENT SCREENING'!BI96</f>
        <v/>
      </c>
      <c r="R96" s="57" t="str">
        <f aca="false">'STUDENT SCREENING'!BJ96</f>
        <v/>
      </c>
      <c r="S96" s="57" t="str">
        <f aca="false">'STUDENT SCREENING'!BK96</f>
        <v/>
      </c>
      <c r="T96" s="57" t="str">
        <f aca="false">'STUDENT SCREENING'!BL96</f>
        <v/>
      </c>
      <c r="U96" s="57" t="str">
        <f aca="false">'STUDENT SCREENING'!BM96</f>
        <v/>
      </c>
      <c r="V96" s="57" t="str">
        <f aca="false">'STUDENT SCREENING'!BN96</f>
        <v/>
      </c>
      <c r="W96" s="57" t="str">
        <f aca="false">'STUDENT SCREENING'!BO96</f>
        <v/>
      </c>
      <c r="X96" s="57" t="str">
        <f aca="false">IF('STUDENT SCREENING'!W96="","",IFERROR(INDEX('SCORING MASTER'!$D$5:$D$7,MATCH('STUDENT SCREENING'!W96,'SCORING MASTER'!$C$5:$C$7,0)),""))</f>
        <v/>
      </c>
      <c r="Y96" s="57" t="str">
        <f aca="false">IF('STUDENT SCREENING'!X96="","",IFERROR(INDEX('SCORING MASTER'!$D$9:$D$11,MATCH('STUDENT SCREENING'!X96,'SCORING MASTER'!$C$9:$C$11,0)),""))</f>
        <v/>
      </c>
      <c r="Z96" s="57" t="str">
        <f aca="false">IF('STUDENT SCREENING'!Y96="","",IFERROR(INDEX('SCORING MASTER'!$D$13:$D$15,MATCH('STUDENT SCREENING'!Y96,'SCORING MASTER'!$C$13:$C$15,0)),""))</f>
        <v/>
      </c>
      <c r="AA96" s="57" t="str">
        <f aca="false">IF('STUDENT SCREENING'!Z96="","",IFERROR(INDEX('SCORING MASTER'!$D$17:$D$19,MATCH('STUDENT SCREENING'!Z96,'SCORING MASTER'!$C$17:$C$19,0)),""))</f>
        <v/>
      </c>
      <c r="AB96" s="57" t="str">
        <f aca="false">IF('STUDENT SCREENING'!AA96="","",IFERROR(INDEX('SCORING MASTER'!$D$21:$D$23,MATCH('STUDENT SCREENING'!AA96,'SCORING MASTER'!$C$21:$C$23,0)),""))</f>
        <v/>
      </c>
      <c r="AC96" s="57" t="str">
        <f aca="false">IF('STUDENT SCREENING'!AB96="","",IFERROR(INDEX('SCORING MASTER'!$D$25:$D$27,MATCH('STUDENT SCREENING'!AB96,'SCORING MASTER'!$C$25:$C$27,0)),""))</f>
        <v/>
      </c>
      <c r="AD96" s="57" t="str">
        <f aca="false">IF('STUDENT SCREENING'!AC96="","",IFERROR(INDEX('SCORING MASTER'!$D$29:$D$31,MATCH('STUDENT SCREENING'!AC96,'SCORING MASTER'!$C$29:$C$31,0)),""))</f>
        <v/>
      </c>
      <c r="AE96" s="57" t="str">
        <f aca="false">IF('STUDENT SCREENING'!AD96="","",IFERROR(INDEX('SCORING MASTER'!$D$33:$D$35,MATCH('STUDENT SCREENING'!AD96,'SCORING MASTER'!$C$33:$C$35,0)),""))</f>
        <v/>
      </c>
      <c r="AF96" s="57" t="str">
        <f aca="false">IF('STUDENT SCREENING'!AE96="","",IFERROR(INDEX('SCORING MASTER'!$D$37:$D$39,MATCH('STUDENT SCREENING'!AE96,'SCORING MASTER'!$C$37:$C$39,0)),""))</f>
        <v/>
      </c>
      <c r="AG96" s="57" t="str">
        <f aca="false">IF('STUDENT SCREENING'!AF96="","",IFERROR(INDEX('SCORING MASTER'!$D$41:$D$43,MATCH('STUDENT SCREENING'!AF96,'SCORING MASTER'!$C$41:$C$43,0)),""))</f>
        <v/>
      </c>
      <c r="AH96" s="57" t="str">
        <f aca="false">IF('STUDENT SCREENING'!AG96="","",IFERROR(INDEX('SCORING MASTER'!$D$45:$D$47,MATCH('STUDENT SCREENING'!AG96,'SCORING MASTER'!$C$45:$C$47,0)),""))</f>
        <v/>
      </c>
      <c r="AI96" s="57" t="str">
        <f aca="false">IF('STUDENT SCREENING'!AH96="","",IFERROR(INDEX('SCORING MASTER'!$D$49:$D$52,MATCH('STUDENT SCREENING'!AH96,'SCORING MASTER'!$C$49:$C$52,0)),""))</f>
        <v/>
      </c>
      <c r="AJ96" s="57" t="str">
        <f aca="false">IF('STUDENT SCREENING'!AI96="","",IFERROR(INDEX('SCORING MASTER'!$D$54:$D$57,MATCH('STUDENT SCREENING'!AI96,'SCORING MASTER'!$C$54:$C$57,0)),""))</f>
        <v/>
      </c>
      <c r="AK96" s="57" t="str">
        <f aca="false">IF('STUDENT SCREENING'!AJ96="","",IFERROR(INDEX('SCORING MASTER'!$D$59:$D$60,MATCH('STUDENT SCREENING'!AJ96,'SCORING MASTER'!$C$59:$C$60,0)),""))</f>
        <v/>
      </c>
      <c r="AL96" s="57" t="str">
        <f aca="false">IF('STUDENT SCREENING'!AK96="","",IFERROR(INDEX('SCORING MASTER'!$D$62:$D$63,MATCH('STUDENT SCREENING'!AK96,'SCORING MASTER'!$C$62:$C$63,0)),""))</f>
        <v/>
      </c>
      <c r="AM96" s="57" t="str">
        <f aca="false">IF('STUDENT SCREENING'!AL96="","",IFERROR(INDEX('SCORING MASTER'!$D$65:$D$66,MATCH('STUDENT SCREENING'!AL96,'SCORING MASTER'!$C$65:$C$66,0)),""))</f>
        <v/>
      </c>
      <c r="AN96" s="57" t="str">
        <f aca="false">IF('STUDENT SCREENING'!AM96="","",IFERROR(INDEX('SCORING MASTER'!$D$68:$D$69,MATCH('STUDENT SCREENING'!AM96,'SCORING MASTER'!$C$68:$C$69,0)),""))</f>
        <v/>
      </c>
      <c r="AO96" s="57" t="str">
        <f aca="false">IF('STUDENT SCREENING'!AN96="","",IFERROR(INDEX('SCORING MASTER'!$D$71:$D$72,MATCH('STUDENT SCREENING'!AN96,'SCORING MASTER'!$C$71:$C$72,0)),""))</f>
        <v/>
      </c>
      <c r="AP96" s="57" t="str">
        <f aca="false">IF('STUDENT SCREENING'!AO96="","",IFERROR(INDEX('SCORING MASTER'!$D$74:$D$75,MATCH('STUDENT SCREENING'!AO96,'SCORING MASTER'!$C$74:$C$75,0)),""))</f>
        <v/>
      </c>
      <c r="AQ96" s="57" t="str">
        <f aca="false">IF('STUDENT SCREENING'!AP96="","",IFERROR(INDEX('SCORING MASTER'!$D$77:$D$78,MATCH('STUDENT SCREENING'!AP96,'SCORING MASTER'!$C$77:$C$78,0)),""))</f>
        <v/>
      </c>
      <c r="AR96" s="57" t="str">
        <f aca="false">IF('STUDENT SCREENING'!AQ96="","",IFERROR(INDEX('SCORING MASTER'!$D$80:$D$82,MATCH('STUDENT SCREENING'!AQ96,'SCORING MASTER'!$C$80:$C$82,0)),""))</f>
        <v/>
      </c>
      <c r="AS96" s="57" t="str">
        <f aca="false">IF('STUDENT SCREENING'!AR96="","",IFERROR(INDEX('SCORING MASTER'!$D$84:$D$86,MATCH('STUDENT SCREENING'!AR96,'SCORING MASTER'!$C$84:$C$86,0)),""))</f>
        <v/>
      </c>
      <c r="AT96" s="57" t="str">
        <f aca="false">IF('STUDENT SCREENING'!AS96="","",IFERROR(INDEX('SCORING MASTER'!$D$88:$D$90,MATCH('STUDENT SCREENING'!AS96,'SCORING MASTER'!$C$88:$C$90,0)),""))</f>
        <v/>
      </c>
      <c r="AU96" s="57" t="str">
        <f aca="false">IF('STUDENT SCREENING'!AT96="","",IFERROR(INDEX('SCORING MASTER'!$D$92:$D$93,MATCH('STUDENT SCREENING'!AT96,'SCORING MASTER'!$C$92:$C$93,0)),""))</f>
        <v/>
      </c>
      <c r="AV96" s="57" t="str">
        <f aca="false">IF('STUDENT SCREENING'!AU96="","",IFERROR(INDEX('SCORING MASTER'!$D$95:$D$96,MATCH('STUDENT SCREENING'!AU96,'SCORING MASTER'!$C$95:$C$96,0)),""))</f>
        <v/>
      </c>
      <c r="AW96" s="57" t="str">
        <f aca="false">IF('STUDENT SCREENING'!AV96="","",IFERROR(INDEX('SCORING MASTER'!$D$98:$D$99,MATCH('STUDENT SCREENING'!AV96,'SCORING MASTER'!$C$98:$C$99,0)),""))</f>
        <v/>
      </c>
      <c r="AX96" s="57" t="str">
        <f aca="false">IF('STUDENT SCREENING'!AW96="","",IFERROR(INDEX('SCORING MASTER'!$D$101:$D$102,MATCH('STUDENT SCREENING'!AW96,'SCORING MASTER'!$C$101:$C$102,0)),""))</f>
        <v/>
      </c>
      <c r="AY96" s="57" t="str">
        <f aca="false">IF('STUDENT SCREENING'!AX96="","",IFERROR(INDEX('SCORING MASTER'!$D$104:$D$105,MATCH('STUDENT SCREENING'!AX96,'SCORING MASTER'!$C$104:$C$105,0)),""))</f>
        <v/>
      </c>
      <c r="AZ96" s="57" t="str">
        <f aca="false">IF('STUDENT SCREENING'!AY96="","",IFERROR(INDEX('SCORING MASTER'!$D$107:$D$108,MATCH('STUDENT SCREENING'!AY96,'SCORING MASTER'!$C$107:$C$108,0)),""))</f>
        <v/>
      </c>
      <c r="BA96" s="57" t="str">
        <f aca="false">IF('STUDENT SCREENING'!AZ96="","",IFERROR(INDEX('SCORING MASTER'!$D$110:$D$111,MATCH('STUDENT SCREENING'!AZ96,'SCORING MASTER'!$C$110:$C$111,0)),""))</f>
        <v/>
      </c>
      <c r="BB96" s="57" t="str">
        <f aca="false">IF('STUDENT SCREENING'!BA96="","",IFERROR(INDEX('SCORING MASTER'!$D$113:$D$115,MATCH('STUDENT SCREENING'!BA96,'SCORING MASTER'!$C$113:$C$115,0)),""))</f>
        <v/>
      </c>
      <c r="BC96" s="57" t="str">
        <f aca="false">IF('STUDENT SCREENING'!BB96="","",IFERROR(INDEX('SCORING MASTER'!$D$117:$D$119,MATCH('STUDENT SCREENING'!BB96,'SCORING MASTER'!$C$117:$C$119,0)),""))</f>
        <v/>
      </c>
      <c r="BD96" s="57" t="str">
        <f aca="false">IF('STUDENT SCREENING'!BC96="","",IFERROR(INDEX('SCORING MASTER'!$D$121:$D$123,MATCH('STUDENT SCREENING'!BC96,'SCORING MASTER'!$C$121:$C$123,0)),""))</f>
        <v/>
      </c>
      <c r="BE96" s="57" t="str">
        <f aca="false">IF('STUDENT SCREENING'!BD96="","",IFERROR(INDEX('SCORING MASTER'!$D$125:$D$126,MATCH('STUDENT SCREENING'!BD96,'SCORING MASTER'!$C$125:$C$126,0)),""))</f>
        <v/>
      </c>
      <c r="BF96" s="57" t="str">
        <f aca="false">IF('STUDENT SCREENING'!BE96="","",IFERROR(INDEX('SCORING MASTER'!$D$128:$D$129,MATCH('STUDENT SCREENING'!BE96,'SCORING MASTER'!$C$128:$C$129,0)),""))</f>
        <v/>
      </c>
      <c r="BG96" s="57" t="str">
        <f aca="false">IF('STUDENT SCREENING'!BP96="","",IFERROR(MATCH('STUDENT SCREENING'!BP96,{"Red - High Risk","Orange - Moderate Risk","Yellow - Mild Risk","Light Green - Mild Watch","Green - Healthy"},0)-1,""))</f>
        <v/>
      </c>
      <c r="BH96" s="57" t="str">
        <f aca="false">IF('STUDENT SCREENING'!BQ96="","",IF('STUDENT SCREENING'!BQ96="Yes",1,0))</f>
        <v/>
      </c>
      <c r="BI96" s="57" t="str">
        <f aca="false">IF('STUDENT SCREENING'!BR96="","",IF('STUDENT SCREENING'!BR96="Yes",1,0))</f>
        <v/>
      </c>
    </row>
    <row r="97" customFormat="false" ht="15" hidden="false" customHeight="false" outlineLevel="0" collapsed="false">
      <c r="A97" s="58" t="str">
        <f aca="false">'STUDENT SCREENING'!A97</f>
        <v/>
      </c>
      <c r="B97" s="58" t="n">
        <f aca="false">'STUDENT SCREENING'!C97</f>
        <v>0</v>
      </c>
      <c r="C97" s="58" t="n">
        <f aca="false">'STUDENT SCREENING'!D97</f>
        <v>0</v>
      </c>
      <c r="D97" s="58" t="n">
        <f aca="false">'STUDENT SCREENING'!E97</f>
        <v>0</v>
      </c>
      <c r="E97" s="58" t="n">
        <f aca="false">'STUDENT SCREENING'!F97</f>
        <v>0</v>
      </c>
      <c r="F97" s="58" t="n">
        <f aca="false">'STUDENT SCREENING'!K97</f>
        <v>0</v>
      </c>
      <c r="G97" s="58" t="n">
        <f aca="false">'STUDENT SCREENING'!J97</f>
        <v>0</v>
      </c>
      <c r="H97" s="58" t="str">
        <f aca="false">IF('STUDENT SCREENING'!K97="","",IFERROR(MATCH('STUDENT SCREENING'!K97,Adm_Gender,0),""))</f>
        <v/>
      </c>
      <c r="I97" s="58" t="n">
        <f aca="false">'STUDENT SCREENING'!Q97</f>
        <v>0</v>
      </c>
      <c r="J97" s="58" t="n">
        <f aca="false">'STUDENT SCREENING'!R97</f>
        <v>0</v>
      </c>
      <c r="K97" s="58" t="str">
        <f aca="false">'STUDENT SCREENING'!S97</f>
        <v/>
      </c>
      <c r="L97" s="58" t="n">
        <f aca="false">'STUDENT SCREENING'!U97</f>
        <v>0</v>
      </c>
      <c r="M97" s="58" t="n">
        <f aca="false">'STUDENT SCREENING'!V97</f>
        <v>0</v>
      </c>
      <c r="N97" s="58" t="str">
        <f aca="false">'STUDENT SCREENING'!BF97</f>
        <v/>
      </c>
      <c r="O97" s="58" t="str">
        <f aca="false">'STUDENT SCREENING'!BG97</f>
        <v/>
      </c>
      <c r="P97" s="58" t="str">
        <f aca="false">'STUDENT SCREENING'!BH97</f>
        <v/>
      </c>
      <c r="Q97" s="58" t="str">
        <f aca="false">'STUDENT SCREENING'!BI97</f>
        <v/>
      </c>
      <c r="R97" s="58" t="str">
        <f aca="false">'STUDENT SCREENING'!BJ97</f>
        <v/>
      </c>
      <c r="S97" s="58" t="str">
        <f aca="false">'STUDENT SCREENING'!BK97</f>
        <v/>
      </c>
      <c r="T97" s="58" t="str">
        <f aca="false">'STUDENT SCREENING'!BL97</f>
        <v/>
      </c>
      <c r="U97" s="58" t="str">
        <f aca="false">'STUDENT SCREENING'!BM97</f>
        <v/>
      </c>
      <c r="V97" s="58" t="str">
        <f aca="false">'STUDENT SCREENING'!BN97</f>
        <v/>
      </c>
      <c r="W97" s="58" t="str">
        <f aca="false">'STUDENT SCREENING'!BO97</f>
        <v/>
      </c>
      <c r="X97" s="58" t="str">
        <f aca="false">IF('STUDENT SCREENING'!W97="","",IFERROR(INDEX('SCORING MASTER'!$D$5:$D$7,MATCH('STUDENT SCREENING'!W97,'SCORING MASTER'!$C$5:$C$7,0)),""))</f>
        <v/>
      </c>
      <c r="Y97" s="58" t="str">
        <f aca="false">IF('STUDENT SCREENING'!X97="","",IFERROR(INDEX('SCORING MASTER'!$D$9:$D$11,MATCH('STUDENT SCREENING'!X97,'SCORING MASTER'!$C$9:$C$11,0)),""))</f>
        <v/>
      </c>
      <c r="Z97" s="58" t="str">
        <f aca="false">IF('STUDENT SCREENING'!Y97="","",IFERROR(INDEX('SCORING MASTER'!$D$13:$D$15,MATCH('STUDENT SCREENING'!Y97,'SCORING MASTER'!$C$13:$C$15,0)),""))</f>
        <v/>
      </c>
      <c r="AA97" s="58" t="str">
        <f aca="false">IF('STUDENT SCREENING'!Z97="","",IFERROR(INDEX('SCORING MASTER'!$D$17:$D$19,MATCH('STUDENT SCREENING'!Z97,'SCORING MASTER'!$C$17:$C$19,0)),""))</f>
        <v/>
      </c>
      <c r="AB97" s="58" t="str">
        <f aca="false">IF('STUDENT SCREENING'!AA97="","",IFERROR(INDEX('SCORING MASTER'!$D$21:$D$23,MATCH('STUDENT SCREENING'!AA97,'SCORING MASTER'!$C$21:$C$23,0)),""))</f>
        <v/>
      </c>
      <c r="AC97" s="58" t="str">
        <f aca="false">IF('STUDENT SCREENING'!AB97="","",IFERROR(INDEX('SCORING MASTER'!$D$25:$D$27,MATCH('STUDENT SCREENING'!AB97,'SCORING MASTER'!$C$25:$C$27,0)),""))</f>
        <v/>
      </c>
      <c r="AD97" s="58" t="str">
        <f aca="false">IF('STUDENT SCREENING'!AC97="","",IFERROR(INDEX('SCORING MASTER'!$D$29:$D$31,MATCH('STUDENT SCREENING'!AC97,'SCORING MASTER'!$C$29:$C$31,0)),""))</f>
        <v/>
      </c>
      <c r="AE97" s="58" t="str">
        <f aca="false">IF('STUDENT SCREENING'!AD97="","",IFERROR(INDEX('SCORING MASTER'!$D$33:$D$35,MATCH('STUDENT SCREENING'!AD97,'SCORING MASTER'!$C$33:$C$35,0)),""))</f>
        <v/>
      </c>
      <c r="AF97" s="58" t="str">
        <f aca="false">IF('STUDENT SCREENING'!AE97="","",IFERROR(INDEX('SCORING MASTER'!$D$37:$D$39,MATCH('STUDENT SCREENING'!AE97,'SCORING MASTER'!$C$37:$C$39,0)),""))</f>
        <v/>
      </c>
      <c r="AG97" s="58" t="str">
        <f aca="false">IF('STUDENT SCREENING'!AF97="","",IFERROR(INDEX('SCORING MASTER'!$D$41:$D$43,MATCH('STUDENT SCREENING'!AF97,'SCORING MASTER'!$C$41:$C$43,0)),""))</f>
        <v/>
      </c>
      <c r="AH97" s="58" t="str">
        <f aca="false">IF('STUDENT SCREENING'!AG97="","",IFERROR(INDEX('SCORING MASTER'!$D$45:$D$47,MATCH('STUDENT SCREENING'!AG97,'SCORING MASTER'!$C$45:$C$47,0)),""))</f>
        <v/>
      </c>
      <c r="AI97" s="58" t="str">
        <f aca="false">IF('STUDENT SCREENING'!AH97="","",IFERROR(INDEX('SCORING MASTER'!$D$49:$D$52,MATCH('STUDENT SCREENING'!AH97,'SCORING MASTER'!$C$49:$C$52,0)),""))</f>
        <v/>
      </c>
      <c r="AJ97" s="58" t="str">
        <f aca="false">IF('STUDENT SCREENING'!AI97="","",IFERROR(INDEX('SCORING MASTER'!$D$54:$D$57,MATCH('STUDENT SCREENING'!AI97,'SCORING MASTER'!$C$54:$C$57,0)),""))</f>
        <v/>
      </c>
      <c r="AK97" s="58" t="str">
        <f aca="false">IF('STUDENT SCREENING'!AJ97="","",IFERROR(INDEX('SCORING MASTER'!$D$59:$D$60,MATCH('STUDENT SCREENING'!AJ97,'SCORING MASTER'!$C$59:$C$60,0)),""))</f>
        <v/>
      </c>
      <c r="AL97" s="58" t="str">
        <f aca="false">IF('STUDENT SCREENING'!AK97="","",IFERROR(INDEX('SCORING MASTER'!$D$62:$D$63,MATCH('STUDENT SCREENING'!AK97,'SCORING MASTER'!$C$62:$C$63,0)),""))</f>
        <v/>
      </c>
      <c r="AM97" s="58" t="str">
        <f aca="false">IF('STUDENT SCREENING'!AL97="","",IFERROR(INDEX('SCORING MASTER'!$D$65:$D$66,MATCH('STUDENT SCREENING'!AL97,'SCORING MASTER'!$C$65:$C$66,0)),""))</f>
        <v/>
      </c>
      <c r="AN97" s="58" t="str">
        <f aca="false">IF('STUDENT SCREENING'!AM97="","",IFERROR(INDEX('SCORING MASTER'!$D$68:$D$69,MATCH('STUDENT SCREENING'!AM97,'SCORING MASTER'!$C$68:$C$69,0)),""))</f>
        <v/>
      </c>
      <c r="AO97" s="58" t="str">
        <f aca="false">IF('STUDENT SCREENING'!AN97="","",IFERROR(INDEX('SCORING MASTER'!$D$71:$D$72,MATCH('STUDENT SCREENING'!AN97,'SCORING MASTER'!$C$71:$C$72,0)),""))</f>
        <v/>
      </c>
      <c r="AP97" s="58" t="str">
        <f aca="false">IF('STUDENT SCREENING'!AO97="","",IFERROR(INDEX('SCORING MASTER'!$D$74:$D$75,MATCH('STUDENT SCREENING'!AO97,'SCORING MASTER'!$C$74:$C$75,0)),""))</f>
        <v/>
      </c>
      <c r="AQ97" s="58" t="str">
        <f aca="false">IF('STUDENT SCREENING'!AP97="","",IFERROR(INDEX('SCORING MASTER'!$D$77:$D$78,MATCH('STUDENT SCREENING'!AP97,'SCORING MASTER'!$C$77:$C$78,0)),""))</f>
        <v/>
      </c>
      <c r="AR97" s="58" t="str">
        <f aca="false">IF('STUDENT SCREENING'!AQ97="","",IFERROR(INDEX('SCORING MASTER'!$D$80:$D$82,MATCH('STUDENT SCREENING'!AQ97,'SCORING MASTER'!$C$80:$C$82,0)),""))</f>
        <v/>
      </c>
      <c r="AS97" s="58" t="str">
        <f aca="false">IF('STUDENT SCREENING'!AR97="","",IFERROR(INDEX('SCORING MASTER'!$D$84:$D$86,MATCH('STUDENT SCREENING'!AR97,'SCORING MASTER'!$C$84:$C$86,0)),""))</f>
        <v/>
      </c>
      <c r="AT97" s="58" t="str">
        <f aca="false">IF('STUDENT SCREENING'!AS97="","",IFERROR(INDEX('SCORING MASTER'!$D$88:$D$90,MATCH('STUDENT SCREENING'!AS97,'SCORING MASTER'!$C$88:$C$90,0)),""))</f>
        <v/>
      </c>
      <c r="AU97" s="58" t="str">
        <f aca="false">IF('STUDENT SCREENING'!AT97="","",IFERROR(INDEX('SCORING MASTER'!$D$92:$D$93,MATCH('STUDENT SCREENING'!AT97,'SCORING MASTER'!$C$92:$C$93,0)),""))</f>
        <v/>
      </c>
      <c r="AV97" s="58" t="str">
        <f aca="false">IF('STUDENT SCREENING'!AU97="","",IFERROR(INDEX('SCORING MASTER'!$D$95:$D$96,MATCH('STUDENT SCREENING'!AU97,'SCORING MASTER'!$C$95:$C$96,0)),""))</f>
        <v/>
      </c>
      <c r="AW97" s="58" t="str">
        <f aca="false">IF('STUDENT SCREENING'!AV97="","",IFERROR(INDEX('SCORING MASTER'!$D$98:$D$99,MATCH('STUDENT SCREENING'!AV97,'SCORING MASTER'!$C$98:$C$99,0)),""))</f>
        <v/>
      </c>
      <c r="AX97" s="58" t="str">
        <f aca="false">IF('STUDENT SCREENING'!AW97="","",IFERROR(INDEX('SCORING MASTER'!$D$101:$D$102,MATCH('STUDENT SCREENING'!AW97,'SCORING MASTER'!$C$101:$C$102,0)),""))</f>
        <v/>
      </c>
      <c r="AY97" s="58" t="str">
        <f aca="false">IF('STUDENT SCREENING'!AX97="","",IFERROR(INDEX('SCORING MASTER'!$D$104:$D$105,MATCH('STUDENT SCREENING'!AX97,'SCORING MASTER'!$C$104:$C$105,0)),""))</f>
        <v/>
      </c>
      <c r="AZ97" s="58" t="str">
        <f aca="false">IF('STUDENT SCREENING'!AY97="","",IFERROR(INDEX('SCORING MASTER'!$D$107:$D$108,MATCH('STUDENT SCREENING'!AY97,'SCORING MASTER'!$C$107:$C$108,0)),""))</f>
        <v/>
      </c>
      <c r="BA97" s="58" t="str">
        <f aca="false">IF('STUDENT SCREENING'!AZ97="","",IFERROR(INDEX('SCORING MASTER'!$D$110:$D$111,MATCH('STUDENT SCREENING'!AZ97,'SCORING MASTER'!$C$110:$C$111,0)),""))</f>
        <v/>
      </c>
      <c r="BB97" s="58" t="str">
        <f aca="false">IF('STUDENT SCREENING'!BA97="","",IFERROR(INDEX('SCORING MASTER'!$D$113:$D$115,MATCH('STUDENT SCREENING'!BA97,'SCORING MASTER'!$C$113:$C$115,0)),""))</f>
        <v/>
      </c>
      <c r="BC97" s="58" t="str">
        <f aca="false">IF('STUDENT SCREENING'!BB97="","",IFERROR(INDEX('SCORING MASTER'!$D$117:$D$119,MATCH('STUDENT SCREENING'!BB97,'SCORING MASTER'!$C$117:$C$119,0)),""))</f>
        <v/>
      </c>
      <c r="BD97" s="58" t="str">
        <f aca="false">IF('STUDENT SCREENING'!BC97="","",IFERROR(INDEX('SCORING MASTER'!$D$121:$D$123,MATCH('STUDENT SCREENING'!BC97,'SCORING MASTER'!$C$121:$C$123,0)),""))</f>
        <v/>
      </c>
      <c r="BE97" s="58" t="str">
        <f aca="false">IF('STUDENT SCREENING'!BD97="","",IFERROR(INDEX('SCORING MASTER'!$D$125:$D$126,MATCH('STUDENT SCREENING'!BD97,'SCORING MASTER'!$C$125:$C$126,0)),""))</f>
        <v/>
      </c>
      <c r="BF97" s="58" t="str">
        <f aca="false">IF('STUDENT SCREENING'!BE97="","",IFERROR(INDEX('SCORING MASTER'!$D$128:$D$129,MATCH('STUDENT SCREENING'!BE97,'SCORING MASTER'!$C$128:$C$129,0)),""))</f>
        <v/>
      </c>
      <c r="BG97" s="58" t="str">
        <f aca="false">IF('STUDENT SCREENING'!BP97="","",IFERROR(MATCH('STUDENT SCREENING'!BP97,{"Red - High Risk","Orange - Moderate Risk","Yellow - Mild Risk","Light Green - Mild Watch","Green - Healthy"},0)-1,""))</f>
        <v/>
      </c>
      <c r="BH97" s="58" t="str">
        <f aca="false">IF('STUDENT SCREENING'!BQ97="","",IF('STUDENT SCREENING'!BQ97="Yes",1,0))</f>
        <v/>
      </c>
      <c r="BI97" s="58" t="str">
        <f aca="false">IF('STUDENT SCREENING'!BR97="","",IF('STUDENT SCREENING'!BR97="Yes",1,0))</f>
        <v/>
      </c>
    </row>
    <row r="98" customFormat="false" ht="15" hidden="false" customHeight="false" outlineLevel="0" collapsed="false">
      <c r="A98" s="57" t="str">
        <f aca="false">'STUDENT SCREENING'!A98</f>
        <v/>
      </c>
      <c r="B98" s="57" t="n">
        <f aca="false">'STUDENT SCREENING'!C98</f>
        <v>0</v>
      </c>
      <c r="C98" s="57" t="n">
        <f aca="false">'STUDENT SCREENING'!D98</f>
        <v>0</v>
      </c>
      <c r="D98" s="57" t="n">
        <f aca="false">'STUDENT SCREENING'!E98</f>
        <v>0</v>
      </c>
      <c r="E98" s="57" t="n">
        <f aca="false">'STUDENT SCREENING'!F98</f>
        <v>0</v>
      </c>
      <c r="F98" s="57" t="n">
        <f aca="false">'STUDENT SCREENING'!K98</f>
        <v>0</v>
      </c>
      <c r="G98" s="57" t="n">
        <f aca="false">'STUDENT SCREENING'!J98</f>
        <v>0</v>
      </c>
      <c r="H98" s="57" t="str">
        <f aca="false">IF('STUDENT SCREENING'!K98="","",IFERROR(MATCH('STUDENT SCREENING'!K98,Adm_Gender,0),""))</f>
        <v/>
      </c>
      <c r="I98" s="57" t="n">
        <f aca="false">'STUDENT SCREENING'!Q98</f>
        <v>0</v>
      </c>
      <c r="J98" s="57" t="n">
        <f aca="false">'STUDENT SCREENING'!R98</f>
        <v>0</v>
      </c>
      <c r="K98" s="57" t="str">
        <f aca="false">'STUDENT SCREENING'!S98</f>
        <v/>
      </c>
      <c r="L98" s="57" t="n">
        <f aca="false">'STUDENT SCREENING'!U98</f>
        <v>0</v>
      </c>
      <c r="M98" s="57" t="n">
        <f aca="false">'STUDENT SCREENING'!V98</f>
        <v>0</v>
      </c>
      <c r="N98" s="57" t="str">
        <f aca="false">'STUDENT SCREENING'!BF98</f>
        <v/>
      </c>
      <c r="O98" s="57" t="str">
        <f aca="false">'STUDENT SCREENING'!BG98</f>
        <v/>
      </c>
      <c r="P98" s="57" t="str">
        <f aca="false">'STUDENT SCREENING'!BH98</f>
        <v/>
      </c>
      <c r="Q98" s="57" t="str">
        <f aca="false">'STUDENT SCREENING'!BI98</f>
        <v/>
      </c>
      <c r="R98" s="57" t="str">
        <f aca="false">'STUDENT SCREENING'!BJ98</f>
        <v/>
      </c>
      <c r="S98" s="57" t="str">
        <f aca="false">'STUDENT SCREENING'!BK98</f>
        <v/>
      </c>
      <c r="T98" s="57" t="str">
        <f aca="false">'STUDENT SCREENING'!BL98</f>
        <v/>
      </c>
      <c r="U98" s="57" t="str">
        <f aca="false">'STUDENT SCREENING'!BM98</f>
        <v/>
      </c>
      <c r="V98" s="57" t="str">
        <f aca="false">'STUDENT SCREENING'!BN98</f>
        <v/>
      </c>
      <c r="W98" s="57" t="str">
        <f aca="false">'STUDENT SCREENING'!BO98</f>
        <v/>
      </c>
      <c r="X98" s="57" t="str">
        <f aca="false">IF('STUDENT SCREENING'!W98="","",IFERROR(INDEX('SCORING MASTER'!$D$5:$D$7,MATCH('STUDENT SCREENING'!W98,'SCORING MASTER'!$C$5:$C$7,0)),""))</f>
        <v/>
      </c>
      <c r="Y98" s="57" t="str">
        <f aca="false">IF('STUDENT SCREENING'!X98="","",IFERROR(INDEX('SCORING MASTER'!$D$9:$D$11,MATCH('STUDENT SCREENING'!X98,'SCORING MASTER'!$C$9:$C$11,0)),""))</f>
        <v/>
      </c>
      <c r="Z98" s="57" t="str">
        <f aca="false">IF('STUDENT SCREENING'!Y98="","",IFERROR(INDEX('SCORING MASTER'!$D$13:$D$15,MATCH('STUDENT SCREENING'!Y98,'SCORING MASTER'!$C$13:$C$15,0)),""))</f>
        <v/>
      </c>
      <c r="AA98" s="57" t="str">
        <f aca="false">IF('STUDENT SCREENING'!Z98="","",IFERROR(INDEX('SCORING MASTER'!$D$17:$D$19,MATCH('STUDENT SCREENING'!Z98,'SCORING MASTER'!$C$17:$C$19,0)),""))</f>
        <v/>
      </c>
      <c r="AB98" s="57" t="str">
        <f aca="false">IF('STUDENT SCREENING'!AA98="","",IFERROR(INDEX('SCORING MASTER'!$D$21:$D$23,MATCH('STUDENT SCREENING'!AA98,'SCORING MASTER'!$C$21:$C$23,0)),""))</f>
        <v/>
      </c>
      <c r="AC98" s="57" t="str">
        <f aca="false">IF('STUDENT SCREENING'!AB98="","",IFERROR(INDEX('SCORING MASTER'!$D$25:$D$27,MATCH('STUDENT SCREENING'!AB98,'SCORING MASTER'!$C$25:$C$27,0)),""))</f>
        <v/>
      </c>
      <c r="AD98" s="57" t="str">
        <f aca="false">IF('STUDENT SCREENING'!AC98="","",IFERROR(INDEX('SCORING MASTER'!$D$29:$D$31,MATCH('STUDENT SCREENING'!AC98,'SCORING MASTER'!$C$29:$C$31,0)),""))</f>
        <v/>
      </c>
      <c r="AE98" s="57" t="str">
        <f aca="false">IF('STUDENT SCREENING'!AD98="","",IFERROR(INDEX('SCORING MASTER'!$D$33:$D$35,MATCH('STUDENT SCREENING'!AD98,'SCORING MASTER'!$C$33:$C$35,0)),""))</f>
        <v/>
      </c>
      <c r="AF98" s="57" t="str">
        <f aca="false">IF('STUDENT SCREENING'!AE98="","",IFERROR(INDEX('SCORING MASTER'!$D$37:$D$39,MATCH('STUDENT SCREENING'!AE98,'SCORING MASTER'!$C$37:$C$39,0)),""))</f>
        <v/>
      </c>
      <c r="AG98" s="57" t="str">
        <f aca="false">IF('STUDENT SCREENING'!AF98="","",IFERROR(INDEX('SCORING MASTER'!$D$41:$D$43,MATCH('STUDENT SCREENING'!AF98,'SCORING MASTER'!$C$41:$C$43,0)),""))</f>
        <v/>
      </c>
      <c r="AH98" s="57" t="str">
        <f aca="false">IF('STUDENT SCREENING'!AG98="","",IFERROR(INDEX('SCORING MASTER'!$D$45:$D$47,MATCH('STUDENT SCREENING'!AG98,'SCORING MASTER'!$C$45:$C$47,0)),""))</f>
        <v/>
      </c>
      <c r="AI98" s="57" t="str">
        <f aca="false">IF('STUDENT SCREENING'!AH98="","",IFERROR(INDEX('SCORING MASTER'!$D$49:$D$52,MATCH('STUDENT SCREENING'!AH98,'SCORING MASTER'!$C$49:$C$52,0)),""))</f>
        <v/>
      </c>
      <c r="AJ98" s="57" t="str">
        <f aca="false">IF('STUDENT SCREENING'!AI98="","",IFERROR(INDEX('SCORING MASTER'!$D$54:$D$57,MATCH('STUDENT SCREENING'!AI98,'SCORING MASTER'!$C$54:$C$57,0)),""))</f>
        <v/>
      </c>
      <c r="AK98" s="57" t="str">
        <f aca="false">IF('STUDENT SCREENING'!AJ98="","",IFERROR(INDEX('SCORING MASTER'!$D$59:$D$60,MATCH('STUDENT SCREENING'!AJ98,'SCORING MASTER'!$C$59:$C$60,0)),""))</f>
        <v/>
      </c>
      <c r="AL98" s="57" t="str">
        <f aca="false">IF('STUDENT SCREENING'!AK98="","",IFERROR(INDEX('SCORING MASTER'!$D$62:$D$63,MATCH('STUDENT SCREENING'!AK98,'SCORING MASTER'!$C$62:$C$63,0)),""))</f>
        <v/>
      </c>
      <c r="AM98" s="57" t="str">
        <f aca="false">IF('STUDENT SCREENING'!AL98="","",IFERROR(INDEX('SCORING MASTER'!$D$65:$D$66,MATCH('STUDENT SCREENING'!AL98,'SCORING MASTER'!$C$65:$C$66,0)),""))</f>
        <v/>
      </c>
      <c r="AN98" s="57" t="str">
        <f aca="false">IF('STUDENT SCREENING'!AM98="","",IFERROR(INDEX('SCORING MASTER'!$D$68:$D$69,MATCH('STUDENT SCREENING'!AM98,'SCORING MASTER'!$C$68:$C$69,0)),""))</f>
        <v/>
      </c>
      <c r="AO98" s="57" t="str">
        <f aca="false">IF('STUDENT SCREENING'!AN98="","",IFERROR(INDEX('SCORING MASTER'!$D$71:$D$72,MATCH('STUDENT SCREENING'!AN98,'SCORING MASTER'!$C$71:$C$72,0)),""))</f>
        <v/>
      </c>
      <c r="AP98" s="57" t="str">
        <f aca="false">IF('STUDENT SCREENING'!AO98="","",IFERROR(INDEX('SCORING MASTER'!$D$74:$D$75,MATCH('STUDENT SCREENING'!AO98,'SCORING MASTER'!$C$74:$C$75,0)),""))</f>
        <v/>
      </c>
      <c r="AQ98" s="57" t="str">
        <f aca="false">IF('STUDENT SCREENING'!AP98="","",IFERROR(INDEX('SCORING MASTER'!$D$77:$D$78,MATCH('STUDENT SCREENING'!AP98,'SCORING MASTER'!$C$77:$C$78,0)),""))</f>
        <v/>
      </c>
      <c r="AR98" s="57" t="str">
        <f aca="false">IF('STUDENT SCREENING'!AQ98="","",IFERROR(INDEX('SCORING MASTER'!$D$80:$D$82,MATCH('STUDENT SCREENING'!AQ98,'SCORING MASTER'!$C$80:$C$82,0)),""))</f>
        <v/>
      </c>
      <c r="AS98" s="57" t="str">
        <f aca="false">IF('STUDENT SCREENING'!AR98="","",IFERROR(INDEX('SCORING MASTER'!$D$84:$D$86,MATCH('STUDENT SCREENING'!AR98,'SCORING MASTER'!$C$84:$C$86,0)),""))</f>
        <v/>
      </c>
      <c r="AT98" s="57" t="str">
        <f aca="false">IF('STUDENT SCREENING'!AS98="","",IFERROR(INDEX('SCORING MASTER'!$D$88:$D$90,MATCH('STUDENT SCREENING'!AS98,'SCORING MASTER'!$C$88:$C$90,0)),""))</f>
        <v/>
      </c>
      <c r="AU98" s="57" t="str">
        <f aca="false">IF('STUDENT SCREENING'!AT98="","",IFERROR(INDEX('SCORING MASTER'!$D$92:$D$93,MATCH('STUDENT SCREENING'!AT98,'SCORING MASTER'!$C$92:$C$93,0)),""))</f>
        <v/>
      </c>
      <c r="AV98" s="57" t="str">
        <f aca="false">IF('STUDENT SCREENING'!AU98="","",IFERROR(INDEX('SCORING MASTER'!$D$95:$D$96,MATCH('STUDENT SCREENING'!AU98,'SCORING MASTER'!$C$95:$C$96,0)),""))</f>
        <v/>
      </c>
      <c r="AW98" s="57" t="str">
        <f aca="false">IF('STUDENT SCREENING'!AV98="","",IFERROR(INDEX('SCORING MASTER'!$D$98:$D$99,MATCH('STUDENT SCREENING'!AV98,'SCORING MASTER'!$C$98:$C$99,0)),""))</f>
        <v/>
      </c>
      <c r="AX98" s="57" t="str">
        <f aca="false">IF('STUDENT SCREENING'!AW98="","",IFERROR(INDEX('SCORING MASTER'!$D$101:$D$102,MATCH('STUDENT SCREENING'!AW98,'SCORING MASTER'!$C$101:$C$102,0)),""))</f>
        <v/>
      </c>
      <c r="AY98" s="57" t="str">
        <f aca="false">IF('STUDENT SCREENING'!AX98="","",IFERROR(INDEX('SCORING MASTER'!$D$104:$D$105,MATCH('STUDENT SCREENING'!AX98,'SCORING MASTER'!$C$104:$C$105,0)),""))</f>
        <v/>
      </c>
      <c r="AZ98" s="57" t="str">
        <f aca="false">IF('STUDENT SCREENING'!AY98="","",IFERROR(INDEX('SCORING MASTER'!$D$107:$D$108,MATCH('STUDENT SCREENING'!AY98,'SCORING MASTER'!$C$107:$C$108,0)),""))</f>
        <v/>
      </c>
      <c r="BA98" s="57" t="str">
        <f aca="false">IF('STUDENT SCREENING'!AZ98="","",IFERROR(INDEX('SCORING MASTER'!$D$110:$D$111,MATCH('STUDENT SCREENING'!AZ98,'SCORING MASTER'!$C$110:$C$111,0)),""))</f>
        <v/>
      </c>
      <c r="BB98" s="57" t="str">
        <f aca="false">IF('STUDENT SCREENING'!BA98="","",IFERROR(INDEX('SCORING MASTER'!$D$113:$D$115,MATCH('STUDENT SCREENING'!BA98,'SCORING MASTER'!$C$113:$C$115,0)),""))</f>
        <v/>
      </c>
      <c r="BC98" s="57" t="str">
        <f aca="false">IF('STUDENT SCREENING'!BB98="","",IFERROR(INDEX('SCORING MASTER'!$D$117:$D$119,MATCH('STUDENT SCREENING'!BB98,'SCORING MASTER'!$C$117:$C$119,0)),""))</f>
        <v/>
      </c>
      <c r="BD98" s="57" t="str">
        <f aca="false">IF('STUDENT SCREENING'!BC98="","",IFERROR(INDEX('SCORING MASTER'!$D$121:$D$123,MATCH('STUDENT SCREENING'!BC98,'SCORING MASTER'!$C$121:$C$123,0)),""))</f>
        <v/>
      </c>
      <c r="BE98" s="57" t="str">
        <f aca="false">IF('STUDENT SCREENING'!BD98="","",IFERROR(INDEX('SCORING MASTER'!$D$125:$D$126,MATCH('STUDENT SCREENING'!BD98,'SCORING MASTER'!$C$125:$C$126,0)),""))</f>
        <v/>
      </c>
      <c r="BF98" s="57" t="str">
        <f aca="false">IF('STUDENT SCREENING'!BE98="","",IFERROR(INDEX('SCORING MASTER'!$D$128:$D$129,MATCH('STUDENT SCREENING'!BE98,'SCORING MASTER'!$C$128:$C$129,0)),""))</f>
        <v/>
      </c>
      <c r="BG98" s="57" t="str">
        <f aca="false">IF('STUDENT SCREENING'!BP98="","",IFERROR(MATCH('STUDENT SCREENING'!BP98,{"Red - High Risk","Orange - Moderate Risk","Yellow - Mild Risk","Light Green - Mild Watch","Green - Healthy"},0)-1,""))</f>
        <v/>
      </c>
      <c r="BH98" s="57" t="str">
        <f aca="false">IF('STUDENT SCREENING'!BQ98="","",IF('STUDENT SCREENING'!BQ98="Yes",1,0))</f>
        <v/>
      </c>
      <c r="BI98" s="57" t="str">
        <f aca="false">IF('STUDENT SCREENING'!BR98="","",IF('STUDENT SCREENING'!BR98="Yes",1,0))</f>
        <v/>
      </c>
    </row>
    <row r="99" customFormat="false" ht="15" hidden="false" customHeight="false" outlineLevel="0" collapsed="false">
      <c r="A99" s="58" t="str">
        <f aca="false">'STUDENT SCREENING'!A99</f>
        <v/>
      </c>
      <c r="B99" s="58" t="n">
        <f aca="false">'STUDENT SCREENING'!C99</f>
        <v>0</v>
      </c>
      <c r="C99" s="58" t="n">
        <f aca="false">'STUDENT SCREENING'!D99</f>
        <v>0</v>
      </c>
      <c r="D99" s="58" t="n">
        <f aca="false">'STUDENT SCREENING'!E99</f>
        <v>0</v>
      </c>
      <c r="E99" s="58" t="n">
        <f aca="false">'STUDENT SCREENING'!F99</f>
        <v>0</v>
      </c>
      <c r="F99" s="58" t="n">
        <f aca="false">'STUDENT SCREENING'!K99</f>
        <v>0</v>
      </c>
      <c r="G99" s="58" t="n">
        <f aca="false">'STUDENT SCREENING'!J99</f>
        <v>0</v>
      </c>
      <c r="H99" s="58" t="str">
        <f aca="false">IF('STUDENT SCREENING'!K99="","",IFERROR(MATCH('STUDENT SCREENING'!K99,Adm_Gender,0),""))</f>
        <v/>
      </c>
      <c r="I99" s="58" t="n">
        <f aca="false">'STUDENT SCREENING'!Q99</f>
        <v>0</v>
      </c>
      <c r="J99" s="58" t="n">
        <f aca="false">'STUDENT SCREENING'!R99</f>
        <v>0</v>
      </c>
      <c r="K99" s="58" t="str">
        <f aca="false">'STUDENT SCREENING'!S99</f>
        <v/>
      </c>
      <c r="L99" s="58" t="n">
        <f aca="false">'STUDENT SCREENING'!U99</f>
        <v>0</v>
      </c>
      <c r="M99" s="58" t="n">
        <f aca="false">'STUDENT SCREENING'!V99</f>
        <v>0</v>
      </c>
      <c r="N99" s="58" t="str">
        <f aca="false">'STUDENT SCREENING'!BF99</f>
        <v/>
      </c>
      <c r="O99" s="58" t="str">
        <f aca="false">'STUDENT SCREENING'!BG99</f>
        <v/>
      </c>
      <c r="P99" s="58" t="str">
        <f aca="false">'STUDENT SCREENING'!BH99</f>
        <v/>
      </c>
      <c r="Q99" s="58" t="str">
        <f aca="false">'STUDENT SCREENING'!BI99</f>
        <v/>
      </c>
      <c r="R99" s="58" t="str">
        <f aca="false">'STUDENT SCREENING'!BJ99</f>
        <v/>
      </c>
      <c r="S99" s="58" t="str">
        <f aca="false">'STUDENT SCREENING'!BK99</f>
        <v/>
      </c>
      <c r="T99" s="58" t="str">
        <f aca="false">'STUDENT SCREENING'!BL99</f>
        <v/>
      </c>
      <c r="U99" s="58" t="str">
        <f aca="false">'STUDENT SCREENING'!BM99</f>
        <v/>
      </c>
      <c r="V99" s="58" t="str">
        <f aca="false">'STUDENT SCREENING'!BN99</f>
        <v/>
      </c>
      <c r="W99" s="58" t="str">
        <f aca="false">'STUDENT SCREENING'!BO99</f>
        <v/>
      </c>
      <c r="X99" s="58" t="str">
        <f aca="false">IF('STUDENT SCREENING'!W99="","",IFERROR(INDEX('SCORING MASTER'!$D$5:$D$7,MATCH('STUDENT SCREENING'!W99,'SCORING MASTER'!$C$5:$C$7,0)),""))</f>
        <v/>
      </c>
      <c r="Y99" s="58" t="str">
        <f aca="false">IF('STUDENT SCREENING'!X99="","",IFERROR(INDEX('SCORING MASTER'!$D$9:$D$11,MATCH('STUDENT SCREENING'!X99,'SCORING MASTER'!$C$9:$C$11,0)),""))</f>
        <v/>
      </c>
      <c r="Z99" s="58" t="str">
        <f aca="false">IF('STUDENT SCREENING'!Y99="","",IFERROR(INDEX('SCORING MASTER'!$D$13:$D$15,MATCH('STUDENT SCREENING'!Y99,'SCORING MASTER'!$C$13:$C$15,0)),""))</f>
        <v/>
      </c>
      <c r="AA99" s="58" t="str">
        <f aca="false">IF('STUDENT SCREENING'!Z99="","",IFERROR(INDEX('SCORING MASTER'!$D$17:$D$19,MATCH('STUDENT SCREENING'!Z99,'SCORING MASTER'!$C$17:$C$19,0)),""))</f>
        <v/>
      </c>
      <c r="AB99" s="58" t="str">
        <f aca="false">IF('STUDENT SCREENING'!AA99="","",IFERROR(INDEX('SCORING MASTER'!$D$21:$D$23,MATCH('STUDENT SCREENING'!AA99,'SCORING MASTER'!$C$21:$C$23,0)),""))</f>
        <v/>
      </c>
      <c r="AC99" s="58" t="str">
        <f aca="false">IF('STUDENT SCREENING'!AB99="","",IFERROR(INDEX('SCORING MASTER'!$D$25:$D$27,MATCH('STUDENT SCREENING'!AB99,'SCORING MASTER'!$C$25:$C$27,0)),""))</f>
        <v/>
      </c>
      <c r="AD99" s="58" t="str">
        <f aca="false">IF('STUDENT SCREENING'!AC99="","",IFERROR(INDEX('SCORING MASTER'!$D$29:$D$31,MATCH('STUDENT SCREENING'!AC99,'SCORING MASTER'!$C$29:$C$31,0)),""))</f>
        <v/>
      </c>
      <c r="AE99" s="58" t="str">
        <f aca="false">IF('STUDENT SCREENING'!AD99="","",IFERROR(INDEX('SCORING MASTER'!$D$33:$D$35,MATCH('STUDENT SCREENING'!AD99,'SCORING MASTER'!$C$33:$C$35,0)),""))</f>
        <v/>
      </c>
      <c r="AF99" s="58" t="str">
        <f aca="false">IF('STUDENT SCREENING'!AE99="","",IFERROR(INDEX('SCORING MASTER'!$D$37:$D$39,MATCH('STUDENT SCREENING'!AE99,'SCORING MASTER'!$C$37:$C$39,0)),""))</f>
        <v/>
      </c>
      <c r="AG99" s="58" t="str">
        <f aca="false">IF('STUDENT SCREENING'!AF99="","",IFERROR(INDEX('SCORING MASTER'!$D$41:$D$43,MATCH('STUDENT SCREENING'!AF99,'SCORING MASTER'!$C$41:$C$43,0)),""))</f>
        <v/>
      </c>
      <c r="AH99" s="58" t="str">
        <f aca="false">IF('STUDENT SCREENING'!AG99="","",IFERROR(INDEX('SCORING MASTER'!$D$45:$D$47,MATCH('STUDENT SCREENING'!AG99,'SCORING MASTER'!$C$45:$C$47,0)),""))</f>
        <v/>
      </c>
      <c r="AI99" s="58" t="str">
        <f aca="false">IF('STUDENT SCREENING'!AH99="","",IFERROR(INDEX('SCORING MASTER'!$D$49:$D$52,MATCH('STUDENT SCREENING'!AH99,'SCORING MASTER'!$C$49:$C$52,0)),""))</f>
        <v/>
      </c>
      <c r="AJ99" s="58" t="str">
        <f aca="false">IF('STUDENT SCREENING'!AI99="","",IFERROR(INDEX('SCORING MASTER'!$D$54:$D$57,MATCH('STUDENT SCREENING'!AI99,'SCORING MASTER'!$C$54:$C$57,0)),""))</f>
        <v/>
      </c>
      <c r="AK99" s="58" t="str">
        <f aca="false">IF('STUDENT SCREENING'!AJ99="","",IFERROR(INDEX('SCORING MASTER'!$D$59:$D$60,MATCH('STUDENT SCREENING'!AJ99,'SCORING MASTER'!$C$59:$C$60,0)),""))</f>
        <v/>
      </c>
      <c r="AL99" s="58" t="str">
        <f aca="false">IF('STUDENT SCREENING'!AK99="","",IFERROR(INDEX('SCORING MASTER'!$D$62:$D$63,MATCH('STUDENT SCREENING'!AK99,'SCORING MASTER'!$C$62:$C$63,0)),""))</f>
        <v/>
      </c>
      <c r="AM99" s="58" t="str">
        <f aca="false">IF('STUDENT SCREENING'!AL99="","",IFERROR(INDEX('SCORING MASTER'!$D$65:$D$66,MATCH('STUDENT SCREENING'!AL99,'SCORING MASTER'!$C$65:$C$66,0)),""))</f>
        <v/>
      </c>
      <c r="AN99" s="58" t="str">
        <f aca="false">IF('STUDENT SCREENING'!AM99="","",IFERROR(INDEX('SCORING MASTER'!$D$68:$D$69,MATCH('STUDENT SCREENING'!AM99,'SCORING MASTER'!$C$68:$C$69,0)),""))</f>
        <v/>
      </c>
      <c r="AO99" s="58" t="str">
        <f aca="false">IF('STUDENT SCREENING'!AN99="","",IFERROR(INDEX('SCORING MASTER'!$D$71:$D$72,MATCH('STUDENT SCREENING'!AN99,'SCORING MASTER'!$C$71:$C$72,0)),""))</f>
        <v/>
      </c>
      <c r="AP99" s="58" t="str">
        <f aca="false">IF('STUDENT SCREENING'!AO99="","",IFERROR(INDEX('SCORING MASTER'!$D$74:$D$75,MATCH('STUDENT SCREENING'!AO99,'SCORING MASTER'!$C$74:$C$75,0)),""))</f>
        <v/>
      </c>
      <c r="AQ99" s="58" t="str">
        <f aca="false">IF('STUDENT SCREENING'!AP99="","",IFERROR(INDEX('SCORING MASTER'!$D$77:$D$78,MATCH('STUDENT SCREENING'!AP99,'SCORING MASTER'!$C$77:$C$78,0)),""))</f>
        <v/>
      </c>
      <c r="AR99" s="58" t="str">
        <f aca="false">IF('STUDENT SCREENING'!AQ99="","",IFERROR(INDEX('SCORING MASTER'!$D$80:$D$82,MATCH('STUDENT SCREENING'!AQ99,'SCORING MASTER'!$C$80:$C$82,0)),""))</f>
        <v/>
      </c>
      <c r="AS99" s="58" t="str">
        <f aca="false">IF('STUDENT SCREENING'!AR99="","",IFERROR(INDEX('SCORING MASTER'!$D$84:$D$86,MATCH('STUDENT SCREENING'!AR99,'SCORING MASTER'!$C$84:$C$86,0)),""))</f>
        <v/>
      </c>
      <c r="AT99" s="58" t="str">
        <f aca="false">IF('STUDENT SCREENING'!AS99="","",IFERROR(INDEX('SCORING MASTER'!$D$88:$D$90,MATCH('STUDENT SCREENING'!AS99,'SCORING MASTER'!$C$88:$C$90,0)),""))</f>
        <v/>
      </c>
      <c r="AU99" s="58" t="str">
        <f aca="false">IF('STUDENT SCREENING'!AT99="","",IFERROR(INDEX('SCORING MASTER'!$D$92:$D$93,MATCH('STUDENT SCREENING'!AT99,'SCORING MASTER'!$C$92:$C$93,0)),""))</f>
        <v/>
      </c>
      <c r="AV99" s="58" t="str">
        <f aca="false">IF('STUDENT SCREENING'!AU99="","",IFERROR(INDEX('SCORING MASTER'!$D$95:$D$96,MATCH('STUDENT SCREENING'!AU99,'SCORING MASTER'!$C$95:$C$96,0)),""))</f>
        <v/>
      </c>
      <c r="AW99" s="58" t="str">
        <f aca="false">IF('STUDENT SCREENING'!AV99="","",IFERROR(INDEX('SCORING MASTER'!$D$98:$D$99,MATCH('STUDENT SCREENING'!AV99,'SCORING MASTER'!$C$98:$C$99,0)),""))</f>
        <v/>
      </c>
      <c r="AX99" s="58" t="str">
        <f aca="false">IF('STUDENT SCREENING'!AW99="","",IFERROR(INDEX('SCORING MASTER'!$D$101:$D$102,MATCH('STUDENT SCREENING'!AW99,'SCORING MASTER'!$C$101:$C$102,0)),""))</f>
        <v/>
      </c>
      <c r="AY99" s="58" t="str">
        <f aca="false">IF('STUDENT SCREENING'!AX99="","",IFERROR(INDEX('SCORING MASTER'!$D$104:$D$105,MATCH('STUDENT SCREENING'!AX99,'SCORING MASTER'!$C$104:$C$105,0)),""))</f>
        <v/>
      </c>
      <c r="AZ99" s="58" t="str">
        <f aca="false">IF('STUDENT SCREENING'!AY99="","",IFERROR(INDEX('SCORING MASTER'!$D$107:$D$108,MATCH('STUDENT SCREENING'!AY99,'SCORING MASTER'!$C$107:$C$108,0)),""))</f>
        <v/>
      </c>
      <c r="BA99" s="58" t="str">
        <f aca="false">IF('STUDENT SCREENING'!AZ99="","",IFERROR(INDEX('SCORING MASTER'!$D$110:$D$111,MATCH('STUDENT SCREENING'!AZ99,'SCORING MASTER'!$C$110:$C$111,0)),""))</f>
        <v/>
      </c>
      <c r="BB99" s="58" t="str">
        <f aca="false">IF('STUDENT SCREENING'!BA99="","",IFERROR(INDEX('SCORING MASTER'!$D$113:$D$115,MATCH('STUDENT SCREENING'!BA99,'SCORING MASTER'!$C$113:$C$115,0)),""))</f>
        <v/>
      </c>
      <c r="BC99" s="58" t="str">
        <f aca="false">IF('STUDENT SCREENING'!BB99="","",IFERROR(INDEX('SCORING MASTER'!$D$117:$D$119,MATCH('STUDENT SCREENING'!BB99,'SCORING MASTER'!$C$117:$C$119,0)),""))</f>
        <v/>
      </c>
      <c r="BD99" s="58" t="str">
        <f aca="false">IF('STUDENT SCREENING'!BC99="","",IFERROR(INDEX('SCORING MASTER'!$D$121:$D$123,MATCH('STUDENT SCREENING'!BC99,'SCORING MASTER'!$C$121:$C$123,0)),""))</f>
        <v/>
      </c>
      <c r="BE99" s="58" t="str">
        <f aca="false">IF('STUDENT SCREENING'!BD99="","",IFERROR(INDEX('SCORING MASTER'!$D$125:$D$126,MATCH('STUDENT SCREENING'!BD99,'SCORING MASTER'!$C$125:$C$126,0)),""))</f>
        <v/>
      </c>
      <c r="BF99" s="58" t="str">
        <f aca="false">IF('STUDENT SCREENING'!BE99="","",IFERROR(INDEX('SCORING MASTER'!$D$128:$D$129,MATCH('STUDENT SCREENING'!BE99,'SCORING MASTER'!$C$128:$C$129,0)),""))</f>
        <v/>
      </c>
      <c r="BG99" s="58" t="str">
        <f aca="false">IF('STUDENT SCREENING'!BP99="","",IFERROR(MATCH('STUDENT SCREENING'!BP99,{"Red - High Risk","Orange - Moderate Risk","Yellow - Mild Risk","Light Green - Mild Watch","Green - Healthy"},0)-1,""))</f>
        <v/>
      </c>
      <c r="BH99" s="58" t="str">
        <f aca="false">IF('STUDENT SCREENING'!BQ99="","",IF('STUDENT SCREENING'!BQ99="Yes",1,0))</f>
        <v/>
      </c>
      <c r="BI99" s="58" t="str">
        <f aca="false">IF('STUDENT SCREENING'!BR99="","",IF('STUDENT SCREENING'!BR99="Yes",1,0))</f>
        <v/>
      </c>
    </row>
    <row r="100" customFormat="false" ht="15" hidden="false" customHeight="false" outlineLevel="0" collapsed="false">
      <c r="A100" s="57" t="str">
        <f aca="false">'STUDENT SCREENING'!A100</f>
        <v/>
      </c>
      <c r="B100" s="57" t="n">
        <f aca="false">'STUDENT SCREENING'!C100</f>
        <v>0</v>
      </c>
      <c r="C100" s="57" t="n">
        <f aca="false">'STUDENT SCREENING'!D100</f>
        <v>0</v>
      </c>
      <c r="D100" s="57" t="n">
        <f aca="false">'STUDENT SCREENING'!E100</f>
        <v>0</v>
      </c>
      <c r="E100" s="57" t="n">
        <f aca="false">'STUDENT SCREENING'!F100</f>
        <v>0</v>
      </c>
      <c r="F100" s="57" t="n">
        <f aca="false">'STUDENT SCREENING'!K100</f>
        <v>0</v>
      </c>
      <c r="G100" s="57" t="n">
        <f aca="false">'STUDENT SCREENING'!J100</f>
        <v>0</v>
      </c>
      <c r="H100" s="57" t="str">
        <f aca="false">IF('STUDENT SCREENING'!K100="","",IFERROR(MATCH('STUDENT SCREENING'!K100,Adm_Gender,0),""))</f>
        <v/>
      </c>
      <c r="I100" s="57" t="n">
        <f aca="false">'STUDENT SCREENING'!Q100</f>
        <v>0</v>
      </c>
      <c r="J100" s="57" t="n">
        <f aca="false">'STUDENT SCREENING'!R100</f>
        <v>0</v>
      </c>
      <c r="K100" s="57" t="str">
        <f aca="false">'STUDENT SCREENING'!S100</f>
        <v/>
      </c>
      <c r="L100" s="57" t="n">
        <f aca="false">'STUDENT SCREENING'!U100</f>
        <v>0</v>
      </c>
      <c r="M100" s="57" t="n">
        <f aca="false">'STUDENT SCREENING'!V100</f>
        <v>0</v>
      </c>
      <c r="N100" s="57" t="str">
        <f aca="false">'STUDENT SCREENING'!BF100</f>
        <v/>
      </c>
      <c r="O100" s="57" t="str">
        <f aca="false">'STUDENT SCREENING'!BG100</f>
        <v/>
      </c>
      <c r="P100" s="57" t="str">
        <f aca="false">'STUDENT SCREENING'!BH100</f>
        <v/>
      </c>
      <c r="Q100" s="57" t="str">
        <f aca="false">'STUDENT SCREENING'!BI100</f>
        <v/>
      </c>
      <c r="R100" s="57" t="str">
        <f aca="false">'STUDENT SCREENING'!BJ100</f>
        <v/>
      </c>
      <c r="S100" s="57" t="str">
        <f aca="false">'STUDENT SCREENING'!BK100</f>
        <v/>
      </c>
      <c r="T100" s="57" t="str">
        <f aca="false">'STUDENT SCREENING'!BL100</f>
        <v/>
      </c>
      <c r="U100" s="57" t="str">
        <f aca="false">'STUDENT SCREENING'!BM100</f>
        <v/>
      </c>
      <c r="V100" s="57" t="str">
        <f aca="false">'STUDENT SCREENING'!BN100</f>
        <v/>
      </c>
      <c r="W100" s="57" t="str">
        <f aca="false">'STUDENT SCREENING'!BO100</f>
        <v/>
      </c>
      <c r="X100" s="57" t="str">
        <f aca="false">IF('STUDENT SCREENING'!W100="","",IFERROR(INDEX('SCORING MASTER'!$D$5:$D$7,MATCH('STUDENT SCREENING'!W100,'SCORING MASTER'!$C$5:$C$7,0)),""))</f>
        <v/>
      </c>
      <c r="Y100" s="57" t="str">
        <f aca="false">IF('STUDENT SCREENING'!X100="","",IFERROR(INDEX('SCORING MASTER'!$D$9:$D$11,MATCH('STUDENT SCREENING'!X100,'SCORING MASTER'!$C$9:$C$11,0)),""))</f>
        <v/>
      </c>
      <c r="Z100" s="57" t="str">
        <f aca="false">IF('STUDENT SCREENING'!Y100="","",IFERROR(INDEX('SCORING MASTER'!$D$13:$D$15,MATCH('STUDENT SCREENING'!Y100,'SCORING MASTER'!$C$13:$C$15,0)),""))</f>
        <v/>
      </c>
      <c r="AA100" s="57" t="str">
        <f aca="false">IF('STUDENT SCREENING'!Z100="","",IFERROR(INDEX('SCORING MASTER'!$D$17:$D$19,MATCH('STUDENT SCREENING'!Z100,'SCORING MASTER'!$C$17:$C$19,0)),""))</f>
        <v/>
      </c>
      <c r="AB100" s="57" t="str">
        <f aca="false">IF('STUDENT SCREENING'!AA100="","",IFERROR(INDEX('SCORING MASTER'!$D$21:$D$23,MATCH('STUDENT SCREENING'!AA100,'SCORING MASTER'!$C$21:$C$23,0)),""))</f>
        <v/>
      </c>
      <c r="AC100" s="57" t="str">
        <f aca="false">IF('STUDENT SCREENING'!AB100="","",IFERROR(INDEX('SCORING MASTER'!$D$25:$D$27,MATCH('STUDENT SCREENING'!AB100,'SCORING MASTER'!$C$25:$C$27,0)),""))</f>
        <v/>
      </c>
      <c r="AD100" s="57" t="str">
        <f aca="false">IF('STUDENT SCREENING'!AC100="","",IFERROR(INDEX('SCORING MASTER'!$D$29:$D$31,MATCH('STUDENT SCREENING'!AC100,'SCORING MASTER'!$C$29:$C$31,0)),""))</f>
        <v/>
      </c>
      <c r="AE100" s="57" t="str">
        <f aca="false">IF('STUDENT SCREENING'!AD100="","",IFERROR(INDEX('SCORING MASTER'!$D$33:$D$35,MATCH('STUDENT SCREENING'!AD100,'SCORING MASTER'!$C$33:$C$35,0)),""))</f>
        <v/>
      </c>
      <c r="AF100" s="57" t="str">
        <f aca="false">IF('STUDENT SCREENING'!AE100="","",IFERROR(INDEX('SCORING MASTER'!$D$37:$D$39,MATCH('STUDENT SCREENING'!AE100,'SCORING MASTER'!$C$37:$C$39,0)),""))</f>
        <v/>
      </c>
      <c r="AG100" s="57" t="str">
        <f aca="false">IF('STUDENT SCREENING'!AF100="","",IFERROR(INDEX('SCORING MASTER'!$D$41:$D$43,MATCH('STUDENT SCREENING'!AF100,'SCORING MASTER'!$C$41:$C$43,0)),""))</f>
        <v/>
      </c>
      <c r="AH100" s="57" t="str">
        <f aca="false">IF('STUDENT SCREENING'!AG100="","",IFERROR(INDEX('SCORING MASTER'!$D$45:$D$47,MATCH('STUDENT SCREENING'!AG100,'SCORING MASTER'!$C$45:$C$47,0)),""))</f>
        <v/>
      </c>
      <c r="AI100" s="57" t="str">
        <f aca="false">IF('STUDENT SCREENING'!AH100="","",IFERROR(INDEX('SCORING MASTER'!$D$49:$D$52,MATCH('STUDENT SCREENING'!AH100,'SCORING MASTER'!$C$49:$C$52,0)),""))</f>
        <v/>
      </c>
      <c r="AJ100" s="57" t="str">
        <f aca="false">IF('STUDENT SCREENING'!AI100="","",IFERROR(INDEX('SCORING MASTER'!$D$54:$D$57,MATCH('STUDENT SCREENING'!AI100,'SCORING MASTER'!$C$54:$C$57,0)),""))</f>
        <v/>
      </c>
      <c r="AK100" s="57" t="str">
        <f aca="false">IF('STUDENT SCREENING'!AJ100="","",IFERROR(INDEX('SCORING MASTER'!$D$59:$D$60,MATCH('STUDENT SCREENING'!AJ100,'SCORING MASTER'!$C$59:$C$60,0)),""))</f>
        <v/>
      </c>
      <c r="AL100" s="57" t="str">
        <f aca="false">IF('STUDENT SCREENING'!AK100="","",IFERROR(INDEX('SCORING MASTER'!$D$62:$D$63,MATCH('STUDENT SCREENING'!AK100,'SCORING MASTER'!$C$62:$C$63,0)),""))</f>
        <v/>
      </c>
      <c r="AM100" s="57" t="str">
        <f aca="false">IF('STUDENT SCREENING'!AL100="","",IFERROR(INDEX('SCORING MASTER'!$D$65:$D$66,MATCH('STUDENT SCREENING'!AL100,'SCORING MASTER'!$C$65:$C$66,0)),""))</f>
        <v/>
      </c>
      <c r="AN100" s="57" t="str">
        <f aca="false">IF('STUDENT SCREENING'!AM100="","",IFERROR(INDEX('SCORING MASTER'!$D$68:$D$69,MATCH('STUDENT SCREENING'!AM100,'SCORING MASTER'!$C$68:$C$69,0)),""))</f>
        <v/>
      </c>
      <c r="AO100" s="57" t="str">
        <f aca="false">IF('STUDENT SCREENING'!AN100="","",IFERROR(INDEX('SCORING MASTER'!$D$71:$D$72,MATCH('STUDENT SCREENING'!AN100,'SCORING MASTER'!$C$71:$C$72,0)),""))</f>
        <v/>
      </c>
      <c r="AP100" s="57" t="str">
        <f aca="false">IF('STUDENT SCREENING'!AO100="","",IFERROR(INDEX('SCORING MASTER'!$D$74:$D$75,MATCH('STUDENT SCREENING'!AO100,'SCORING MASTER'!$C$74:$C$75,0)),""))</f>
        <v/>
      </c>
      <c r="AQ100" s="57" t="str">
        <f aca="false">IF('STUDENT SCREENING'!AP100="","",IFERROR(INDEX('SCORING MASTER'!$D$77:$D$78,MATCH('STUDENT SCREENING'!AP100,'SCORING MASTER'!$C$77:$C$78,0)),""))</f>
        <v/>
      </c>
      <c r="AR100" s="57" t="str">
        <f aca="false">IF('STUDENT SCREENING'!AQ100="","",IFERROR(INDEX('SCORING MASTER'!$D$80:$D$82,MATCH('STUDENT SCREENING'!AQ100,'SCORING MASTER'!$C$80:$C$82,0)),""))</f>
        <v/>
      </c>
      <c r="AS100" s="57" t="str">
        <f aca="false">IF('STUDENT SCREENING'!AR100="","",IFERROR(INDEX('SCORING MASTER'!$D$84:$D$86,MATCH('STUDENT SCREENING'!AR100,'SCORING MASTER'!$C$84:$C$86,0)),""))</f>
        <v/>
      </c>
      <c r="AT100" s="57" t="str">
        <f aca="false">IF('STUDENT SCREENING'!AS100="","",IFERROR(INDEX('SCORING MASTER'!$D$88:$D$90,MATCH('STUDENT SCREENING'!AS100,'SCORING MASTER'!$C$88:$C$90,0)),""))</f>
        <v/>
      </c>
      <c r="AU100" s="57" t="str">
        <f aca="false">IF('STUDENT SCREENING'!AT100="","",IFERROR(INDEX('SCORING MASTER'!$D$92:$D$93,MATCH('STUDENT SCREENING'!AT100,'SCORING MASTER'!$C$92:$C$93,0)),""))</f>
        <v/>
      </c>
      <c r="AV100" s="57" t="str">
        <f aca="false">IF('STUDENT SCREENING'!AU100="","",IFERROR(INDEX('SCORING MASTER'!$D$95:$D$96,MATCH('STUDENT SCREENING'!AU100,'SCORING MASTER'!$C$95:$C$96,0)),""))</f>
        <v/>
      </c>
      <c r="AW100" s="57" t="str">
        <f aca="false">IF('STUDENT SCREENING'!AV100="","",IFERROR(INDEX('SCORING MASTER'!$D$98:$D$99,MATCH('STUDENT SCREENING'!AV100,'SCORING MASTER'!$C$98:$C$99,0)),""))</f>
        <v/>
      </c>
      <c r="AX100" s="57" t="str">
        <f aca="false">IF('STUDENT SCREENING'!AW100="","",IFERROR(INDEX('SCORING MASTER'!$D$101:$D$102,MATCH('STUDENT SCREENING'!AW100,'SCORING MASTER'!$C$101:$C$102,0)),""))</f>
        <v/>
      </c>
      <c r="AY100" s="57" t="str">
        <f aca="false">IF('STUDENT SCREENING'!AX100="","",IFERROR(INDEX('SCORING MASTER'!$D$104:$D$105,MATCH('STUDENT SCREENING'!AX100,'SCORING MASTER'!$C$104:$C$105,0)),""))</f>
        <v/>
      </c>
      <c r="AZ100" s="57" t="str">
        <f aca="false">IF('STUDENT SCREENING'!AY100="","",IFERROR(INDEX('SCORING MASTER'!$D$107:$D$108,MATCH('STUDENT SCREENING'!AY100,'SCORING MASTER'!$C$107:$C$108,0)),""))</f>
        <v/>
      </c>
      <c r="BA100" s="57" t="str">
        <f aca="false">IF('STUDENT SCREENING'!AZ100="","",IFERROR(INDEX('SCORING MASTER'!$D$110:$D$111,MATCH('STUDENT SCREENING'!AZ100,'SCORING MASTER'!$C$110:$C$111,0)),""))</f>
        <v/>
      </c>
      <c r="BB100" s="57" t="str">
        <f aca="false">IF('STUDENT SCREENING'!BA100="","",IFERROR(INDEX('SCORING MASTER'!$D$113:$D$115,MATCH('STUDENT SCREENING'!BA100,'SCORING MASTER'!$C$113:$C$115,0)),""))</f>
        <v/>
      </c>
      <c r="BC100" s="57" t="str">
        <f aca="false">IF('STUDENT SCREENING'!BB100="","",IFERROR(INDEX('SCORING MASTER'!$D$117:$D$119,MATCH('STUDENT SCREENING'!BB100,'SCORING MASTER'!$C$117:$C$119,0)),""))</f>
        <v/>
      </c>
      <c r="BD100" s="57" t="str">
        <f aca="false">IF('STUDENT SCREENING'!BC100="","",IFERROR(INDEX('SCORING MASTER'!$D$121:$D$123,MATCH('STUDENT SCREENING'!BC100,'SCORING MASTER'!$C$121:$C$123,0)),""))</f>
        <v/>
      </c>
      <c r="BE100" s="57" t="str">
        <f aca="false">IF('STUDENT SCREENING'!BD100="","",IFERROR(INDEX('SCORING MASTER'!$D$125:$D$126,MATCH('STUDENT SCREENING'!BD100,'SCORING MASTER'!$C$125:$C$126,0)),""))</f>
        <v/>
      </c>
      <c r="BF100" s="57" t="str">
        <f aca="false">IF('STUDENT SCREENING'!BE100="","",IFERROR(INDEX('SCORING MASTER'!$D$128:$D$129,MATCH('STUDENT SCREENING'!BE100,'SCORING MASTER'!$C$128:$C$129,0)),""))</f>
        <v/>
      </c>
      <c r="BG100" s="57" t="str">
        <f aca="false">IF('STUDENT SCREENING'!BP100="","",IFERROR(MATCH('STUDENT SCREENING'!BP100,{"Red - High Risk","Orange - Moderate Risk","Yellow - Mild Risk","Light Green - Mild Watch","Green - Healthy"},0)-1,""))</f>
        <v/>
      </c>
      <c r="BH100" s="57" t="str">
        <f aca="false">IF('STUDENT SCREENING'!BQ100="","",IF('STUDENT SCREENING'!BQ100="Yes",1,0))</f>
        <v/>
      </c>
      <c r="BI100" s="57" t="str">
        <f aca="false">IF('STUDENT SCREENING'!BR100="","",IF('STUDENT SCREENING'!BR100="Yes",1,0))</f>
        <v/>
      </c>
    </row>
    <row r="101" customFormat="false" ht="15" hidden="false" customHeight="false" outlineLevel="0" collapsed="false">
      <c r="A101" s="58" t="str">
        <f aca="false">'STUDENT SCREENING'!A101</f>
        <v/>
      </c>
      <c r="B101" s="58" t="n">
        <f aca="false">'STUDENT SCREENING'!C101</f>
        <v>0</v>
      </c>
      <c r="C101" s="58" t="n">
        <f aca="false">'STUDENT SCREENING'!D101</f>
        <v>0</v>
      </c>
      <c r="D101" s="58" t="n">
        <f aca="false">'STUDENT SCREENING'!E101</f>
        <v>0</v>
      </c>
      <c r="E101" s="58" t="n">
        <f aca="false">'STUDENT SCREENING'!F101</f>
        <v>0</v>
      </c>
      <c r="F101" s="58" t="n">
        <f aca="false">'STUDENT SCREENING'!K101</f>
        <v>0</v>
      </c>
      <c r="G101" s="58" t="n">
        <f aca="false">'STUDENT SCREENING'!J101</f>
        <v>0</v>
      </c>
      <c r="H101" s="58" t="str">
        <f aca="false">IF('STUDENT SCREENING'!K101="","",IFERROR(MATCH('STUDENT SCREENING'!K101,Adm_Gender,0),""))</f>
        <v/>
      </c>
      <c r="I101" s="58" t="n">
        <f aca="false">'STUDENT SCREENING'!Q101</f>
        <v>0</v>
      </c>
      <c r="J101" s="58" t="n">
        <f aca="false">'STUDENT SCREENING'!R101</f>
        <v>0</v>
      </c>
      <c r="K101" s="58" t="str">
        <f aca="false">'STUDENT SCREENING'!S101</f>
        <v/>
      </c>
      <c r="L101" s="58" t="n">
        <f aca="false">'STUDENT SCREENING'!U101</f>
        <v>0</v>
      </c>
      <c r="M101" s="58" t="n">
        <f aca="false">'STUDENT SCREENING'!V101</f>
        <v>0</v>
      </c>
      <c r="N101" s="58" t="str">
        <f aca="false">'STUDENT SCREENING'!BF101</f>
        <v/>
      </c>
      <c r="O101" s="58" t="str">
        <f aca="false">'STUDENT SCREENING'!BG101</f>
        <v/>
      </c>
      <c r="P101" s="58" t="str">
        <f aca="false">'STUDENT SCREENING'!BH101</f>
        <v/>
      </c>
      <c r="Q101" s="58" t="str">
        <f aca="false">'STUDENT SCREENING'!BI101</f>
        <v/>
      </c>
      <c r="R101" s="58" t="str">
        <f aca="false">'STUDENT SCREENING'!BJ101</f>
        <v/>
      </c>
      <c r="S101" s="58" t="str">
        <f aca="false">'STUDENT SCREENING'!BK101</f>
        <v/>
      </c>
      <c r="T101" s="58" t="str">
        <f aca="false">'STUDENT SCREENING'!BL101</f>
        <v/>
      </c>
      <c r="U101" s="58" t="str">
        <f aca="false">'STUDENT SCREENING'!BM101</f>
        <v/>
      </c>
      <c r="V101" s="58" t="str">
        <f aca="false">'STUDENT SCREENING'!BN101</f>
        <v/>
      </c>
      <c r="W101" s="58" t="str">
        <f aca="false">'STUDENT SCREENING'!BO101</f>
        <v/>
      </c>
      <c r="X101" s="58" t="str">
        <f aca="false">IF('STUDENT SCREENING'!W101="","",IFERROR(INDEX('SCORING MASTER'!$D$5:$D$7,MATCH('STUDENT SCREENING'!W101,'SCORING MASTER'!$C$5:$C$7,0)),""))</f>
        <v/>
      </c>
      <c r="Y101" s="58" t="str">
        <f aca="false">IF('STUDENT SCREENING'!X101="","",IFERROR(INDEX('SCORING MASTER'!$D$9:$D$11,MATCH('STUDENT SCREENING'!X101,'SCORING MASTER'!$C$9:$C$11,0)),""))</f>
        <v/>
      </c>
      <c r="Z101" s="58" t="str">
        <f aca="false">IF('STUDENT SCREENING'!Y101="","",IFERROR(INDEX('SCORING MASTER'!$D$13:$D$15,MATCH('STUDENT SCREENING'!Y101,'SCORING MASTER'!$C$13:$C$15,0)),""))</f>
        <v/>
      </c>
      <c r="AA101" s="58" t="str">
        <f aca="false">IF('STUDENT SCREENING'!Z101="","",IFERROR(INDEX('SCORING MASTER'!$D$17:$D$19,MATCH('STUDENT SCREENING'!Z101,'SCORING MASTER'!$C$17:$C$19,0)),""))</f>
        <v/>
      </c>
      <c r="AB101" s="58" t="str">
        <f aca="false">IF('STUDENT SCREENING'!AA101="","",IFERROR(INDEX('SCORING MASTER'!$D$21:$D$23,MATCH('STUDENT SCREENING'!AA101,'SCORING MASTER'!$C$21:$C$23,0)),""))</f>
        <v/>
      </c>
      <c r="AC101" s="58" t="str">
        <f aca="false">IF('STUDENT SCREENING'!AB101="","",IFERROR(INDEX('SCORING MASTER'!$D$25:$D$27,MATCH('STUDENT SCREENING'!AB101,'SCORING MASTER'!$C$25:$C$27,0)),""))</f>
        <v/>
      </c>
      <c r="AD101" s="58" t="str">
        <f aca="false">IF('STUDENT SCREENING'!AC101="","",IFERROR(INDEX('SCORING MASTER'!$D$29:$D$31,MATCH('STUDENT SCREENING'!AC101,'SCORING MASTER'!$C$29:$C$31,0)),""))</f>
        <v/>
      </c>
      <c r="AE101" s="58" t="str">
        <f aca="false">IF('STUDENT SCREENING'!AD101="","",IFERROR(INDEX('SCORING MASTER'!$D$33:$D$35,MATCH('STUDENT SCREENING'!AD101,'SCORING MASTER'!$C$33:$C$35,0)),""))</f>
        <v/>
      </c>
      <c r="AF101" s="58" t="str">
        <f aca="false">IF('STUDENT SCREENING'!AE101="","",IFERROR(INDEX('SCORING MASTER'!$D$37:$D$39,MATCH('STUDENT SCREENING'!AE101,'SCORING MASTER'!$C$37:$C$39,0)),""))</f>
        <v/>
      </c>
      <c r="AG101" s="58" t="str">
        <f aca="false">IF('STUDENT SCREENING'!AF101="","",IFERROR(INDEX('SCORING MASTER'!$D$41:$D$43,MATCH('STUDENT SCREENING'!AF101,'SCORING MASTER'!$C$41:$C$43,0)),""))</f>
        <v/>
      </c>
      <c r="AH101" s="58" t="str">
        <f aca="false">IF('STUDENT SCREENING'!AG101="","",IFERROR(INDEX('SCORING MASTER'!$D$45:$D$47,MATCH('STUDENT SCREENING'!AG101,'SCORING MASTER'!$C$45:$C$47,0)),""))</f>
        <v/>
      </c>
      <c r="AI101" s="58" t="str">
        <f aca="false">IF('STUDENT SCREENING'!AH101="","",IFERROR(INDEX('SCORING MASTER'!$D$49:$D$52,MATCH('STUDENT SCREENING'!AH101,'SCORING MASTER'!$C$49:$C$52,0)),""))</f>
        <v/>
      </c>
      <c r="AJ101" s="58" t="str">
        <f aca="false">IF('STUDENT SCREENING'!AI101="","",IFERROR(INDEX('SCORING MASTER'!$D$54:$D$57,MATCH('STUDENT SCREENING'!AI101,'SCORING MASTER'!$C$54:$C$57,0)),""))</f>
        <v/>
      </c>
      <c r="AK101" s="58" t="str">
        <f aca="false">IF('STUDENT SCREENING'!AJ101="","",IFERROR(INDEX('SCORING MASTER'!$D$59:$D$60,MATCH('STUDENT SCREENING'!AJ101,'SCORING MASTER'!$C$59:$C$60,0)),""))</f>
        <v/>
      </c>
      <c r="AL101" s="58" t="str">
        <f aca="false">IF('STUDENT SCREENING'!AK101="","",IFERROR(INDEX('SCORING MASTER'!$D$62:$D$63,MATCH('STUDENT SCREENING'!AK101,'SCORING MASTER'!$C$62:$C$63,0)),""))</f>
        <v/>
      </c>
      <c r="AM101" s="58" t="str">
        <f aca="false">IF('STUDENT SCREENING'!AL101="","",IFERROR(INDEX('SCORING MASTER'!$D$65:$D$66,MATCH('STUDENT SCREENING'!AL101,'SCORING MASTER'!$C$65:$C$66,0)),""))</f>
        <v/>
      </c>
      <c r="AN101" s="58" t="str">
        <f aca="false">IF('STUDENT SCREENING'!AM101="","",IFERROR(INDEX('SCORING MASTER'!$D$68:$D$69,MATCH('STUDENT SCREENING'!AM101,'SCORING MASTER'!$C$68:$C$69,0)),""))</f>
        <v/>
      </c>
      <c r="AO101" s="58" t="str">
        <f aca="false">IF('STUDENT SCREENING'!AN101="","",IFERROR(INDEX('SCORING MASTER'!$D$71:$D$72,MATCH('STUDENT SCREENING'!AN101,'SCORING MASTER'!$C$71:$C$72,0)),""))</f>
        <v/>
      </c>
      <c r="AP101" s="58" t="str">
        <f aca="false">IF('STUDENT SCREENING'!AO101="","",IFERROR(INDEX('SCORING MASTER'!$D$74:$D$75,MATCH('STUDENT SCREENING'!AO101,'SCORING MASTER'!$C$74:$C$75,0)),""))</f>
        <v/>
      </c>
      <c r="AQ101" s="58" t="str">
        <f aca="false">IF('STUDENT SCREENING'!AP101="","",IFERROR(INDEX('SCORING MASTER'!$D$77:$D$78,MATCH('STUDENT SCREENING'!AP101,'SCORING MASTER'!$C$77:$C$78,0)),""))</f>
        <v/>
      </c>
      <c r="AR101" s="58" t="str">
        <f aca="false">IF('STUDENT SCREENING'!AQ101="","",IFERROR(INDEX('SCORING MASTER'!$D$80:$D$82,MATCH('STUDENT SCREENING'!AQ101,'SCORING MASTER'!$C$80:$C$82,0)),""))</f>
        <v/>
      </c>
      <c r="AS101" s="58" t="str">
        <f aca="false">IF('STUDENT SCREENING'!AR101="","",IFERROR(INDEX('SCORING MASTER'!$D$84:$D$86,MATCH('STUDENT SCREENING'!AR101,'SCORING MASTER'!$C$84:$C$86,0)),""))</f>
        <v/>
      </c>
      <c r="AT101" s="58" t="str">
        <f aca="false">IF('STUDENT SCREENING'!AS101="","",IFERROR(INDEX('SCORING MASTER'!$D$88:$D$90,MATCH('STUDENT SCREENING'!AS101,'SCORING MASTER'!$C$88:$C$90,0)),""))</f>
        <v/>
      </c>
      <c r="AU101" s="58" t="str">
        <f aca="false">IF('STUDENT SCREENING'!AT101="","",IFERROR(INDEX('SCORING MASTER'!$D$92:$D$93,MATCH('STUDENT SCREENING'!AT101,'SCORING MASTER'!$C$92:$C$93,0)),""))</f>
        <v/>
      </c>
      <c r="AV101" s="58" t="str">
        <f aca="false">IF('STUDENT SCREENING'!AU101="","",IFERROR(INDEX('SCORING MASTER'!$D$95:$D$96,MATCH('STUDENT SCREENING'!AU101,'SCORING MASTER'!$C$95:$C$96,0)),""))</f>
        <v/>
      </c>
      <c r="AW101" s="58" t="str">
        <f aca="false">IF('STUDENT SCREENING'!AV101="","",IFERROR(INDEX('SCORING MASTER'!$D$98:$D$99,MATCH('STUDENT SCREENING'!AV101,'SCORING MASTER'!$C$98:$C$99,0)),""))</f>
        <v/>
      </c>
      <c r="AX101" s="58" t="str">
        <f aca="false">IF('STUDENT SCREENING'!AW101="","",IFERROR(INDEX('SCORING MASTER'!$D$101:$D$102,MATCH('STUDENT SCREENING'!AW101,'SCORING MASTER'!$C$101:$C$102,0)),""))</f>
        <v/>
      </c>
      <c r="AY101" s="58" t="str">
        <f aca="false">IF('STUDENT SCREENING'!AX101="","",IFERROR(INDEX('SCORING MASTER'!$D$104:$D$105,MATCH('STUDENT SCREENING'!AX101,'SCORING MASTER'!$C$104:$C$105,0)),""))</f>
        <v/>
      </c>
      <c r="AZ101" s="58" t="str">
        <f aca="false">IF('STUDENT SCREENING'!AY101="","",IFERROR(INDEX('SCORING MASTER'!$D$107:$D$108,MATCH('STUDENT SCREENING'!AY101,'SCORING MASTER'!$C$107:$C$108,0)),""))</f>
        <v/>
      </c>
      <c r="BA101" s="58" t="str">
        <f aca="false">IF('STUDENT SCREENING'!AZ101="","",IFERROR(INDEX('SCORING MASTER'!$D$110:$D$111,MATCH('STUDENT SCREENING'!AZ101,'SCORING MASTER'!$C$110:$C$111,0)),""))</f>
        <v/>
      </c>
      <c r="BB101" s="58" t="str">
        <f aca="false">IF('STUDENT SCREENING'!BA101="","",IFERROR(INDEX('SCORING MASTER'!$D$113:$D$115,MATCH('STUDENT SCREENING'!BA101,'SCORING MASTER'!$C$113:$C$115,0)),""))</f>
        <v/>
      </c>
      <c r="BC101" s="58" t="str">
        <f aca="false">IF('STUDENT SCREENING'!BB101="","",IFERROR(INDEX('SCORING MASTER'!$D$117:$D$119,MATCH('STUDENT SCREENING'!BB101,'SCORING MASTER'!$C$117:$C$119,0)),""))</f>
        <v/>
      </c>
      <c r="BD101" s="58" t="str">
        <f aca="false">IF('STUDENT SCREENING'!BC101="","",IFERROR(INDEX('SCORING MASTER'!$D$121:$D$123,MATCH('STUDENT SCREENING'!BC101,'SCORING MASTER'!$C$121:$C$123,0)),""))</f>
        <v/>
      </c>
      <c r="BE101" s="58" t="str">
        <f aca="false">IF('STUDENT SCREENING'!BD101="","",IFERROR(INDEX('SCORING MASTER'!$D$125:$D$126,MATCH('STUDENT SCREENING'!BD101,'SCORING MASTER'!$C$125:$C$126,0)),""))</f>
        <v/>
      </c>
      <c r="BF101" s="58" t="str">
        <f aca="false">IF('STUDENT SCREENING'!BE101="","",IFERROR(INDEX('SCORING MASTER'!$D$128:$D$129,MATCH('STUDENT SCREENING'!BE101,'SCORING MASTER'!$C$128:$C$129,0)),""))</f>
        <v/>
      </c>
      <c r="BG101" s="58" t="str">
        <f aca="false">IF('STUDENT SCREENING'!BP101="","",IFERROR(MATCH('STUDENT SCREENING'!BP101,{"Red - High Risk","Orange - Moderate Risk","Yellow - Mild Risk","Light Green - Mild Watch","Green - Healthy"},0)-1,""))</f>
        <v/>
      </c>
      <c r="BH101" s="58" t="str">
        <f aca="false">IF('STUDENT SCREENING'!BQ101="","",IF('STUDENT SCREENING'!BQ101="Yes",1,0))</f>
        <v/>
      </c>
      <c r="BI101" s="58" t="str">
        <f aca="false">IF('STUDENT SCREENING'!BR101="","",IF('STUDENT SCREENING'!BR101="Yes",1,0))</f>
        <v/>
      </c>
    </row>
    <row r="102" customFormat="false" ht="15" hidden="false" customHeight="false" outlineLevel="0" collapsed="false">
      <c r="A102" s="57" t="str">
        <f aca="false">'STUDENT SCREENING'!A102</f>
        <v/>
      </c>
      <c r="B102" s="57" t="n">
        <f aca="false">'STUDENT SCREENING'!C102</f>
        <v>0</v>
      </c>
      <c r="C102" s="57" t="n">
        <f aca="false">'STUDENT SCREENING'!D102</f>
        <v>0</v>
      </c>
      <c r="D102" s="57" t="n">
        <f aca="false">'STUDENT SCREENING'!E102</f>
        <v>0</v>
      </c>
      <c r="E102" s="57" t="n">
        <f aca="false">'STUDENT SCREENING'!F102</f>
        <v>0</v>
      </c>
      <c r="F102" s="57" t="n">
        <f aca="false">'STUDENT SCREENING'!K102</f>
        <v>0</v>
      </c>
      <c r="G102" s="57" t="n">
        <f aca="false">'STUDENT SCREENING'!J102</f>
        <v>0</v>
      </c>
      <c r="H102" s="57" t="str">
        <f aca="false">IF('STUDENT SCREENING'!K102="","",IFERROR(MATCH('STUDENT SCREENING'!K102,Adm_Gender,0),""))</f>
        <v/>
      </c>
      <c r="I102" s="57" t="n">
        <f aca="false">'STUDENT SCREENING'!Q102</f>
        <v>0</v>
      </c>
      <c r="J102" s="57" t="n">
        <f aca="false">'STUDENT SCREENING'!R102</f>
        <v>0</v>
      </c>
      <c r="K102" s="57" t="str">
        <f aca="false">'STUDENT SCREENING'!S102</f>
        <v/>
      </c>
      <c r="L102" s="57" t="n">
        <f aca="false">'STUDENT SCREENING'!U102</f>
        <v>0</v>
      </c>
      <c r="M102" s="57" t="n">
        <f aca="false">'STUDENT SCREENING'!V102</f>
        <v>0</v>
      </c>
      <c r="N102" s="57" t="str">
        <f aca="false">'STUDENT SCREENING'!BF102</f>
        <v/>
      </c>
      <c r="O102" s="57" t="str">
        <f aca="false">'STUDENT SCREENING'!BG102</f>
        <v/>
      </c>
      <c r="P102" s="57" t="str">
        <f aca="false">'STUDENT SCREENING'!BH102</f>
        <v/>
      </c>
      <c r="Q102" s="57" t="str">
        <f aca="false">'STUDENT SCREENING'!BI102</f>
        <v/>
      </c>
      <c r="R102" s="57" t="str">
        <f aca="false">'STUDENT SCREENING'!BJ102</f>
        <v/>
      </c>
      <c r="S102" s="57" t="str">
        <f aca="false">'STUDENT SCREENING'!BK102</f>
        <v/>
      </c>
      <c r="T102" s="57" t="str">
        <f aca="false">'STUDENT SCREENING'!BL102</f>
        <v/>
      </c>
      <c r="U102" s="57" t="str">
        <f aca="false">'STUDENT SCREENING'!BM102</f>
        <v/>
      </c>
      <c r="V102" s="57" t="str">
        <f aca="false">'STUDENT SCREENING'!BN102</f>
        <v/>
      </c>
      <c r="W102" s="57" t="str">
        <f aca="false">'STUDENT SCREENING'!BO102</f>
        <v/>
      </c>
      <c r="X102" s="57" t="str">
        <f aca="false">IF('STUDENT SCREENING'!W102="","",IFERROR(INDEX('SCORING MASTER'!$D$5:$D$7,MATCH('STUDENT SCREENING'!W102,'SCORING MASTER'!$C$5:$C$7,0)),""))</f>
        <v/>
      </c>
      <c r="Y102" s="57" t="str">
        <f aca="false">IF('STUDENT SCREENING'!X102="","",IFERROR(INDEX('SCORING MASTER'!$D$9:$D$11,MATCH('STUDENT SCREENING'!X102,'SCORING MASTER'!$C$9:$C$11,0)),""))</f>
        <v/>
      </c>
      <c r="Z102" s="57" t="str">
        <f aca="false">IF('STUDENT SCREENING'!Y102="","",IFERROR(INDEX('SCORING MASTER'!$D$13:$D$15,MATCH('STUDENT SCREENING'!Y102,'SCORING MASTER'!$C$13:$C$15,0)),""))</f>
        <v/>
      </c>
      <c r="AA102" s="57" t="str">
        <f aca="false">IF('STUDENT SCREENING'!Z102="","",IFERROR(INDEX('SCORING MASTER'!$D$17:$D$19,MATCH('STUDENT SCREENING'!Z102,'SCORING MASTER'!$C$17:$C$19,0)),""))</f>
        <v/>
      </c>
      <c r="AB102" s="57" t="str">
        <f aca="false">IF('STUDENT SCREENING'!AA102="","",IFERROR(INDEX('SCORING MASTER'!$D$21:$D$23,MATCH('STUDENT SCREENING'!AA102,'SCORING MASTER'!$C$21:$C$23,0)),""))</f>
        <v/>
      </c>
      <c r="AC102" s="57" t="str">
        <f aca="false">IF('STUDENT SCREENING'!AB102="","",IFERROR(INDEX('SCORING MASTER'!$D$25:$D$27,MATCH('STUDENT SCREENING'!AB102,'SCORING MASTER'!$C$25:$C$27,0)),""))</f>
        <v/>
      </c>
      <c r="AD102" s="57" t="str">
        <f aca="false">IF('STUDENT SCREENING'!AC102="","",IFERROR(INDEX('SCORING MASTER'!$D$29:$D$31,MATCH('STUDENT SCREENING'!AC102,'SCORING MASTER'!$C$29:$C$31,0)),""))</f>
        <v/>
      </c>
      <c r="AE102" s="57" t="str">
        <f aca="false">IF('STUDENT SCREENING'!AD102="","",IFERROR(INDEX('SCORING MASTER'!$D$33:$D$35,MATCH('STUDENT SCREENING'!AD102,'SCORING MASTER'!$C$33:$C$35,0)),""))</f>
        <v/>
      </c>
      <c r="AF102" s="57" t="str">
        <f aca="false">IF('STUDENT SCREENING'!AE102="","",IFERROR(INDEX('SCORING MASTER'!$D$37:$D$39,MATCH('STUDENT SCREENING'!AE102,'SCORING MASTER'!$C$37:$C$39,0)),""))</f>
        <v/>
      </c>
      <c r="AG102" s="57" t="str">
        <f aca="false">IF('STUDENT SCREENING'!AF102="","",IFERROR(INDEX('SCORING MASTER'!$D$41:$D$43,MATCH('STUDENT SCREENING'!AF102,'SCORING MASTER'!$C$41:$C$43,0)),""))</f>
        <v/>
      </c>
      <c r="AH102" s="57" t="str">
        <f aca="false">IF('STUDENT SCREENING'!AG102="","",IFERROR(INDEX('SCORING MASTER'!$D$45:$D$47,MATCH('STUDENT SCREENING'!AG102,'SCORING MASTER'!$C$45:$C$47,0)),""))</f>
        <v/>
      </c>
      <c r="AI102" s="57" t="str">
        <f aca="false">IF('STUDENT SCREENING'!AH102="","",IFERROR(INDEX('SCORING MASTER'!$D$49:$D$52,MATCH('STUDENT SCREENING'!AH102,'SCORING MASTER'!$C$49:$C$52,0)),""))</f>
        <v/>
      </c>
      <c r="AJ102" s="57" t="str">
        <f aca="false">IF('STUDENT SCREENING'!AI102="","",IFERROR(INDEX('SCORING MASTER'!$D$54:$D$57,MATCH('STUDENT SCREENING'!AI102,'SCORING MASTER'!$C$54:$C$57,0)),""))</f>
        <v/>
      </c>
      <c r="AK102" s="57" t="str">
        <f aca="false">IF('STUDENT SCREENING'!AJ102="","",IFERROR(INDEX('SCORING MASTER'!$D$59:$D$60,MATCH('STUDENT SCREENING'!AJ102,'SCORING MASTER'!$C$59:$C$60,0)),""))</f>
        <v/>
      </c>
      <c r="AL102" s="57" t="str">
        <f aca="false">IF('STUDENT SCREENING'!AK102="","",IFERROR(INDEX('SCORING MASTER'!$D$62:$D$63,MATCH('STUDENT SCREENING'!AK102,'SCORING MASTER'!$C$62:$C$63,0)),""))</f>
        <v/>
      </c>
      <c r="AM102" s="57" t="str">
        <f aca="false">IF('STUDENT SCREENING'!AL102="","",IFERROR(INDEX('SCORING MASTER'!$D$65:$D$66,MATCH('STUDENT SCREENING'!AL102,'SCORING MASTER'!$C$65:$C$66,0)),""))</f>
        <v/>
      </c>
      <c r="AN102" s="57" t="str">
        <f aca="false">IF('STUDENT SCREENING'!AM102="","",IFERROR(INDEX('SCORING MASTER'!$D$68:$D$69,MATCH('STUDENT SCREENING'!AM102,'SCORING MASTER'!$C$68:$C$69,0)),""))</f>
        <v/>
      </c>
      <c r="AO102" s="57" t="str">
        <f aca="false">IF('STUDENT SCREENING'!AN102="","",IFERROR(INDEX('SCORING MASTER'!$D$71:$D$72,MATCH('STUDENT SCREENING'!AN102,'SCORING MASTER'!$C$71:$C$72,0)),""))</f>
        <v/>
      </c>
      <c r="AP102" s="57" t="str">
        <f aca="false">IF('STUDENT SCREENING'!AO102="","",IFERROR(INDEX('SCORING MASTER'!$D$74:$D$75,MATCH('STUDENT SCREENING'!AO102,'SCORING MASTER'!$C$74:$C$75,0)),""))</f>
        <v/>
      </c>
      <c r="AQ102" s="57" t="str">
        <f aca="false">IF('STUDENT SCREENING'!AP102="","",IFERROR(INDEX('SCORING MASTER'!$D$77:$D$78,MATCH('STUDENT SCREENING'!AP102,'SCORING MASTER'!$C$77:$C$78,0)),""))</f>
        <v/>
      </c>
      <c r="AR102" s="57" t="str">
        <f aca="false">IF('STUDENT SCREENING'!AQ102="","",IFERROR(INDEX('SCORING MASTER'!$D$80:$D$82,MATCH('STUDENT SCREENING'!AQ102,'SCORING MASTER'!$C$80:$C$82,0)),""))</f>
        <v/>
      </c>
      <c r="AS102" s="57" t="str">
        <f aca="false">IF('STUDENT SCREENING'!AR102="","",IFERROR(INDEX('SCORING MASTER'!$D$84:$D$86,MATCH('STUDENT SCREENING'!AR102,'SCORING MASTER'!$C$84:$C$86,0)),""))</f>
        <v/>
      </c>
      <c r="AT102" s="57" t="str">
        <f aca="false">IF('STUDENT SCREENING'!AS102="","",IFERROR(INDEX('SCORING MASTER'!$D$88:$D$90,MATCH('STUDENT SCREENING'!AS102,'SCORING MASTER'!$C$88:$C$90,0)),""))</f>
        <v/>
      </c>
      <c r="AU102" s="57" t="str">
        <f aca="false">IF('STUDENT SCREENING'!AT102="","",IFERROR(INDEX('SCORING MASTER'!$D$92:$D$93,MATCH('STUDENT SCREENING'!AT102,'SCORING MASTER'!$C$92:$C$93,0)),""))</f>
        <v/>
      </c>
      <c r="AV102" s="57" t="str">
        <f aca="false">IF('STUDENT SCREENING'!AU102="","",IFERROR(INDEX('SCORING MASTER'!$D$95:$D$96,MATCH('STUDENT SCREENING'!AU102,'SCORING MASTER'!$C$95:$C$96,0)),""))</f>
        <v/>
      </c>
      <c r="AW102" s="57" t="str">
        <f aca="false">IF('STUDENT SCREENING'!AV102="","",IFERROR(INDEX('SCORING MASTER'!$D$98:$D$99,MATCH('STUDENT SCREENING'!AV102,'SCORING MASTER'!$C$98:$C$99,0)),""))</f>
        <v/>
      </c>
      <c r="AX102" s="57" t="str">
        <f aca="false">IF('STUDENT SCREENING'!AW102="","",IFERROR(INDEX('SCORING MASTER'!$D$101:$D$102,MATCH('STUDENT SCREENING'!AW102,'SCORING MASTER'!$C$101:$C$102,0)),""))</f>
        <v/>
      </c>
      <c r="AY102" s="57" t="str">
        <f aca="false">IF('STUDENT SCREENING'!AX102="","",IFERROR(INDEX('SCORING MASTER'!$D$104:$D$105,MATCH('STUDENT SCREENING'!AX102,'SCORING MASTER'!$C$104:$C$105,0)),""))</f>
        <v/>
      </c>
      <c r="AZ102" s="57" t="str">
        <f aca="false">IF('STUDENT SCREENING'!AY102="","",IFERROR(INDEX('SCORING MASTER'!$D$107:$D$108,MATCH('STUDENT SCREENING'!AY102,'SCORING MASTER'!$C$107:$C$108,0)),""))</f>
        <v/>
      </c>
      <c r="BA102" s="57" t="str">
        <f aca="false">IF('STUDENT SCREENING'!AZ102="","",IFERROR(INDEX('SCORING MASTER'!$D$110:$D$111,MATCH('STUDENT SCREENING'!AZ102,'SCORING MASTER'!$C$110:$C$111,0)),""))</f>
        <v/>
      </c>
      <c r="BB102" s="57" t="str">
        <f aca="false">IF('STUDENT SCREENING'!BA102="","",IFERROR(INDEX('SCORING MASTER'!$D$113:$D$115,MATCH('STUDENT SCREENING'!BA102,'SCORING MASTER'!$C$113:$C$115,0)),""))</f>
        <v/>
      </c>
      <c r="BC102" s="57" t="str">
        <f aca="false">IF('STUDENT SCREENING'!BB102="","",IFERROR(INDEX('SCORING MASTER'!$D$117:$D$119,MATCH('STUDENT SCREENING'!BB102,'SCORING MASTER'!$C$117:$C$119,0)),""))</f>
        <v/>
      </c>
      <c r="BD102" s="57" t="str">
        <f aca="false">IF('STUDENT SCREENING'!BC102="","",IFERROR(INDEX('SCORING MASTER'!$D$121:$D$123,MATCH('STUDENT SCREENING'!BC102,'SCORING MASTER'!$C$121:$C$123,0)),""))</f>
        <v/>
      </c>
      <c r="BE102" s="57" t="str">
        <f aca="false">IF('STUDENT SCREENING'!BD102="","",IFERROR(INDEX('SCORING MASTER'!$D$125:$D$126,MATCH('STUDENT SCREENING'!BD102,'SCORING MASTER'!$C$125:$C$126,0)),""))</f>
        <v/>
      </c>
      <c r="BF102" s="57" t="str">
        <f aca="false">IF('STUDENT SCREENING'!BE102="","",IFERROR(INDEX('SCORING MASTER'!$D$128:$D$129,MATCH('STUDENT SCREENING'!BE102,'SCORING MASTER'!$C$128:$C$129,0)),""))</f>
        <v/>
      </c>
      <c r="BG102" s="57" t="str">
        <f aca="false">IF('STUDENT SCREENING'!BP102="","",IFERROR(MATCH('STUDENT SCREENING'!BP102,{"Red - High Risk","Orange - Moderate Risk","Yellow - Mild Risk","Light Green - Mild Watch","Green - Healthy"},0)-1,""))</f>
        <v/>
      </c>
      <c r="BH102" s="57" t="str">
        <f aca="false">IF('STUDENT SCREENING'!BQ102="","",IF('STUDENT SCREENING'!BQ102="Yes",1,0))</f>
        <v/>
      </c>
      <c r="BI102" s="57" t="str">
        <f aca="false">IF('STUDENT SCREENING'!BR102="","",IF('STUDENT SCREENING'!BR102="Yes",1,0))</f>
        <v/>
      </c>
    </row>
    <row r="103" customFormat="false" ht="15" hidden="false" customHeight="false" outlineLevel="0" collapsed="false">
      <c r="A103" s="58" t="str">
        <f aca="false">'STUDENT SCREENING'!A103</f>
        <v/>
      </c>
      <c r="B103" s="58" t="n">
        <f aca="false">'STUDENT SCREENING'!C103</f>
        <v>0</v>
      </c>
      <c r="C103" s="58" t="n">
        <f aca="false">'STUDENT SCREENING'!D103</f>
        <v>0</v>
      </c>
      <c r="D103" s="58" t="n">
        <f aca="false">'STUDENT SCREENING'!E103</f>
        <v>0</v>
      </c>
      <c r="E103" s="58" t="n">
        <f aca="false">'STUDENT SCREENING'!F103</f>
        <v>0</v>
      </c>
      <c r="F103" s="58" t="n">
        <f aca="false">'STUDENT SCREENING'!K103</f>
        <v>0</v>
      </c>
      <c r="G103" s="58" t="n">
        <f aca="false">'STUDENT SCREENING'!J103</f>
        <v>0</v>
      </c>
      <c r="H103" s="58" t="str">
        <f aca="false">IF('STUDENT SCREENING'!K103="","",IFERROR(MATCH('STUDENT SCREENING'!K103,Adm_Gender,0),""))</f>
        <v/>
      </c>
      <c r="I103" s="58" t="n">
        <f aca="false">'STUDENT SCREENING'!Q103</f>
        <v>0</v>
      </c>
      <c r="J103" s="58" t="n">
        <f aca="false">'STUDENT SCREENING'!R103</f>
        <v>0</v>
      </c>
      <c r="K103" s="58" t="str">
        <f aca="false">'STUDENT SCREENING'!S103</f>
        <v/>
      </c>
      <c r="L103" s="58" t="n">
        <f aca="false">'STUDENT SCREENING'!U103</f>
        <v>0</v>
      </c>
      <c r="M103" s="58" t="n">
        <f aca="false">'STUDENT SCREENING'!V103</f>
        <v>0</v>
      </c>
      <c r="N103" s="58" t="str">
        <f aca="false">'STUDENT SCREENING'!BF103</f>
        <v/>
      </c>
      <c r="O103" s="58" t="str">
        <f aca="false">'STUDENT SCREENING'!BG103</f>
        <v/>
      </c>
      <c r="P103" s="58" t="str">
        <f aca="false">'STUDENT SCREENING'!BH103</f>
        <v/>
      </c>
      <c r="Q103" s="58" t="str">
        <f aca="false">'STUDENT SCREENING'!BI103</f>
        <v/>
      </c>
      <c r="R103" s="58" t="str">
        <f aca="false">'STUDENT SCREENING'!BJ103</f>
        <v/>
      </c>
      <c r="S103" s="58" t="str">
        <f aca="false">'STUDENT SCREENING'!BK103</f>
        <v/>
      </c>
      <c r="T103" s="58" t="str">
        <f aca="false">'STUDENT SCREENING'!BL103</f>
        <v/>
      </c>
      <c r="U103" s="58" t="str">
        <f aca="false">'STUDENT SCREENING'!BM103</f>
        <v/>
      </c>
      <c r="V103" s="58" t="str">
        <f aca="false">'STUDENT SCREENING'!BN103</f>
        <v/>
      </c>
      <c r="W103" s="58" t="str">
        <f aca="false">'STUDENT SCREENING'!BO103</f>
        <v/>
      </c>
      <c r="X103" s="58" t="str">
        <f aca="false">IF('STUDENT SCREENING'!W103="","",IFERROR(INDEX('SCORING MASTER'!$D$5:$D$7,MATCH('STUDENT SCREENING'!W103,'SCORING MASTER'!$C$5:$C$7,0)),""))</f>
        <v/>
      </c>
      <c r="Y103" s="58" t="str">
        <f aca="false">IF('STUDENT SCREENING'!X103="","",IFERROR(INDEX('SCORING MASTER'!$D$9:$D$11,MATCH('STUDENT SCREENING'!X103,'SCORING MASTER'!$C$9:$C$11,0)),""))</f>
        <v/>
      </c>
      <c r="Z103" s="58" t="str">
        <f aca="false">IF('STUDENT SCREENING'!Y103="","",IFERROR(INDEX('SCORING MASTER'!$D$13:$D$15,MATCH('STUDENT SCREENING'!Y103,'SCORING MASTER'!$C$13:$C$15,0)),""))</f>
        <v/>
      </c>
      <c r="AA103" s="58" t="str">
        <f aca="false">IF('STUDENT SCREENING'!Z103="","",IFERROR(INDEX('SCORING MASTER'!$D$17:$D$19,MATCH('STUDENT SCREENING'!Z103,'SCORING MASTER'!$C$17:$C$19,0)),""))</f>
        <v/>
      </c>
      <c r="AB103" s="58" t="str">
        <f aca="false">IF('STUDENT SCREENING'!AA103="","",IFERROR(INDEX('SCORING MASTER'!$D$21:$D$23,MATCH('STUDENT SCREENING'!AA103,'SCORING MASTER'!$C$21:$C$23,0)),""))</f>
        <v/>
      </c>
      <c r="AC103" s="58" t="str">
        <f aca="false">IF('STUDENT SCREENING'!AB103="","",IFERROR(INDEX('SCORING MASTER'!$D$25:$D$27,MATCH('STUDENT SCREENING'!AB103,'SCORING MASTER'!$C$25:$C$27,0)),""))</f>
        <v/>
      </c>
      <c r="AD103" s="58" t="str">
        <f aca="false">IF('STUDENT SCREENING'!AC103="","",IFERROR(INDEX('SCORING MASTER'!$D$29:$D$31,MATCH('STUDENT SCREENING'!AC103,'SCORING MASTER'!$C$29:$C$31,0)),""))</f>
        <v/>
      </c>
      <c r="AE103" s="58" t="str">
        <f aca="false">IF('STUDENT SCREENING'!AD103="","",IFERROR(INDEX('SCORING MASTER'!$D$33:$D$35,MATCH('STUDENT SCREENING'!AD103,'SCORING MASTER'!$C$33:$C$35,0)),""))</f>
        <v/>
      </c>
      <c r="AF103" s="58" t="str">
        <f aca="false">IF('STUDENT SCREENING'!AE103="","",IFERROR(INDEX('SCORING MASTER'!$D$37:$D$39,MATCH('STUDENT SCREENING'!AE103,'SCORING MASTER'!$C$37:$C$39,0)),""))</f>
        <v/>
      </c>
      <c r="AG103" s="58" t="str">
        <f aca="false">IF('STUDENT SCREENING'!AF103="","",IFERROR(INDEX('SCORING MASTER'!$D$41:$D$43,MATCH('STUDENT SCREENING'!AF103,'SCORING MASTER'!$C$41:$C$43,0)),""))</f>
        <v/>
      </c>
      <c r="AH103" s="58" t="str">
        <f aca="false">IF('STUDENT SCREENING'!AG103="","",IFERROR(INDEX('SCORING MASTER'!$D$45:$D$47,MATCH('STUDENT SCREENING'!AG103,'SCORING MASTER'!$C$45:$C$47,0)),""))</f>
        <v/>
      </c>
      <c r="AI103" s="58" t="str">
        <f aca="false">IF('STUDENT SCREENING'!AH103="","",IFERROR(INDEX('SCORING MASTER'!$D$49:$D$52,MATCH('STUDENT SCREENING'!AH103,'SCORING MASTER'!$C$49:$C$52,0)),""))</f>
        <v/>
      </c>
      <c r="AJ103" s="58" t="str">
        <f aca="false">IF('STUDENT SCREENING'!AI103="","",IFERROR(INDEX('SCORING MASTER'!$D$54:$D$57,MATCH('STUDENT SCREENING'!AI103,'SCORING MASTER'!$C$54:$C$57,0)),""))</f>
        <v/>
      </c>
      <c r="AK103" s="58" t="str">
        <f aca="false">IF('STUDENT SCREENING'!AJ103="","",IFERROR(INDEX('SCORING MASTER'!$D$59:$D$60,MATCH('STUDENT SCREENING'!AJ103,'SCORING MASTER'!$C$59:$C$60,0)),""))</f>
        <v/>
      </c>
      <c r="AL103" s="58" t="str">
        <f aca="false">IF('STUDENT SCREENING'!AK103="","",IFERROR(INDEX('SCORING MASTER'!$D$62:$D$63,MATCH('STUDENT SCREENING'!AK103,'SCORING MASTER'!$C$62:$C$63,0)),""))</f>
        <v/>
      </c>
      <c r="AM103" s="58" t="str">
        <f aca="false">IF('STUDENT SCREENING'!AL103="","",IFERROR(INDEX('SCORING MASTER'!$D$65:$D$66,MATCH('STUDENT SCREENING'!AL103,'SCORING MASTER'!$C$65:$C$66,0)),""))</f>
        <v/>
      </c>
      <c r="AN103" s="58" t="str">
        <f aca="false">IF('STUDENT SCREENING'!AM103="","",IFERROR(INDEX('SCORING MASTER'!$D$68:$D$69,MATCH('STUDENT SCREENING'!AM103,'SCORING MASTER'!$C$68:$C$69,0)),""))</f>
        <v/>
      </c>
      <c r="AO103" s="58" t="str">
        <f aca="false">IF('STUDENT SCREENING'!AN103="","",IFERROR(INDEX('SCORING MASTER'!$D$71:$D$72,MATCH('STUDENT SCREENING'!AN103,'SCORING MASTER'!$C$71:$C$72,0)),""))</f>
        <v/>
      </c>
      <c r="AP103" s="58" t="str">
        <f aca="false">IF('STUDENT SCREENING'!AO103="","",IFERROR(INDEX('SCORING MASTER'!$D$74:$D$75,MATCH('STUDENT SCREENING'!AO103,'SCORING MASTER'!$C$74:$C$75,0)),""))</f>
        <v/>
      </c>
      <c r="AQ103" s="58" t="str">
        <f aca="false">IF('STUDENT SCREENING'!AP103="","",IFERROR(INDEX('SCORING MASTER'!$D$77:$D$78,MATCH('STUDENT SCREENING'!AP103,'SCORING MASTER'!$C$77:$C$78,0)),""))</f>
        <v/>
      </c>
      <c r="AR103" s="58" t="str">
        <f aca="false">IF('STUDENT SCREENING'!AQ103="","",IFERROR(INDEX('SCORING MASTER'!$D$80:$D$82,MATCH('STUDENT SCREENING'!AQ103,'SCORING MASTER'!$C$80:$C$82,0)),""))</f>
        <v/>
      </c>
      <c r="AS103" s="58" t="str">
        <f aca="false">IF('STUDENT SCREENING'!AR103="","",IFERROR(INDEX('SCORING MASTER'!$D$84:$D$86,MATCH('STUDENT SCREENING'!AR103,'SCORING MASTER'!$C$84:$C$86,0)),""))</f>
        <v/>
      </c>
      <c r="AT103" s="58" t="str">
        <f aca="false">IF('STUDENT SCREENING'!AS103="","",IFERROR(INDEX('SCORING MASTER'!$D$88:$D$90,MATCH('STUDENT SCREENING'!AS103,'SCORING MASTER'!$C$88:$C$90,0)),""))</f>
        <v/>
      </c>
      <c r="AU103" s="58" t="str">
        <f aca="false">IF('STUDENT SCREENING'!AT103="","",IFERROR(INDEX('SCORING MASTER'!$D$92:$D$93,MATCH('STUDENT SCREENING'!AT103,'SCORING MASTER'!$C$92:$C$93,0)),""))</f>
        <v/>
      </c>
      <c r="AV103" s="58" t="str">
        <f aca="false">IF('STUDENT SCREENING'!AU103="","",IFERROR(INDEX('SCORING MASTER'!$D$95:$D$96,MATCH('STUDENT SCREENING'!AU103,'SCORING MASTER'!$C$95:$C$96,0)),""))</f>
        <v/>
      </c>
      <c r="AW103" s="58" t="str">
        <f aca="false">IF('STUDENT SCREENING'!AV103="","",IFERROR(INDEX('SCORING MASTER'!$D$98:$D$99,MATCH('STUDENT SCREENING'!AV103,'SCORING MASTER'!$C$98:$C$99,0)),""))</f>
        <v/>
      </c>
      <c r="AX103" s="58" t="str">
        <f aca="false">IF('STUDENT SCREENING'!AW103="","",IFERROR(INDEX('SCORING MASTER'!$D$101:$D$102,MATCH('STUDENT SCREENING'!AW103,'SCORING MASTER'!$C$101:$C$102,0)),""))</f>
        <v/>
      </c>
      <c r="AY103" s="58" t="str">
        <f aca="false">IF('STUDENT SCREENING'!AX103="","",IFERROR(INDEX('SCORING MASTER'!$D$104:$D$105,MATCH('STUDENT SCREENING'!AX103,'SCORING MASTER'!$C$104:$C$105,0)),""))</f>
        <v/>
      </c>
      <c r="AZ103" s="58" t="str">
        <f aca="false">IF('STUDENT SCREENING'!AY103="","",IFERROR(INDEX('SCORING MASTER'!$D$107:$D$108,MATCH('STUDENT SCREENING'!AY103,'SCORING MASTER'!$C$107:$C$108,0)),""))</f>
        <v/>
      </c>
      <c r="BA103" s="58" t="str">
        <f aca="false">IF('STUDENT SCREENING'!AZ103="","",IFERROR(INDEX('SCORING MASTER'!$D$110:$D$111,MATCH('STUDENT SCREENING'!AZ103,'SCORING MASTER'!$C$110:$C$111,0)),""))</f>
        <v/>
      </c>
      <c r="BB103" s="58" t="str">
        <f aca="false">IF('STUDENT SCREENING'!BA103="","",IFERROR(INDEX('SCORING MASTER'!$D$113:$D$115,MATCH('STUDENT SCREENING'!BA103,'SCORING MASTER'!$C$113:$C$115,0)),""))</f>
        <v/>
      </c>
      <c r="BC103" s="58" t="str">
        <f aca="false">IF('STUDENT SCREENING'!BB103="","",IFERROR(INDEX('SCORING MASTER'!$D$117:$D$119,MATCH('STUDENT SCREENING'!BB103,'SCORING MASTER'!$C$117:$C$119,0)),""))</f>
        <v/>
      </c>
      <c r="BD103" s="58" t="str">
        <f aca="false">IF('STUDENT SCREENING'!BC103="","",IFERROR(INDEX('SCORING MASTER'!$D$121:$D$123,MATCH('STUDENT SCREENING'!BC103,'SCORING MASTER'!$C$121:$C$123,0)),""))</f>
        <v/>
      </c>
      <c r="BE103" s="58" t="str">
        <f aca="false">IF('STUDENT SCREENING'!BD103="","",IFERROR(INDEX('SCORING MASTER'!$D$125:$D$126,MATCH('STUDENT SCREENING'!BD103,'SCORING MASTER'!$C$125:$C$126,0)),""))</f>
        <v/>
      </c>
      <c r="BF103" s="58" t="str">
        <f aca="false">IF('STUDENT SCREENING'!BE103="","",IFERROR(INDEX('SCORING MASTER'!$D$128:$D$129,MATCH('STUDENT SCREENING'!BE103,'SCORING MASTER'!$C$128:$C$129,0)),""))</f>
        <v/>
      </c>
      <c r="BG103" s="58" t="str">
        <f aca="false">IF('STUDENT SCREENING'!BP103="","",IFERROR(MATCH('STUDENT SCREENING'!BP103,{"Red - High Risk","Orange - Moderate Risk","Yellow - Mild Risk","Light Green - Mild Watch","Green - Healthy"},0)-1,""))</f>
        <v/>
      </c>
      <c r="BH103" s="58" t="str">
        <f aca="false">IF('STUDENT SCREENING'!BQ103="","",IF('STUDENT SCREENING'!BQ103="Yes",1,0))</f>
        <v/>
      </c>
      <c r="BI103" s="58" t="str">
        <f aca="false">IF('STUDENT SCREENING'!BR103="","",IF('STUDENT SCREENING'!BR103="Yes",1,0))</f>
        <v/>
      </c>
    </row>
    <row r="104" customFormat="false" ht="15" hidden="false" customHeight="false" outlineLevel="0" collapsed="false">
      <c r="A104" s="57" t="str">
        <f aca="false">'STUDENT SCREENING'!A104</f>
        <v/>
      </c>
      <c r="B104" s="57" t="n">
        <f aca="false">'STUDENT SCREENING'!C104</f>
        <v>0</v>
      </c>
      <c r="C104" s="57" t="n">
        <f aca="false">'STUDENT SCREENING'!D104</f>
        <v>0</v>
      </c>
      <c r="D104" s="57" t="n">
        <f aca="false">'STUDENT SCREENING'!E104</f>
        <v>0</v>
      </c>
      <c r="E104" s="57" t="n">
        <f aca="false">'STUDENT SCREENING'!F104</f>
        <v>0</v>
      </c>
      <c r="F104" s="57" t="n">
        <f aca="false">'STUDENT SCREENING'!K104</f>
        <v>0</v>
      </c>
      <c r="G104" s="57" t="n">
        <f aca="false">'STUDENT SCREENING'!J104</f>
        <v>0</v>
      </c>
      <c r="H104" s="57" t="str">
        <f aca="false">IF('STUDENT SCREENING'!K104="","",IFERROR(MATCH('STUDENT SCREENING'!K104,Adm_Gender,0),""))</f>
        <v/>
      </c>
      <c r="I104" s="57" t="n">
        <f aca="false">'STUDENT SCREENING'!Q104</f>
        <v>0</v>
      </c>
      <c r="J104" s="57" t="n">
        <f aca="false">'STUDENT SCREENING'!R104</f>
        <v>0</v>
      </c>
      <c r="K104" s="57" t="str">
        <f aca="false">'STUDENT SCREENING'!S104</f>
        <v/>
      </c>
      <c r="L104" s="57" t="n">
        <f aca="false">'STUDENT SCREENING'!U104</f>
        <v>0</v>
      </c>
      <c r="M104" s="57" t="n">
        <f aca="false">'STUDENT SCREENING'!V104</f>
        <v>0</v>
      </c>
      <c r="N104" s="57" t="str">
        <f aca="false">'STUDENT SCREENING'!BF104</f>
        <v/>
      </c>
      <c r="O104" s="57" t="str">
        <f aca="false">'STUDENT SCREENING'!BG104</f>
        <v/>
      </c>
      <c r="P104" s="57" t="str">
        <f aca="false">'STUDENT SCREENING'!BH104</f>
        <v/>
      </c>
      <c r="Q104" s="57" t="str">
        <f aca="false">'STUDENT SCREENING'!BI104</f>
        <v/>
      </c>
      <c r="R104" s="57" t="str">
        <f aca="false">'STUDENT SCREENING'!BJ104</f>
        <v/>
      </c>
      <c r="S104" s="57" t="str">
        <f aca="false">'STUDENT SCREENING'!BK104</f>
        <v/>
      </c>
      <c r="T104" s="57" t="str">
        <f aca="false">'STUDENT SCREENING'!BL104</f>
        <v/>
      </c>
      <c r="U104" s="57" t="str">
        <f aca="false">'STUDENT SCREENING'!BM104</f>
        <v/>
      </c>
      <c r="V104" s="57" t="str">
        <f aca="false">'STUDENT SCREENING'!BN104</f>
        <v/>
      </c>
      <c r="W104" s="57" t="str">
        <f aca="false">'STUDENT SCREENING'!BO104</f>
        <v/>
      </c>
      <c r="X104" s="57" t="str">
        <f aca="false">IF('STUDENT SCREENING'!W104="","",IFERROR(INDEX('SCORING MASTER'!$D$5:$D$7,MATCH('STUDENT SCREENING'!W104,'SCORING MASTER'!$C$5:$C$7,0)),""))</f>
        <v/>
      </c>
      <c r="Y104" s="57" t="str">
        <f aca="false">IF('STUDENT SCREENING'!X104="","",IFERROR(INDEX('SCORING MASTER'!$D$9:$D$11,MATCH('STUDENT SCREENING'!X104,'SCORING MASTER'!$C$9:$C$11,0)),""))</f>
        <v/>
      </c>
      <c r="Z104" s="57" t="str">
        <f aca="false">IF('STUDENT SCREENING'!Y104="","",IFERROR(INDEX('SCORING MASTER'!$D$13:$D$15,MATCH('STUDENT SCREENING'!Y104,'SCORING MASTER'!$C$13:$C$15,0)),""))</f>
        <v/>
      </c>
      <c r="AA104" s="57" t="str">
        <f aca="false">IF('STUDENT SCREENING'!Z104="","",IFERROR(INDEX('SCORING MASTER'!$D$17:$D$19,MATCH('STUDENT SCREENING'!Z104,'SCORING MASTER'!$C$17:$C$19,0)),""))</f>
        <v/>
      </c>
      <c r="AB104" s="57" t="str">
        <f aca="false">IF('STUDENT SCREENING'!AA104="","",IFERROR(INDEX('SCORING MASTER'!$D$21:$D$23,MATCH('STUDENT SCREENING'!AA104,'SCORING MASTER'!$C$21:$C$23,0)),""))</f>
        <v/>
      </c>
      <c r="AC104" s="57" t="str">
        <f aca="false">IF('STUDENT SCREENING'!AB104="","",IFERROR(INDEX('SCORING MASTER'!$D$25:$D$27,MATCH('STUDENT SCREENING'!AB104,'SCORING MASTER'!$C$25:$C$27,0)),""))</f>
        <v/>
      </c>
      <c r="AD104" s="57" t="str">
        <f aca="false">IF('STUDENT SCREENING'!AC104="","",IFERROR(INDEX('SCORING MASTER'!$D$29:$D$31,MATCH('STUDENT SCREENING'!AC104,'SCORING MASTER'!$C$29:$C$31,0)),""))</f>
        <v/>
      </c>
      <c r="AE104" s="57" t="str">
        <f aca="false">IF('STUDENT SCREENING'!AD104="","",IFERROR(INDEX('SCORING MASTER'!$D$33:$D$35,MATCH('STUDENT SCREENING'!AD104,'SCORING MASTER'!$C$33:$C$35,0)),""))</f>
        <v/>
      </c>
      <c r="AF104" s="57" t="str">
        <f aca="false">IF('STUDENT SCREENING'!AE104="","",IFERROR(INDEX('SCORING MASTER'!$D$37:$D$39,MATCH('STUDENT SCREENING'!AE104,'SCORING MASTER'!$C$37:$C$39,0)),""))</f>
        <v/>
      </c>
      <c r="AG104" s="57" t="str">
        <f aca="false">IF('STUDENT SCREENING'!AF104="","",IFERROR(INDEX('SCORING MASTER'!$D$41:$D$43,MATCH('STUDENT SCREENING'!AF104,'SCORING MASTER'!$C$41:$C$43,0)),""))</f>
        <v/>
      </c>
      <c r="AH104" s="57" t="str">
        <f aca="false">IF('STUDENT SCREENING'!AG104="","",IFERROR(INDEX('SCORING MASTER'!$D$45:$D$47,MATCH('STUDENT SCREENING'!AG104,'SCORING MASTER'!$C$45:$C$47,0)),""))</f>
        <v/>
      </c>
      <c r="AI104" s="57" t="str">
        <f aca="false">IF('STUDENT SCREENING'!AH104="","",IFERROR(INDEX('SCORING MASTER'!$D$49:$D$52,MATCH('STUDENT SCREENING'!AH104,'SCORING MASTER'!$C$49:$C$52,0)),""))</f>
        <v/>
      </c>
      <c r="AJ104" s="57" t="str">
        <f aca="false">IF('STUDENT SCREENING'!AI104="","",IFERROR(INDEX('SCORING MASTER'!$D$54:$D$57,MATCH('STUDENT SCREENING'!AI104,'SCORING MASTER'!$C$54:$C$57,0)),""))</f>
        <v/>
      </c>
      <c r="AK104" s="57" t="str">
        <f aca="false">IF('STUDENT SCREENING'!AJ104="","",IFERROR(INDEX('SCORING MASTER'!$D$59:$D$60,MATCH('STUDENT SCREENING'!AJ104,'SCORING MASTER'!$C$59:$C$60,0)),""))</f>
        <v/>
      </c>
      <c r="AL104" s="57" t="str">
        <f aca="false">IF('STUDENT SCREENING'!AK104="","",IFERROR(INDEX('SCORING MASTER'!$D$62:$D$63,MATCH('STUDENT SCREENING'!AK104,'SCORING MASTER'!$C$62:$C$63,0)),""))</f>
        <v/>
      </c>
      <c r="AM104" s="57" t="str">
        <f aca="false">IF('STUDENT SCREENING'!AL104="","",IFERROR(INDEX('SCORING MASTER'!$D$65:$D$66,MATCH('STUDENT SCREENING'!AL104,'SCORING MASTER'!$C$65:$C$66,0)),""))</f>
        <v/>
      </c>
      <c r="AN104" s="57" t="str">
        <f aca="false">IF('STUDENT SCREENING'!AM104="","",IFERROR(INDEX('SCORING MASTER'!$D$68:$D$69,MATCH('STUDENT SCREENING'!AM104,'SCORING MASTER'!$C$68:$C$69,0)),""))</f>
        <v/>
      </c>
      <c r="AO104" s="57" t="str">
        <f aca="false">IF('STUDENT SCREENING'!AN104="","",IFERROR(INDEX('SCORING MASTER'!$D$71:$D$72,MATCH('STUDENT SCREENING'!AN104,'SCORING MASTER'!$C$71:$C$72,0)),""))</f>
        <v/>
      </c>
      <c r="AP104" s="57" t="str">
        <f aca="false">IF('STUDENT SCREENING'!AO104="","",IFERROR(INDEX('SCORING MASTER'!$D$74:$D$75,MATCH('STUDENT SCREENING'!AO104,'SCORING MASTER'!$C$74:$C$75,0)),""))</f>
        <v/>
      </c>
      <c r="AQ104" s="57" t="str">
        <f aca="false">IF('STUDENT SCREENING'!AP104="","",IFERROR(INDEX('SCORING MASTER'!$D$77:$D$78,MATCH('STUDENT SCREENING'!AP104,'SCORING MASTER'!$C$77:$C$78,0)),""))</f>
        <v/>
      </c>
      <c r="AR104" s="57" t="str">
        <f aca="false">IF('STUDENT SCREENING'!AQ104="","",IFERROR(INDEX('SCORING MASTER'!$D$80:$D$82,MATCH('STUDENT SCREENING'!AQ104,'SCORING MASTER'!$C$80:$C$82,0)),""))</f>
        <v/>
      </c>
      <c r="AS104" s="57" t="str">
        <f aca="false">IF('STUDENT SCREENING'!AR104="","",IFERROR(INDEX('SCORING MASTER'!$D$84:$D$86,MATCH('STUDENT SCREENING'!AR104,'SCORING MASTER'!$C$84:$C$86,0)),""))</f>
        <v/>
      </c>
      <c r="AT104" s="57" t="str">
        <f aca="false">IF('STUDENT SCREENING'!AS104="","",IFERROR(INDEX('SCORING MASTER'!$D$88:$D$90,MATCH('STUDENT SCREENING'!AS104,'SCORING MASTER'!$C$88:$C$90,0)),""))</f>
        <v/>
      </c>
      <c r="AU104" s="57" t="str">
        <f aca="false">IF('STUDENT SCREENING'!AT104="","",IFERROR(INDEX('SCORING MASTER'!$D$92:$D$93,MATCH('STUDENT SCREENING'!AT104,'SCORING MASTER'!$C$92:$C$93,0)),""))</f>
        <v/>
      </c>
      <c r="AV104" s="57" t="str">
        <f aca="false">IF('STUDENT SCREENING'!AU104="","",IFERROR(INDEX('SCORING MASTER'!$D$95:$D$96,MATCH('STUDENT SCREENING'!AU104,'SCORING MASTER'!$C$95:$C$96,0)),""))</f>
        <v/>
      </c>
      <c r="AW104" s="57" t="str">
        <f aca="false">IF('STUDENT SCREENING'!AV104="","",IFERROR(INDEX('SCORING MASTER'!$D$98:$D$99,MATCH('STUDENT SCREENING'!AV104,'SCORING MASTER'!$C$98:$C$99,0)),""))</f>
        <v/>
      </c>
      <c r="AX104" s="57" t="str">
        <f aca="false">IF('STUDENT SCREENING'!AW104="","",IFERROR(INDEX('SCORING MASTER'!$D$101:$D$102,MATCH('STUDENT SCREENING'!AW104,'SCORING MASTER'!$C$101:$C$102,0)),""))</f>
        <v/>
      </c>
      <c r="AY104" s="57" t="str">
        <f aca="false">IF('STUDENT SCREENING'!AX104="","",IFERROR(INDEX('SCORING MASTER'!$D$104:$D$105,MATCH('STUDENT SCREENING'!AX104,'SCORING MASTER'!$C$104:$C$105,0)),""))</f>
        <v/>
      </c>
      <c r="AZ104" s="57" t="str">
        <f aca="false">IF('STUDENT SCREENING'!AY104="","",IFERROR(INDEX('SCORING MASTER'!$D$107:$D$108,MATCH('STUDENT SCREENING'!AY104,'SCORING MASTER'!$C$107:$C$108,0)),""))</f>
        <v/>
      </c>
      <c r="BA104" s="57" t="str">
        <f aca="false">IF('STUDENT SCREENING'!AZ104="","",IFERROR(INDEX('SCORING MASTER'!$D$110:$D$111,MATCH('STUDENT SCREENING'!AZ104,'SCORING MASTER'!$C$110:$C$111,0)),""))</f>
        <v/>
      </c>
      <c r="BB104" s="57" t="str">
        <f aca="false">IF('STUDENT SCREENING'!BA104="","",IFERROR(INDEX('SCORING MASTER'!$D$113:$D$115,MATCH('STUDENT SCREENING'!BA104,'SCORING MASTER'!$C$113:$C$115,0)),""))</f>
        <v/>
      </c>
      <c r="BC104" s="57" t="str">
        <f aca="false">IF('STUDENT SCREENING'!BB104="","",IFERROR(INDEX('SCORING MASTER'!$D$117:$D$119,MATCH('STUDENT SCREENING'!BB104,'SCORING MASTER'!$C$117:$C$119,0)),""))</f>
        <v/>
      </c>
      <c r="BD104" s="57" t="str">
        <f aca="false">IF('STUDENT SCREENING'!BC104="","",IFERROR(INDEX('SCORING MASTER'!$D$121:$D$123,MATCH('STUDENT SCREENING'!BC104,'SCORING MASTER'!$C$121:$C$123,0)),""))</f>
        <v/>
      </c>
      <c r="BE104" s="57" t="str">
        <f aca="false">IF('STUDENT SCREENING'!BD104="","",IFERROR(INDEX('SCORING MASTER'!$D$125:$D$126,MATCH('STUDENT SCREENING'!BD104,'SCORING MASTER'!$C$125:$C$126,0)),""))</f>
        <v/>
      </c>
      <c r="BF104" s="57" t="str">
        <f aca="false">IF('STUDENT SCREENING'!BE104="","",IFERROR(INDEX('SCORING MASTER'!$D$128:$D$129,MATCH('STUDENT SCREENING'!BE104,'SCORING MASTER'!$C$128:$C$129,0)),""))</f>
        <v/>
      </c>
      <c r="BG104" s="57" t="str">
        <f aca="false">IF('STUDENT SCREENING'!BP104="","",IFERROR(MATCH('STUDENT SCREENING'!BP104,{"Red - High Risk","Orange - Moderate Risk","Yellow - Mild Risk","Light Green - Mild Watch","Green - Healthy"},0)-1,""))</f>
        <v/>
      </c>
      <c r="BH104" s="57" t="str">
        <f aca="false">IF('STUDENT SCREENING'!BQ104="","",IF('STUDENT SCREENING'!BQ104="Yes",1,0))</f>
        <v/>
      </c>
      <c r="BI104" s="57" t="str">
        <f aca="false">IF('STUDENT SCREENING'!BR104="","",IF('STUDENT SCREENING'!BR104="Yes",1,0))</f>
        <v/>
      </c>
    </row>
    <row r="105" customFormat="false" ht="15" hidden="false" customHeight="false" outlineLevel="0" collapsed="false">
      <c r="A105" s="58" t="str">
        <f aca="false">'STUDENT SCREENING'!A105</f>
        <v/>
      </c>
      <c r="B105" s="58" t="n">
        <f aca="false">'STUDENT SCREENING'!C105</f>
        <v>0</v>
      </c>
      <c r="C105" s="58" t="n">
        <f aca="false">'STUDENT SCREENING'!D105</f>
        <v>0</v>
      </c>
      <c r="D105" s="58" t="n">
        <f aca="false">'STUDENT SCREENING'!E105</f>
        <v>0</v>
      </c>
      <c r="E105" s="58" t="n">
        <f aca="false">'STUDENT SCREENING'!F105</f>
        <v>0</v>
      </c>
      <c r="F105" s="58" t="n">
        <f aca="false">'STUDENT SCREENING'!K105</f>
        <v>0</v>
      </c>
      <c r="G105" s="58" t="n">
        <f aca="false">'STUDENT SCREENING'!J105</f>
        <v>0</v>
      </c>
      <c r="H105" s="58" t="str">
        <f aca="false">IF('STUDENT SCREENING'!K105="","",IFERROR(MATCH('STUDENT SCREENING'!K105,Adm_Gender,0),""))</f>
        <v/>
      </c>
      <c r="I105" s="58" t="n">
        <f aca="false">'STUDENT SCREENING'!Q105</f>
        <v>0</v>
      </c>
      <c r="J105" s="58" t="n">
        <f aca="false">'STUDENT SCREENING'!R105</f>
        <v>0</v>
      </c>
      <c r="K105" s="58" t="str">
        <f aca="false">'STUDENT SCREENING'!S105</f>
        <v/>
      </c>
      <c r="L105" s="58" t="n">
        <f aca="false">'STUDENT SCREENING'!U105</f>
        <v>0</v>
      </c>
      <c r="M105" s="58" t="n">
        <f aca="false">'STUDENT SCREENING'!V105</f>
        <v>0</v>
      </c>
      <c r="N105" s="58" t="str">
        <f aca="false">'STUDENT SCREENING'!BF105</f>
        <v/>
      </c>
      <c r="O105" s="58" t="str">
        <f aca="false">'STUDENT SCREENING'!BG105</f>
        <v/>
      </c>
      <c r="P105" s="58" t="str">
        <f aca="false">'STUDENT SCREENING'!BH105</f>
        <v/>
      </c>
      <c r="Q105" s="58" t="str">
        <f aca="false">'STUDENT SCREENING'!BI105</f>
        <v/>
      </c>
      <c r="R105" s="58" t="str">
        <f aca="false">'STUDENT SCREENING'!BJ105</f>
        <v/>
      </c>
      <c r="S105" s="58" t="str">
        <f aca="false">'STUDENT SCREENING'!BK105</f>
        <v/>
      </c>
      <c r="T105" s="58" t="str">
        <f aca="false">'STUDENT SCREENING'!BL105</f>
        <v/>
      </c>
      <c r="U105" s="58" t="str">
        <f aca="false">'STUDENT SCREENING'!BM105</f>
        <v/>
      </c>
      <c r="V105" s="58" t="str">
        <f aca="false">'STUDENT SCREENING'!BN105</f>
        <v/>
      </c>
      <c r="W105" s="58" t="str">
        <f aca="false">'STUDENT SCREENING'!BO105</f>
        <v/>
      </c>
      <c r="X105" s="58" t="str">
        <f aca="false">IF('STUDENT SCREENING'!W105="","",IFERROR(INDEX('SCORING MASTER'!$D$5:$D$7,MATCH('STUDENT SCREENING'!W105,'SCORING MASTER'!$C$5:$C$7,0)),""))</f>
        <v/>
      </c>
      <c r="Y105" s="58" t="str">
        <f aca="false">IF('STUDENT SCREENING'!X105="","",IFERROR(INDEX('SCORING MASTER'!$D$9:$D$11,MATCH('STUDENT SCREENING'!X105,'SCORING MASTER'!$C$9:$C$11,0)),""))</f>
        <v/>
      </c>
      <c r="Z105" s="58" t="str">
        <f aca="false">IF('STUDENT SCREENING'!Y105="","",IFERROR(INDEX('SCORING MASTER'!$D$13:$D$15,MATCH('STUDENT SCREENING'!Y105,'SCORING MASTER'!$C$13:$C$15,0)),""))</f>
        <v/>
      </c>
      <c r="AA105" s="58" t="str">
        <f aca="false">IF('STUDENT SCREENING'!Z105="","",IFERROR(INDEX('SCORING MASTER'!$D$17:$D$19,MATCH('STUDENT SCREENING'!Z105,'SCORING MASTER'!$C$17:$C$19,0)),""))</f>
        <v/>
      </c>
      <c r="AB105" s="58" t="str">
        <f aca="false">IF('STUDENT SCREENING'!AA105="","",IFERROR(INDEX('SCORING MASTER'!$D$21:$D$23,MATCH('STUDENT SCREENING'!AA105,'SCORING MASTER'!$C$21:$C$23,0)),""))</f>
        <v/>
      </c>
      <c r="AC105" s="58" t="str">
        <f aca="false">IF('STUDENT SCREENING'!AB105="","",IFERROR(INDEX('SCORING MASTER'!$D$25:$D$27,MATCH('STUDENT SCREENING'!AB105,'SCORING MASTER'!$C$25:$C$27,0)),""))</f>
        <v/>
      </c>
      <c r="AD105" s="58" t="str">
        <f aca="false">IF('STUDENT SCREENING'!AC105="","",IFERROR(INDEX('SCORING MASTER'!$D$29:$D$31,MATCH('STUDENT SCREENING'!AC105,'SCORING MASTER'!$C$29:$C$31,0)),""))</f>
        <v/>
      </c>
      <c r="AE105" s="58" t="str">
        <f aca="false">IF('STUDENT SCREENING'!AD105="","",IFERROR(INDEX('SCORING MASTER'!$D$33:$D$35,MATCH('STUDENT SCREENING'!AD105,'SCORING MASTER'!$C$33:$C$35,0)),""))</f>
        <v/>
      </c>
      <c r="AF105" s="58" t="str">
        <f aca="false">IF('STUDENT SCREENING'!AE105="","",IFERROR(INDEX('SCORING MASTER'!$D$37:$D$39,MATCH('STUDENT SCREENING'!AE105,'SCORING MASTER'!$C$37:$C$39,0)),""))</f>
        <v/>
      </c>
      <c r="AG105" s="58" t="str">
        <f aca="false">IF('STUDENT SCREENING'!AF105="","",IFERROR(INDEX('SCORING MASTER'!$D$41:$D$43,MATCH('STUDENT SCREENING'!AF105,'SCORING MASTER'!$C$41:$C$43,0)),""))</f>
        <v/>
      </c>
      <c r="AH105" s="58" t="str">
        <f aca="false">IF('STUDENT SCREENING'!AG105="","",IFERROR(INDEX('SCORING MASTER'!$D$45:$D$47,MATCH('STUDENT SCREENING'!AG105,'SCORING MASTER'!$C$45:$C$47,0)),""))</f>
        <v/>
      </c>
      <c r="AI105" s="58" t="str">
        <f aca="false">IF('STUDENT SCREENING'!AH105="","",IFERROR(INDEX('SCORING MASTER'!$D$49:$D$52,MATCH('STUDENT SCREENING'!AH105,'SCORING MASTER'!$C$49:$C$52,0)),""))</f>
        <v/>
      </c>
      <c r="AJ105" s="58" t="str">
        <f aca="false">IF('STUDENT SCREENING'!AI105="","",IFERROR(INDEX('SCORING MASTER'!$D$54:$D$57,MATCH('STUDENT SCREENING'!AI105,'SCORING MASTER'!$C$54:$C$57,0)),""))</f>
        <v/>
      </c>
      <c r="AK105" s="58" t="str">
        <f aca="false">IF('STUDENT SCREENING'!AJ105="","",IFERROR(INDEX('SCORING MASTER'!$D$59:$D$60,MATCH('STUDENT SCREENING'!AJ105,'SCORING MASTER'!$C$59:$C$60,0)),""))</f>
        <v/>
      </c>
      <c r="AL105" s="58" t="str">
        <f aca="false">IF('STUDENT SCREENING'!AK105="","",IFERROR(INDEX('SCORING MASTER'!$D$62:$D$63,MATCH('STUDENT SCREENING'!AK105,'SCORING MASTER'!$C$62:$C$63,0)),""))</f>
        <v/>
      </c>
      <c r="AM105" s="58" t="str">
        <f aca="false">IF('STUDENT SCREENING'!AL105="","",IFERROR(INDEX('SCORING MASTER'!$D$65:$D$66,MATCH('STUDENT SCREENING'!AL105,'SCORING MASTER'!$C$65:$C$66,0)),""))</f>
        <v/>
      </c>
      <c r="AN105" s="58" t="str">
        <f aca="false">IF('STUDENT SCREENING'!AM105="","",IFERROR(INDEX('SCORING MASTER'!$D$68:$D$69,MATCH('STUDENT SCREENING'!AM105,'SCORING MASTER'!$C$68:$C$69,0)),""))</f>
        <v/>
      </c>
      <c r="AO105" s="58" t="str">
        <f aca="false">IF('STUDENT SCREENING'!AN105="","",IFERROR(INDEX('SCORING MASTER'!$D$71:$D$72,MATCH('STUDENT SCREENING'!AN105,'SCORING MASTER'!$C$71:$C$72,0)),""))</f>
        <v/>
      </c>
      <c r="AP105" s="58" t="str">
        <f aca="false">IF('STUDENT SCREENING'!AO105="","",IFERROR(INDEX('SCORING MASTER'!$D$74:$D$75,MATCH('STUDENT SCREENING'!AO105,'SCORING MASTER'!$C$74:$C$75,0)),""))</f>
        <v/>
      </c>
      <c r="AQ105" s="58" t="str">
        <f aca="false">IF('STUDENT SCREENING'!AP105="","",IFERROR(INDEX('SCORING MASTER'!$D$77:$D$78,MATCH('STUDENT SCREENING'!AP105,'SCORING MASTER'!$C$77:$C$78,0)),""))</f>
        <v/>
      </c>
      <c r="AR105" s="58" t="str">
        <f aca="false">IF('STUDENT SCREENING'!AQ105="","",IFERROR(INDEX('SCORING MASTER'!$D$80:$D$82,MATCH('STUDENT SCREENING'!AQ105,'SCORING MASTER'!$C$80:$C$82,0)),""))</f>
        <v/>
      </c>
      <c r="AS105" s="58" t="str">
        <f aca="false">IF('STUDENT SCREENING'!AR105="","",IFERROR(INDEX('SCORING MASTER'!$D$84:$D$86,MATCH('STUDENT SCREENING'!AR105,'SCORING MASTER'!$C$84:$C$86,0)),""))</f>
        <v/>
      </c>
      <c r="AT105" s="58" t="str">
        <f aca="false">IF('STUDENT SCREENING'!AS105="","",IFERROR(INDEX('SCORING MASTER'!$D$88:$D$90,MATCH('STUDENT SCREENING'!AS105,'SCORING MASTER'!$C$88:$C$90,0)),""))</f>
        <v/>
      </c>
      <c r="AU105" s="58" t="str">
        <f aca="false">IF('STUDENT SCREENING'!AT105="","",IFERROR(INDEX('SCORING MASTER'!$D$92:$D$93,MATCH('STUDENT SCREENING'!AT105,'SCORING MASTER'!$C$92:$C$93,0)),""))</f>
        <v/>
      </c>
      <c r="AV105" s="58" t="str">
        <f aca="false">IF('STUDENT SCREENING'!AU105="","",IFERROR(INDEX('SCORING MASTER'!$D$95:$D$96,MATCH('STUDENT SCREENING'!AU105,'SCORING MASTER'!$C$95:$C$96,0)),""))</f>
        <v/>
      </c>
      <c r="AW105" s="58" t="str">
        <f aca="false">IF('STUDENT SCREENING'!AV105="","",IFERROR(INDEX('SCORING MASTER'!$D$98:$D$99,MATCH('STUDENT SCREENING'!AV105,'SCORING MASTER'!$C$98:$C$99,0)),""))</f>
        <v/>
      </c>
      <c r="AX105" s="58" t="str">
        <f aca="false">IF('STUDENT SCREENING'!AW105="","",IFERROR(INDEX('SCORING MASTER'!$D$101:$D$102,MATCH('STUDENT SCREENING'!AW105,'SCORING MASTER'!$C$101:$C$102,0)),""))</f>
        <v/>
      </c>
      <c r="AY105" s="58" t="str">
        <f aca="false">IF('STUDENT SCREENING'!AX105="","",IFERROR(INDEX('SCORING MASTER'!$D$104:$D$105,MATCH('STUDENT SCREENING'!AX105,'SCORING MASTER'!$C$104:$C$105,0)),""))</f>
        <v/>
      </c>
      <c r="AZ105" s="58" t="str">
        <f aca="false">IF('STUDENT SCREENING'!AY105="","",IFERROR(INDEX('SCORING MASTER'!$D$107:$D$108,MATCH('STUDENT SCREENING'!AY105,'SCORING MASTER'!$C$107:$C$108,0)),""))</f>
        <v/>
      </c>
      <c r="BA105" s="58" t="str">
        <f aca="false">IF('STUDENT SCREENING'!AZ105="","",IFERROR(INDEX('SCORING MASTER'!$D$110:$D$111,MATCH('STUDENT SCREENING'!AZ105,'SCORING MASTER'!$C$110:$C$111,0)),""))</f>
        <v/>
      </c>
      <c r="BB105" s="58" t="str">
        <f aca="false">IF('STUDENT SCREENING'!BA105="","",IFERROR(INDEX('SCORING MASTER'!$D$113:$D$115,MATCH('STUDENT SCREENING'!BA105,'SCORING MASTER'!$C$113:$C$115,0)),""))</f>
        <v/>
      </c>
      <c r="BC105" s="58" t="str">
        <f aca="false">IF('STUDENT SCREENING'!BB105="","",IFERROR(INDEX('SCORING MASTER'!$D$117:$D$119,MATCH('STUDENT SCREENING'!BB105,'SCORING MASTER'!$C$117:$C$119,0)),""))</f>
        <v/>
      </c>
      <c r="BD105" s="58" t="str">
        <f aca="false">IF('STUDENT SCREENING'!BC105="","",IFERROR(INDEX('SCORING MASTER'!$D$121:$D$123,MATCH('STUDENT SCREENING'!BC105,'SCORING MASTER'!$C$121:$C$123,0)),""))</f>
        <v/>
      </c>
      <c r="BE105" s="58" t="str">
        <f aca="false">IF('STUDENT SCREENING'!BD105="","",IFERROR(INDEX('SCORING MASTER'!$D$125:$D$126,MATCH('STUDENT SCREENING'!BD105,'SCORING MASTER'!$C$125:$C$126,0)),""))</f>
        <v/>
      </c>
      <c r="BF105" s="58" t="str">
        <f aca="false">IF('STUDENT SCREENING'!BE105="","",IFERROR(INDEX('SCORING MASTER'!$D$128:$D$129,MATCH('STUDENT SCREENING'!BE105,'SCORING MASTER'!$C$128:$C$129,0)),""))</f>
        <v/>
      </c>
      <c r="BG105" s="58" t="str">
        <f aca="false">IF('STUDENT SCREENING'!BP105="","",IFERROR(MATCH('STUDENT SCREENING'!BP105,{"Red - High Risk","Orange - Moderate Risk","Yellow - Mild Risk","Light Green - Mild Watch","Green - Healthy"},0)-1,""))</f>
        <v/>
      </c>
      <c r="BH105" s="58" t="str">
        <f aca="false">IF('STUDENT SCREENING'!BQ105="","",IF('STUDENT SCREENING'!BQ105="Yes",1,0))</f>
        <v/>
      </c>
      <c r="BI105" s="58" t="str">
        <f aca="false">IF('STUDENT SCREENING'!BR105="","",IF('STUDENT SCREENING'!BR105="Yes",1,0))</f>
        <v/>
      </c>
    </row>
    <row r="106" customFormat="false" ht="15" hidden="false" customHeight="false" outlineLevel="0" collapsed="false">
      <c r="A106" s="57" t="str">
        <f aca="false">'STUDENT SCREENING'!A106</f>
        <v/>
      </c>
      <c r="B106" s="57" t="n">
        <f aca="false">'STUDENT SCREENING'!C106</f>
        <v>0</v>
      </c>
      <c r="C106" s="57" t="n">
        <f aca="false">'STUDENT SCREENING'!D106</f>
        <v>0</v>
      </c>
      <c r="D106" s="57" t="n">
        <f aca="false">'STUDENT SCREENING'!E106</f>
        <v>0</v>
      </c>
      <c r="E106" s="57" t="n">
        <f aca="false">'STUDENT SCREENING'!F106</f>
        <v>0</v>
      </c>
      <c r="F106" s="57" t="n">
        <f aca="false">'STUDENT SCREENING'!K106</f>
        <v>0</v>
      </c>
      <c r="G106" s="57" t="n">
        <f aca="false">'STUDENT SCREENING'!J106</f>
        <v>0</v>
      </c>
      <c r="H106" s="57" t="str">
        <f aca="false">IF('STUDENT SCREENING'!K106="","",IFERROR(MATCH('STUDENT SCREENING'!K106,Adm_Gender,0),""))</f>
        <v/>
      </c>
      <c r="I106" s="57" t="n">
        <f aca="false">'STUDENT SCREENING'!Q106</f>
        <v>0</v>
      </c>
      <c r="J106" s="57" t="n">
        <f aca="false">'STUDENT SCREENING'!R106</f>
        <v>0</v>
      </c>
      <c r="K106" s="57" t="str">
        <f aca="false">'STUDENT SCREENING'!S106</f>
        <v/>
      </c>
      <c r="L106" s="57" t="n">
        <f aca="false">'STUDENT SCREENING'!U106</f>
        <v>0</v>
      </c>
      <c r="M106" s="57" t="n">
        <f aca="false">'STUDENT SCREENING'!V106</f>
        <v>0</v>
      </c>
      <c r="N106" s="57" t="str">
        <f aca="false">'STUDENT SCREENING'!BF106</f>
        <v/>
      </c>
      <c r="O106" s="57" t="str">
        <f aca="false">'STUDENT SCREENING'!BG106</f>
        <v/>
      </c>
      <c r="P106" s="57" t="str">
        <f aca="false">'STUDENT SCREENING'!BH106</f>
        <v/>
      </c>
      <c r="Q106" s="57" t="str">
        <f aca="false">'STUDENT SCREENING'!BI106</f>
        <v/>
      </c>
      <c r="R106" s="57" t="str">
        <f aca="false">'STUDENT SCREENING'!BJ106</f>
        <v/>
      </c>
      <c r="S106" s="57" t="str">
        <f aca="false">'STUDENT SCREENING'!BK106</f>
        <v/>
      </c>
      <c r="T106" s="57" t="str">
        <f aca="false">'STUDENT SCREENING'!BL106</f>
        <v/>
      </c>
      <c r="U106" s="57" t="str">
        <f aca="false">'STUDENT SCREENING'!BM106</f>
        <v/>
      </c>
      <c r="V106" s="57" t="str">
        <f aca="false">'STUDENT SCREENING'!BN106</f>
        <v/>
      </c>
      <c r="W106" s="57" t="str">
        <f aca="false">'STUDENT SCREENING'!BO106</f>
        <v/>
      </c>
      <c r="X106" s="57" t="str">
        <f aca="false">IF('STUDENT SCREENING'!W106="","",IFERROR(INDEX('SCORING MASTER'!$D$5:$D$7,MATCH('STUDENT SCREENING'!W106,'SCORING MASTER'!$C$5:$C$7,0)),""))</f>
        <v/>
      </c>
      <c r="Y106" s="57" t="str">
        <f aca="false">IF('STUDENT SCREENING'!X106="","",IFERROR(INDEX('SCORING MASTER'!$D$9:$D$11,MATCH('STUDENT SCREENING'!X106,'SCORING MASTER'!$C$9:$C$11,0)),""))</f>
        <v/>
      </c>
      <c r="Z106" s="57" t="str">
        <f aca="false">IF('STUDENT SCREENING'!Y106="","",IFERROR(INDEX('SCORING MASTER'!$D$13:$D$15,MATCH('STUDENT SCREENING'!Y106,'SCORING MASTER'!$C$13:$C$15,0)),""))</f>
        <v/>
      </c>
      <c r="AA106" s="57" t="str">
        <f aca="false">IF('STUDENT SCREENING'!Z106="","",IFERROR(INDEX('SCORING MASTER'!$D$17:$D$19,MATCH('STUDENT SCREENING'!Z106,'SCORING MASTER'!$C$17:$C$19,0)),""))</f>
        <v/>
      </c>
      <c r="AB106" s="57" t="str">
        <f aca="false">IF('STUDENT SCREENING'!AA106="","",IFERROR(INDEX('SCORING MASTER'!$D$21:$D$23,MATCH('STUDENT SCREENING'!AA106,'SCORING MASTER'!$C$21:$C$23,0)),""))</f>
        <v/>
      </c>
      <c r="AC106" s="57" t="str">
        <f aca="false">IF('STUDENT SCREENING'!AB106="","",IFERROR(INDEX('SCORING MASTER'!$D$25:$D$27,MATCH('STUDENT SCREENING'!AB106,'SCORING MASTER'!$C$25:$C$27,0)),""))</f>
        <v/>
      </c>
      <c r="AD106" s="57" t="str">
        <f aca="false">IF('STUDENT SCREENING'!AC106="","",IFERROR(INDEX('SCORING MASTER'!$D$29:$D$31,MATCH('STUDENT SCREENING'!AC106,'SCORING MASTER'!$C$29:$C$31,0)),""))</f>
        <v/>
      </c>
      <c r="AE106" s="57" t="str">
        <f aca="false">IF('STUDENT SCREENING'!AD106="","",IFERROR(INDEX('SCORING MASTER'!$D$33:$D$35,MATCH('STUDENT SCREENING'!AD106,'SCORING MASTER'!$C$33:$C$35,0)),""))</f>
        <v/>
      </c>
      <c r="AF106" s="57" t="str">
        <f aca="false">IF('STUDENT SCREENING'!AE106="","",IFERROR(INDEX('SCORING MASTER'!$D$37:$D$39,MATCH('STUDENT SCREENING'!AE106,'SCORING MASTER'!$C$37:$C$39,0)),""))</f>
        <v/>
      </c>
      <c r="AG106" s="57" t="str">
        <f aca="false">IF('STUDENT SCREENING'!AF106="","",IFERROR(INDEX('SCORING MASTER'!$D$41:$D$43,MATCH('STUDENT SCREENING'!AF106,'SCORING MASTER'!$C$41:$C$43,0)),""))</f>
        <v/>
      </c>
      <c r="AH106" s="57" t="str">
        <f aca="false">IF('STUDENT SCREENING'!AG106="","",IFERROR(INDEX('SCORING MASTER'!$D$45:$D$47,MATCH('STUDENT SCREENING'!AG106,'SCORING MASTER'!$C$45:$C$47,0)),""))</f>
        <v/>
      </c>
      <c r="AI106" s="57" t="str">
        <f aca="false">IF('STUDENT SCREENING'!AH106="","",IFERROR(INDEX('SCORING MASTER'!$D$49:$D$52,MATCH('STUDENT SCREENING'!AH106,'SCORING MASTER'!$C$49:$C$52,0)),""))</f>
        <v/>
      </c>
      <c r="AJ106" s="57" t="str">
        <f aca="false">IF('STUDENT SCREENING'!AI106="","",IFERROR(INDEX('SCORING MASTER'!$D$54:$D$57,MATCH('STUDENT SCREENING'!AI106,'SCORING MASTER'!$C$54:$C$57,0)),""))</f>
        <v/>
      </c>
      <c r="AK106" s="57" t="str">
        <f aca="false">IF('STUDENT SCREENING'!AJ106="","",IFERROR(INDEX('SCORING MASTER'!$D$59:$D$60,MATCH('STUDENT SCREENING'!AJ106,'SCORING MASTER'!$C$59:$C$60,0)),""))</f>
        <v/>
      </c>
      <c r="AL106" s="57" t="str">
        <f aca="false">IF('STUDENT SCREENING'!AK106="","",IFERROR(INDEX('SCORING MASTER'!$D$62:$D$63,MATCH('STUDENT SCREENING'!AK106,'SCORING MASTER'!$C$62:$C$63,0)),""))</f>
        <v/>
      </c>
      <c r="AM106" s="57" t="str">
        <f aca="false">IF('STUDENT SCREENING'!AL106="","",IFERROR(INDEX('SCORING MASTER'!$D$65:$D$66,MATCH('STUDENT SCREENING'!AL106,'SCORING MASTER'!$C$65:$C$66,0)),""))</f>
        <v/>
      </c>
      <c r="AN106" s="57" t="str">
        <f aca="false">IF('STUDENT SCREENING'!AM106="","",IFERROR(INDEX('SCORING MASTER'!$D$68:$D$69,MATCH('STUDENT SCREENING'!AM106,'SCORING MASTER'!$C$68:$C$69,0)),""))</f>
        <v/>
      </c>
      <c r="AO106" s="57" t="str">
        <f aca="false">IF('STUDENT SCREENING'!AN106="","",IFERROR(INDEX('SCORING MASTER'!$D$71:$D$72,MATCH('STUDENT SCREENING'!AN106,'SCORING MASTER'!$C$71:$C$72,0)),""))</f>
        <v/>
      </c>
      <c r="AP106" s="57" t="str">
        <f aca="false">IF('STUDENT SCREENING'!AO106="","",IFERROR(INDEX('SCORING MASTER'!$D$74:$D$75,MATCH('STUDENT SCREENING'!AO106,'SCORING MASTER'!$C$74:$C$75,0)),""))</f>
        <v/>
      </c>
      <c r="AQ106" s="57" t="str">
        <f aca="false">IF('STUDENT SCREENING'!AP106="","",IFERROR(INDEX('SCORING MASTER'!$D$77:$D$78,MATCH('STUDENT SCREENING'!AP106,'SCORING MASTER'!$C$77:$C$78,0)),""))</f>
        <v/>
      </c>
      <c r="AR106" s="57" t="str">
        <f aca="false">IF('STUDENT SCREENING'!AQ106="","",IFERROR(INDEX('SCORING MASTER'!$D$80:$D$82,MATCH('STUDENT SCREENING'!AQ106,'SCORING MASTER'!$C$80:$C$82,0)),""))</f>
        <v/>
      </c>
      <c r="AS106" s="57" t="str">
        <f aca="false">IF('STUDENT SCREENING'!AR106="","",IFERROR(INDEX('SCORING MASTER'!$D$84:$D$86,MATCH('STUDENT SCREENING'!AR106,'SCORING MASTER'!$C$84:$C$86,0)),""))</f>
        <v/>
      </c>
      <c r="AT106" s="57" t="str">
        <f aca="false">IF('STUDENT SCREENING'!AS106="","",IFERROR(INDEX('SCORING MASTER'!$D$88:$D$90,MATCH('STUDENT SCREENING'!AS106,'SCORING MASTER'!$C$88:$C$90,0)),""))</f>
        <v/>
      </c>
      <c r="AU106" s="57" t="str">
        <f aca="false">IF('STUDENT SCREENING'!AT106="","",IFERROR(INDEX('SCORING MASTER'!$D$92:$D$93,MATCH('STUDENT SCREENING'!AT106,'SCORING MASTER'!$C$92:$C$93,0)),""))</f>
        <v/>
      </c>
      <c r="AV106" s="57" t="str">
        <f aca="false">IF('STUDENT SCREENING'!AU106="","",IFERROR(INDEX('SCORING MASTER'!$D$95:$D$96,MATCH('STUDENT SCREENING'!AU106,'SCORING MASTER'!$C$95:$C$96,0)),""))</f>
        <v/>
      </c>
      <c r="AW106" s="57" t="str">
        <f aca="false">IF('STUDENT SCREENING'!AV106="","",IFERROR(INDEX('SCORING MASTER'!$D$98:$D$99,MATCH('STUDENT SCREENING'!AV106,'SCORING MASTER'!$C$98:$C$99,0)),""))</f>
        <v/>
      </c>
      <c r="AX106" s="57" t="str">
        <f aca="false">IF('STUDENT SCREENING'!AW106="","",IFERROR(INDEX('SCORING MASTER'!$D$101:$D$102,MATCH('STUDENT SCREENING'!AW106,'SCORING MASTER'!$C$101:$C$102,0)),""))</f>
        <v/>
      </c>
      <c r="AY106" s="57" t="str">
        <f aca="false">IF('STUDENT SCREENING'!AX106="","",IFERROR(INDEX('SCORING MASTER'!$D$104:$D$105,MATCH('STUDENT SCREENING'!AX106,'SCORING MASTER'!$C$104:$C$105,0)),""))</f>
        <v/>
      </c>
      <c r="AZ106" s="57" t="str">
        <f aca="false">IF('STUDENT SCREENING'!AY106="","",IFERROR(INDEX('SCORING MASTER'!$D$107:$D$108,MATCH('STUDENT SCREENING'!AY106,'SCORING MASTER'!$C$107:$C$108,0)),""))</f>
        <v/>
      </c>
      <c r="BA106" s="57" t="str">
        <f aca="false">IF('STUDENT SCREENING'!AZ106="","",IFERROR(INDEX('SCORING MASTER'!$D$110:$D$111,MATCH('STUDENT SCREENING'!AZ106,'SCORING MASTER'!$C$110:$C$111,0)),""))</f>
        <v/>
      </c>
      <c r="BB106" s="57" t="str">
        <f aca="false">IF('STUDENT SCREENING'!BA106="","",IFERROR(INDEX('SCORING MASTER'!$D$113:$D$115,MATCH('STUDENT SCREENING'!BA106,'SCORING MASTER'!$C$113:$C$115,0)),""))</f>
        <v/>
      </c>
      <c r="BC106" s="57" t="str">
        <f aca="false">IF('STUDENT SCREENING'!BB106="","",IFERROR(INDEX('SCORING MASTER'!$D$117:$D$119,MATCH('STUDENT SCREENING'!BB106,'SCORING MASTER'!$C$117:$C$119,0)),""))</f>
        <v/>
      </c>
      <c r="BD106" s="57" t="str">
        <f aca="false">IF('STUDENT SCREENING'!BC106="","",IFERROR(INDEX('SCORING MASTER'!$D$121:$D$123,MATCH('STUDENT SCREENING'!BC106,'SCORING MASTER'!$C$121:$C$123,0)),""))</f>
        <v/>
      </c>
      <c r="BE106" s="57" t="str">
        <f aca="false">IF('STUDENT SCREENING'!BD106="","",IFERROR(INDEX('SCORING MASTER'!$D$125:$D$126,MATCH('STUDENT SCREENING'!BD106,'SCORING MASTER'!$C$125:$C$126,0)),""))</f>
        <v/>
      </c>
      <c r="BF106" s="57" t="str">
        <f aca="false">IF('STUDENT SCREENING'!BE106="","",IFERROR(INDEX('SCORING MASTER'!$D$128:$D$129,MATCH('STUDENT SCREENING'!BE106,'SCORING MASTER'!$C$128:$C$129,0)),""))</f>
        <v/>
      </c>
      <c r="BG106" s="57" t="str">
        <f aca="false">IF('STUDENT SCREENING'!BP106="","",IFERROR(MATCH('STUDENT SCREENING'!BP106,{"Red - High Risk","Orange - Moderate Risk","Yellow - Mild Risk","Light Green - Mild Watch","Green - Healthy"},0)-1,""))</f>
        <v/>
      </c>
      <c r="BH106" s="57" t="str">
        <f aca="false">IF('STUDENT SCREENING'!BQ106="","",IF('STUDENT SCREENING'!BQ106="Yes",1,0))</f>
        <v/>
      </c>
      <c r="BI106" s="57" t="str">
        <f aca="false">IF('STUDENT SCREENING'!BR106="","",IF('STUDENT SCREENING'!BR106="Yes",1,0))</f>
        <v/>
      </c>
    </row>
    <row r="107" customFormat="false" ht="15" hidden="false" customHeight="false" outlineLevel="0" collapsed="false">
      <c r="A107" s="58" t="str">
        <f aca="false">'STUDENT SCREENING'!A107</f>
        <v/>
      </c>
      <c r="B107" s="58" t="n">
        <f aca="false">'STUDENT SCREENING'!C107</f>
        <v>0</v>
      </c>
      <c r="C107" s="58" t="n">
        <f aca="false">'STUDENT SCREENING'!D107</f>
        <v>0</v>
      </c>
      <c r="D107" s="58" t="n">
        <f aca="false">'STUDENT SCREENING'!E107</f>
        <v>0</v>
      </c>
      <c r="E107" s="58" t="n">
        <f aca="false">'STUDENT SCREENING'!F107</f>
        <v>0</v>
      </c>
      <c r="F107" s="58" t="n">
        <f aca="false">'STUDENT SCREENING'!K107</f>
        <v>0</v>
      </c>
      <c r="G107" s="58" t="n">
        <f aca="false">'STUDENT SCREENING'!J107</f>
        <v>0</v>
      </c>
      <c r="H107" s="58" t="str">
        <f aca="false">IF('STUDENT SCREENING'!K107="","",IFERROR(MATCH('STUDENT SCREENING'!K107,Adm_Gender,0),""))</f>
        <v/>
      </c>
      <c r="I107" s="58" t="n">
        <f aca="false">'STUDENT SCREENING'!Q107</f>
        <v>0</v>
      </c>
      <c r="J107" s="58" t="n">
        <f aca="false">'STUDENT SCREENING'!R107</f>
        <v>0</v>
      </c>
      <c r="K107" s="58" t="str">
        <f aca="false">'STUDENT SCREENING'!S107</f>
        <v/>
      </c>
      <c r="L107" s="58" t="n">
        <f aca="false">'STUDENT SCREENING'!U107</f>
        <v>0</v>
      </c>
      <c r="M107" s="58" t="n">
        <f aca="false">'STUDENT SCREENING'!V107</f>
        <v>0</v>
      </c>
      <c r="N107" s="58" t="str">
        <f aca="false">'STUDENT SCREENING'!BF107</f>
        <v/>
      </c>
      <c r="O107" s="58" t="str">
        <f aca="false">'STUDENT SCREENING'!BG107</f>
        <v/>
      </c>
      <c r="P107" s="58" t="str">
        <f aca="false">'STUDENT SCREENING'!BH107</f>
        <v/>
      </c>
      <c r="Q107" s="58" t="str">
        <f aca="false">'STUDENT SCREENING'!BI107</f>
        <v/>
      </c>
      <c r="R107" s="58" t="str">
        <f aca="false">'STUDENT SCREENING'!BJ107</f>
        <v/>
      </c>
      <c r="S107" s="58" t="str">
        <f aca="false">'STUDENT SCREENING'!BK107</f>
        <v/>
      </c>
      <c r="T107" s="58" t="str">
        <f aca="false">'STUDENT SCREENING'!BL107</f>
        <v/>
      </c>
      <c r="U107" s="58" t="str">
        <f aca="false">'STUDENT SCREENING'!BM107</f>
        <v/>
      </c>
      <c r="V107" s="58" t="str">
        <f aca="false">'STUDENT SCREENING'!BN107</f>
        <v/>
      </c>
      <c r="W107" s="58" t="str">
        <f aca="false">'STUDENT SCREENING'!BO107</f>
        <v/>
      </c>
      <c r="X107" s="58" t="str">
        <f aca="false">IF('STUDENT SCREENING'!W107="","",IFERROR(INDEX('SCORING MASTER'!$D$5:$D$7,MATCH('STUDENT SCREENING'!W107,'SCORING MASTER'!$C$5:$C$7,0)),""))</f>
        <v/>
      </c>
      <c r="Y107" s="58" t="str">
        <f aca="false">IF('STUDENT SCREENING'!X107="","",IFERROR(INDEX('SCORING MASTER'!$D$9:$D$11,MATCH('STUDENT SCREENING'!X107,'SCORING MASTER'!$C$9:$C$11,0)),""))</f>
        <v/>
      </c>
      <c r="Z107" s="58" t="str">
        <f aca="false">IF('STUDENT SCREENING'!Y107="","",IFERROR(INDEX('SCORING MASTER'!$D$13:$D$15,MATCH('STUDENT SCREENING'!Y107,'SCORING MASTER'!$C$13:$C$15,0)),""))</f>
        <v/>
      </c>
      <c r="AA107" s="58" t="str">
        <f aca="false">IF('STUDENT SCREENING'!Z107="","",IFERROR(INDEX('SCORING MASTER'!$D$17:$D$19,MATCH('STUDENT SCREENING'!Z107,'SCORING MASTER'!$C$17:$C$19,0)),""))</f>
        <v/>
      </c>
      <c r="AB107" s="58" t="str">
        <f aca="false">IF('STUDENT SCREENING'!AA107="","",IFERROR(INDEX('SCORING MASTER'!$D$21:$D$23,MATCH('STUDENT SCREENING'!AA107,'SCORING MASTER'!$C$21:$C$23,0)),""))</f>
        <v/>
      </c>
      <c r="AC107" s="58" t="str">
        <f aca="false">IF('STUDENT SCREENING'!AB107="","",IFERROR(INDEX('SCORING MASTER'!$D$25:$D$27,MATCH('STUDENT SCREENING'!AB107,'SCORING MASTER'!$C$25:$C$27,0)),""))</f>
        <v/>
      </c>
      <c r="AD107" s="58" t="str">
        <f aca="false">IF('STUDENT SCREENING'!AC107="","",IFERROR(INDEX('SCORING MASTER'!$D$29:$D$31,MATCH('STUDENT SCREENING'!AC107,'SCORING MASTER'!$C$29:$C$31,0)),""))</f>
        <v/>
      </c>
      <c r="AE107" s="58" t="str">
        <f aca="false">IF('STUDENT SCREENING'!AD107="","",IFERROR(INDEX('SCORING MASTER'!$D$33:$D$35,MATCH('STUDENT SCREENING'!AD107,'SCORING MASTER'!$C$33:$C$35,0)),""))</f>
        <v/>
      </c>
      <c r="AF107" s="58" t="str">
        <f aca="false">IF('STUDENT SCREENING'!AE107="","",IFERROR(INDEX('SCORING MASTER'!$D$37:$D$39,MATCH('STUDENT SCREENING'!AE107,'SCORING MASTER'!$C$37:$C$39,0)),""))</f>
        <v/>
      </c>
      <c r="AG107" s="58" t="str">
        <f aca="false">IF('STUDENT SCREENING'!AF107="","",IFERROR(INDEX('SCORING MASTER'!$D$41:$D$43,MATCH('STUDENT SCREENING'!AF107,'SCORING MASTER'!$C$41:$C$43,0)),""))</f>
        <v/>
      </c>
      <c r="AH107" s="58" t="str">
        <f aca="false">IF('STUDENT SCREENING'!AG107="","",IFERROR(INDEX('SCORING MASTER'!$D$45:$D$47,MATCH('STUDENT SCREENING'!AG107,'SCORING MASTER'!$C$45:$C$47,0)),""))</f>
        <v/>
      </c>
      <c r="AI107" s="58" t="str">
        <f aca="false">IF('STUDENT SCREENING'!AH107="","",IFERROR(INDEX('SCORING MASTER'!$D$49:$D$52,MATCH('STUDENT SCREENING'!AH107,'SCORING MASTER'!$C$49:$C$52,0)),""))</f>
        <v/>
      </c>
      <c r="AJ107" s="58" t="str">
        <f aca="false">IF('STUDENT SCREENING'!AI107="","",IFERROR(INDEX('SCORING MASTER'!$D$54:$D$57,MATCH('STUDENT SCREENING'!AI107,'SCORING MASTER'!$C$54:$C$57,0)),""))</f>
        <v/>
      </c>
      <c r="AK107" s="58" t="str">
        <f aca="false">IF('STUDENT SCREENING'!AJ107="","",IFERROR(INDEX('SCORING MASTER'!$D$59:$D$60,MATCH('STUDENT SCREENING'!AJ107,'SCORING MASTER'!$C$59:$C$60,0)),""))</f>
        <v/>
      </c>
      <c r="AL107" s="58" t="str">
        <f aca="false">IF('STUDENT SCREENING'!AK107="","",IFERROR(INDEX('SCORING MASTER'!$D$62:$D$63,MATCH('STUDENT SCREENING'!AK107,'SCORING MASTER'!$C$62:$C$63,0)),""))</f>
        <v/>
      </c>
      <c r="AM107" s="58" t="str">
        <f aca="false">IF('STUDENT SCREENING'!AL107="","",IFERROR(INDEX('SCORING MASTER'!$D$65:$D$66,MATCH('STUDENT SCREENING'!AL107,'SCORING MASTER'!$C$65:$C$66,0)),""))</f>
        <v/>
      </c>
      <c r="AN107" s="58" t="str">
        <f aca="false">IF('STUDENT SCREENING'!AM107="","",IFERROR(INDEX('SCORING MASTER'!$D$68:$D$69,MATCH('STUDENT SCREENING'!AM107,'SCORING MASTER'!$C$68:$C$69,0)),""))</f>
        <v/>
      </c>
      <c r="AO107" s="58" t="str">
        <f aca="false">IF('STUDENT SCREENING'!AN107="","",IFERROR(INDEX('SCORING MASTER'!$D$71:$D$72,MATCH('STUDENT SCREENING'!AN107,'SCORING MASTER'!$C$71:$C$72,0)),""))</f>
        <v/>
      </c>
      <c r="AP107" s="58" t="str">
        <f aca="false">IF('STUDENT SCREENING'!AO107="","",IFERROR(INDEX('SCORING MASTER'!$D$74:$D$75,MATCH('STUDENT SCREENING'!AO107,'SCORING MASTER'!$C$74:$C$75,0)),""))</f>
        <v/>
      </c>
      <c r="AQ107" s="58" t="str">
        <f aca="false">IF('STUDENT SCREENING'!AP107="","",IFERROR(INDEX('SCORING MASTER'!$D$77:$D$78,MATCH('STUDENT SCREENING'!AP107,'SCORING MASTER'!$C$77:$C$78,0)),""))</f>
        <v/>
      </c>
      <c r="AR107" s="58" t="str">
        <f aca="false">IF('STUDENT SCREENING'!AQ107="","",IFERROR(INDEX('SCORING MASTER'!$D$80:$D$82,MATCH('STUDENT SCREENING'!AQ107,'SCORING MASTER'!$C$80:$C$82,0)),""))</f>
        <v/>
      </c>
      <c r="AS107" s="58" t="str">
        <f aca="false">IF('STUDENT SCREENING'!AR107="","",IFERROR(INDEX('SCORING MASTER'!$D$84:$D$86,MATCH('STUDENT SCREENING'!AR107,'SCORING MASTER'!$C$84:$C$86,0)),""))</f>
        <v/>
      </c>
      <c r="AT107" s="58" t="str">
        <f aca="false">IF('STUDENT SCREENING'!AS107="","",IFERROR(INDEX('SCORING MASTER'!$D$88:$D$90,MATCH('STUDENT SCREENING'!AS107,'SCORING MASTER'!$C$88:$C$90,0)),""))</f>
        <v/>
      </c>
      <c r="AU107" s="58" t="str">
        <f aca="false">IF('STUDENT SCREENING'!AT107="","",IFERROR(INDEX('SCORING MASTER'!$D$92:$D$93,MATCH('STUDENT SCREENING'!AT107,'SCORING MASTER'!$C$92:$C$93,0)),""))</f>
        <v/>
      </c>
      <c r="AV107" s="58" t="str">
        <f aca="false">IF('STUDENT SCREENING'!AU107="","",IFERROR(INDEX('SCORING MASTER'!$D$95:$D$96,MATCH('STUDENT SCREENING'!AU107,'SCORING MASTER'!$C$95:$C$96,0)),""))</f>
        <v/>
      </c>
      <c r="AW107" s="58" t="str">
        <f aca="false">IF('STUDENT SCREENING'!AV107="","",IFERROR(INDEX('SCORING MASTER'!$D$98:$D$99,MATCH('STUDENT SCREENING'!AV107,'SCORING MASTER'!$C$98:$C$99,0)),""))</f>
        <v/>
      </c>
      <c r="AX107" s="58" t="str">
        <f aca="false">IF('STUDENT SCREENING'!AW107="","",IFERROR(INDEX('SCORING MASTER'!$D$101:$D$102,MATCH('STUDENT SCREENING'!AW107,'SCORING MASTER'!$C$101:$C$102,0)),""))</f>
        <v/>
      </c>
      <c r="AY107" s="58" t="str">
        <f aca="false">IF('STUDENT SCREENING'!AX107="","",IFERROR(INDEX('SCORING MASTER'!$D$104:$D$105,MATCH('STUDENT SCREENING'!AX107,'SCORING MASTER'!$C$104:$C$105,0)),""))</f>
        <v/>
      </c>
      <c r="AZ107" s="58" t="str">
        <f aca="false">IF('STUDENT SCREENING'!AY107="","",IFERROR(INDEX('SCORING MASTER'!$D$107:$D$108,MATCH('STUDENT SCREENING'!AY107,'SCORING MASTER'!$C$107:$C$108,0)),""))</f>
        <v/>
      </c>
      <c r="BA107" s="58" t="str">
        <f aca="false">IF('STUDENT SCREENING'!AZ107="","",IFERROR(INDEX('SCORING MASTER'!$D$110:$D$111,MATCH('STUDENT SCREENING'!AZ107,'SCORING MASTER'!$C$110:$C$111,0)),""))</f>
        <v/>
      </c>
      <c r="BB107" s="58" t="str">
        <f aca="false">IF('STUDENT SCREENING'!BA107="","",IFERROR(INDEX('SCORING MASTER'!$D$113:$D$115,MATCH('STUDENT SCREENING'!BA107,'SCORING MASTER'!$C$113:$C$115,0)),""))</f>
        <v/>
      </c>
      <c r="BC107" s="58" t="str">
        <f aca="false">IF('STUDENT SCREENING'!BB107="","",IFERROR(INDEX('SCORING MASTER'!$D$117:$D$119,MATCH('STUDENT SCREENING'!BB107,'SCORING MASTER'!$C$117:$C$119,0)),""))</f>
        <v/>
      </c>
      <c r="BD107" s="58" t="str">
        <f aca="false">IF('STUDENT SCREENING'!BC107="","",IFERROR(INDEX('SCORING MASTER'!$D$121:$D$123,MATCH('STUDENT SCREENING'!BC107,'SCORING MASTER'!$C$121:$C$123,0)),""))</f>
        <v/>
      </c>
      <c r="BE107" s="58" t="str">
        <f aca="false">IF('STUDENT SCREENING'!BD107="","",IFERROR(INDEX('SCORING MASTER'!$D$125:$D$126,MATCH('STUDENT SCREENING'!BD107,'SCORING MASTER'!$C$125:$C$126,0)),""))</f>
        <v/>
      </c>
      <c r="BF107" s="58" t="str">
        <f aca="false">IF('STUDENT SCREENING'!BE107="","",IFERROR(INDEX('SCORING MASTER'!$D$128:$D$129,MATCH('STUDENT SCREENING'!BE107,'SCORING MASTER'!$C$128:$C$129,0)),""))</f>
        <v/>
      </c>
      <c r="BG107" s="58" t="str">
        <f aca="false">IF('STUDENT SCREENING'!BP107="","",IFERROR(MATCH('STUDENT SCREENING'!BP107,{"Red - High Risk","Orange - Moderate Risk","Yellow - Mild Risk","Light Green - Mild Watch","Green - Healthy"},0)-1,""))</f>
        <v/>
      </c>
      <c r="BH107" s="58" t="str">
        <f aca="false">IF('STUDENT SCREENING'!BQ107="","",IF('STUDENT SCREENING'!BQ107="Yes",1,0))</f>
        <v/>
      </c>
      <c r="BI107" s="58" t="str">
        <f aca="false">IF('STUDENT SCREENING'!BR107="","",IF('STUDENT SCREENING'!BR107="Yes",1,0))</f>
        <v/>
      </c>
    </row>
    <row r="108" customFormat="false" ht="15" hidden="false" customHeight="false" outlineLevel="0" collapsed="false">
      <c r="A108" s="57" t="str">
        <f aca="false">'STUDENT SCREENING'!A108</f>
        <v/>
      </c>
      <c r="B108" s="57" t="n">
        <f aca="false">'STUDENT SCREENING'!C108</f>
        <v>0</v>
      </c>
      <c r="C108" s="57" t="n">
        <f aca="false">'STUDENT SCREENING'!D108</f>
        <v>0</v>
      </c>
      <c r="D108" s="57" t="n">
        <f aca="false">'STUDENT SCREENING'!E108</f>
        <v>0</v>
      </c>
      <c r="E108" s="57" t="n">
        <f aca="false">'STUDENT SCREENING'!F108</f>
        <v>0</v>
      </c>
      <c r="F108" s="57" t="n">
        <f aca="false">'STUDENT SCREENING'!K108</f>
        <v>0</v>
      </c>
      <c r="G108" s="57" t="n">
        <f aca="false">'STUDENT SCREENING'!J108</f>
        <v>0</v>
      </c>
      <c r="H108" s="57" t="str">
        <f aca="false">IF('STUDENT SCREENING'!K108="","",IFERROR(MATCH('STUDENT SCREENING'!K108,Adm_Gender,0),""))</f>
        <v/>
      </c>
      <c r="I108" s="57" t="n">
        <f aca="false">'STUDENT SCREENING'!Q108</f>
        <v>0</v>
      </c>
      <c r="J108" s="57" t="n">
        <f aca="false">'STUDENT SCREENING'!R108</f>
        <v>0</v>
      </c>
      <c r="K108" s="57" t="str">
        <f aca="false">'STUDENT SCREENING'!S108</f>
        <v/>
      </c>
      <c r="L108" s="57" t="n">
        <f aca="false">'STUDENT SCREENING'!U108</f>
        <v>0</v>
      </c>
      <c r="M108" s="57" t="n">
        <f aca="false">'STUDENT SCREENING'!V108</f>
        <v>0</v>
      </c>
      <c r="N108" s="57" t="str">
        <f aca="false">'STUDENT SCREENING'!BF108</f>
        <v/>
      </c>
      <c r="O108" s="57" t="str">
        <f aca="false">'STUDENT SCREENING'!BG108</f>
        <v/>
      </c>
      <c r="P108" s="57" t="str">
        <f aca="false">'STUDENT SCREENING'!BH108</f>
        <v/>
      </c>
      <c r="Q108" s="57" t="str">
        <f aca="false">'STUDENT SCREENING'!BI108</f>
        <v/>
      </c>
      <c r="R108" s="57" t="str">
        <f aca="false">'STUDENT SCREENING'!BJ108</f>
        <v/>
      </c>
      <c r="S108" s="57" t="str">
        <f aca="false">'STUDENT SCREENING'!BK108</f>
        <v/>
      </c>
      <c r="T108" s="57" t="str">
        <f aca="false">'STUDENT SCREENING'!BL108</f>
        <v/>
      </c>
      <c r="U108" s="57" t="str">
        <f aca="false">'STUDENT SCREENING'!BM108</f>
        <v/>
      </c>
      <c r="V108" s="57" t="str">
        <f aca="false">'STUDENT SCREENING'!BN108</f>
        <v/>
      </c>
      <c r="W108" s="57" t="str">
        <f aca="false">'STUDENT SCREENING'!BO108</f>
        <v/>
      </c>
      <c r="X108" s="57" t="str">
        <f aca="false">IF('STUDENT SCREENING'!W108="","",IFERROR(INDEX('SCORING MASTER'!$D$5:$D$7,MATCH('STUDENT SCREENING'!W108,'SCORING MASTER'!$C$5:$C$7,0)),""))</f>
        <v/>
      </c>
      <c r="Y108" s="57" t="str">
        <f aca="false">IF('STUDENT SCREENING'!X108="","",IFERROR(INDEX('SCORING MASTER'!$D$9:$D$11,MATCH('STUDENT SCREENING'!X108,'SCORING MASTER'!$C$9:$C$11,0)),""))</f>
        <v/>
      </c>
      <c r="Z108" s="57" t="str">
        <f aca="false">IF('STUDENT SCREENING'!Y108="","",IFERROR(INDEX('SCORING MASTER'!$D$13:$D$15,MATCH('STUDENT SCREENING'!Y108,'SCORING MASTER'!$C$13:$C$15,0)),""))</f>
        <v/>
      </c>
      <c r="AA108" s="57" t="str">
        <f aca="false">IF('STUDENT SCREENING'!Z108="","",IFERROR(INDEX('SCORING MASTER'!$D$17:$D$19,MATCH('STUDENT SCREENING'!Z108,'SCORING MASTER'!$C$17:$C$19,0)),""))</f>
        <v/>
      </c>
      <c r="AB108" s="57" t="str">
        <f aca="false">IF('STUDENT SCREENING'!AA108="","",IFERROR(INDEX('SCORING MASTER'!$D$21:$D$23,MATCH('STUDENT SCREENING'!AA108,'SCORING MASTER'!$C$21:$C$23,0)),""))</f>
        <v/>
      </c>
      <c r="AC108" s="57" t="str">
        <f aca="false">IF('STUDENT SCREENING'!AB108="","",IFERROR(INDEX('SCORING MASTER'!$D$25:$D$27,MATCH('STUDENT SCREENING'!AB108,'SCORING MASTER'!$C$25:$C$27,0)),""))</f>
        <v/>
      </c>
      <c r="AD108" s="57" t="str">
        <f aca="false">IF('STUDENT SCREENING'!AC108="","",IFERROR(INDEX('SCORING MASTER'!$D$29:$D$31,MATCH('STUDENT SCREENING'!AC108,'SCORING MASTER'!$C$29:$C$31,0)),""))</f>
        <v/>
      </c>
      <c r="AE108" s="57" t="str">
        <f aca="false">IF('STUDENT SCREENING'!AD108="","",IFERROR(INDEX('SCORING MASTER'!$D$33:$D$35,MATCH('STUDENT SCREENING'!AD108,'SCORING MASTER'!$C$33:$C$35,0)),""))</f>
        <v/>
      </c>
      <c r="AF108" s="57" t="str">
        <f aca="false">IF('STUDENT SCREENING'!AE108="","",IFERROR(INDEX('SCORING MASTER'!$D$37:$D$39,MATCH('STUDENT SCREENING'!AE108,'SCORING MASTER'!$C$37:$C$39,0)),""))</f>
        <v/>
      </c>
      <c r="AG108" s="57" t="str">
        <f aca="false">IF('STUDENT SCREENING'!AF108="","",IFERROR(INDEX('SCORING MASTER'!$D$41:$D$43,MATCH('STUDENT SCREENING'!AF108,'SCORING MASTER'!$C$41:$C$43,0)),""))</f>
        <v/>
      </c>
      <c r="AH108" s="57" t="str">
        <f aca="false">IF('STUDENT SCREENING'!AG108="","",IFERROR(INDEX('SCORING MASTER'!$D$45:$D$47,MATCH('STUDENT SCREENING'!AG108,'SCORING MASTER'!$C$45:$C$47,0)),""))</f>
        <v/>
      </c>
      <c r="AI108" s="57" t="str">
        <f aca="false">IF('STUDENT SCREENING'!AH108="","",IFERROR(INDEX('SCORING MASTER'!$D$49:$D$52,MATCH('STUDENT SCREENING'!AH108,'SCORING MASTER'!$C$49:$C$52,0)),""))</f>
        <v/>
      </c>
      <c r="AJ108" s="57" t="str">
        <f aca="false">IF('STUDENT SCREENING'!AI108="","",IFERROR(INDEX('SCORING MASTER'!$D$54:$D$57,MATCH('STUDENT SCREENING'!AI108,'SCORING MASTER'!$C$54:$C$57,0)),""))</f>
        <v/>
      </c>
      <c r="AK108" s="57" t="str">
        <f aca="false">IF('STUDENT SCREENING'!AJ108="","",IFERROR(INDEX('SCORING MASTER'!$D$59:$D$60,MATCH('STUDENT SCREENING'!AJ108,'SCORING MASTER'!$C$59:$C$60,0)),""))</f>
        <v/>
      </c>
      <c r="AL108" s="57" t="str">
        <f aca="false">IF('STUDENT SCREENING'!AK108="","",IFERROR(INDEX('SCORING MASTER'!$D$62:$D$63,MATCH('STUDENT SCREENING'!AK108,'SCORING MASTER'!$C$62:$C$63,0)),""))</f>
        <v/>
      </c>
      <c r="AM108" s="57" t="str">
        <f aca="false">IF('STUDENT SCREENING'!AL108="","",IFERROR(INDEX('SCORING MASTER'!$D$65:$D$66,MATCH('STUDENT SCREENING'!AL108,'SCORING MASTER'!$C$65:$C$66,0)),""))</f>
        <v/>
      </c>
      <c r="AN108" s="57" t="str">
        <f aca="false">IF('STUDENT SCREENING'!AM108="","",IFERROR(INDEX('SCORING MASTER'!$D$68:$D$69,MATCH('STUDENT SCREENING'!AM108,'SCORING MASTER'!$C$68:$C$69,0)),""))</f>
        <v/>
      </c>
      <c r="AO108" s="57" t="str">
        <f aca="false">IF('STUDENT SCREENING'!AN108="","",IFERROR(INDEX('SCORING MASTER'!$D$71:$D$72,MATCH('STUDENT SCREENING'!AN108,'SCORING MASTER'!$C$71:$C$72,0)),""))</f>
        <v/>
      </c>
      <c r="AP108" s="57" t="str">
        <f aca="false">IF('STUDENT SCREENING'!AO108="","",IFERROR(INDEX('SCORING MASTER'!$D$74:$D$75,MATCH('STUDENT SCREENING'!AO108,'SCORING MASTER'!$C$74:$C$75,0)),""))</f>
        <v/>
      </c>
      <c r="AQ108" s="57" t="str">
        <f aca="false">IF('STUDENT SCREENING'!AP108="","",IFERROR(INDEX('SCORING MASTER'!$D$77:$D$78,MATCH('STUDENT SCREENING'!AP108,'SCORING MASTER'!$C$77:$C$78,0)),""))</f>
        <v/>
      </c>
      <c r="AR108" s="57" t="str">
        <f aca="false">IF('STUDENT SCREENING'!AQ108="","",IFERROR(INDEX('SCORING MASTER'!$D$80:$D$82,MATCH('STUDENT SCREENING'!AQ108,'SCORING MASTER'!$C$80:$C$82,0)),""))</f>
        <v/>
      </c>
      <c r="AS108" s="57" t="str">
        <f aca="false">IF('STUDENT SCREENING'!AR108="","",IFERROR(INDEX('SCORING MASTER'!$D$84:$D$86,MATCH('STUDENT SCREENING'!AR108,'SCORING MASTER'!$C$84:$C$86,0)),""))</f>
        <v/>
      </c>
      <c r="AT108" s="57" t="str">
        <f aca="false">IF('STUDENT SCREENING'!AS108="","",IFERROR(INDEX('SCORING MASTER'!$D$88:$D$90,MATCH('STUDENT SCREENING'!AS108,'SCORING MASTER'!$C$88:$C$90,0)),""))</f>
        <v/>
      </c>
      <c r="AU108" s="57" t="str">
        <f aca="false">IF('STUDENT SCREENING'!AT108="","",IFERROR(INDEX('SCORING MASTER'!$D$92:$D$93,MATCH('STUDENT SCREENING'!AT108,'SCORING MASTER'!$C$92:$C$93,0)),""))</f>
        <v/>
      </c>
      <c r="AV108" s="57" t="str">
        <f aca="false">IF('STUDENT SCREENING'!AU108="","",IFERROR(INDEX('SCORING MASTER'!$D$95:$D$96,MATCH('STUDENT SCREENING'!AU108,'SCORING MASTER'!$C$95:$C$96,0)),""))</f>
        <v/>
      </c>
      <c r="AW108" s="57" t="str">
        <f aca="false">IF('STUDENT SCREENING'!AV108="","",IFERROR(INDEX('SCORING MASTER'!$D$98:$D$99,MATCH('STUDENT SCREENING'!AV108,'SCORING MASTER'!$C$98:$C$99,0)),""))</f>
        <v/>
      </c>
      <c r="AX108" s="57" t="str">
        <f aca="false">IF('STUDENT SCREENING'!AW108="","",IFERROR(INDEX('SCORING MASTER'!$D$101:$D$102,MATCH('STUDENT SCREENING'!AW108,'SCORING MASTER'!$C$101:$C$102,0)),""))</f>
        <v/>
      </c>
      <c r="AY108" s="57" t="str">
        <f aca="false">IF('STUDENT SCREENING'!AX108="","",IFERROR(INDEX('SCORING MASTER'!$D$104:$D$105,MATCH('STUDENT SCREENING'!AX108,'SCORING MASTER'!$C$104:$C$105,0)),""))</f>
        <v/>
      </c>
      <c r="AZ108" s="57" t="str">
        <f aca="false">IF('STUDENT SCREENING'!AY108="","",IFERROR(INDEX('SCORING MASTER'!$D$107:$D$108,MATCH('STUDENT SCREENING'!AY108,'SCORING MASTER'!$C$107:$C$108,0)),""))</f>
        <v/>
      </c>
      <c r="BA108" s="57" t="str">
        <f aca="false">IF('STUDENT SCREENING'!AZ108="","",IFERROR(INDEX('SCORING MASTER'!$D$110:$D$111,MATCH('STUDENT SCREENING'!AZ108,'SCORING MASTER'!$C$110:$C$111,0)),""))</f>
        <v/>
      </c>
      <c r="BB108" s="57" t="str">
        <f aca="false">IF('STUDENT SCREENING'!BA108="","",IFERROR(INDEX('SCORING MASTER'!$D$113:$D$115,MATCH('STUDENT SCREENING'!BA108,'SCORING MASTER'!$C$113:$C$115,0)),""))</f>
        <v/>
      </c>
      <c r="BC108" s="57" t="str">
        <f aca="false">IF('STUDENT SCREENING'!BB108="","",IFERROR(INDEX('SCORING MASTER'!$D$117:$D$119,MATCH('STUDENT SCREENING'!BB108,'SCORING MASTER'!$C$117:$C$119,0)),""))</f>
        <v/>
      </c>
      <c r="BD108" s="57" t="str">
        <f aca="false">IF('STUDENT SCREENING'!BC108="","",IFERROR(INDEX('SCORING MASTER'!$D$121:$D$123,MATCH('STUDENT SCREENING'!BC108,'SCORING MASTER'!$C$121:$C$123,0)),""))</f>
        <v/>
      </c>
      <c r="BE108" s="57" t="str">
        <f aca="false">IF('STUDENT SCREENING'!BD108="","",IFERROR(INDEX('SCORING MASTER'!$D$125:$D$126,MATCH('STUDENT SCREENING'!BD108,'SCORING MASTER'!$C$125:$C$126,0)),""))</f>
        <v/>
      </c>
      <c r="BF108" s="57" t="str">
        <f aca="false">IF('STUDENT SCREENING'!BE108="","",IFERROR(INDEX('SCORING MASTER'!$D$128:$D$129,MATCH('STUDENT SCREENING'!BE108,'SCORING MASTER'!$C$128:$C$129,0)),""))</f>
        <v/>
      </c>
      <c r="BG108" s="57" t="str">
        <f aca="false">IF('STUDENT SCREENING'!BP108="","",IFERROR(MATCH('STUDENT SCREENING'!BP108,{"Red - High Risk","Orange - Moderate Risk","Yellow - Mild Risk","Light Green - Mild Watch","Green - Healthy"},0)-1,""))</f>
        <v/>
      </c>
      <c r="BH108" s="57" t="str">
        <f aca="false">IF('STUDENT SCREENING'!BQ108="","",IF('STUDENT SCREENING'!BQ108="Yes",1,0))</f>
        <v/>
      </c>
      <c r="BI108" s="57" t="str">
        <f aca="false">IF('STUDENT SCREENING'!BR108="","",IF('STUDENT SCREENING'!BR108="Yes",1,0))</f>
        <v/>
      </c>
    </row>
    <row r="109" customFormat="false" ht="15" hidden="false" customHeight="false" outlineLevel="0" collapsed="false">
      <c r="A109" s="58" t="str">
        <f aca="false">'STUDENT SCREENING'!A109</f>
        <v/>
      </c>
      <c r="B109" s="58" t="n">
        <f aca="false">'STUDENT SCREENING'!C109</f>
        <v>0</v>
      </c>
      <c r="C109" s="58" t="n">
        <f aca="false">'STUDENT SCREENING'!D109</f>
        <v>0</v>
      </c>
      <c r="D109" s="58" t="n">
        <f aca="false">'STUDENT SCREENING'!E109</f>
        <v>0</v>
      </c>
      <c r="E109" s="58" t="n">
        <f aca="false">'STUDENT SCREENING'!F109</f>
        <v>0</v>
      </c>
      <c r="F109" s="58" t="n">
        <f aca="false">'STUDENT SCREENING'!K109</f>
        <v>0</v>
      </c>
      <c r="G109" s="58" t="n">
        <f aca="false">'STUDENT SCREENING'!J109</f>
        <v>0</v>
      </c>
      <c r="H109" s="58" t="str">
        <f aca="false">IF('STUDENT SCREENING'!K109="","",IFERROR(MATCH('STUDENT SCREENING'!K109,Adm_Gender,0),""))</f>
        <v/>
      </c>
      <c r="I109" s="58" t="n">
        <f aca="false">'STUDENT SCREENING'!Q109</f>
        <v>0</v>
      </c>
      <c r="J109" s="58" t="n">
        <f aca="false">'STUDENT SCREENING'!R109</f>
        <v>0</v>
      </c>
      <c r="K109" s="58" t="str">
        <f aca="false">'STUDENT SCREENING'!S109</f>
        <v/>
      </c>
      <c r="L109" s="58" t="n">
        <f aca="false">'STUDENT SCREENING'!U109</f>
        <v>0</v>
      </c>
      <c r="M109" s="58" t="n">
        <f aca="false">'STUDENT SCREENING'!V109</f>
        <v>0</v>
      </c>
      <c r="N109" s="58" t="str">
        <f aca="false">'STUDENT SCREENING'!BF109</f>
        <v/>
      </c>
      <c r="O109" s="58" t="str">
        <f aca="false">'STUDENT SCREENING'!BG109</f>
        <v/>
      </c>
      <c r="P109" s="58" t="str">
        <f aca="false">'STUDENT SCREENING'!BH109</f>
        <v/>
      </c>
      <c r="Q109" s="58" t="str">
        <f aca="false">'STUDENT SCREENING'!BI109</f>
        <v/>
      </c>
      <c r="R109" s="58" t="str">
        <f aca="false">'STUDENT SCREENING'!BJ109</f>
        <v/>
      </c>
      <c r="S109" s="58" t="str">
        <f aca="false">'STUDENT SCREENING'!BK109</f>
        <v/>
      </c>
      <c r="T109" s="58" t="str">
        <f aca="false">'STUDENT SCREENING'!BL109</f>
        <v/>
      </c>
      <c r="U109" s="58" t="str">
        <f aca="false">'STUDENT SCREENING'!BM109</f>
        <v/>
      </c>
      <c r="V109" s="58" t="str">
        <f aca="false">'STUDENT SCREENING'!BN109</f>
        <v/>
      </c>
      <c r="W109" s="58" t="str">
        <f aca="false">'STUDENT SCREENING'!BO109</f>
        <v/>
      </c>
      <c r="X109" s="58" t="str">
        <f aca="false">IF('STUDENT SCREENING'!W109="","",IFERROR(INDEX('SCORING MASTER'!$D$5:$D$7,MATCH('STUDENT SCREENING'!W109,'SCORING MASTER'!$C$5:$C$7,0)),""))</f>
        <v/>
      </c>
      <c r="Y109" s="58" t="str">
        <f aca="false">IF('STUDENT SCREENING'!X109="","",IFERROR(INDEX('SCORING MASTER'!$D$9:$D$11,MATCH('STUDENT SCREENING'!X109,'SCORING MASTER'!$C$9:$C$11,0)),""))</f>
        <v/>
      </c>
      <c r="Z109" s="58" t="str">
        <f aca="false">IF('STUDENT SCREENING'!Y109="","",IFERROR(INDEX('SCORING MASTER'!$D$13:$D$15,MATCH('STUDENT SCREENING'!Y109,'SCORING MASTER'!$C$13:$C$15,0)),""))</f>
        <v/>
      </c>
      <c r="AA109" s="58" t="str">
        <f aca="false">IF('STUDENT SCREENING'!Z109="","",IFERROR(INDEX('SCORING MASTER'!$D$17:$D$19,MATCH('STUDENT SCREENING'!Z109,'SCORING MASTER'!$C$17:$C$19,0)),""))</f>
        <v/>
      </c>
      <c r="AB109" s="58" t="str">
        <f aca="false">IF('STUDENT SCREENING'!AA109="","",IFERROR(INDEX('SCORING MASTER'!$D$21:$D$23,MATCH('STUDENT SCREENING'!AA109,'SCORING MASTER'!$C$21:$C$23,0)),""))</f>
        <v/>
      </c>
      <c r="AC109" s="58" t="str">
        <f aca="false">IF('STUDENT SCREENING'!AB109="","",IFERROR(INDEX('SCORING MASTER'!$D$25:$D$27,MATCH('STUDENT SCREENING'!AB109,'SCORING MASTER'!$C$25:$C$27,0)),""))</f>
        <v/>
      </c>
      <c r="AD109" s="58" t="str">
        <f aca="false">IF('STUDENT SCREENING'!AC109="","",IFERROR(INDEX('SCORING MASTER'!$D$29:$D$31,MATCH('STUDENT SCREENING'!AC109,'SCORING MASTER'!$C$29:$C$31,0)),""))</f>
        <v/>
      </c>
      <c r="AE109" s="58" t="str">
        <f aca="false">IF('STUDENT SCREENING'!AD109="","",IFERROR(INDEX('SCORING MASTER'!$D$33:$D$35,MATCH('STUDENT SCREENING'!AD109,'SCORING MASTER'!$C$33:$C$35,0)),""))</f>
        <v/>
      </c>
      <c r="AF109" s="58" t="str">
        <f aca="false">IF('STUDENT SCREENING'!AE109="","",IFERROR(INDEX('SCORING MASTER'!$D$37:$D$39,MATCH('STUDENT SCREENING'!AE109,'SCORING MASTER'!$C$37:$C$39,0)),""))</f>
        <v/>
      </c>
      <c r="AG109" s="58" t="str">
        <f aca="false">IF('STUDENT SCREENING'!AF109="","",IFERROR(INDEX('SCORING MASTER'!$D$41:$D$43,MATCH('STUDENT SCREENING'!AF109,'SCORING MASTER'!$C$41:$C$43,0)),""))</f>
        <v/>
      </c>
      <c r="AH109" s="58" t="str">
        <f aca="false">IF('STUDENT SCREENING'!AG109="","",IFERROR(INDEX('SCORING MASTER'!$D$45:$D$47,MATCH('STUDENT SCREENING'!AG109,'SCORING MASTER'!$C$45:$C$47,0)),""))</f>
        <v/>
      </c>
      <c r="AI109" s="58" t="str">
        <f aca="false">IF('STUDENT SCREENING'!AH109="","",IFERROR(INDEX('SCORING MASTER'!$D$49:$D$52,MATCH('STUDENT SCREENING'!AH109,'SCORING MASTER'!$C$49:$C$52,0)),""))</f>
        <v/>
      </c>
      <c r="AJ109" s="58" t="str">
        <f aca="false">IF('STUDENT SCREENING'!AI109="","",IFERROR(INDEX('SCORING MASTER'!$D$54:$D$57,MATCH('STUDENT SCREENING'!AI109,'SCORING MASTER'!$C$54:$C$57,0)),""))</f>
        <v/>
      </c>
      <c r="AK109" s="58" t="str">
        <f aca="false">IF('STUDENT SCREENING'!AJ109="","",IFERROR(INDEX('SCORING MASTER'!$D$59:$D$60,MATCH('STUDENT SCREENING'!AJ109,'SCORING MASTER'!$C$59:$C$60,0)),""))</f>
        <v/>
      </c>
      <c r="AL109" s="58" t="str">
        <f aca="false">IF('STUDENT SCREENING'!AK109="","",IFERROR(INDEX('SCORING MASTER'!$D$62:$D$63,MATCH('STUDENT SCREENING'!AK109,'SCORING MASTER'!$C$62:$C$63,0)),""))</f>
        <v/>
      </c>
      <c r="AM109" s="58" t="str">
        <f aca="false">IF('STUDENT SCREENING'!AL109="","",IFERROR(INDEX('SCORING MASTER'!$D$65:$D$66,MATCH('STUDENT SCREENING'!AL109,'SCORING MASTER'!$C$65:$C$66,0)),""))</f>
        <v/>
      </c>
      <c r="AN109" s="58" t="str">
        <f aca="false">IF('STUDENT SCREENING'!AM109="","",IFERROR(INDEX('SCORING MASTER'!$D$68:$D$69,MATCH('STUDENT SCREENING'!AM109,'SCORING MASTER'!$C$68:$C$69,0)),""))</f>
        <v/>
      </c>
      <c r="AO109" s="58" t="str">
        <f aca="false">IF('STUDENT SCREENING'!AN109="","",IFERROR(INDEX('SCORING MASTER'!$D$71:$D$72,MATCH('STUDENT SCREENING'!AN109,'SCORING MASTER'!$C$71:$C$72,0)),""))</f>
        <v/>
      </c>
      <c r="AP109" s="58" t="str">
        <f aca="false">IF('STUDENT SCREENING'!AO109="","",IFERROR(INDEX('SCORING MASTER'!$D$74:$D$75,MATCH('STUDENT SCREENING'!AO109,'SCORING MASTER'!$C$74:$C$75,0)),""))</f>
        <v/>
      </c>
      <c r="AQ109" s="58" t="str">
        <f aca="false">IF('STUDENT SCREENING'!AP109="","",IFERROR(INDEX('SCORING MASTER'!$D$77:$D$78,MATCH('STUDENT SCREENING'!AP109,'SCORING MASTER'!$C$77:$C$78,0)),""))</f>
        <v/>
      </c>
      <c r="AR109" s="58" t="str">
        <f aca="false">IF('STUDENT SCREENING'!AQ109="","",IFERROR(INDEX('SCORING MASTER'!$D$80:$D$82,MATCH('STUDENT SCREENING'!AQ109,'SCORING MASTER'!$C$80:$C$82,0)),""))</f>
        <v/>
      </c>
      <c r="AS109" s="58" t="str">
        <f aca="false">IF('STUDENT SCREENING'!AR109="","",IFERROR(INDEX('SCORING MASTER'!$D$84:$D$86,MATCH('STUDENT SCREENING'!AR109,'SCORING MASTER'!$C$84:$C$86,0)),""))</f>
        <v/>
      </c>
      <c r="AT109" s="58" t="str">
        <f aca="false">IF('STUDENT SCREENING'!AS109="","",IFERROR(INDEX('SCORING MASTER'!$D$88:$D$90,MATCH('STUDENT SCREENING'!AS109,'SCORING MASTER'!$C$88:$C$90,0)),""))</f>
        <v/>
      </c>
      <c r="AU109" s="58" t="str">
        <f aca="false">IF('STUDENT SCREENING'!AT109="","",IFERROR(INDEX('SCORING MASTER'!$D$92:$D$93,MATCH('STUDENT SCREENING'!AT109,'SCORING MASTER'!$C$92:$C$93,0)),""))</f>
        <v/>
      </c>
      <c r="AV109" s="58" t="str">
        <f aca="false">IF('STUDENT SCREENING'!AU109="","",IFERROR(INDEX('SCORING MASTER'!$D$95:$D$96,MATCH('STUDENT SCREENING'!AU109,'SCORING MASTER'!$C$95:$C$96,0)),""))</f>
        <v/>
      </c>
      <c r="AW109" s="58" t="str">
        <f aca="false">IF('STUDENT SCREENING'!AV109="","",IFERROR(INDEX('SCORING MASTER'!$D$98:$D$99,MATCH('STUDENT SCREENING'!AV109,'SCORING MASTER'!$C$98:$C$99,0)),""))</f>
        <v/>
      </c>
      <c r="AX109" s="58" t="str">
        <f aca="false">IF('STUDENT SCREENING'!AW109="","",IFERROR(INDEX('SCORING MASTER'!$D$101:$D$102,MATCH('STUDENT SCREENING'!AW109,'SCORING MASTER'!$C$101:$C$102,0)),""))</f>
        <v/>
      </c>
      <c r="AY109" s="58" t="str">
        <f aca="false">IF('STUDENT SCREENING'!AX109="","",IFERROR(INDEX('SCORING MASTER'!$D$104:$D$105,MATCH('STUDENT SCREENING'!AX109,'SCORING MASTER'!$C$104:$C$105,0)),""))</f>
        <v/>
      </c>
      <c r="AZ109" s="58" t="str">
        <f aca="false">IF('STUDENT SCREENING'!AY109="","",IFERROR(INDEX('SCORING MASTER'!$D$107:$D$108,MATCH('STUDENT SCREENING'!AY109,'SCORING MASTER'!$C$107:$C$108,0)),""))</f>
        <v/>
      </c>
      <c r="BA109" s="58" t="str">
        <f aca="false">IF('STUDENT SCREENING'!AZ109="","",IFERROR(INDEX('SCORING MASTER'!$D$110:$D$111,MATCH('STUDENT SCREENING'!AZ109,'SCORING MASTER'!$C$110:$C$111,0)),""))</f>
        <v/>
      </c>
      <c r="BB109" s="58" t="str">
        <f aca="false">IF('STUDENT SCREENING'!BA109="","",IFERROR(INDEX('SCORING MASTER'!$D$113:$D$115,MATCH('STUDENT SCREENING'!BA109,'SCORING MASTER'!$C$113:$C$115,0)),""))</f>
        <v/>
      </c>
      <c r="BC109" s="58" t="str">
        <f aca="false">IF('STUDENT SCREENING'!BB109="","",IFERROR(INDEX('SCORING MASTER'!$D$117:$D$119,MATCH('STUDENT SCREENING'!BB109,'SCORING MASTER'!$C$117:$C$119,0)),""))</f>
        <v/>
      </c>
      <c r="BD109" s="58" t="str">
        <f aca="false">IF('STUDENT SCREENING'!BC109="","",IFERROR(INDEX('SCORING MASTER'!$D$121:$D$123,MATCH('STUDENT SCREENING'!BC109,'SCORING MASTER'!$C$121:$C$123,0)),""))</f>
        <v/>
      </c>
      <c r="BE109" s="58" t="str">
        <f aca="false">IF('STUDENT SCREENING'!BD109="","",IFERROR(INDEX('SCORING MASTER'!$D$125:$D$126,MATCH('STUDENT SCREENING'!BD109,'SCORING MASTER'!$C$125:$C$126,0)),""))</f>
        <v/>
      </c>
      <c r="BF109" s="58" t="str">
        <f aca="false">IF('STUDENT SCREENING'!BE109="","",IFERROR(INDEX('SCORING MASTER'!$D$128:$D$129,MATCH('STUDENT SCREENING'!BE109,'SCORING MASTER'!$C$128:$C$129,0)),""))</f>
        <v/>
      </c>
      <c r="BG109" s="58" t="str">
        <f aca="false">IF('STUDENT SCREENING'!BP109="","",IFERROR(MATCH('STUDENT SCREENING'!BP109,{"Red - High Risk","Orange - Moderate Risk","Yellow - Mild Risk","Light Green - Mild Watch","Green - Healthy"},0)-1,""))</f>
        <v/>
      </c>
      <c r="BH109" s="58" t="str">
        <f aca="false">IF('STUDENT SCREENING'!BQ109="","",IF('STUDENT SCREENING'!BQ109="Yes",1,0))</f>
        <v/>
      </c>
      <c r="BI109" s="58" t="str">
        <f aca="false">IF('STUDENT SCREENING'!BR109="","",IF('STUDENT SCREENING'!BR109="Yes",1,0))</f>
        <v/>
      </c>
    </row>
    <row r="110" customFormat="false" ht="15" hidden="false" customHeight="false" outlineLevel="0" collapsed="false">
      <c r="A110" s="57" t="str">
        <f aca="false">'STUDENT SCREENING'!A110</f>
        <v/>
      </c>
      <c r="B110" s="57" t="n">
        <f aca="false">'STUDENT SCREENING'!C110</f>
        <v>0</v>
      </c>
      <c r="C110" s="57" t="n">
        <f aca="false">'STUDENT SCREENING'!D110</f>
        <v>0</v>
      </c>
      <c r="D110" s="57" t="n">
        <f aca="false">'STUDENT SCREENING'!E110</f>
        <v>0</v>
      </c>
      <c r="E110" s="57" t="n">
        <f aca="false">'STUDENT SCREENING'!F110</f>
        <v>0</v>
      </c>
      <c r="F110" s="57" t="n">
        <f aca="false">'STUDENT SCREENING'!K110</f>
        <v>0</v>
      </c>
      <c r="G110" s="57" t="n">
        <f aca="false">'STUDENT SCREENING'!J110</f>
        <v>0</v>
      </c>
      <c r="H110" s="57" t="str">
        <f aca="false">IF('STUDENT SCREENING'!K110="","",IFERROR(MATCH('STUDENT SCREENING'!K110,Adm_Gender,0),""))</f>
        <v/>
      </c>
      <c r="I110" s="57" t="n">
        <f aca="false">'STUDENT SCREENING'!Q110</f>
        <v>0</v>
      </c>
      <c r="J110" s="57" t="n">
        <f aca="false">'STUDENT SCREENING'!R110</f>
        <v>0</v>
      </c>
      <c r="K110" s="57" t="str">
        <f aca="false">'STUDENT SCREENING'!S110</f>
        <v/>
      </c>
      <c r="L110" s="57" t="n">
        <f aca="false">'STUDENT SCREENING'!U110</f>
        <v>0</v>
      </c>
      <c r="M110" s="57" t="n">
        <f aca="false">'STUDENT SCREENING'!V110</f>
        <v>0</v>
      </c>
      <c r="N110" s="57" t="str">
        <f aca="false">'STUDENT SCREENING'!BF110</f>
        <v/>
      </c>
      <c r="O110" s="57" t="str">
        <f aca="false">'STUDENT SCREENING'!BG110</f>
        <v/>
      </c>
      <c r="P110" s="57" t="str">
        <f aca="false">'STUDENT SCREENING'!BH110</f>
        <v/>
      </c>
      <c r="Q110" s="57" t="str">
        <f aca="false">'STUDENT SCREENING'!BI110</f>
        <v/>
      </c>
      <c r="R110" s="57" t="str">
        <f aca="false">'STUDENT SCREENING'!BJ110</f>
        <v/>
      </c>
      <c r="S110" s="57" t="str">
        <f aca="false">'STUDENT SCREENING'!BK110</f>
        <v/>
      </c>
      <c r="T110" s="57" t="str">
        <f aca="false">'STUDENT SCREENING'!BL110</f>
        <v/>
      </c>
      <c r="U110" s="57" t="str">
        <f aca="false">'STUDENT SCREENING'!BM110</f>
        <v/>
      </c>
      <c r="V110" s="57" t="str">
        <f aca="false">'STUDENT SCREENING'!BN110</f>
        <v/>
      </c>
      <c r="W110" s="57" t="str">
        <f aca="false">'STUDENT SCREENING'!BO110</f>
        <v/>
      </c>
      <c r="X110" s="57" t="str">
        <f aca="false">IF('STUDENT SCREENING'!W110="","",IFERROR(INDEX('SCORING MASTER'!$D$5:$D$7,MATCH('STUDENT SCREENING'!W110,'SCORING MASTER'!$C$5:$C$7,0)),""))</f>
        <v/>
      </c>
      <c r="Y110" s="57" t="str">
        <f aca="false">IF('STUDENT SCREENING'!X110="","",IFERROR(INDEX('SCORING MASTER'!$D$9:$D$11,MATCH('STUDENT SCREENING'!X110,'SCORING MASTER'!$C$9:$C$11,0)),""))</f>
        <v/>
      </c>
      <c r="Z110" s="57" t="str">
        <f aca="false">IF('STUDENT SCREENING'!Y110="","",IFERROR(INDEX('SCORING MASTER'!$D$13:$D$15,MATCH('STUDENT SCREENING'!Y110,'SCORING MASTER'!$C$13:$C$15,0)),""))</f>
        <v/>
      </c>
      <c r="AA110" s="57" t="str">
        <f aca="false">IF('STUDENT SCREENING'!Z110="","",IFERROR(INDEX('SCORING MASTER'!$D$17:$D$19,MATCH('STUDENT SCREENING'!Z110,'SCORING MASTER'!$C$17:$C$19,0)),""))</f>
        <v/>
      </c>
      <c r="AB110" s="57" t="str">
        <f aca="false">IF('STUDENT SCREENING'!AA110="","",IFERROR(INDEX('SCORING MASTER'!$D$21:$D$23,MATCH('STUDENT SCREENING'!AA110,'SCORING MASTER'!$C$21:$C$23,0)),""))</f>
        <v/>
      </c>
      <c r="AC110" s="57" t="str">
        <f aca="false">IF('STUDENT SCREENING'!AB110="","",IFERROR(INDEX('SCORING MASTER'!$D$25:$D$27,MATCH('STUDENT SCREENING'!AB110,'SCORING MASTER'!$C$25:$C$27,0)),""))</f>
        <v/>
      </c>
      <c r="AD110" s="57" t="str">
        <f aca="false">IF('STUDENT SCREENING'!AC110="","",IFERROR(INDEX('SCORING MASTER'!$D$29:$D$31,MATCH('STUDENT SCREENING'!AC110,'SCORING MASTER'!$C$29:$C$31,0)),""))</f>
        <v/>
      </c>
      <c r="AE110" s="57" t="str">
        <f aca="false">IF('STUDENT SCREENING'!AD110="","",IFERROR(INDEX('SCORING MASTER'!$D$33:$D$35,MATCH('STUDENT SCREENING'!AD110,'SCORING MASTER'!$C$33:$C$35,0)),""))</f>
        <v/>
      </c>
      <c r="AF110" s="57" t="str">
        <f aca="false">IF('STUDENT SCREENING'!AE110="","",IFERROR(INDEX('SCORING MASTER'!$D$37:$D$39,MATCH('STUDENT SCREENING'!AE110,'SCORING MASTER'!$C$37:$C$39,0)),""))</f>
        <v/>
      </c>
      <c r="AG110" s="57" t="str">
        <f aca="false">IF('STUDENT SCREENING'!AF110="","",IFERROR(INDEX('SCORING MASTER'!$D$41:$D$43,MATCH('STUDENT SCREENING'!AF110,'SCORING MASTER'!$C$41:$C$43,0)),""))</f>
        <v/>
      </c>
      <c r="AH110" s="57" t="str">
        <f aca="false">IF('STUDENT SCREENING'!AG110="","",IFERROR(INDEX('SCORING MASTER'!$D$45:$D$47,MATCH('STUDENT SCREENING'!AG110,'SCORING MASTER'!$C$45:$C$47,0)),""))</f>
        <v/>
      </c>
      <c r="AI110" s="57" t="str">
        <f aca="false">IF('STUDENT SCREENING'!AH110="","",IFERROR(INDEX('SCORING MASTER'!$D$49:$D$52,MATCH('STUDENT SCREENING'!AH110,'SCORING MASTER'!$C$49:$C$52,0)),""))</f>
        <v/>
      </c>
      <c r="AJ110" s="57" t="str">
        <f aca="false">IF('STUDENT SCREENING'!AI110="","",IFERROR(INDEX('SCORING MASTER'!$D$54:$D$57,MATCH('STUDENT SCREENING'!AI110,'SCORING MASTER'!$C$54:$C$57,0)),""))</f>
        <v/>
      </c>
      <c r="AK110" s="57" t="str">
        <f aca="false">IF('STUDENT SCREENING'!AJ110="","",IFERROR(INDEX('SCORING MASTER'!$D$59:$D$60,MATCH('STUDENT SCREENING'!AJ110,'SCORING MASTER'!$C$59:$C$60,0)),""))</f>
        <v/>
      </c>
      <c r="AL110" s="57" t="str">
        <f aca="false">IF('STUDENT SCREENING'!AK110="","",IFERROR(INDEX('SCORING MASTER'!$D$62:$D$63,MATCH('STUDENT SCREENING'!AK110,'SCORING MASTER'!$C$62:$C$63,0)),""))</f>
        <v/>
      </c>
      <c r="AM110" s="57" t="str">
        <f aca="false">IF('STUDENT SCREENING'!AL110="","",IFERROR(INDEX('SCORING MASTER'!$D$65:$D$66,MATCH('STUDENT SCREENING'!AL110,'SCORING MASTER'!$C$65:$C$66,0)),""))</f>
        <v/>
      </c>
      <c r="AN110" s="57" t="str">
        <f aca="false">IF('STUDENT SCREENING'!AM110="","",IFERROR(INDEX('SCORING MASTER'!$D$68:$D$69,MATCH('STUDENT SCREENING'!AM110,'SCORING MASTER'!$C$68:$C$69,0)),""))</f>
        <v/>
      </c>
      <c r="AO110" s="57" t="str">
        <f aca="false">IF('STUDENT SCREENING'!AN110="","",IFERROR(INDEX('SCORING MASTER'!$D$71:$D$72,MATCH('STUDENT SCREENING'!AN110,'SCORING MASTER'!$C$71:$C$72,0)),""))</f>
        <v/>
      </c>
      <c r="AP110" s="57" t="str">
        <f aca="false">IF('STUDENT SCREENING'!AO110="","",IFERROR(INDEX('SCORING MASTER'!$D$74:$D$75,MATCH('STUDENT SCREENING'!AO110,'SCORING MASTER'!$C$74:$C$75,0)),""))</f>
        <v/>
      </c>
      <c r="AQ110" s="57" t="str">
        <f aca="false">IF('STUDENT SCREENING'!AP110="","",IFERROR(INDEX('SCORING MASTER'!$D$77:$D$78,MATCH('STUDENT SCREENING'!AP110,'SCORING MASTER'!$C$77:$C$78,0)),""))</f>
        <v/>
      </c>
      <c r="AR110" s="57" t="str">
        <f aca="false">IF('STUDENT SCREENING'!AQ110="","",IFERROR(INDEX('SCORING MASTER'!$D$80:$D$82,MATCH('STUDENT SCREENING'!AQ110,'SCORING MASTER'!$C$80:$C$82,0)),""))</f>
        <v/>
      </c>
      <c r="AS110" s="57" t="str">
        <f aca="false">IF('STUDENT SCREENING'!AR110="","",IFERROR(INDEX('SCORING MASTER'!$D$84:$D$86,MATCH('STUDENT SCREENING'!AR110,'SCORING MASTER'!$C$84:$C$86,0)),""))</f>
        <v/>
      </c>
      <c r="AT110" s="57" t="str">
        <f aca="false">IF('STUDENT SCREENING'!AS110="","",IFERROR(INDEX('SCORING MASTER'!$D$88:$D$90,MATCH('STUDENT SCREENING'!AS110,'SCORING MASTER'!$C$88:$C$90,0)),""))</f>
        <v/>
      </c>
      <c r="AU110" s="57" t="str">
        <f aca="false">IF('STUDENT SCREENING'!AT110="","",IFERROR(INDEX('SCORING MASTER'!$D$92:$D$93,MATCH('STUDENT SCREENING'!AT110,'SCORING MASTER'!$C$92:$C$93,0)),""))</f>
        <v/>
      </c>
      <c r="AV110" s="57" t="str">
        <f aca="false">IF('STUDENT SCREENING'!AU110="","",IFERROR(INDEX('SCORING MASTER'!$D$95:$D$96,MATCH('STUDENT SCREENING'!AU110,'SCORING MASTER'!$C$95:$C$96,0)),""))</f>
        <v/>
      </c>
      <c r="AW110" s="57" t="str">
        <f aca="false">IF('STUDENT SCREENING'!AV110="","",IFERROR(INDEX('SCORING MASTER'!$D$98:$D$99,MATCH('STUDENT SCREENING'!AV110,'SCORING MASTER'!$C$98:$C$99,0)),""))</f>
        <v/>
      </c>
      <c r="AX110" s="57" t="str">
        <f aca="false">IF('STUDENT SCREENING'!AW110="","",IFERROR(INDEX('SCORING MASTER'!$D$101:$D$102,MATCH('STUDENT SCREENING'!AW110,'SCORING MASTER'!$C$101:$C$102,0)),""))</f>
        <v/>
      </c>
      <c r="AY110" s="57" t="str">
        <f aca="false">IF('STUDENT SCREENING'!AX110="","",IFERROR(INDEX('SCORING MASTER'!$D$104:$D$105,MATCH('STUDENT SCREENING'!AX110,'SCORING MASTER'!$C$104:$C$105,0)),""))</f>
        <v/>
      </c>
      <c r="AZ110" s="57" t="str">
        <f aca="false">IF('STUDENT SCREENING'!AY110="","",IFERROR(INDEX('SCORING MASTER'!$D$107:$D$108,MATCH('STUDENT SCREENING'!AY110,'SCORING MASTER'!$C$107:$C$108,0)),""))</f>
        <v/>
      </c>
      <c r="BA110" s="57" t="str">
        <f aca="false">IF('STUDENT SCREENING'!AZ110="","",IFERROR(INDEX('SCORING MASTER'!$D$110:$D$111,MATCH('STUDENT SCREENING'!AZ110,'SCORING MASTER'!$C$110:$C$111,0)),""))</f>
        <v/>
      </c>
      <c r="BB110" s="57" t="str">
        <f aca="false">IF('STUDENT SCREENING'!BA110="","",IFERROR(INDEX('SCORING MASTER'!$D$113:$D$115,MATCH('STUDENT SCREENING'!BA110,'SCORING MASTER'!$C$113:$C$115,0)),""))</f>
        <v/>
      </c>
      <c r="BC110" s="57" t="str">
        <f aca="false">IF('STUDENT SCREENING'!BB110="","",IFERROR(INDEX('SCORING MASTER'!$D$117:$D$119,MATCH('STUDENT SCREENING'!BB110,'SCORING MASTER'!$C$117:$C$119,0)),""))</f>
        <v/>
      </c>
      <c r="BD110" s="57" t="str">
        <f aca="false">IF('STUDENT SCREENING'!BC110="","",IFERROR(INDEX('SCORING MASTER'!$D$121:$D$123,MATCH('STUDENT SCREENING'!BC110,'SCORING MASTER'!$C$121:$C$123,0)),""))</f>
        <v/>
      </c>
      <c r="BE110" s="57" t="str">
        <f aca="false">IF('STUDENT SCREENING'!BD110="","",IFERROR(INDEX('SCORING MASTER'!$D$125:$D$126,MATCH('STUDENT SCREENING'!BD110,'SCORING MASTER'!$C$125:$C$126,0)),""))</f>
        <v/>
      </c>
      <c r="BF110" s="57" t="str">
        <f aca="false">IF('STUDENT SCREENING'!BE110="","",IFERROR(INDEX('SCORING MASTER'!$D$128:$D$129,MATCH('STUDENT SCREENING'!BE110,'SCORING MASTER'!$C$128:$C$129,0)),""))</f>
        <v/>
      </c>
      <c r="BG110" s="57" t="str">
        <f aca="false">IF('STUDENT SCREENING'!BP110="","",IFERROR(MATCH('STUDENT SCREENING'!BP110,{"Red - High Risk","Orange - Moderate Risk","Yellow - Mild Risk","Light Green - Mild Watch","Green - Healthy"},0)-1,""))</f>
        <v/>
      </c>
      <c r="BH110" s="57" t="str">
        <f aca="false">IF('STUDENT SCREENING'!BQ110="","",IF('STUDENT SCREENING'!BQ110="Yes",1,0))</f>
        <v/>
      </c>
      <c r="BI110" s="57" t="str">
        <f aca="false">IF('STUDENT SCREENING'!BR110="","",IF('STUDENT SCREENING'!BR110="Yes",1,0))</f>
        <v/>
      </c>
    </row>
    <row r="111" customFormat="false" ht="15" hidden="false" customHeight="false" outlineLevel="0" collapsed="false">
      <c r="A111" s="58" t="str">
        <f aca="false">'STUDENT SCREENING'!A111</f>
        <v/>
      </c>
      <c r="B111" s="58" t="n">
        <f aca="false">'STUDENT SCREENING'!C111</f>
        <v>0</v>
      </c>
      <c r="C111" s="58" t="n">
        <f aca="false">'STUDENT SCREENING'!D111</f>
        <v>0</v>
      </c>
      <c r="D111" s="58" t="n">
        <f aca="false">'STUDENT SCREENING'!E111</f>
        <v>0</v>
      </c>
      <c r="E111" s="58" t="n">
        <f aca="false">'STUDENT SCREENING'!F111</f>
        <v>0</v>
      </c>
      <c r="F111" s="58" t="n">
        <f aca="false">'STUDENT SCREENING'!K111</f>
        <v>0</v>
      </c>
      <c r="G111" s="58" t="n">
        <f aca="false">'STUDENT SCREENING'!J111</f>
        <v>0</v>
      </c>
      <c r="H111" s="58" t="str">
        <f aca="false">IF('STUDENT SCREENING'!K111="","",IFERROR(MATCH('STUDENT SCREENING'!K111,Adm_Gender,0),""))</f>
        <v/>
      </c>
      <c r="I111" s="58" t="n">
        <f aca="false">'STUDENT SCREENING'!Q111</f>
        <v>0</v>
      </c>
      <c r="J111" s="58" t="n">
        <f aca="false">'STUDENT SCREENING'!R111</f>
        <v>0</v>
      </c>
      <c r="K111" s="58" t="str">
        <f aca="false">'STUDENT SCREENING'!S111</f>
        <v/>
      </c>
      <c r="L111" s="58" t="n">
        <f aca="false">'STUDENT SCREENING'!U111</f>
        <v>0</v>
      </c>
      <c r="M111" s="58" t="n">
        <f aca="false">'STUDENT SCREENING'!V111</f>
        <v>0</v>
      </c>
      <c r="N111" s="58" t="str">
        <f aca="false">'STUDENT SCREENING'!BF111</f>
        <v/>
      </c>
      <c r="O111" s="58" t="str">
        <f aca="false">'STUDENT SCREENING'!BG111</f>
        <v/>
      </c>
      <c r="P111" s="58" t="str">
        <f aca="false">'STUDENT SCREENING'!BH111</f>
        <v/>
      </c>
      <c r="Q111" s="58" t="str">
        <f aca="false">'STUDENT SCREENING'!BI111</f>
        <v/>
      </c>
      <c r="R111" s="58" t="str">
        <f aca="false">'STUDENT SCREENING'!BJ111</f>
        <v/>
      </c>
      <c r="S111" s="58" t="str">
        <f aca="false">'STUDENT SCREENING'!BK111</f>
        <v/>
      </c>
      <c r="T111" s="58" t="str">
        <f aca="false">'STUDENT SCREENING'!BL111</f>
        <v/>
      </c>
      <c r="U111" s="58" t="str">
        <f aca="false">'STUDENT SCREENING'!BM111</f>
        <v/>
      </c>
      <c r="V111" s="58" t="str">
        <f aca="false">'STUDENT SCREENING'!BN111</f>
        <v/>
      </c>
      <c r="W111" s="58" t="str">
        <f aca="false">'STUDENT SCREENING'!BO111</f>
        <v/>
      </c>
      <c r="X111" s="58" t="str">
        <f aca="false">IF('STUDENT SCREENING'!W111="","",IFERROR(INDEX('SCORING MASTER'!$D$5:$D$7,MATCH('STUDENT SCREENING'!W111,'SCORING MASTER'!$C$5:$C$7,0)),""))</f>
        <v/>
      </c>
      <c r="Y111" s="58" t="str">
        <f aca="false">IF('STUDENT SCREENING'!X111="","",IFERROR(INDEX('SCORING MASTER'!$D$9:$D$11,MATCH('STUDENT SCREENING'!X111,'SCORING MASTER'!$C$9:$C$11,0)),""))</f>
        <v/>
      </c>
      <c r="Z111" s="58" t="str">
        <f aca="false">IF('STUDENT SCREENING'!Y111="","",IFERROR(INDEX('SCORING MASTER'!$D$13:$D$15,MATCH('STUDENT SCREENING'!Y111,'SCORING MASTER'!$C$13:$C$15,0)),""))</f>
        <v/>
      </c>
      <c r="AA111" s="58" t="str">
        <f aca="false">IF('STUDENT SCREENING'!Z111="","",IFERROR(INDEX('SCORING MASTER'!$D$17:$D$19,MATCH('STUDENT SCREENING'!Z111,'SCORING MASTER'!$C$17:$C$19,0)),""))</f>
        <v/>
      </c>
      <c r="AB111" s="58" t="str">
        <f aca="false">IF('STUDENT SCREENING'!AA111="","",IFERROR(INDEX('SCORING MASTER'!$D$21:$D$23,MATCH('STUDENT SCREENING'!AA111,'SCORING MASTER'!$C$21:$C$23,0)),""))</f>
        <v/>
      </c>
      <c r="AC111" s="58" t="str">
        <f aca="false">IF('STUDENT SCREENING'!AB111="","",IFERROR(INDEX('SCORING MASTER'!$D$25:$D$27,MATCH('STUDENT SCREENING'!AB111,'SCORING MASTER'!$C$25:$C$27,0)),""))</f>
        <v/>
      </c>
      <c r="AD111" s="58" t="str">
        <f aca="false">IF('STUDENT SCREENING'!AC111="","",IFERROR(INDEX('SCORING MASTER'!$D$29:$D$31,MATCH('STUDENT SCREENING'!AC111,'SCORING MASTER'!$C$29:$C$31,0)),""))</f>
        <v/>
      </c>
      <c r="AE111" s="58" t="str">
        <f aca="false">IF('STUDENT SCREENING'!AD111="","",IFERROR(INDEX('SCORING MASTER'!$D$33:$D$35,MATCH('STUDENT SCREENING'!AD111,'SCORING MASTER'!$C$33:$C$35,0)),""))</f>
        <v/>
      </c>
      <c r="AF111" s="58" t="str">
        <f aca="false">IF('STUDENT SCREENING'!AE111="","",IFERROR(INDEX('SCORING MASTER'!$D$37:$D$39,MATCH('STUDENT SCREENING'!AE111,'SCORING MASTER'!$C$37:$C$39,0)),""))</f>
        <v/>
      </c>
      <c r="AG111" s="58" t="str">
        <f aca="false">IF('STUDENT SCREENING'!AF111="","",IFERROR(INDEX('SCORING MASTER'!$D$41:$D$43,MATCH('STUDENT SCREENING'!AF111,'SCORING MASTER'!$C$41:$C$43,0)),""))</f>
        <v/>
      </c>
      <c r="AH111" s="58" t="str">
        <f aca="false">IF('STUDENT SCREENING'!AG111="","",IFERROR(INDEX('SCORING MASTER'!$D$45:$D$47,MATCH('STUDENT SCREENING'!AG111,'SCORING MASTER'!$C$45:$C$47,0)),""))</f>
        <v/>
      </c>
      <c r="AI111" s="58" t="str">
        <f aca="false">IF('STUDENT SCREENING'!AH111="","",IFERROR(INDEX('SCORING MASTER'!$D$49:$D$52,MATCH('STUDENT SCREENING'!AH111,'SCORING MASTER'!$C$49:$C$52,0)),""))</f>
        <v/>
      </c>
      <c r="AJ111" s="58" t="str">
        <f aca="false">IF('STUDENT SCREENING'!AI111="","",IFERROR(INDEX('SCORING MASTER'!$D$54:$D$57,MATCH('STUDENT SCREENING'!AI111,'SCORING MASTER'!$C$54:$C$57,0)),""))</f>
        <v/>
      </c>
      <c r="AK111" s="58" t="str">
        <f aca="false">IF('STUDENT SCREENING'!AJ111="","",IFERROR(INDEX('SCORING MASTER'!$D$59:$D$60,MATCH('STUDENT SCREENING'!AJ111,'SCORING MASTER'!$C$59:$C$60,0)),""))</f>
        <v/>
      </c>
      <c r="AL111" s="58" t="str">
        <f aca="false">IF('STUDENT SCREENING'!AK111="","",IFERROR(INDEX('SCORING MASTER'!$D$62:$D$63,MATCH('STUDENT SCREENING'!AK111,'SCORING MASTER'!$C$62:$C$63,0)),""))</f>
        <v/>
      </c>
      <c r="AM111" s="58" t="str">
        <f aca="false">IF('STUDENT SCREENING'!AL111="","",IFERROR(INDEX('SCORING MASTER'!$D$65:$D$66,MATCH('STUDENT SCREENING'!AL111,'SCORING MASTER'!$C$65:$C$66,0)),""))</f>
        <v/>
      </c>
      <c r="AN111" s="58" t="str">
        <f aca="false">IF('STUDENT SCREENING'!AM111="","",IFERROR(INDEX('SCORING MASTER'!$D$68:$D$69,MATCH('STUDENT SCREENING'!AM111,'SCORING MASTER'!$C$68:$C$69,0)),""))</f>
        <v/>
      </c>
      <c r="AO111" s="58" t="str">
        <f aca="false">IF('STUDENT SCREENING'!AN111="","",IFERROR(INDEX('SCORING MASTER'!$D$71:$D$72,MATCH('STUDENT SCREENING'!AN111,'SCORING MASTER'!$C$71:$C$72,0)),""))</f>
        <v/>
      </c>
      <c r="AP111" s="58" t="str">
        <f aca="false">IF('STUDENT SCREENING'!AO111="","",IFERROR(INDEX('SCORING MASTER'!$D$74:$D$75,MATCH('STUDENT SCREENING'!AO111,'SCORING MASTER'!$C$74:$C$75,0)),""))</f>
        <v/>
      </c>
      <c r="AQ111" s="58" t="str">
        <f aca="false">IF('STUDENT SCREENING'!AP111="","",IFERROR(INDEX('SCORING MASTER'!$D$77:$D$78,MATCH('STUDENT SCREENING'!AP111,'SCORING MASTER'!$C$77:$C$78,0)),""))</f>
        <v/>
      </c>
      <c r="AR111" s="58" t="str">
        <f aca="false">IF('STUDENT SCREENING'!AQ111="","",IFERROR(INDEX('SCORING MASTER'!$D$80:$D$82,MATCH('STUDENT SCREENING'!AQ111,'SCORING MASTER'!$C$80:$C$82,0)),""))</f>
        <v/>
      </c>
      <c r="AS111" s="58" t="str">
        <f aca="false">IF('STUDENT SCREENING'!AR111="","",IFERROR(INDEX('SCORING MASTER'!$D$84:$D$86,MATCH('STUDENT SCREENING'!AR111,'SCORING MASTER'!$C$84:$C$86,0)),""))</f>
        <v/>
      </c>
      <c r="AT111" s="58" t="str">
        <f aca="false">IF('STUDENT SCREENING'!AS111="","",IFERROR(INDEX('SCORING MASTER'!$D$88:$D$90,MATCH('STUDENT SCREENING'!AS111,'SCORING MASTER'!$C$88:$C$90,0)),""))</f>
        <v/>
      </c>
      <c r="AU111" s="58" t="str">
        <f aca="false">IF('STUDENT SCREENING'!AT111="","",IFERROR(INDEX('SCORING MASTER'!$D$92:$D$93,MATCH('STUDENT SCREENING'!AT111,'SCORING MASTER'!$C$92:$C$93,0)),""))</f>
        <v/>
      </c>
      <c r="AV111" s="58" t="str">
        <f aca="false">IF('STUDENT SCREENING'!AU111="","",IFERROR(INDEX('SCORING MASTER'!$D$95:$D$96,MATCH('STUDENT SCREENING'!AU111,'SCORING MASTER'!$C$95:$C$96,0)),""))</f>
        <v/>
      </c>
      <c r="AW111" s="58" t="str">
        <f aca="false">IF('STUDENT SCREENING'!AV111="","",IFERROR(INDEX('SCORING MASTER'!$D$98:$D$99,MATCH('STUDENT SCREENING'!AV111,'SCORING MASTER'!$C$98:$C$99,0)),""))</f>
        <v/>
      </c>
      <c r="AX111" s="58" t="str">
        <f aca="false">IF('STUDENT SCREENING'!AW111="","",IFERROR(INDEX('SCORING MASTER'!$D$101:$D$102,MATCH('STUDENT SCREENING'!AW111,'SCORING MASTER'!$C$101:$C$102,0)),""))</f>
        <v/>
      </c>
      <c r="AY111" s="58" t="str">
        <f aca="false">IF('STUDENT SCREENING'!AX111="","",IFERROR(INDEX('SCORING MASTER'!$D$104:$D$105,MATCH('STUDENT SCREENING'!AX111,'SCORING MASTER'!$C$104:$C$105,0)),""))</f>
        <v/>
      </c>
      <c r="AZ111" s="58" t="str">
        <f aca="false">IF('STUDENT SCREENING'!AY111="","",IFERROR(INDEX('SCORING MASTER'!$D$107:$D$108,MATCH('STUDENT SCREENING'!AY111,'SCORING MASTER'!$C$107:$C$108,0)),""))</f>
        <v/>
      </c>
      <c r="BA111" s="58" t="str">
        <f aca="false">IF('STUDENT SCREENING'!AZ111="","",IFERROR(INDEX('SCORING MASTER'!$D$110:$D$111,MATCH('STUDENT SCREENING'!AZ111,'SCORING MASTER'!$C$110:$C$111,0)),""))</f>
        <v/>
      </c>
      <c r="BB111" s="58" t="str">
        <f aca="false">IF('STUDENT SCREENING'!BA111="","",IFERROR(INDEX('SCORING MASTER'!$D$113:$D$115,MATCH('STUDENT SCREENING'!BA111,'SCORING MASTER'!$C$113:$C$115,0)),""))</f>
        <v/>
      </c>
      <c r="BC111" s="58" t="str">
        <f aca="false">IF('STUDENT SCREENING'!BB111="","",IFERROR(INDEX('SCORING MASTER'!$D$117:$D$119,MATCH('STUDENT SCREENING'!BB111,'SCORING MASTER'!$C$117:$C$119,0)),""))</f>
        <v/>
      </c>
      <c r="BD111" s="58" t="str">
        <f aca="false">IF('STUDENT SCREENING'!BC111="","",IFERROR(INDEX('SCORING MASTER'!$D$121:$D$123,MATCH('STUDENT SCREENING'!BC111,'SCORING MASTER'!$C$121:$C$123,0)),""))</f>
        <v/>
      </c>
      <c r="BE111" s="58" t="str">
        <f aca="false">IF('STUDENT SCREENING'!BD111="","",IFERROR(INDEX('SCORING MASTER'!$D$125:$D$126,MATCH('STUDENT SCREENING'!BD111,'SCORING MASTER'!$C$125:$C$126,0)),""))</f>
        <v/>
      </c>
      <c r="BF111" s="58" t="str">
        <f aca="false">IF('STUDENT SCREENING'!BE111="","",IFERROR(INDEX('SCORING MASTER'!$D$128:$D$129,MATCH('STUDENT SCREENING'!BE111,'SCORING MASTER'!$C$128:$C$129,0)),""))</f>
        <v/>
      </c>
      <c r="BG111" s="58" t="str">
        <f aca="false">IF('STUDENT SCREENING'!BP111="","",IFERROR(MATCH('STUDENT SCREENING'!BP111,{"Red - High Risk","Orange - Moderate Risk","Yellow - Mild Risk","Light Green - Mild Watch","Green - Healthy"},0)-1,""))</f>
        <v/>
      </c>
      <c r="BH111" s="58" t="str">
        <f aca="false">IF('STUDENT SCREENING'!BQ111="","",IF('STUDENT SCREENING'!BQ111="Yes",1,0))</f>
        <v/>
      </c>
      <c r="BI111" s="58" t="str">
        <f aca="false">IF('STUDENT SCREENING'!BR111="","",IF('STUDENT SCREENING'!BR111="Yes",1,0))</f>
        <v/>
      </c>
    </row>
    <row r="112" customFormat="false" ht="15" hidden="false" customHeight="false" outlineLevel="0" collapsed="false">
      <c r="A112" s="57" t="str">
        <f aca="false">'STUDENT SCREENING'!A112</f>
        <v/>
      </c>
      <c r="B112" s="57" t="n">
        <f aca="false">'STUDENT SCREENING'!C112</f>
        <v>0</v>
      </c>
      <c r="C112" s="57" t="n">
        <f aca="false">'STUDENT SCREENING'!D112</f>
        <v>0</v>
      </c>
      <c r="D112" s="57" t="n">
        <f aca="false">'STUDENT SCREENING'!E112</f>
        <v>0</v>
      </c>
      <c r="E112" s="57" t="n">
        <f aca="false">'STUDENT SCREENING'!F112</f>
        <v>0</v>
      </c>
      <c r="F112" s="57" t="n">
        <f aca="false">'STUDENT SCREENING'!K112</f>
        <v>0</v>
      </c>
      <c r="G112" s="57" t="n">
        <f aca="false">'STUDENT SCREENING'!J112</f>
        <v>0</v>
      </c>
      <c r="H112" s="57" t="str">
        <f aca="false">IF('STUDENT SCREENING'!K112="","",IFERROR(MATCH('STUDENT SCREENING'!K112,Adm_Gender,0),""))</f>
        <v/>
      </c>
      <c r="I112" s="57" t="n">
        <f aca="false">'STUDENT SCREENING'!Q112</f>
        <v>0</v>
      </c>
      <c r="J112" s="57" t="n">
        <f aca="false">'STUDENT SCREENING'!R112</f>
        <v>0</v>
      </c>
      <c r="K112" s="57" t="str">
        <f aca="false">'STUDENT SCREENING'!S112</f>
        <v/>
      </c>
      <c r="L112" s="57" t="n">
        <f aca="false">'STUDENT SCREENING'!U112</f>
        <v>0</v>
      </c>
      <c r="M112" s="57" t="n">
        <f aca="false">'STUDENT SCREENING'!V112</f>
        <v>0</v>
      </c>
      <c r="N112" s="57" t="str">
        <f aca="false">'STUDENT SCREENING'!BF112</f>
        <v/>
      </c>
      <c r="O112" s="57" t="str">
        <f aca="false">'STUDENT SCREENING'!BG112</f>
        <v/>
      </c>
      <c r="P112" s="57" t="str">
        <f aca="false">'STUDENT SCREENING'!BH112</f>
        <v/>
      </c>
      <c r="Q112" s="57" t="str">
        <f aca="false">'STUDENT SCREENING'!BI112</f>
        <v/>
      </c>
      <c r="R112" s="57" t="str">
        <f aca="false">'STUDENT SCREENING'!BJ112</f>
        <v/>
      </c>
      <c r="S112" s="57" t="str">
        <f aca="false">'STUDENT SCREENING'!BK112</f>
        <v/>
      </c>
      <c r="T112" s="57" t="str">
        <f aca="false">'STUDENT SCREENING'!BL112</f>
        <v/>
      </c>
      <c r="U112" s="57" t="str">
        <f aca="false">'STUDENT SCREENING'!BM112</f>
        <v/>
      </c>
      <c r="V112" s="57" t="str">
        <f aca="false">'STUDENT SCREENING'!BN112</f>
        <v/>
      </c>
      <c r="W112" s="57" t="str">
        <f aca="false">'STUDENT SCREENING'!BO112</f>
        <v/>
      </c>
      <c r="X112" s="57" t="str">
        <f aca="false">IF('STUDENT SCREENING'!W112="","",IFERROR(INDEX('SCORING MASTER'!$D$5:$D$7,MATCH('STUDENT SCREENING'!W112,'SCORING MASTER'!$C$5:$C$7,0)),""))</f>
        <v/>
      </c>
      <c r="Y112" s="57" t="str">
        <f aca="false">IF('STUDENT SCREENING'!X112="","",IFERROR(INDEX('SCORING MASTER'!$D$9:$D$11,MATCH('STUDENT SCREENING'!X112,'SCORING MASTER'!$C$9:$C$11,0)),""))</f>
        <v/>
      </c>
      <c r="Z112" s="57" t="str">
        <f aca="false">IF('STUDENT SCREENING'!Y112="","",IFERROR(INDEX('SCORING MASTER'!$D$13:$D$15,MATCH('STUDENT SCREENING'!Y112,'SCORING MASTER'!$C$13:$C$15,0)),""))</f>
        <v/>
      </c>
      <c r="AA112" s="57" t="str">
        <f aca="false">IF('STUDENT SCREENING'!Z112="","",IFERROR(INDEX('SCORING MASTER'!$D$17:$D$19,MATCH('STUDENT SCREENING'!Z112,'SCORING MASTER'!$C$17:$C$19,0)),""))</f>
        <v/>
      </c>
      <c r="AB112" s="57" t="str">
        <f aca="false">IF('STUDENT SCREENING'!AA112="","",IFERROR(INDEX('SCORING MASTER'!$D$21:$D$23,MATCH('STUDENT SCREENING'!AA112,'SCORING MASTER'!$C$21:$C$23,0)),""))</f>
        <v/>
      </c>
      <c r="AC112" s="57" t="str">
        <f aca="false">IF('STUDENT SCREENING'!AB112="","",IFERROR(INDEX('SCORING MASTER'!$D$25:$D$27,MATCH('STUDENT SCREENING'!AB112,'SCORING MASTER'!$C$25:$C$27,0)),""))</f>
        <v/>
      </c>
      <c r="AD112" s="57" t="str">
        <f aca="false">IF('STUDENT SCREENING'!AC112="","",IFERROR(INDEX('SCORING MASTER'!$D$29:$D$31,MATCH('STUDENT SCREENING'!AC112,'SCORING MASTER'!$C$29:$C$31,0)),""))</f>
        <v/>
      </c>
      <c r="AE112" s="57" t="str">
        <f aca="false">IF('STUDENT SCREENING'!AD112="","",IFERROR(INDEX('SCORING MASTER'!$D$33:$D$35,MATCH('STUDENT SCREENING'!AD112,'SCORING MASTER'!$C$33:$C$35,0)),""))</f>
        <v/>
      </c>
      <c r="AF112" s="57" t="str">
        <f aca="false">IF('STUDENT SCREENING'!AE112="","",IFERROR(INDEX('SCORING MASTER'!$D$37:$D$39,MATCH('STUDENT SCREENING'!AE112,'SCORING MASTER'!$C$37:$C$39,0)),""))</f>
        <v/>
      </c>
      <c r="AG112" s="57" t="str">
        <f aca="false">IF('STUDENT SCREENING'!AF112="","",IFERROR(INDEX('SCORING MASTER'!$D$41:$D$43,MATCH('STUDENT SCREENING'!AF112,'SCORING MASTER'!$C$41:$C$43,0)),""))</f>
        <v/>
      </c>
      <c r="AH112" s="57" t="str">
        <f aca="false">IF('STUDENT SCREENING'!AG112="","",IFERROR(INDEX('SCORING MASTER'!$D$45:$D$47,MATCH('STUDENT SCREENING'!AG112,'SCORING MASTER'!$C$45:$C$47,0)),""))</f>
        <v/>
      </c>
      <c r="AI112" s="57" t="str">
        <f aca="false">IF('STUDENT SCREENING'!AH112="","",IFERROR(INDEX('SCORING MASTER'!$D$49:$D$52,MATCH('STUDENT SCREENING'!AH112,'SCORING MASTER'!$C$49:$C$52,0)),""))</f>
        <v/>
      </c>
      <c r="AJ112" s="57" t="str">
        <f aca="false">IF('STUDENT SCREENING'!AI112="","",IFERROR(INDEX('SCORING MASTER'!$D$54:$D$57,MATCH('STUDENT SCREENING'!AI112,'SCORING MASTER'!$C$54:$C$57,0)),""))</f>
        <v/>
      </c>
      <c r="AK112" s="57" t="str">
        <f aca="false">IF('STUDENT SCREENING'!AJ112="","",IFERROR(INDEX('SCORING MASTER'!$D$59:$D$60,MATCH('STUDENT SCREENING'!AJ112,'SCORING MASTER'!$C$59:$C$60,0)),""))</f>
        <v/>
      </c>
      <c r="AL112" s="57" t="str">
        <f aca="false">IF('STUDENT SCREENING'!AK112="","",IFERROR(INDEX('SCORING MASTER'!$D$62:$D$63,MATCH('STUDENT SCREENING'!AK112,'SCORING MASTER'!$C$62:$C$63,0)),""))</f>
        <v/>
      </c>
      <c r="AM112" s="57" t="str">
        <f aca="false">IF('STUDENT SCREENING'!AL112="","",IFERROR(INDEX('SCORING MASTER'!$D$65:$D$66,MATCH('STUDENT SCREENING'!AL112,'SCORING MASTER'!$C$65:$C$66,0)),""))</f>
        <v/>
      </c>
      <c r="AN112" s="57" t="str">
        <f aca="false">IF('STUDENT SCREENING'!AM112="","",IFERROR(INDEX('SCORING MASTER'!$D$68:$D$69,MATCH('STUDENT SCREENING'!AM112,'SCORING MASTER'!$C$68:$C$69,0)),""))</f>
        <v/>
      </c>
      <c r="AO112" s="57" t="str">
        <f aca="false">IF('STUDENT SCREENING'!AN112="","",IFERROR(INDEX('SCORING MASTER'!$D$71:$D$72,MATCH('STUDENT SCREENING'!AN112,'SCORING MASTER'!$C$71:$C$72,0)),""))</f>
        <v/>
      </c>
      <c r="AP112" s="57" t="str">
        <f aca="false">IF('STUDENT SCREENING'!AO112="","",IFERROR(INDEX('SCORING MASTER'!$D$74:$D$75,MATCH('STUDENT SCREENING'!AO112,'SCORING MASTER'!$C$74:$C$75,0)),""))</f>
        <v/>
      </c>
      <c r="AQ112" s="57" t="str">
        <f aca="false">IF('STUDENT SCREENING'!AP112="","",IFERROR(INDEX('SCORING MASTER'!$D$77:$D$78,MATCH('STUDENT SCREENING'!AP112,'SCORING MASTER'!$C$77:$C$78,0)),""))</f>
        <v/>
      </c>
      <c r="AR112" s="57" t="str">
        <f aca="false">IF('STUDENT SCREENING'!AQ112="","",IFERROR(INDEX('SCORING MASTER'!$D$80:$D$82,MATCH('STUDENT SCREENING'!AQ112,'SCORING MASTER'!$C$80:$C$82,0)),""))</f>
        <v/>
      </c>
      <c r="AS112" s="57" t="str">
        <f aca="false">IF('STUDENT SCREENING'!AR112="","",IFERROR(INDEX('SCORING MASTER'!$D$84:$D$86,MATCH('STUDENT SCREENING'!AR112,'SCORING MASTER'!$C$84:$C$86,0)),""))</f>
        <v/>
      </c>
      <c r="AT112" s="57" t="str">
        <f aca="false">IF('STUDENT SCREENING'!AS112="","",IFERROR(INDEX('SCORING MASTER'!$D$88:$D$90,MATCH('STUDENT SCREENING'!AS112,'SCORING MASTER'!$C$88:$C$90,0)),""))</f>
        <v/>
      </c>
      <c r="AU112" s="57" t="str">
        <f aca="false">IF('STUDENT SCREENING'!AT112="","",IFERROR(INDEX('SCORING MASTER'!$D$92:$D$93,MATCH('STUDENT SCREENING'!AT112,'SCORING MASTER'!$C$92:$C$93,0)),""))</f>
        <v/>
      </c>
      <c r="AV112" s="57" t="str">
        <f aca="false">IF('STUDENT SCREENING'!AU112="","",IFERROR(INDEX('SCORING MASTER'!$D$95:$D$96,MATCH('STUDENT SCREENING'!AU112,'SCORING MASTER'!$C$95:$C$96,0)),""))</f>
        <v/>
      </c>
      <c r="AW112" s="57" t="str">
        <f aca="false">IF('STUDENT SCREENING'!AV112="","",IFERROR(INDEX('SCORING MASTER'!$D$98:$D$99,MATCH('STUDENT SCREENING'!AV112,'SCORING MASTER'!$C$98:$C$99,0)),""))</f>
        <v/>
      </c>
      <c r="AX112" s="57" t="str">
        <f aca="false">IF('STUDENT SCREENING'!AW112="","",IFERROR(INDEX('SCORING MASTER'!$D$101:$D$102,MATCH('STUDENT SCREENING'!AW112,'SCORING MASTER'!$C$101:$C$102,0)),""))</f>
        <v/>
      </c>
      <c r="AY112" s="57" t="str">
        <f aca="false">IF('STUDENT SCREENING'!AX112="","",IFERROR(INDEX('SCORING MASTER'!$D$104:$D$105,MATCH('STUDENT SCREENING'!AX112,'SCORING MASTER'!$C$104:$C$105,0)),""))</f>
        <v/>
      </c>
      <c r="AZ112" s="57" t="str">
        <f aca="false">IF('STUDENT SCREENING'!AY112="","",IFERROR(INDEX('SCORING MASTER'!$D$107:$D$108,MATCH('STUDENT SCREENING'!AY112,'SCORING MASTER'!$C$107:$C$108,0)),""))</f>
        <v/>
      </c>
      <c r="BA112" s="57" t="str">
        <f aca="false">IF('STUDENT SCREENING'!AZ112="","",IFERROR(INDEX('SCORING MASTER'!$D$110:$D$111,MATCH('STUDENT SCREENING'!AZ112,'SCORING MASTER'!$C$110:$C$111,0)),""))</f>
        <v/>
      </c>
      <c r="BB112" s="57" t="str">
        <f aca="false">IF('STUDENT SCREENING'!BA112="","",IFERROR(INDEX('SCORING MASTER'!$D$113:$D$115,MATCH('STUDENT SCREENING'!BA112,'SCORING MASTER'!$C$113:$C$115,0)),""))</f>
        <v/>
      </c>
      <c r="BC112" s="57" t="str">
        <f aca="false">IF('STUDENT SCREENING'!BB112="","",IFERROR(INDEX('SCORING MASTER'!$D$117:$D$119,MATCH('STUDENT SCREENING'!BB112,'SCORING MASTER'!$C$117:$C$119,0)),""))</f>
        <v/>
      </c>
      <c r="BD112" s="57" t="str">
        <f aca="false">IF('STUDENT SCREENING'!BC112="","",IFERROR(INDEX('SCORING MASTER'!$D$121:$D$123,MATCH('STUDENT SCREENING'!BC112,'SCORING MASTER'!$C$121:$C$123,0)),""))</f>
        <v/>
      </c>
      <c r="BE112" s="57" t="str">
        <f aca="false">IF('STUDENT SCREENING'!BD112="","",IFERROR(INDEX('SCORING MASTER'!$D$125:$D$126,MATCH('STUDENT SCREENING'!BD112,'SCORING MASTER'!$C$125:$C$126,0)),""))</f>
        <v/>
      </c>
      <c r="BF112" s="57" t="str">
        <f aca="false">IF('STUDENT SCREENING'!BE112="","",IFERROR(INDEX('SCORING MASTER'!$D$128:$D$129,MATCH('STUDENT SCREENING'!BE112,'SCORING MASTER'!$C$128:$C$129,0)),""))</f>
        <v/>
      </c>
      <c r="BG112" s="57" t="str">
        <f aca="false">IF('STUDENT SCREENING'!BP112="","",IFERROR(MATCH('STUDENT SCREENING'!BP112,{"Red - High Risk","Orange - Moderate Risk","Yellow - Mild Risk","Light Green - Mild Watch","Green - Healthy"},0)-1,""))</f>
        <v/>
      </c>
      <c r="BH112" s="57" t="str">
        <f aca="false">IF('STUDENT SCREENING'!BQ112="","",IF('STUDENT SCREENING'!BQ112="Yes",1,0))</f>
        <v/>
      </c>
      <c r="BI112" s="57" t="str">
        <f aca="false">IF('STUDENT SCREENING'!BR112="","",IF('STUDENT SCREENING'!BR112="Yes",1,0))</f>
        <v/>
      </c>
    </row>
    <row r="113" customFormat="false" ht="15" hidden="false" customHeight="false" outlineLevel="0" collapsed="false">
      <c r="A113" s="58" t="str">
        <f aca="false">'STUDENT SCREENING'!A113</f>
        <v/>
      </c>
      <c r="B113" s="58" t="n">
        <f aca="false">'STUDENT SCREENING'!C113</f>
        <v>0</v>
      </c>
      <c r="C113" s="58" t="n">
        <f aca="false">'STUDENT SCREENING'!D113</f>
        <v>0</v>
      </c>
      <c r="D113" s="58" t="n">
        <f aca="false">'STUDENT SCREENING'!E113</f>
        <v>0</v>
      </c>
      <c r="E113" s="58" t="n">
        <f aca="false">'STUDENT SCREENING'!F113</f>
        <v>0</v>
      </c>
      <c r="F113" s="58" t="n">
        <f aca="false">'STUDENT SCREENING'!K113</f>
        <v>0</v>
      </c>
      <c r="G113" s="58" t="n">
        <f aca="false">'STUDENT SCREENING'!J113</f>
        <v>0</v>
      </c>
      <c r="H113" s="58" t="str">
        <f aca="false">IF('STUDENT SCREENING'!K113="","",IFERROR(MATCH('STUDENT SCREENING'!K113,Adm_Gender,0),""))</f>
        <v/>
      </c>
      <c r="I113" s="58" t="n">
        <f aca="false">'STUDENT SCREENING'!Q113</f>
        <v>0</v>
      </c>
      <c r="J113" s="58" t="n">
        <f aca="false">'STUDENT SCREENING'!R113</f>
        <v>0</v>
      </c>
      <c r="K113" s="58" t="str">
        <f aca="false">'STUDENT SCREENING'!S113</f>
        <v/>
      </c>
      <c r="L113" s="58" t="n">
        <f aca="false">'STUDENT SCREENING'!U113</f>
        <v>0</v>
      </c>
      <c r="M113" s="58" t="n">
        <f aca="false">'STUDENT SCREENING'!V113</f>
        <v>0</v>
      </c>
      <c r="N113" s="58" t="str">
        <f aca="false">'STUDENT SCREENING'!BF113</f>
        <v/>
      </c>
      <c r="O113" s="58" t="str">
        <f aca="false">'STUDENT SCREENING'!BG113</f>
        <v/>
      </c>
      <c r="P113" s="58" t="str">
        <f aca="false">'STUDENT SCREENING'!BH113</f>
        <v/>
      </c>
      <c r="Q113" s="58" t="str">
        <f aca="false">'STUDENT SCREENING'!BI113</f>
        <v/>
      </c>
      <c r="R113" s="58" t="str">
        <f aca="false">'STUDENT SCREENING'!BJ113</f>
        <v/>
      </c>
      <c r="S113" s="58" t="str">
        <f aca="false">'STUDENT SCREENING'!BK113</f>
        <v/>
      </c>
      <c r="T113" s="58" t="str">
        <f aca="false">'STUDENT SCREENING'!BL113</f>
        <v/>
      </c>
      <c r="U113" s="58" t="str">
        <f aca="false">'STUDENT SCREENING'!BM113</f>
        <v/>
      </c>
      <c r="V113" s="58" t="str">
        <f aca="false">'STUDENT SCREENING'!BN113</f>
        <v/>
      </c>
      <c r="W113" s="58" t="str">
        <f aca="false">'STUDENT SCREENING'!BO113</f>
        <v/>
      </c>
      <c r="X113" s="58" t="str">
        <f aca="false">IF('STUDENT SCREENING'!W113="","",IFERROR(INDEX('SCORING MASTER'!$D$5:$D$7,MATCH('STUDENT SCREENING'!W113,'SCORING MASTER'!$C$5:$C$7,0)),""))</f>
        <v/>
      </c>
      <c r="Y113" s="58" t="str">
        <f aca="false">IF('STUDENT SCREENING'!X113="","",IFERROR(INDEX('SCORING MASTER'!$D$9:$D$11,MATCH('STUDENT SCREENING'!X113,'SCORING MASTER'!$C$9:$C$11,0)),""))</f>
        <v/>
      </c>
      <c r="Z113" s="58" t="str">
        <f aca="false">IF('STUDENT SCREENING'!Y113="","",IFERROR(INDEX('SCORING MASTER'!$D$13:$D$15,MATCH('STUDENT SCREENING'!Y113,'SCORING MASTER'!$C$13:$C$15,0)),""))</f>
        <v/>
      </c>
      <c r="AA113" s="58" t="str">
        <f aca="false">IF('STUDENT SCREENING'!Z113="","",IFERROR(INDEX('SCORING MASTER'!$D$17:$D$19,MATCH('STUDENT SCREENING'!Z113,'SCORING MASTER'!$C$17:$C$19,0)),""))</f>
        <v/>
      </c>
      <c r="AB113" s="58" t="str">
        <f aca="false">IF('STUDENT SCREENING'!AA113="","",IFERROR(INDEX('SCORING MASTER'!$D$21:$D$23,MATCH('STUDENT SCREENING'!AA113,'SCORING MASTER'!$C$21:$C$23,0)),""))</f>
        <v/>
      </c>
      <c r="AC113" s="58" t="str">
        <f aca="false">IF('STUDENT SCREENING'!AB113="","",IFERROR(INDEX('SCORING MASTER'!$D$25:$D$27,MATCH('STUDENT SCREENING'!AB113,'SCORING MASTER'!$C$25:$C$27,0)),""))</f>
        <v/>
      </c>
      <c r="AD113" s="58" t="str">
        <f aca="false">IF('STUDENT SCREENING'!AC113="","",IFERROR(INDEX('SCORING MASTER'!$D$29:$D$31,MATCH('STUDENT SCREENING'!AC113,'SCORING MASTER'!$C$29:$C$31,0)),""))</f>
        <v/>
      </c>
      <c r="AE113" s="58" t="str">
        <f aca="false">IF('STUDENT SCREENING'!AD113="","",IFERROR(INDEX('SCORING MASTER'!$D$33:$D$35,MATCH('STUDENT SCREENING'!AD113,'SCORING MASTER'!$C$33:$C$35,0)),""))</f>
        <v/>
      </c>
      <c r="AF113" s="58" t="str">
        <f aca="false">IF('STUDENT SCREENING'!AE113="","",IFERROR(INDEX('SCORING MASTER'!$D$37:$D$39,MATCH('STUDENT SCREENING'!AE113,'SCORING MASTER'!$C$37:$C$39,0)),""))</f>
        <v/>
      </c>
      <c r="AG113" s="58" t="str">
        <f aca="false">IF('STUDENT SCREENING'!AF113="","",IFERROR(INDEX('SCORING MASTER'!$D$41:$D$43,MATCH('STUDENT SCREENING'!AF113,'SCORING MASTER'!$C$41:$C$43,0)),""))</f>
        <v/>
      </c>
      <c r="AH113" s="58" t="str">
        <f aca="false">IF('STUDENT SCREENING'!AG113="","",IFERROR(INDEX('SCORING MASTER'!$D$45:$D$47,MATCH('STUDENT SCREENING'!AG113,'SCORING MASTER'!$C$45:$C$47,0)),""))</f>
        <v/>
      </c>
      <c r="AI113" s="58" t="str">
        <f aca="false">IF('STUDENT SCREENING'!AH113="","",IFERROR(INDEX('SCORING MASTER'!$D$49:$D$52,MATCH('STUDENT SCREENING'!AH113,'SCORING MASTER'!$C$49:$C$52,0)),""))</f>
        <v/>
      </c>
      <c r="AJ113" s="58" t="str">
        <f aca="false">IF('STUDENT SCREENING'!AI113="","",IFERROR(INDEX('SCORING MASTER'!$D$54:$D$57,MATCH('STUDENT SCREENING'!AI113,'SCORING MASTER'!$C$54:$C$57,0)),""))</f>
        <v/>
      </c>
      <c r="AK113" s="58" t="str">
        <f aca="false">IF('STUDENT SCREENING'!AJ113="","",IFERROR(INDEX('SCORING MASTER'!$D$59:$D$60,MATCH('STUDENT SCREENING'!AJ113,'SCORING MASTER'!$C$59:$C$60,0)),""))</f>
        <v/>
      </c>
      <c r="AL113" s="58" t="str">
        <f aca="false">IF('STUDENT SCREENING'!AK113="","",IFERROR(INDEX('SCORING MASTER'!$D$62:$D$63,MATCH('STUDENT SCREENING'!AK113,'SCORING MASTER'!$C$62:$C$63,0)),""))</f>
        <v/>
      </c>
      <c r="AM113" s="58" t="str">
        <f aca="false">IF('STUDENT SCREENING'!AL113="","",IFERROR(INDEX('SCORING MASTER'!$D$65:$D$66,MATCH('STUDENT SCREENING'!AL113,'SCORING MASTER'!$C$65:$C$66,0)),""))</f>
        <v/>
      </c>
      <c r="AN113" s="58" t="str">
        <f aca="false">IF('STUDENT SCREENING'!AM113="","",IFERROR(INDEX('SCORING MASTER'!$D$68:$D$69,MATCH('STUDENT SCREENING'!AM113,'SCORING MASTER'!$C$68:$C$69,0)),""))</f>
        <v/>
      </c>
      <c r="AO113" s="58" t="str">
        <f aca="false">IF('STUDENT SCREENING'!AN113="","",IFERROR(INDEX('SCORING MASTER'!$D$71:$D$72,MATCH('STUDENT SCREENING'!AN113,'SCORING MASTER'!$C$71:$C$72,0)),""))</f>
        <v/>
      </c>
      <c r="AP113" s="58" t="str">
        <f aca="false">IF('STUDENT SCREENING'!AO113="","",IFERROR(INDEX('SCORING MASTER'!$D$74:$D$75,MATCH('STUDENT SCREENING'!AO113,'SCORING MASTER'!$C$74:$C$75,0)),""))</f>
        <v/>
      </c>
      <c r="AQ113" s="58" t="str">
        <f aca="false">IF('STUDENT SCREENING'!AP113="","",IFERROR(INDEX('SCORING MASTER'!$D$77:$D$78,MATCH('STUDENT SCREENING'!AP113,'SCORING MASTER'!$C$77:$C$78,0)),""))</f>
        <v/>
      </c>
      <c r="AR113" s="58" t="str">
        <f aca="false">IF('STUDENT SCREENING'!AQ113="","",IFERROR(INDEX('SCORING MASTER'!$D$80:$D$82,MATCH('STUDENT SCREENING'!AQ113,'SCORING MASTER'!$C$80:$C$82,0)),""))</f>
        <v/>
      </c>
      <c r="AS113" s="58" t="str">
        <f aca="false">IF('STUDENT SCREENING'!AR113="","",IFERROR(INDEX('SCORING MASTER'!$D$84:$D$86,MATCH('STUDENT SCREENING'!AR113,'SCORING MASTER'!$C$84:$C$86,0)),""))</f>
        <v/>
      </c>
      <c r="AT113" s="58" t="str">
        <f aca="false">IF('STUDENT SCREENING'!AS113="","",IFERROR(INDEX('SCORING MASTER'!$D$88:$D$90,MATCH('STUDENT SCREENING'!AS113,'SCORING MASTER'!$C$88:$C$90,0)),""))</f>
        <v/>
      </c>
      <c r="AU113" s="58" t="str">
        <f aca="false">IF('STUDENT SCREENING'!AT113="","",IFERROR(INDEX('SCORING MASTER'!$D$92:$D$93,MATCH('STUDENT SCREENING'!AT113,'SCORING MASTER'!$C$92:$C$93,0)),""))</f>
        <v/>
      </c>
      <c r="AV113" s="58" t="str">
        <f aca="false">IF('STUDENT SCREENING'!AU113="","",IFERROR(INDEX('SCORING MASTER'!$D$95:$D$96,MATCH('STUDENT SCREENING'!AU113,'SCORING MASTER'!$C$95:$C$96,0)),""))</f>
        <v/>
      </c>
      <c r="AW113" s="58" t="str">
        <f aca="false">IF('STUDENT SCREENING'!AV113="","",IFERROR(INDEX('SCORING MASTER'!$D$98:$D$99,MATCH('STUDENT SCREENING'!AV113,'SCORING MASTER'!$C$98:$C$99,0)),""))</f>
        <v/>
      </c>
      <c r="AX113" s="58" t="str">
        <f aca="false">IF('STUDENT SCREENING'!AW113="","",IFERROR(INDEX('SCORING MASTER'!$D$101:$D$102,MATCH('STUDENT SCREENING'!AW113,'SCORING MASTER'!$C$101:$C$102,0)),""))</f>
        <v/>
      </c>
      <c r="AY113" s="58" t="str">
        <f aca="false">IF('STUDENT SCREENING'!AX113="","",IFERROR(INDEX('SCORING MASTER'!$D$104:$D$105,MATCH('STUDENT SCREENING'!AX113,'SCORING MASTER'!$C$104:$C$105,0)),""))</f>
        <v/>
      </c>
      <c r="AZ113" s="58" t="str">
        <f aca="false">IF('STUDENT SCREENING'!AY113="","",IFERROR(INDEX('SCORING MASTER'!$D$107:$D$108,MATCH('STUDENT SCREENING'!AY113,'SCORING MASTER'!$C$107:$C$108,0)),""))</f>
        <v/>
      </c>
      <c r="BA113" s="58" t="str">
        <f aca="false">IF('STUDENT SCREENING'!AZ113="","",IFERROR(INDEX('SCORING MASTER'!$D$110:$D$111,MATCH('STUDENT SCREENING'!AZ113,'SCORING MASTER'!$C$110:$C$111,0)),""))</f>
        <v/>
      </c>
      <c r="BB113" s="58" t="str">
        <f aca="false">IF('STUDENT SCREENING'!BA113="","",IFERROR(INDEX('SCORING MASTER'!$D$113:$D$115,MATCH('STUDENT SCREENING'!BA113,'SCORING MASTER'!$C$113:$C$115,0)),""))</f>
        <v/>
      </c>
      <c r="BC113" s="58" t="str">
        <f aca="false">IF('STUDENT SCREENING'!BB113="","",IFERROR(INDEX('SCORING MASTER'!$D$117:$D$119,MATCH('STUDENT SCREENING'!BB113,'SCORING MASTER'!$C$117:$C$119,0)),""))</f>
        <v/>
      </c>
      <c r="BD113" s="58" t="str">
        <f aca="false">IF('STUDENT SCREENING'!BC113="","",IFERROR(INDEX('SCORING MASTER'!$D$121:$D$123,MATCH('STUDENT SCREENING'!BC113,'SCORING MASTER'!$C$121:$C$123,0)),""))</f>
        <v/>
      </c>
      <c r="BE113" s="58" t="str">
        <f aca="false">IF('STUDENT SCREENING'!BD113="","",IFERROR(INDEX('SCORING MASTER'!$D$125:$D$126,MATCH('STUDENT SCREENING'!BD113,'SCORING MASTER'!$C$125:$C$126,0)),""))</f>
        <v/>
      </c>
      <c r="BF113" s="58" t="str">
        <f aca="false">IF('STUDENT SCREENING'!BE113="","",IFERROR(INDEX('SCORING MASTER'!$D$128:$D$129,MATCH('STUDENT SCREENING'!BE113,'SCORING MASTER'!$C$128:$C$129,0)),""))</f>
        <v/>
      </c>
      <c r="BG113" s="58" t="str">
        <f aca="false">IF('STUDENT SCREENING'!BP113="","",IFERROR(MATCH('STUDENT SCREENING'!BP113,{"Red - High Risk","Orange - Moderate Risk","Yellow - Mild Risk","Light Green - Mild Watch","Green - Healthy"},0)-1,""))</f>
        <v/>
      </c>
      <c r="BH113" s="58" t="str">
        <f aca="false">IF('STUDENT SCREENING'!BQ113="","",IF('STUDENT SCREENING'!BQ113="Yes",1,0))</f>
        <v/>
      </c>
      <c r="BI113" s="58" t="str">
        <f aca="false">IF('STUDENT SCREENING'!BR113="","",IF('STUDENT SCREENING'!BR113="Yes",1,0))</f>
        <v/>
      </c>
    </row>
    <row r="114" customFormat="false" ht="15" hidden="false" customHeight="false" outlineLevel="0" collapsed="false">
      <c r="A114" s="57" t="str">
        <f aca="false">'STUDENT SCREENING'!A114</f>
        <v/>
      </c>
      <c r="B114" s="57" t="n">
        <f aca="false">'STUDENT SCREENING'!C114</f>
        <v>0</v>
      </c>
      <c r="C114" s="57" t="n">
        <f aca="false">'STUDENT SCREENING'!D114</f>
        <v>0</v>
      </c>
      <c r="D114" s="57" t="n">
        <f aca="false">'STUDENT SCREENING'!E114</f>
        <v>0</v>
      </c>
      <c r="E114" s="57" t="n">
        <f aca="false">'STUDENT SCREENING'!F114</f>
        <v>0</v>
      </c>
      <c r="F114" s="57" t="n">
        <f aca="false">'STUDENT SCREENING'!K114</f>
        <v>0</v>
      </c>
      <c r="G114" s="57" t="n">
        <f aca="false">'STUDENT SCREENING'!J114</f>
        <v>0</v>
      </c>
      <c r="H114" s="57" t="str">
        <f aca="false">IF('STUDENT SCREENING'!K114="","",IFERROR(MATCH('STUDENT SCREENING'!K114,Adm_Gender,0),""))</f>
        <v/>
      </c>
      <c r="I114" s="57" t="n">
        <f aca="false">'STUDENT SCREENING'!Q114</f>
        <v>0</v>
      </c>
      <c r="J114" s="57" t="n">
        <f aca="false">'STUDENT SCREENING'!R114</f>
        <v>0</v>
      </c>
      <c r="K114" s="57" t="str">
        <f aca="false">'STUDENT SCREENING'!S114</f>
        <v/>
      </c>
      <c r="L114" s="57" t="n">
        <f aca="false">'STUDENT SCREENING'!U114</f>
        <v>0</v>
      </c>
      <c r="M114" s="57" t="n">
        <f aca="false">'STUDENT SCREENING'!V114</f>
        <v>0</v>
      </c>
      <c r="N114" s="57" t="str">
        <f aca="false">'STUDENT SCREENING'!BF114</f>
        <v/>
      </c>
      <c r="O114" s="57" t="str">
        <f aca="false">'STUDENT SCREENING'!BG114</f>
        <v/>
      </c>
      <c r="P114" s="57" t="str">
        <f aca="false">'STUDENT SCREENING'!BH114</f>
        <v/>
      </c>
      <c r="Q114" s="57" t="str">
        <f aca="false">'STUDENT SCREENING'!BI114</f>
        <v/>
      </c>
      <c r="R114" s="57" t="str">
        <f aca="false">'STUDENT SCREENING'!BJ114</f>
        <v/>
      </c>
      <c r="S114" s="57" t="str">
        <f aca="false">'STUDENT SCREENING'!BK114</f>
        <v/>
      </c>
      <c r="T114" s="57" t="str">
        <f aca="false">'STUDENT SCREENING'!BL114</f>
        <v/>
      </c>
      <c r="U114" s="57" t="str">
        <f aca="false">'STUDENT SCREENING'!BM114</f>
        <v/>
      </c>
      <c r="V114" s="57" t="str">
        <f aca="false">'STUDENT SCREENING'!BN114</f>
        <v/>
      </c>
      <c r="W114" s="57" t="str">
        <f aca="false">'STUDENT SCREENING'!BO114</f>
        <v/>
      </c>
      <c r="X114" s="57" t="str">
        <f aca="false">IF('STUDENT SCREENING'!W114="","",IFERROR(INDEX('SCORING MASTER'!$D$5:$D$7,MATCH('STUDENT SCREENING'!W114,'SCORING MASTER'!$C$5:$C$7,0)),""))</f>
        <v/>
      </c>
      <c r="Y114" s="57" t="str">
        <f aca="false">IF('STUDENT SCREENING'!X114="","",IFERROR(INDEX('SCORING MASTER'!$D$9:$D$11,MATCH('STUDENT SCREENING'!X114,'SCORING MASTER'!$C$9:$C$11,0)),""))</f>
        <v/>
      </c>
      <c r="Z114" s="57" t="str">
        <f aca="false">IF('STUDENT SCREENING'!Y114="","",IFERROR(INDEX('SCORING MASTER'!$D$13:$D$15,MATCH('STUDENT SCREENING'!Y114,'SCORING MASTER'!$C$13:$C$15,0)),""))</f>
        <v/>
      </c>
      <c r="AA114" s="57" t="str">
        <f aca="false">IF('STUDENT SCREENING'!Z114="","",IFERROR(INDEX('SCORING MASTER'!$D$17:$D$19,MATCH('STUDENT SCREENING'!Z114,'SCORING MASTER'!$C$17:$C$19,0)),""))</f>
        <v/>
      </c>
      <c r="AB114" s="57" t="str">
        <f aca="false">IF('STUDENT SCREENING'!AA114="","",IFERROR(INDEX('SCORING MASTER'!$D$21:$D$23,MATCH('STUDENT SCREENING'!AA114,'SCORING MASTER'!$C$21:$C$23,0)),""))</f>
        <v/>
      </c>
      <c r="AC114" s="57" t="str">
        <f aca="false">IF('STUDENT SCREENING'!AB114="","",IFERROR(INDEX('SCORING MASTER'!$D$25:$D$27,MATCH('STUDENT SCREENING'!AB114,'SCORING MASTER'!$C$25:$C$27,0)),""))</f>
        <v/>
      </c>
      <c r="AD114" s="57" t="str">
        <f aca="false">IF('STUDENT SCREENING'!AC114="","",IFERROR(INDEX('SCORING MASTER'!$D$29:$D$31,MATCH('STUDENT SCREENING'!AC114,'SCORING MASTER'!$C$29:$C$31,0)),""))</f>
        <v/>
      </c>
      <c r="AE114" s="57" t="str">
        <f aca="false">IF('STUDENT SCREENING'!AD114="","",IFERROR(INDEX('SCORING MASTER'!$D$33:$D$35,MATCH('STUDENT SCREENING'!AD114,'SCORING MASTER'!$C$33:$C$35,0)),""))</f>
        <v/>
      </c>
      <c r="AF114" s="57" t="str">
        <f aca="false">IF('STUDENT SCREENING'!AE114="","",IFERROR(INDEX('SCORING MASTER'!$D$37:$D$39,MATCH('STUDENT SCREENING'!AE114,'SCORING MASTER'!$C$37:$C$39,0)),""))</f>
        <v/>
      </c>
      <c r="AG114" s="57" t="str">
        <f aca="false">IF('STUDENT SCREENING'!AF114="","",IFERROR(INDEX('SCORING MASTER'!$D$41:$D$43,MATCH('STUDENT SCREENING'!AF114,'SCORING MASTER'!$C$41:$C$43,0)),""))</f>
        <v/>
      </c>
      <c r="AH114" s="57" t="str">
        <f aca="false">IF('STUDENT SCREENING'!AG114="","",IFERROR(INDEX('SCORING MASTER'!$D$45:$D$47,MATCH('STUDENT SCREENING'!AG114,'SCORING MASTER'!$C$45:$C$47,0)),""))</f>
        <v/>
      </c>
      <c r="AI114" s="57" t="str">
        <f aca="false">IF('STUDENT SCREENING'!AH114="","",IFERROR(INDEX('SCORING MASTER'!$D$49:$D$52,MATCH('STUDENT SCREENING'!AH114,'SCORING MASTER'!$C$49:$C$52,0)),""))</f>
        <v/>
      </c>
      <c r="AJ114" s="57" t="str">
        <f aca="false">IF('STUDENT SCREENING'!AI114="","",IFERROR(INDEX('SCORING MASTER'!$D$54:$D$57,MATCH('STUDENT SCREENING'!AI114,'SCORING MASTER'!$C$54:$C$57,0)),""))</f>
        <v/>
      </c>
      <c r="AK114" s="57" t="str">
        <f aca="false">IF('STUDENT SCREENING'!AJ114="","",IFERROR(INDEX('SCORING MASTER'!$D$59:$D$60,MATCH('STUDENT SCREENING'!AJ114,'SCORING MASTER'!$C$59:$C$60,0)),""))</f>
        <v/>
      </c>
      <c r="AL114" s="57" t="str">
        <f aca="false">IF('STUDENT SCREENING'!AK114="","",IFERROR(INDEX('SCORING MASTER'!$D$62:$D$63,MATCH('STUDENT SCREENING'!AK114,'SCORING MASTER'!$C$62:$C$63,0)),""))</f>
        <v/>
      </c>
      <c r="AM114" s="57" t="str">
        <f aca="false">IF('STUDENT SCREENING'!AL114="","",IFERROR(INDEX('SCORING MASTER'!$D$65:$D$66,MATCH('STUDENT SCREENING'!AL114,'SCORING MASTER'!$C$65:$C$66,0)),""))</f>
        <v/>
      </c>
      <c r="AN114" s="57" t="str">
        <f aca="false">IF('STUDENT SCREENING'!AM114="","",IFERROR(INDEX('SCORING MASTER'!$D$68:$D$69,MATCH('STUDENT SCREENING'!AM114,'SCORING MASTER'!$C$68:$C$69,0)),""))</f>
        <v/>
      </c>
      <c r="AO114" s="57" t="str">
        <f aca="false">IF('STUDENT SCREENING'!AN114="","",IFERROR(INDEX('SCORING MASTER'!$D$71:$D$72,MATCH('STUDENT SCREENING'!AN114,'SCORING MASTER'!$C$71:$C$72,0)),""))</f>
        <v/>
      </c>
      <c r="AP114" s="57" t="str">
        <f aca="false">IF('STUDENT SCREENING'!AO114="","",IFERROR(INDEX('SCORING MASTER'!$D$74:$D$75,MATCH('STUDENT SCREENING'!AO114,'SCORING MASTER'!$C$74:$C$75,0)),""))</f>
        <v/>
      </c>
      <c r="AQ114" s="57" t="str">
        <f aca="false">IF('STUDENT SCREENING'!AP114="","",IFERROR(INDEX('SCORING MASTER'!$D$77:$D$78,MATCH('STUDENT SCREENING'!AP114,'SCORING MASTER'!$C$77:$C$78,0)),""))</f>
        <v/>
      </c>
      <c r="AR114" s="57" t="str">
        <f aca="false">IF('STUDENT SCREENING'!AQ114="","",IFERROR(INDEX('SCORING MASTER'!$D$80:$D$82,MATCH('STUDENT SCREENING'!AQ114,'SCORING MASTER'!$C$80:$C$82,0)),""))</f>
        <v/>
      </c>
      <c r="AS114" s="57" t="str">
        <f aca="false">IF('STUDENT SCREENING'!AR114="","",IFERROR(INDEX('SCORING MASTER'!$D$84:$D$86,MATCH('STUDENT SCREENING'!AR114,'SCORING MASTER'!$C$84:$C$86,0)),""))</f>
        <v/>
      </c>
      <c r="AT114" s="57" t="str">
        <f aca="false">IF('STUDENT SCREENING'!AS114="","",IFERROR(INDEX('SCORING MASTER'!$D$88:$D$90,MATCH('STUDENT SCREENING'!AS114,'SCORING MASTER'!$C$88:$C$90,0)),""))</f>
        <v/>
      </c>
      <c r="AU114" s="57" t="str">
        <f aca="false">IF('STUDENT SCREENING'!AT114="","",IFERROR(INDEX('SCORING MASTER'!$D$92:$D$93,MATCH('STUDENT SCREENING'!AT114,'SCORING MASTER'!$C$92:$C$93,0)),""))</f>
        <v/>
      </c>
      <c r="AV114" s="57" t="str">
        <f aca="false">IF('STUDENT SCREENING'!AU114="","",IFERROR(INDEX('SCORING MASTER'!$D$95:$D$96,MATCH('STUDENT SCREENING'!AU114,'SCORING MASTER'!$C$95:$C$96,0)),""))</f>
        <v/>
      </c>
      <c r="AW114" s="57" t="str">
        <f aca="false">IF('STUDENT SCREENING'!AV114="","",IFERROR(INDEX('SCORING MASTER'!$D$98:$D$99,MATCH('STUDENT SCREENING'!AV114,'SCORING MASTER'!$C$98:$C$99,0)),""))</f>
        <v/>
      </c>
      <c r="AX114" s="57" t="str">
        <f aca="false">IF('STUDENT SCREENING'!AW114="","",IFERROR(INDEX('SCORING MASTER'!$D$101:$D$102,MATCH('STUDENT SCREENING'!AW114,'SCORING MASTER'!$C$101:$C$102,0)),""))</f>
        <v/>
      </c>
      <c r="AY114" s="57" t="str">
        <f aca="false">IF('STUDENT SCREENING'!AX114="","",IFERROR(INDEX('SCORING MASTER'!$D$104:$D$105,MATCH('STUDENT SCREENING'!AX114,'SCORING MASTER'!$C$104:$C$105,0)),""))</f>
        <v/>
      </c>
      <c r="AZ114" s="57" t="str">
        <f aca="false">IF('STUDENT SCREENING'!AY114="","",IFERROR(INDEX('SCORING MASTER'!$D$107:$D$108,MATCH('STUDENT SCREENING'!AY114,'SCORING MASTER'!$C$107:$C$108,0)),""))</f>
        <v/>
      </c>
      <c r="BA114" s="57" t="str">
        <f aca="false">IF('STUDENT SCREENING'!AZ114="","",IFERROR(INDEX('SCORING MASTER'!$D$110:$D$111,MATCH('STUDENT SCREENING'!AZ114,'SCORING MASTER'!$C$110:$C$111,0)),""))</f>
        <v/>
      </c>
      <c r="BB114" s="57" t="str">
        <f aca="false">IF('STUDENT SCREENING'!BA114="","",IFERROR(INDEX('SCORING MASTER'!$D$113:$D$115,MATCH('STUDENT SCREENING'!BA114,'SCORING MASTER'!$C$113:$C$115,0)),""))</f>
        <v/>
      </c>
      <c r="BC114" s="57" t="str">
        <f aca="false">IF('STUDENT SCREENING'!BB114="","",IFERROR(INDEX('SCORING MASTER'!$D$117:$D$119,MATCH('STUDENT SCREENING'!BB114,'SCORING MASTER'!$C$117:$C$119,0)),""))</f>
        <v/>
      </c>
      <c r="BD114" s="57" t="str">
        <f aca="false">IF('STUDENT SCREENING'!BC114="","",IFERROR(INDEX('SCORING MASTER'!$D$121:$D$123,MATCH('STUDENT SCREENING'!BC114,'SCORING MASTER'!$C$121:$C$123,0)),""))</f>
        <v/>
      </c>
      <c r="BE114" s="57" t="str">
        <f aca="false">IF('STUDENT SCREENING'!BD114="","",IFERROR(INDEX('SCORING MASTER'!$D$125:$D$126,MATCH('STUDENT SCREENING'!BD114,'SCORING MASTER'!$C$125:$C$126,0)),""))</f>
        <v/>
      </c>
      <c r="BF114" s="57" t="str">
        <f aca="false">IF('STUDENT SCREENING'!BE114="","",IFERROR(INDEX('SCORING MASTER'!$D$128:$D$129,MATCH('STUDENT SCREENING'!BE114,'SCORING MASTER'!$C$128:$C$129,0)),""))</f>
        <v/>
      </c>
      <c r="BG114" s="57" t="str">
        <f aca="false">IF('STUDENT SCREENING'!BP114="","",IFERROR(MATCH('STUDENT SCREENING'!BP114,{"Red - High Risk","Orange - Moderate Risk","Yellow - Mild Risk","Light Green - Mild Watch","Green - Healthy"},0)-1,""))</f>
        <v/>
      </c>
      <c r="BH114" s="57" t="str">
        <f aca="false">IF('STUDENT SCREENING'!BQ114="","",IF('STUDENT SCREENING'!BQ114="Yes",1,0))</f>
        <v/>
      </c>
      <c r="BI114" s="57" t="str">
        <f aca="false">IF('STUDENT SCREENING'!BR114="","",IF('STUDENT SCREENING'!BR114="Yes",1,0))</f>
        <v/>
      </c>
    </row>
    <row r="115" customFormat="false" ht="15" hidden="false" customHeight="false" outlineLevel="0" collapsed="false">
      <c r="A115" s="58" t="str">
        <f aca="false">'STUDENT SCREENING'!A115</f>
        <v/>
      </c>
      <c r="B115" s="58" t="n">
        <f aca="false">'STUDENT SCREENING'!C115</f>
        <v>0</v>
      </c>
      <c r="C115" s="58" t="n">
        <f aca="false">'STUDENT SCREENING'!D115</f>
        <v>0</v>
      </c>
      <c r="D115" s="58" t="n">
        <f aca="false">'STUDENT SCREENING'!E115</f>
        <v>0</v>
      </c>
      <c r="E115" s="58" t="n">
        <f aca="false">'STUDENT SCREENING'!F115</f>
        <v>0</v>
      </c>
      <c r="F115" s="58" t="n">
        <f aca="false">'STUDENT SCREENING'!K115</f>
        <v>0</v>
      </c>
      <c r="G115" s="58" t="n">
        <f aca="false">'STUDENT SCREENING'!J115</f>
        <v>0</v>
      </c>
      <c r="H115" s="58" t="str">
        <f aca="false">IF('STUDENT SCREENING'!K115="","",IFERROR(MATCH('STUDENT SCREENING'!K115,Adm_Gender,0),""))</f>
        <v/>
      </c>
      <c r="I115" s="58" t="n">
        <f aca="false">'STUDENT SCREENING'!Q115</f>
        <v>0</v>
      </c>
      <c r="J115" s="58" t="n">
        <f aca="false">'STUDENT SCREENING'!R115</f>
        <v>0</v>
      </c>
      <c r="K115" s="58" t="str">
        <f aca="false">'STUDENT SCREENING'!S115</f>
        <v/>
      </c>
      <c r="L115" s="58" t="n">
        <f aca="false">'STUDENT SCREENING'!U115</f>
        <v>0</v>
      </c>
      <c r="M115" s="58" t="n">
        <f aca="false">'STUDENT SCREENING'!V115</f>
        <v>0</v>
      </c>
      <c r="N115" s="58" t="str">
        <f aca="false">'STUDENT SCREENING'!BF115</f>
        <v/>
      </c>
      <c r="O115" s="58" t="str">
        <f aca="false">'STUDENT SCREENING'!BG115</f>
        <v/>
      </c>
      <c r="P115" s="58" t="str">
        <f aca="false">'STUDENT SCREENING'!BH115</f>
        <v/>
      </c>
      <c r="Q115" s="58" t="str">
        <f aca="false">'STUDENT SCREENING'!BI115</f>
        <v/>
      </c>
      <c r="R115" s="58" t="str">
        <f aca="false">'STUDENT SCREENING'!BJ115</f>
        <v/>
      </c>
      <c r="S115" s="58" t="str">
        <f aca="false">'STUDENT SCREENING'!BK115</f>
        <v/>
      </c>
      <c r="T115" s="58" t="str">
        <f aca="false">'STUDENT SCREENING'!BL115</f>
        <v/>
      </c>
      <c r="U115" s="58" t="str">
        <f aca="false">'STUDENT SCREENING'!BM115</f>
        <v/>
      </c>
      <c r="V115" s="58" t="str">
        <f aca="false">'STUDENT SCREENING'!BN115</f>
        <v/>
      </c>
      <c r="W115" s="58" t="str">
        <f aca="false">'STUDENT SCREENING'!BO115</f>
        <v/>
      </c>
      <c r="X115" s="58" t="str">
        <f aca="false">IF('STUDENT SCREENING'!W115="","",IFERROR(INDEX('SCORING MASTER'!$D$5:$D$7,MATCH('STUDENT SCREENING'!W115,'SCORING MASTER'!$C$5:$C$7,0)),""))</f>
        <v/>
      </c>
      <c r="Y115" s="58" t="str">
        <f aca="false">IF('STUDENT SCREENING'!X115="","",IFERROR(INDEX('SCORING MASTER'!$D$9:$D$11,MATCH('STUDENT SCREENING'!X115,'SCORING MASTER'!$C$9:$C$11,0)),""))</f>
        <v/>
      </c>
      <c r="Z115" s="58" t="str">
        <f aca="false">IF('STUDENT SCREENING'!Y115="","",IFERROR(INDEX('SCORING MASTER'!$D$13:$D$15,MATCH('STUDENT SCREENING'!Y115,'SCORING MASTER'!$C$13:$C$15,0)),""))</f>
        <v/>
      </c>
      <c r="AA115" s="58" t="str">
        <f aca="false">IF('STUDENT SCREENING'!Z115="","",IFERROR(INDEX('SCORING MASTER'!$D$17:$D$19,MATCH('STUDENT SCREENING'!Z115,'SCORING MASTER'!$C$17:$C$19,0)),""))</f>
        <v/>
      </c>
      <c r="AB115" s="58" t="str">
        <f aca="false">IF('STUDENT SCREENING'!AA115="","",IFERROR(INDEX('SCORING MASTER'!$D$21:$D$23,MATCH('STUDENT SCREENING'!AA115,'SCORING MASTER'!$C$21:$C$23,0)),""))</f>
        <v/>
      </c>
      <c r="AC115" s="58" t="str">
        <f aca="false">IF('STUDENT SCREENING'!AB115="","",IFERROR(INDEX('SCORING MASTER'!$D$25:$D$27,MATCH('STUDENT SCREENING'!AB115,'SCORING MASTER'!$C$25:$C$27,0)),""))</f>
        <v/>
      </c>
      <c r="AD115" s="58" t="str">
        <f aca="false">IF('STUDENT SCREENING'!AC115="","",IFERROR(INDEX('SCORING MASTER'!$D$29:$D$31,MATCH('STUDENT SCREENING'!AC115,'SCORING MASTER'!$C$29:$C$31,0)),""))</f>
        <v/>
      </c>
      <c r="AE115" s="58" t="str">
        <f aca="false">IF('STUDENT SCREENING'!AD115="","",IFERROR(INDEX('SCORING MASTER'!$D$33:$D$35,MATCH('STUDENT SCREENING'!AD115,'SCORING MASTER'!$C$33:$C$35,0)),""))</f>
        <v/>
      </c>
      <c r="AF115" s="58" t="str">
        <f aca="false">IF('STUDENT SCREENING'!AE115="","",IFERROR(INDEX('SCORING MASTER'!$D$37:$D$39,MATCH('STUDENT SCREENING'!AE115,'SCORING MASTER'!$C$37:$C$39,0)),""))</f>
        <v/>
      </c>
      <c r="AG115" s="58" t="str">
        <f aca="false">IF('STUDENT SCREENING'!AF115="","",IFERROR(INDEX('SCORING MASTER'!$D$41:$D$43,MATCH('STUDENT SCREENING'!AF115,'SCORING MASTER'!$C$41:$C$43,0)),""))</f>
        <v/>
      </c>
      <c r="AH115" s="58" t="str">
        <f aca="false">IF('STUDENT SCREENING'!AG115="","",IFERROR(INDEX('SCORING MASTER'!$D$45:$D$47,MATCH('STUDENT SCREENING'!AG115,'SCORING MASTER'!$C$45:$C$47,0)),""))</f>
        <v/>
      </c>
      <c r="AI115" s="58" t="str">
        <f aca="false">IF('STUDENT SCREENING'!AH115="","",IFERROR(INDEX('SCORING MASTER'!$D$49:$D$52,MATCH('STUDENT SCREENING'!AH115,'SCORING MASTER'!$C$49:$C$52,0)),""))</f>
        <v/>
      </c>
      <c r="AJ115" s="58" t="str">
        <f aca="false">IF('STUDENT SCREENING'!AI115="","",IFERROR(INDEX('SCORING MASTER'!$D$54:$D$57,MATCH('STUDENT SCREENING'!AI115,'SCORING MASTER'!$C$54:$C$57,0)),""))</f>
        <v/>
      </c>
      <c r="AK115" s="58" t="str">
        <f aca="false">IF('STUDENT SCREENING'!AJ115="","",IFERROR(INDEX('SCORING MASTER'!$D$59:$D$60,MATCH('STUDENT SCREENING'!AJ115,'SCORING MASTER'!$C$59:$C$60,0)),""))</f>
        <v/>
      </c>
      <c r="AL115" s="58" t="str">
        <f aca="false">IF('STUDENT SCREENING'!AK115="","",IFERROR(INDEX('SCORING MASTER'!$D$62:$D$63,MATCH('STUDENT SCREENING'!AK115,'SCORING MASTER'!$C$62:$C$63,0)),""))</f>
        <v/>
      </c>
      <c r="AM115" s="58" t="str">
        <f aca="false">IF('STUDENT SCREENING'!AL115="","",IFERROR(INDEX('SCORING MASTER'!$D$65:$D$66,MATCH('STUDENT SCREENING'!AL115,'SCORING MASTER'!$C$65:$C$66,0)),""))</f>
        <v/>
      </c>
      <c r="AN115" s="58" t="str">
        <f aca="false">IF('STUDENT SCREENING'!AM115="","",IFERROR(INDEX('SCORING MASTER'!$D$68:$D$69,MATCH('STUDENT SCREENING'!AM115,'SCORING MASTER'!$C$68:$C$69,0)),""))</f>
        <v/>
      </c>
      <c r="AO115" s="58" t="str">
        <f aca="false">IF('STUDENT SCREENING'!AN115="","",IFERROR(INDEX('SCORING MASTER'!$D$71:$D$72,MATCH('STUDENT SCREENING'!AN115,'SCORING MASTER'!$C$71:$C$72,0)),""))</f>
        <v/>
      </c>
      <c r="AP115" s="58" t="str">
        <f aca="false">IF('STUDENT SCREENING'!AO115="","",IFERROR(INDEX('SCORING MASTER'!$D$74:$D$75,MATCH('STUDENT SCREENING'!AO115,'SCORING MASTER'!$C$74:$C$75,0)),""))</f>
        <v/>
      </c>
      <c r="AQ115" s="58" t="str">
        <f aca="false">IF('STUDENT SCREENING'!AP115="","",IFERROR(INDEX('SCORING MASTER'!$D$77:$D$78,MATCH('STUDENT SCREENING'!AP115,'SCORING MASTER'!$C$77:$C$78,0)),""))</f>
        <v/>
      </c>
      <c r="AR115" s="58" t="str">
        <f aca="false">IF('STUDENT SCREENING'!AQ115="","",IFERROR(INDEX('SCORING MASTER'!$D$80:$D$82,MATCH('STUDENT SCREENING'!AQ115,'SCORING MASTER'!$C$80:$C$82,0)),""))</f>
        <v/>
      </c>
      <c r="AS115" s="58" t="str">
        <f aca="false">IF('STUDENT SCREENING'!AR115="","",IFERROR(INDEX('SCORING MASTER'!$D$84:$D$86,MATCH('STUDENT SCREENING'!AR115,'SCORING MASTER'!$C$84:$C$86,0)),""))</f>
        <v/>
      </c>
      <c r="AT115" s="58" t="str">
        <f aca="false">IF('STUDENT SCREENING'!AS115="","",IFERROR(INDEX('SCORING MASTER'!$D$88:$D$90,MATCH('STUDENT SCREENING'!AS115,'SCORING MASTER'!$C$88:$C$90,0)),""))</f>
        <v/>
      </c>
      <c r="AU115" s="58" t="str">
        <f aca="false">IF('STUDENT SCREENING'!AT115="","",IFERROR(INDEX('SCORING MASTER'!$D$92:$D$93,MATCH('STUDENT SCREENING'!AT115,'SCORING MASTER'!$C$92:$C$93,0)),""))</f>
        <v/>
      </c>
      <c r="AV115" s="58" t="str">
        <f aca="false">IF('STUDENT SCREENING'!AU115="","",IFERROR(INDEX('SCORING MASTER'!$D$95:$D$96,MATCH('STUDENT SCREENING'!AU115,'SCORING MASTER'!$C$95:$C$96,0)),""))</f>
        <v/>
      </c>
      <c r="AW115" s="58" t="str">
        <f aca="false">IF('STUDENT SCREENING'!AV115="","",IFERROR(INDEX('SCORING MASTER'!$D$98:$D$99,MATCH('STUDENT SCREENING'!AV115,'SCORING MASTER'!$C$98:$C$99,0)),""))</f>
        <v/>
      </c>
      <c r="AX115" s="58" t="str">
        <f aca="false">IF('STUDENT SCREENING'!AW115="","",IFERROR(INDEX('SCORING MASTER'!$D$101:$D$102,MATCH('STUDENT SCREENING'!AW115,'SCORING MASTER'!$C$101:$C$102,0)),""))</f>
        <v/>
      </c>
      <c r="AY115" s="58" t="str">
        <f aca="false">IF('STUDENT SCREENING'!AX115="","",IFERROR(INDEX('SCORING MASTER'!$D$104:$D$105,MATCH('STUDENT SCREENING'!AX115,'SCORING MASTER'!$C$104:$C$105,0)),""))</f>
        <v/>
      </c>
      <c r="AZ115" s="58" t="str">
        <f aca="false">IF('STUDENT SCREENING'!AY115="","",IFERROR(INDEX('SCORING MASTER'!$D$107:$D$108,MATCH('STUDENT SCREENING'!AY115,'SCORING MASTER'!$C$107:$C$108,0)),""))</f>
        <v/>
      </c>
      <c r="BA115" s="58" t="str">
        <f aca="false">IF('STUDENT SCREENING'!AZ115="","",IFERROR(INDEX('SCORING MASTER'!$D$110:$D$111,MATCH('STUDENT SCREENING'!AZ115,'SCORING MASTER'!$C$110:$C$111,0)),""))</f>
        <v/>
      </c>
      <c r="BB115" s="58" t="str">
        <f aca="false">IF('STUDENT SCREENING'!BA115="","",IFERROR(INDEX('SCORING MASTER'!$D$113:$D$115,MATCH('STUDENT SCREENING'!BA115,'SCORING MASTER'!$C$113:$C$115,0)),""))</f>
        <v/>
      </c>
      <c r="BC115" s="58" t="str">
        <f aca="false">IF('STUDENT SCREENING'!BB115="","",IFERROR(INDEX('SCORING MASTER'!$D$117:$D$119,MATCH('STUDENT SCREENING'!BB115,'SCORING MASTER'!$C$117:$C$119,0)),""))</f>
        <v/>
      </c>
      <c r="BD115" s="58" t="str">
        <f aca="false">IF('STUDENT SCREENING'!BC115="","",IFERROR(INDEX('SCORING MASTER'!$D$121:$D$123,MATCH('STUDENT SCREENING'!BC115,'SCORING MASTER'!$C$121:$C$123,0)),""))</f>
        <v/>
      </c>
      <c r="BE115" s="58" t="str">
        <f aca="false">IF('STUDENT SCREENING'!BD115="","",IFERROR(INDEX('SCORING MASTER'!$D$125:$D$126,MATCH('STUDENT SCREENING'!BD115,'SCORING MASTER'!$C$125:$C$126,0)),""))</f>
        <v/>
      </c>
      <c r="BF115" s="58" t="str">
        <f aca="false">IF('STUDENT SCREENING'!BE115="","",IFERROR(INDEX('SCORING MASTER'!$D$128:$D$129,MATCH('STUDENT SCREENING'!BE115,'SCORING MASTER'!$C$128:$C$129,0)),""))</f>
        <v/>
      </c>
      <c r="BG115" s="58" t="str">
        <f aca="false">IF('STUDENT SCREENING'!BP115="","",IFERROR(MATCH('STUDENT SCREENING'!BP115,{"Red - High Risk","Orange - Moderate Risk","Yellow - Mild Risk","Light Green - Mild Watch","Green - Healthy"},0)-1,""))</f>
        <v/>
      </c>
      <c r="BH115" s="58" t="str">
        <f aca="false">IF('STUDENT SCREENING'!BQ115="","",IF('STUDENT SCREENING'!BQ115="Yes",1,0))</f>
        <v/>
      </c>
      <c r="BI115" s="58" t="str">
        <f aca="false">IF('STUDENT SCREENING'!BR115="","",IF('STUDENT SCREENING'!BR115="Yes",1,0))</f>
        <v/>
      </c>
    </row>
    <row r="116" customFormat="false" ht="15" hidden="false" customHeight="false" outlineLevel="0" collapsed="false">
      <c r="A116" s="57" t="str">
        <f aca="false">'STUDENT SCREENING'!A116</f>
        <v/>
      </c>
      <c r="B116" s="57" t="n">
        <f aca="false">'STUDENT SCREENING'!C116</f>
        <v>0</v>
      </c>
      <c r="C116" s="57" t="n">
        <f aca="false">'STUDENT SCREENING'!D116</f>
        <v>0</v>
      </c>
      <c r="D116" s="57" t="n">
        <f aca="false">'STUDENT SCREENING'!E116</f>
        <v>0</v>
      </c>
      <c r="E116" s="57" t="n">
        <f aca="false">'STUDENT SCREENING'!F116</f>
        <v>0</v>
      </c>
      <c r="F116" s="57" t="n">
        <f aca="false">'STUDENT SCREENING'!K116</f>
        <v>0</v>
      </c>
      <c r="G116" s="57" t="n">
        <f aca="false">'STUDENT SCREENING'!J116</f>
        <v>0</v>
      </c>
      <c r="H116" s="57" t="str">
        <f aca="false">IF('STUDENT SCREENING'!K116="","",IFERROR(MATCH('STUDENT SCREENING'!K116,Adm_Gender,0),""))</f>
        <v/>
      </c>
      <c r="I116" s="57" t="n">
        <f aca="false">'STUDENT SCREENING'!Q116</f>
        <v>0</v>
      </c>
      <c r="J116" s="57" t="n">
        <f aca="false">'STUDENT SCREENING'!R116</f>
        <v>0</v>
      </c>
      <c r="K116" s="57" t="str">
        <f aca="false">'STUDENT SCREENING'!S116</f>
        <v/>
      </c>
      <c r="L116" s="57" t="n">
        <f aca="false">'STUDENT SCREENING'!U116</f>
        <v>0</v>
      </c>
      <c r="M116" s="57" t="n">
        <f aca="false">'STUDENT SCREENING'!V116</f>
        <v>0</v>
      </c>
      <c r="N116" s="57" t="str">
        <f aca="false">'STUDENT SCREENING'!BF116</f>
        <v/>
      </c>
      <c r="O116" s="57" t="str">
        <f aca="false">'STUDENT SCREENING'!BG116</f>
        <v/>
      </c>
      <c r="P116" s="57" t="str">
        <f aca="false">'STUDENT SCREENING'!BH116</f>
        <v/>
      </c>
      <c r="Q116" s="57" t="str">
        <f aca="false">'STUDENT SCREENING'!BI116</f>
        <v/>
      </c>
      <c r="R116" s="57" t="str">
        <f aca="false">'STUDENT SCREENING'!BJ116</f>
        <v/>
      </c>
      <c r="S116" s="57" t="str">
        <f aca="false">'STUDENT SCREENING'!BK116</f>
        <v/>
      </c>
      <c r="T116" s="57" t="str">
        <f aca="false">'STUDENT SCREENING'!BL116</f>
        <v/>
      </c>
      <c r="U116" s="57" t="str">
        <f aca="false">'STUDENT SCREENING'!BM116</f>
        <v/>
      </c>
      <c r="V116" s="57" t="str">
        <f aca="false">'STUDENT SCREENING'!BN116</f>
        <v/>
      </c>
      <c r="W116" s="57" t="str">
        <f aca="false">'STUDENT SCREENING'!BO116</f>
        <v/>
      </c>
      <c r="X116" s="57" t="str">
        <f aca="false">IF('STUDENT SCREENING'!W116="","",IFERROR(INDEX('SCORING MASTER'!$D$5:$D$7,MATCH('STUDENT SCREENING'!W116,'SCORING MASTER'!$C$5:$C$7,0)),""))</f>
        <v/>
      </c>
      <c r="Y116" s="57" t="str">
        <f aca="false">IF('STUDENT SCREENING'!X116="","",IFERROR(INDEX('SCORING MASTER'!$D$9:$D$11,MATCH('STUDENT SCREENING'!X116,'SCORING MASTER'!$C$9:$C$11,0)),""))</f>
        <v/>
      </c>
      <c r="Z116" s="57" t="str">
        <f aca="false">IF('STUDENT SCREENING'!Y116="","",IFERROR(INDEX('SCORING MASTER'!$D$13:$D$15,MATCH('STUDENT SCREENING'!Y116,'SCORING MASTER'!$C$13:$C$15,0)),""))</f>
        <v/>
      </c>
      <c r="AA116" s="57" t="str">
        <f aca="false">IF('STUDENT SCREENING'!Z116="","",IFERROR(INDEX('SCORING MASTER'!$D$17:$D$19,MATCH('STUDENT SCREENING'!Z116,'SCORING MASTER'!$C$17:$C$19,0)),""))</f>
        <v/>
      </c>
      <c r="AB116" s="57" t="str">
        <f aca="false">IF('STUDENT SCREENING'!AA116="","",IFERROR(INDEX('SCORING MASTER'!$D$21:$D$23,MATCH('STUDENT SCREENING'!AA116,'SCORING MASTER'!$C$21:$C$23,0)),""))</f>
        <v/>
      </c>
      <c r="AC116" s="57" t="str">
        <f aca="false">IF('STUDENT SCREENING'!AB116="","",IFERROR(INDEX('SCORING MASTER'!$D$25:$D$27,MATCH('STUDENT SCREENING'!AB116,'SCORING MASTER'!$C$25:$C$27,0)),""))</f>
        <v/>
      </c>
      <c r="AD116" s="57" t="str">
        <f aca="false">IF('STUDENT SCREENING'!AC116="","",IFERROR(INDEX('SCORING MASTER'!$D$29:$D$31,MATCH('STUDENT SCREENING'!AC116,'SCORING MASTER'!$C$29:$C$31,0)),""))</f>
        <v/>
      </c>
      <c r="AE116" s="57" t="str">
        <f aca="false">IF('STUDENT SCREENING'!AD116="","",IFERROR(INDEX('SCORING MASTER'!$D$33:$D$35,MATCH('STUDENT SCREENING'!AD116,'SCORING MASTER'!$C$33:$C$35,0)),""))</f>
        <v/>
      </c>
      <c r="AF116" s="57" t="str">
        <f aca="false">IF('STUDENT SCREENING'!AE116="","",IFERROR(INDEX('SCORING MASTER'!$D$37:$D$39,MATCH('STUDENT SCREENING'!AE116,'SCORING MASTER'!$C$37:$C$39,0)),""))</f>
        <v/>
      </c>
      <c r="AG116" s="57" t="str">
        <f aca="false">IF('STUDENT SCREENING'!AF116="","",IFERROR(INDEX('SCORING MASTER'!$D$41:$D$43,MATCH('STUDENT SCREENING'!AF116,'SCORING MASTER'!$C$41:$C$43,0)),""))</f>
        <v/>
      </c>
      <c r="AH116" s="57" t="str">
        <f aca="false">IF('STUDENT SCREENING'!AG116="","",IFERROR(INDEX('SCORING MASTER'!$D$45:$D$47,MATCH('STUDENT SCREENING'!AG116,'SCORING MASTER'!$C$45:$C$47,0)),""))</f>
        <v/>
      </c>
      <c r="AI116" s="57" t="str">
        <f aca="false">IF('STUDENT SCREENING'!AH116="","",IFERROR(INDEX('SCORING MASTER'!$D$49:$D$52,MATCH('STUDENT SCREENING'!AH116,'SCORING MASTER'!$C$49:$C$52,0)),""))</f>
        <v/>
      </c>
      <c r="AJ116" s="57" t="str">
        <f aca="false">IF('STUDENT SCREENING'!AI116="","",IFERROR(INDEX('SCORING MASTER'!$D$54:$D$57,MATCH('STUDENT SCREENING'!AI116,'SCORING MASTER'!$C$54:$C$57,0)),""))</f>
        <v/>
      </c>
      <c r="AK116" s="57" t="str">
        <f aca="false">IF('STUDENT SCREENING'!AJ116="","",IFERROR(INDEX('SCORING MASTER'!$D$59:$D$60,MATCH('STUDENT SCREENING'!AJ116,'SCORING MASTER'!$C$59:$C$60,0)),""))</f>
        <v/>
      </c>
      <c r="AL116" s="57" t="str">
        <f aca="false">IF('STUDENT SCREENING'!AK116="","",IFERROR(INDEX('SCORING MASTER'!$D$62:$D$63,MATCH('STUDENT SCREENING'!AK116,'SCORING MASTER'!$C$62:$C$63,0)),""))</f>
        <v/>
      </c>
      <c r="AM116" s="57" t="str">
        <f aca="false">IF('STUDENT SCREENING'!AL116="","",IFERROR(INDEX('SCORING MASTER'!$D$65:$D$66,MATCH('STUDENT SCREENING'!AL116,'SCORING MASTER'!$C$65:$C$66,0)),""))</f>
        <v/>
      </c>
      <c r="AN116" s="57" t="str">
        <f aca="false">IF('STUDENT SCREENING'!AM116="","",IFERROR(INDEX('SCORING MASTER'!$D$68:$D$69,MATCH('STUDENT SCREENING'!AM116,'SCORING MASTER'!$C$68:$C$69,0)),""))</f>
        <v/>
      </c>
      <c r="AO116" s="57" t="str">
        <f aca="false">IF('STUDENT SCREENING'!AN116="","",IFERROR(INDEX('SCORING MASTER'!$D$71:$D$72,MATCH('STUDENT SCREENING'!AN116,'SCORING MASTER'!$C$71:$C$72,0)),""))</f>
        <v/>
      </c>
      <c r="AP116" s="57" t="str">
        <f aca="false">IF('STUDENT SCREENING'!AO116="","",IFERROR(INDEX('SCORING MASTER'!$D$74:$D$75,MATCH('STUDENT SCREENING'!AO116,'SCORING MASTER'!$C$74:$C$75,0)),""))</f>
        <v/>
      </c>
      <c r="AQ116" s="57" t="str">
        <f aca="false">IF('STUDENT SCREENING'!AP116="","",IFERROR(INDEX('SCORING MASTER'!$D$77:$D$78,MATCH('STUDENT SCREENING'!AP116,'SCORING MASTER'!$C$77:$C$78,0)),""))</f>
        <v/>
      </c>
      <c r="AR116" s="57" t="str">
        <f aca="false">IF('STUDENT SCREENING'!AQ116="","",IFERROR(INDEX('SCORING MASTER'!$D$80:$D$82,MATCH('STUDENT SCREENING'!AQ116,'SCORING MASTER'!$C$80:$C$82,0)),""))</f>
        <v/>
      </c>
      <c r="AS116" s="57" t="str">
        <f aca="false">IF('STUDENT SCREENING'!AR116="","",IFERROR(INDEX('SCORING MASTER'!$D$84:$D$86,MATCH('STUDENT SCREENING'!AR116,'SCORING MASTER'!$C$84:$C$86,0)),""))</f>
        <v/>
      </c>
      <c r="AT116" s="57" t="str">
        <f aca="false">IF('STUDENT SCREENING'!AS116="","",IFERROR(INDEX('SCORING MASTER'!$D$88:$D$90,MATCH('STUDENT SCREENING'!AS116,'SCORING MASTER'!$C$88:$C$90,0)),""))</f>
        <v/>
      </c>
      <c r="AU116" s="57" t="str">
        <f aca="false">IF('STUDENT SCREENING'!AT116="","",IFERROR(INDEX('SCORING MASTER'!$D$92:$D$93,MATCH('STUDENT SCREENING'!AT116,'SCORING MASTER'!$C$92:$C$93,0)),""))</f>
        <v/>
      </c>
      <c r="AV116" s="57" t="str">
        <f aca="false">IF('STUDENT SCREENING'!AU116="","",IFERROR(INDEX('SCORING MASTER'!$D$95:$D$96,MATCH('STUDENT SCREENING'!AU116,'SCORING MASTER'!$C$95:$C$96,0)),""))</f>
        <v/>
      </c>
      <c r="AW116" s="57" t="str">
        <f aca="false">IF('STUDENT SCREENING'!AV116="","",IFERROR(INDEX('SCORING MASTER'!$D$98:$D$99,MATCH('STUDENT SCREENING'!AV116,'SCORING MASTER'!$C$98:$C$99,0)),""))</f>
        <v/>
      </c>
      <c r="AX116" s="57" t="str">
        <f aca="false">IF('STUDENT SCREENING'!AW116="","",IFERROR(INDEX('SCORING MASTER'!$D$101:$D$102,MATCH('STUDENT SCREENING'!AW116,'SCORING MASTER'!$C$101:$C$102,0)),""))</f>
        <v/>
      </c>
      <c r="AY116" s="57" t="str">
        <f aca="false">IF('STUDENT SCREENING'!AX116="","",IFERROR(INDEX('SCORING MASTER'!$D$104:$D$105,MATCH('STUDENT SCREENING'!AX116,'SCORING MASTER'!$C$104:$C$105,0)),""))</f>
        <v/>
      </c>
      <c r="AZ116" s="57" t="str">
        <f aca="false">IF('STUDENT SCREENING'!AY116="","",IFERROR(INDEX('SCORING MASTER'!$D$107:$D$108,MATCH('STUDENT SCREENING'!AY116,'SCORING MASTER'!$C$107:$C$108,0)),""))</f>
        <v/>
      </c>
      <c r="BA116" s="57" t="str">
        <f aca="false">IF('STUDENT SCREENING'!AZ116="","",IFERROR(INDEX('SCORING MASTER'!$D$110:$D$111,MATCH('STUDENT SCREENING'!AZ116,'SCORING MASTER'!$C$110:$C$111,0)),""))</f>
        <v/>
      </c>
      <c r="BB116" s="57" t="str">
        <f aca="false">IF('STUDENT SCREENING'!BA116="","",IFERROR(INDEX('SCORING MASTER'!$D$113:$D$115,MATCH('STUDENT SCREENING'!BA116,'SCORING MASTER'!$C$113:$C$115,0)),""))</f>
        <v/>
      </c>
      <c r="BC116" s="57" t="str">
        <f aca="false">IF('STUDENT SCREENING'!BB116="","",IFERROR(INDEX('SCORING MASTER'!$D$117:$D$119,MATCH('STUDENT SCREENING'!BB116,'SCORING MASTER'!$C$117:$C$119,0)),""))</f>
        <v/>
      </c>
      <c r="BD116" s="57" t="str">
        <f aca="false">IF('STUDENT SCREENING'!BC116="","",IFERROR(INDEX('SCORING MASTER'!$D$121:$D$123,MATCH('STUDENT SCREENING'!BC116,'SCORING MASTER'!$C$121:$C$123,0)),""))</f>
        <v/>
      </c>
      <c r="BE116" s="57" t="str">
        <f aca="false">IF('STUDENT SCREENING'!BD116="","",IFERROR(INDEX('SCORING MASTER'!$D$125:$D$126,MATCH('STUDENT SCREENING'!BD116,'SCORING MASTER'!$C$125:$C$126,0)),""))</f>
        <v/>
      </c>
      <c r="BF116" s="57" t="str">
        <f aca="false">IF('STUDENT SCREENING'!BE116="","",IFERROR(INDEX('SCORING MASTER'!$D$128:$D$129,MATCH('STUDENT SCREENING'!BE116,'SCORING MASTER'!$C$128:$C$129,0)),""))</f>
        <v/>
      </c>
      <c r="BG116" s="57" t="str">
        <f aca="false">IF('STUDENT SCREENING'!BP116="","",IFERROR(MATCH('STUDENT SCREENING'!BP116,{"Red - High Risk","Orange - Moderate Risk","Yellow - Mild Risk","Light Green - Mild Watch","Green - Healthy"},0)-1,""))</f>
        <v/>
      </c>
      <c r="BH116" s="57" t="str">
        <f aca="false">IF('STUDENT SCREENING'!BQ116="","",IF('STUDENT SCREENING'!BQ116="Yes",1,0))</f>
        <v/>
      </c>
      <c r="BI116" s="57" t="str">
        <f aca="false">IF('STUDENT SCREENING'!BR116="","",IF('STUDENT SCREENING'!BR116="Yes",1,0))</f>
        <v/>
      </c>
    </row>
    <row r="117" customFormat="false" ht="15" hidden="false" customHeight="false" outlineLevel="0" collapsed="false">
      <c r="A117" s="58" t="str">
        <f aca="false">'STUDENT SCREENING'!A117</f>
        <v/>
      </c>
      <c r="B117" s="58" t="n">
        <f aca="false">'STUDENT SCREENING'!C117</f>
        <v>0</v>
      </c>
      <c r="C117" s="58" t="n">
        <f aca="false">'STUDENT SCREENING'!D117</f>
        <v>0</v>
      </c>
      <c r="D117" s="58" t="n">
        <f aca="false">'STUDENT SCREENING'!E117</f>
        <v>0</v>
      </c>
      <c r="E117" s="58" t="n">
        <f aca="false">'STUDENT SCREENING'!F117</f>
        <v>0</v>
      </c>
      <c r="F117" s="58" t="n">
        <f aca="false">'STUDENT SCREENING'!K117</f>
        <v>0</v>
      </c>
      <c r="G117" s="58" t="n">
        <f aca="false">'STUDENT SCREENING'!J117</f>
        <v>0</v>
      </c>
      <c r="H117" s="58" t="str">
        <f aca="false">IF('STUDENT SCREENING'!K117="","",IFERROR(MATCH('STUDENT SCREENING'!K117,Adm_Gender,0),""))</f>
        <v/>
      </c>
      <c r="I117" s="58" t="n">
        <f aca="false">'STUDENT SCREENING'!Q117</f>
        <v>0</v>
      </c>
      <c r="J117" s="58" t="n">
        <f aca="false">'STUDENT SCREENING'!R117</f>
        <v>0</v>
      </c>
      <c r="K117" s="58" t="str">
        <f aca="false">'STUDENT SCREENING'!S117</f>
        <v/>
      </c>
      <c r="L117" s="58" t="n">
        <f aca="false">'STUDENT SCREENING'!U117</f>
        <v>0</v>
      </c>
      <c r="M117" s="58" t="n">
        <f aca="false">'STUDENT SCREENING'!V117</f>
        <v>0</v>
      </c>
      <c r="N117" s="58" t="str">
        <f aca="false">'STUDENT SCREENING'!BF117</f>
        <v/>
      </c>
      <c r="O117" s="58" t="str">
        <f aca="false">'STUDENT SCREENING'!BG117</f>
        <v/>
      </c>
      <c r="P117" s="58" t="str">
        <f aca="false">'STUDENT SCREENING'!BH117</f>
        <v/>
      </c>
      <c r="Q117" s="58" t="str">
        <f aca="false">'STUDENT SCREENING'!BI117</f>
        <v/>
      </c>
      <c r="R117" s="58" t="str">
        <f aca="false">'STUDENT SCREENING'!BJ117</f>
        <v/>
      </c>
      <c r="S117" s="58" t="str">
        <f aca="false">'STUDENT SCREENING'!BK117</f>
        <v/>
      </c>
      <c r="T117" s="58" t="str">
        <f aca="false">'STUDENT SCREENING'!BL117</f>
        <v/>
      </c>
      <c r="U117" s="58" t="str">
        <f aca="false">'STUDENT SCREENING'!BM117</f>
        <v/>
      </c>
      <c r="V117" s="58" t="str">
        <f aca="false">'STUDENT SCREENING'!BN117</f>
        <v/>
      </c>
      <c r="W117" s="58" t="str">
        <f aca="false">'STUDENT SCREENING'!BO117</f>
        <v/>
      </c>
      <c r="X117" s="58" t="str">
        <f aca="false">IF('STUDENT SCREENING'!W117="","",IFERROR(INDEX('SCORING MASTER'!$D$5:$D$7,MATCH('STUDENT SCREENING'!W117,'SCORING MASTER'!$C$5:$C$7,0)),""))</f>
        <v/>
      </c>
      <c r="Y117" s="58" t="str">
        <f aca="false">IF('STUDENT SCREENING'!X117="","",IFERROR(INDEX('SCORING MASTER'!$D$9:$D$11,MATCH('STUDENT SCREENING'!X117,'SCORING MASTER'!$C$9:$C$11,0)),""))</f>
        <v/>
      </c>
      <c r="Z117" s="58" t="str">
        <f aca="false">IF('STUDENT SCREENING'!Y117="","",IFERROR(INDEX('SCORING MASTER'!$D$13:$D$15,MATCH('STUDENT SCREENING'!Y117,'SCORING MASTER'!$C$13:$C$15,0)),""))</f>
        <v/>
      </c>
      <c r="AA117" s="58" t="str">
        <f aca="false">IF('STUDENT SCREENING'!Z117="","",IFERROR(INDEX('SCORING MASTER'!$D$17:$D$19,MATCH('STUDENT SCREENING'!Z117,'SCORING MASTER'!$C$17:$C$19,0)),""))</f>
        <v/>
      </c>
      <c r="AB117" s="58" t="str">
        <f aca="false">IF('STUDENT SCREENING'!AA117="","",IFERROR(INDEX('SCORING MASTER'!$D$21:$D$23,MATCH('STUDENT SCREENING'!AA117,'SCORING MASTER'!$C$21:$C$23,0)),""))</f>
        <v/>
      </c>
      <c r="AC117" s="58" t="str">
        <f aca="false">IF('STUDENT SCREENING'!AB117="","",IFERROR(INDEX('SCORING MASTER'!$D$25:$D$27,MATCH('STUDENT SCREENING'!AB117,'SCORING MASTER'!$C$25:$C$27,0)),""))</f>
        <v/>
      </c>
      <c r="AD117" s="58" t="str">
        <f aca="false">IF('STUDENT SCREENING'!AC117="","",IFERROR(INDEX('SCORING MASTER'!$D$29:$D$31,MATCH('STUDENT SCREENING'!AC117,'SCORING MASTER'!$C$29:$C$31,0)),""))</f>
        <v/>
      </c>
      <c r="AE117" s="58" t="str">
        <f aca="false">IF('STUDENT SCREENING'!AD117="","",IFERROR(INDEX('SCORING MASTER'!$D$33:$D$35,MATCH('STUDENT SCREENING'!AD117,'SCORING MASTER'!$C$33:$C$35,0)),""))</f>
        <v/>
      </c>
      <c r="AF117" s="58" t="str">
        <f aca="false">IF('STUDENT SCREENING'!AE117="","",IFERROR(INDEX('SCORING MASTER'!$D$37:$D$39,MATCH('STUDENT SCREENING'!AE117,'SCORING MASTER'!$C$37:$C$39,0)),""))</f>
        <v/>
      </c>
      <c r="AG117" s="58" t="str">
        <f aca="false">IF('STUDENT SCREENING'!AF117="","",IFERROR(INDEX('SCORING MASTER'!$D$41:$D$43,MATCH('STUDENT SCREENING'!AF117,'SCORING MASTER'!$C$41:$C$43,0)),""))</f>
        <v/>
      </c>
      <c r="AH117" s="58" t="str">
        <f aca="false">IF('STUDENT SCREENING'!AG117="","",IFERROR(INDEX('SCORING MASTER'!$D$45:$D$47,MATCH('STUDENT SCREENING'!AG117,'SCORING MASTER'!$C$45:$C$47,0)),""))</f>
        <v/>
      </c>
      <c r="AI117" s="58" t="str">
        <f aca="false">IF('STUDENT SCREENING'!AH117="","",IFERROR(INDEX('SCORING MASTER'!$D$49:$D$52,MATCH('STUDENT SCREENING'!AH117,'SCORING MASTER'!$C$49:$C$52,0)),""))</f>
        <v/>
      </c>
      <c r="AJ117" s="58" t="str">
        <f aca="false">IF('STUDENT SCREENING'!AI117="","",IFERROR(INDEX('SCORING MASTER'!$D$54:$D$57,MATCH('STUDENT SCREENING'!AI117,'SCORING MASTER'!$C$54:$C$57,0)),""))</f>
        <v/>
      </c>
      <c r="AK117" s="58" t="str">
        <f aca="false">IF('STUDENT SCREENING'!AJ117="","",IFERROR(INDEX('SCORING MASTER'!$D$59:$D$60,MATCH('STUDENT SCREENING'!AJ117,'SCORING MASTER'!$C$59:$C$60,0)),""))</f>
        <v/>
      </c>
      <c r="AL117" s="58" t="str">
        <f aca="false">IF('STUDENT SCREENING'!AK117="","",IFERROR(INDEX('SCORING MASTER'!$D$62:$D$63,MATCH('STUDENT SCREENING'!AK117,'SCORING MASTER'!$C$62:$C$63,0)),""))</f>
        <v/>
      </c>
      <c r="AM117" s="58" t="str">
        <f aca="false">IF('STUDENT SCREENING'!AL117="","",IFERROR(INDEX('SCORING MASTER'!$D$65:$D$66,MATCH('STUDENT SCREENING'!AL117,'SCORING MASTER'!$C$65:$C$66,0)),""))</f>
        <v/>
      </c>
      <c r="AN117" s="58" t="str">
        <f aca="false">IF('STUDENT SCREENING'!AM117="","",IFERROR(INDEX('SCORING MASTER'!$D$68:$D$69,MATCH('STUDENT SCREENING'!AM117,'SCORING MASTER'!$C$68:$C$69,0)),""))</f>
        <v/>
      </c>
      <c r="AO117" s="58" t="str">
        <f aca="false">IF('STUDENT SCREENING'!AN117="","",IFERROR(INDEX('SCORING MASTER'!$D$71:$D$72,MATCH('STUDENT SCREENING'!AN117,'SCORING MASTER'!$C$71:$C$72,0)),""))</f>
        <v/>
      </c>
      <c r="AP117" s="58" t="str">
        <f aca="false">IF('STUDENT SCREENING'!AO117="","",IFERROR(INDEX('SCORING MASTER'!$D$74:$D$75,MATCH('STUDENT SCREENING'!AO117,'SCORING MASTER'!$C$74:$C$75,0)),""))</f>
        <v/>
      </c>
      <c r="AQ117" s="58" t="str">
        <f aca="false">IF('STUDENT SCREENING'!AP117="","",IFERROR(INDEX('SCORING MASTER'!$D$77:$D$78,MATCH('STUDENT SCREENING'!AP117,'SCORING MASTER'!$C$77:$C$78,0)),""))</f>
        <v/>
      </c>
      <c r="AR117" s="58" t="str">
        <f aca="false">IF('STUDENT SCREENING'!AQ117="","",IFERROR(INDEX('SCORING MASTER'!$D$80:$D$82,MATCH('STUDENT SCREENING'!AQ117,'SCORING MASTER'!$C$80:$C$82,0)),""))</f>
        <v/>
      </c>
      <c r="AS117" s="58" t="str">
        <f aca="false">IF('STUDENT SCREENING'!AR117="","",IFERROR(INDEX('SCORING MASTER'!$D$84:$D$86,MATCH('STUDENT SCREENING'!AR117,'SCORING MASTER'!$C$84:$C$86,0)),""))</f>
        <v/>
      </c>
      <c r="AT117" s="58" t="str">
        <f aca="false">IF('STUDENT SCREENING'!AS117="","",IFERROR(INDEX('SCORING MASTER'!$D$88:$D$90,MATCH('STUDENT SCREENING'!AS117,'SCORING MASTER'!$C$88:$C$90,0)),""))</f>
        <v/>
      </c>
      <c r="AU117" s="58" t="str">
        <f aca="false">IF('STUDENT SCREENING'!AT117="","",IFERROR(INDEX('SCORING MASTER'!$D$92:$D$93,MATCH('STUDENT SCREENING'!AT117,'SCORING MASTER'!$C$92:$C$93,0)),""))</f>
        <v/>
      </c>
      <c r="AV117" s="58" t="str">
        <f aca="false">IF('STUDENT SCREENING'!AU117="","",IFERROR(INDEX('SCORING MASTER'!$D$95:$D$96,MATCH('STUDENT SCREENING'!AU117,'SCORING MASTER'!$C$95:$C$96,0)),""))</f>
        <v/>
      </c>
      <c r="AW117" s="58" t="str">
        <f aca="false">IF('STUDENT SCREENING'!AV117="","",IFERROR(INDEX('SCORING MASTER'!$D$98:$D$99,MATCH('STUDENT SCREENING'!AV117,'SCORING MASTER'!$C$98:$C$99,0)),""))</f>
        <v/>
      </c>
      <c r="AX117" s="58" t="str">
        <f aca="false">IF('STUDENT SCREENING'!AW117="","",IFERROR(INDEX('SCORING MASTER'!$D$101:$D$102,MATCH('STUDENT SCREENING'!AW117,'SCORING MASTER'!$C$101:$C$102,0)),""))</f>
        <v/>
      </c>
      <c r="AY117" s="58" t="str">
        <f aca="false">IF('STUDENT SCREENING'!AX117="","",IFERROR(INDEX('SCORING MASTER'!$D$104:$D$105,MATCH('STUDENT SCREENING'!AX117,'SCORING MASTER'!$C$104:$C$105,0)),""))</f>
        <v/>
      </c>
      <c r="AZ117" s="58" t="str">
        <f aca="false">IF('STUDENT SCREENING'!AY117="","",IFERROR(INDEX('SCORING MASTER'!$D$107:$D$108,MATCH('STUDENT SCREENING'!AY117,'SCORING MASTER'!$C$107:$C$108,0)),""))</f>
        <v/>
      </c>
      <c r="BA117" s="58" t="str">
        <f aca="false">IF('STUDENT SCREENING'!AZ117="","",IFERROR(INDEX('SCORING MASTER'!$D$110:$D$111,MATCH('STUDENT SCREENING'!AZ117,'SCORING MASTER'!$C$110:$C$111,0)),""))</f>
        <v/>
      </c>
      <c r="BB117" s="58" t="str">
        <f aca="false">IF('STUDENT SCREENING'!BA117="","",IFERROR(INDEX('SCORING MASTER'!$D$113:$D$115,MATCH('STUDENT SCREENING'!BA117,'SCORING MASTER'!$C$113:$C$115,0)),""))</f>
        <v/>
      </c>
      <c r="BC117" s="58" t="str">
        <f aca="false">IF('STUDENT SCREENING'!BB117="","",IFERROR(INDEX('SCORING MASTER'!$D$117:$D$119,MATCH('STUDENT SCREENING'!BB117,'SCORING MASTER'!$C$117:$C$119,0)),""))</f>
        <v/>
      </c>
      <c r="BD117" s="58" t="str">
        <f aca="false">IF('STUDENT SCREENING'!BC117="","",IFERROR(INDEX('SCORING MASTER'!$D$121:$D$123,MATCH('STUDENT SCREENING'!BC117,'SCORING MASTER'!$C$121:$C$123,0)),""))</f>
        <v/>
      </c>
      <c r="BE117" s="58" t="str">
        <f aca="false">IF('STUDENT SCREENING'!BD117="","",IFERROR(INDEX('SCORING MASTER'!$D$125:$D$126,MATCH('STUDENT SCREENING'!BD117,'SCORING MASTER'!$C$125:$C$126,0)),""))</f>
        <v/>
      </c>
      <c r="BF117" s="58" t="str">
        <f aca="false">IF('STUDENT SCREENING'!BE117="","",IFERROR(INDEX('SCORING MASTER'!$D$128:$D$129,MATCH('STUDENT SCREENING'!BE117,'SCORING MASTER'!$C$128:$C$129,0)),""))</f>
        <v/>
      </c>
      <c r="BG117" s="58" t="str">
        <f aca="false">IF('STUDENT SCREENING'!BP117="","",IFERROR(MATCH('STUDENT SCREENING'!BP117,{"Red - High Risk","Orange - Moderate Risk","Yellow - Mild Risk","Light Green - Mild Watch","Green - Healthy"},0)-1,""))</f>
        <v/>
      </c>
      <c r="BH117" s="58" t="str">
        <f aca="false">IF('STUDENT SCREENING'!BQ117="","",IF('STUDENT SCREENING'!BQ117="Yes",1,0))</f>
        <v/>
      </c>
      <c r="BI117" s="58" t="str">
        <f aca="false">IF('STUDENT SCREENING'!BR117="","",IF('STUDENT SCREENING'!BR117="Yes",1,0))</f>
        <v/>
      </c>
    </row>
    <row r="118" customFormat="false" ht="15" hidden="false" customHeight="false" outlineLevel="0" collapsed="false">
      <c r="A118" s="57" t="str">
        <f aca="false">'STUDENT SCREENING'!A118</f>
        <v/>
      </c>
      <c r="B118" s="57" t="n">
        <f aca="false">'STUDENT SCREENING'!C118</f>
        <v>0</v>
      </c>
      <c r="C118" s="57" t="n">
        <f aca="false">'STUDENT SCREENING'!D118</f>
        <v>0</v>
      </c>
      <c r="D118" s="57" t="n">
        <f aca="false">'STUDENT SCREENING'!E118</f>
        <v>0</v>
      </c>
      <c r="E118" s="57" t="n">
        <f aca="false">'STUDENT SCREENING'!F118</f>
        <v>0</v>
      </c>
      <c r="F118" s="57" t="n">
        <f aca="false">'STUDENT SCREENING'!K118</f>
        <v>0</v>
      </c>
      <c r="G118" s="57" t="n">
        <f aca="false">'STUDENT SCREENING'!J118</f>
        <v>0</v>
      </c>
      <c r="H118" s="57" t="str">
        <f aca="false">IF('STUDENT SCREENING'!K118="","",IFERROR(MATCH('STUDENT SCREENING'!K118,Adm_Gender,0),""))</f>
        <v/>
      </c>
      <c r="I118" s="57" t="n">
        <f aca="false">'STUDENT SCREENING'!Q118</f>
        <v>0</v>
      </c>
      <c r="J118" s="57" t="n">
        <f aca="false">'STUDENT SCREENING'!R118</f>
        <v>0</v>
      </c>
      <c r="K118" s="57" t="str">
        <f aca="false">'STUDENT SCREENING'!S118</f>
        <v/>
      </c>
      <c r="L118" s="57" t="n">
        <f aca="false">'STUDENT SCREENING'!U118</f>
        <v>0</v>
      </c>
      <c r="M118" s="57" t="n">
        <f aca="false">'STUDENT SCREENING'!V118</f>
        <v>0</v>
      </c>
      <c r="N118" s="57" t="str">
        <f aca="false">'STUDENT SCREENING'!BF118</f>
        <v/>
      </c>
      <c r="O118" s="57" t="str">
        <f aca="false">'STUDENT SCREENING'!BG118</f>
        <v/>
      </c>
      <c r="P118" s="57" t="str">
        <f aca="false">'STUDENT SCREENING'!BH118</f>
        <v/>
      </c>
      <c r="Q118" s="57" t="str">
        <f aca="false">'STUDENT SCREENING'!BI118</f>
        <v/>
      </c>
      <c r="R118" s="57" t="str">
        <f aca="false">'STUDENT SCREENING'!BJ118</f>
        <v/>
      </c>
      <c r="S118" s="57" t="str">
        <f aca="false">'STUDENT SCREENING'!BK118</f>
        <v/>
      </c>
      <c r="T118" s="57" t="str">
        <f aca="false">'STUDENT SCREENING'!BL118</f>
        <v/>
      </c>
      <c r="U118" s="57" t="str">
        <f aca="false">'STUDENT SCREENING'!BM118</f>
        <v/>
      </c>
      <c r="V118" s="57" t="str">
        <f aca="false">'STUDENT SCREENING'!BN118</f>
        <v/>
      </c>
      <c r="W118" s="57" t="str">
        <f aca="false">'STUDENT SCREENING'!BO118</f>
        <v/>
      </c>
      <c r="X118" s="57" t="str">
        <f aca="false">IF('STUDENT SCREENING'!W118="","",IFERROR(INDEX('SCORING MASTER'!$D$5:$D$7,MATCH('STUDENT SCREENING'!W118,'SCORING MASTER'!$C$5:$C$7,0)),""))</f>
        <v/>
      </c>
      <c r="Y118" s="57" t="str">
        <f aca="false">IF('STUDENT SCREENING'!X118="","",IFERROR(INDEX('SCORING MASTER'!$D$9:$D$11,MATCH('STUDENT SCREENING'!X118,'SCORING MASTER'!$C$9:$C$11,0)),""))</f>
        <v/>
      </c>
      <c r="Z118" s="57" t="str">
        <f aca="false">IF('STUDENT SCREENING'!Y118="","",IFERROR(INDEX('SCORING MASTER'!$D$13:$D$15,MATCH('STUDENT SCREENING'!Y118,'SCORING MASTER'!$C$13:$C$15,0)),""))</f>
        <v/>
      </c>
      <c r="AA118" s="57" t="str">
        <f aca="false">IF('STUDENT SCREENING'!Z118="","",IFERROR(INDEX('SCORING MASTER'!$D$17:$D$19,MATCH('STUDENT SCREENING'!Z118,'SCORING MASTER'!$C$17:$C$19,0)),""))</f>
        <v/>
      </c>
      <c r="AB118" s="57" t="str">
        <f aca="false">IF('STUDENT SCREENING'!AA118="","",IFERROR(INDEX('SCORING MASTER'!$D$21:$D$23,MATCH('STUDENT SCREENING'!AA118,'SCORING MASTER'!$C$21:$C$23,0)),""))</f>
        <v/>
      </c>
      <c r="AC118" s="57" t="str">
        <f aca="false">IF('STUDENT SCREENING'!AB118="","",IFERROR(INDEX('SCORING MASTER'!$D$25:$D$27,MATCH('STUDENT SCREENING'!AB118,'SCORING MASTER'!$C$25:$C$27,0)),""))</f>
        <v/>
      </c>
      <c r="AD118" s="57" t="str">
        <f aca="false">IF('STUDENT SCREENING'!AC118="","",IFERROR(INDEX('SCORING MASTER'!$D$29:$D$31,MATCH('STUDENT SCREENING'!AC118,'SCORING MASTER'!$C$29:$C$31,0)),""))</f>
        <v/>
      </c>
      <c r="AE118" s="57" t="str">
        <f aca="false">IF('STUDENT SCREENING'!AD118="","",IFERROR(INDEX('SCORING MASTER'!$D$33:$D$35,MATCH('STUDENT SCREENING'!AD118,'SCORING MASTER'!$C$33:$C$35,0)),""))</f>
        <v/>
      </c>
      <c r="AF118" s="57" t="str">
        <f aca="false">IF('STUDENT SCREENING'!AE118="","",IFERROR(INDEX('SCORING MASTER'!$D$37:$D$39,MATCH('STUDENT SCREENING'!AE118,'SCORING MASTER'!$C$37:$C$39,0)),""))</f>
        <v/>
      </c>
      <c r="AG118" s="57" t="str">
        <f aca="false">IF('STUDENT SCREENING'!AF118="","",IFERROR(INDEX('SCORING MASTER'!$D$41:$D$43,MATCH('STUDENT SCREENING'!AF118,'SCORING MASTER'!$C$41:$C$43,0)),""))</f>
        <v/>
      </c>
      <c r="AH118" s="57" t="str">
        <f aca="false">IF('STUDENT SCREENING'!AG118="","",IFERROR(INDEX('SCORING MASTER'!$D$45:$D$47,MATCH('STUDENT SCREENING'!AG118,'SCORING MASTER'!$C$45:$C$47,0)),""))</f>
        <v/>
      </c>
      <c r="AI118" s="57" t="str">
        <f aca="false">IF('STUDENT SCREENING'!AH118="","",IFERROR(INDEX('SCORING MASTER'!$D$49:$D$52,MATCH('STUDENT SCREENING'!AH118,'SCORING MASTER'!$C$49:$C$52,0)),""))</f>
        <v/>
      </c>
      <c r="AJ118" s="57" t="str">
        <f aca="false">IF('STUDENT SCREENING'!AI118="","",IFERROR(INDEX('SCORING MASTER'!$D$54:$D$57,MATCH('STUDENT SCREENING'!AI118,'SCORING MASTER'!$C$54:$C$57,0)),""))</f>
        <v/>
      </c>
      <c r="AK118" s="57" t="str">
        <f aca="false">IF('STUDENT SCREENING'!AJ118="","",IFERROR(INDEX('SCORING MASTER'!$D$59:$D$60,MATCH('STUDENT SCREENING'!AJ118,'SCORING MASTER'!$C$59:$C$60,0)),""))</f>
        <v/>
      </c>
      <c r="AL118" s="57" t="str">
        <f aca="false">IF('STUDENT SCREENING'!AK118="","",IFERROR(INDEX('SCORING MASTER'!$D$62:$D$63,MATCH('STUDENT SCREENING'!AK118,'SCORING MASTER'!$C$62:$C$63,0)),""))</f>
        <v/>
      </c>
      <c r="AM118" s="57" t="str">
        <f aca="false">IF('STUDENT SCREENING'!AL118="","",IFERROR(INDEX('SCORING MASTER'!$D$65:$D$66,MATCH('STUDENT SCREENING'!AL118,'SCORING MASTER'!$C$65:$C$66,0)),""))</f>
        <v/>
      </c>
      <c r="AN118" s="57" t="str">
        <f aca="false">IF('STUDENT SCREENING'!AM118="","",IFERROR(INDEX('SCORING MASTER'!$D$68:$D$69,MATCH('STUDENT SCREENING'!AM118,'SCORING MASTER'!$C$68:$C$69,0)),""))</f>
        <v/>
      </c>
      <c r="AO118" s="57" t="str">
        <f aca="false">IF('STUDENT SCREENING'!AN118="","",IFERROR(INDEX('SCORING MASTER'!$D$71:$D$72,MATCH('STUDENT SCREENING'!AN118,'SCORING MASTER'!$C$71:$C$72,0)),""))</f>
        <v/>
      </c>
      <c r="AP118" s="57" t="str">
        <f aca="false">IF('STUDENT SCREENING'!AO118="","",IFERROR(INDEX('SCORING MASTER'!$D$74:$D$75,MATCH('STUDENT SCREENING'!AO118,'SCORING MASTER'!$C$74:$C$75,0)),""))</f>
        <v/>
      </c>
      <c r="AQ118" s="57" t="str">
        <f aca="false">IF('STUDENT SCREENING'!AP118="","",IFERROR(INDEX('SCORING MASTER'!$D$77:$D$78,MATCH('STUDENT SCREENING'!AP118,'SCORING MASTER'!$C$77:$C$78,0)),""))</f>
        <v/>
      </c>
      <c r="AR118" s="57" t="str">
        <f aca="false">IF('STUDENT SCREENING'!AQ118="","",IFERROR(INDEX('SCORING MASTER'!$D$80:$D$82,MATCH('STUDENT SCREENING'!AQ118,'SCORING MASTER'!$C$80:$C$82,0)),""))</f>
        <v/>
      </c>
      <c r="AS118" s="57" t="str">
        <f aca="false">IF('STUDENT SCREENING'!AR118="","",IFERROR(INDEX('SCORING MASTER'!$D$84:$D$86,MATCH('STUDENT SCREENING'!AR118,'SCORING MASTER'!$C$84:$C$86,0)),""))</f>
        <v/>
      </c>
      <c r="AT118" s="57" t="str">
        <f aca="false">IF('STUDENT SCREENING'!AS118="","",IFERROR(INDEX('SCORING MASTER'!$D$88:$D$90,MATCH('STUDENT SCREENING'!AS118,'SCORING MASTER'!$C$88:$C$90,0)),""))</f>
        <v/>
      </c>
      <c r="AU118" s="57" t="str">
        <f aca="false">IF('STUDENT SCREENING'!AT118="","",IFERROR(INDEX('SCORING MASTER'!$D$92:$D$93,MATCH('STUDENT SCREENING'!AT118,'SCORING MASTER'!$C$92:$C$93,0)),""))</f>
        <v/>
      </c>
      <c r="AV118" s="57" t="str">
        <f aca="false">IF('STUDENT SCREENING'!AU118="","",IFERROR(INDEX('SCORING MASTER'!$D$95:$D$96,MATCH('STUDENT SCREENING'!AU118,'SCORING MASTER'!$C$95:$C$96,0)),""))</f>
        <v/>
      </c>
      <c r="AW118" s="57" t="str">
        <f aca="false">IF('STUDENT SCREENING'!AV118="","",IFERROR(INDEX('SCORING MASTER'!$D$98:$D$99,MATCH('STUDENT SCREENING'!AV118,'SCORING MASTER'!$C$98:$C$99,0)),""))</f>
        <v/>
      </c>
      <c r="AX118" s="57" t="str">
        <f aca="false">IF('STUDENT SCREENING'!AW118="","",IFERROR(INDEX('SCORING MASTER'!$D$101:$D$102,MATCH('STUDENT SCREENING'!AW118,'SCORING MASTER'!$C$101:$C$102,0)),""))</f>
        <v/>
      </c>
      <c r="AY118" s="57" t="str">
        <f aca="false">IF('STUDENT SCREENING'!AX118="","",IFERROR(INDEX('SCORING MASTER'!$D$104:$D$105,MATCH('STUDENT SCREENING'!AX118,'SCORING MASTER'!$C$104:$C$105,0)),""))</f>
        <v/>
      </c>
      <c r="AZ118" s="57" t="str">
        <f aca="false">IF('STUDENT SCREENING'!AY118="","",IFERROR(INDEX('SCORING MASTER'!$D$107:$D$108,MATCH('STUDENT SCREENING'!AY118,'SCORING MASTER'!$C$107:$C$108,0)),""))</f>
        <v/>
      </c>
      <c r="BA118" s="57" t="str">
        <f aca="false">IF('STUDENT SCREENING'!AZ118="","",IFERROR(INDEX('SCORING MASTER'!$D$110:$D$111,MATCH('STUDENT SCREENING'!AZ118,'SCORING MASTER'!$C$110:$C$111,0)),""))</f>
        <v/>
      </c>
      <c r="BB118" s="57" t="str">
        <f aca="false">IF('STUDENT SCREENING'!BA118="","",IFERROR(INDEX('SCORING MASTER'!$D$113:$D$115,MATCH('STUDENT SCREENING'!BA118,'SCORING MASTER'!$C$113:$C$115,0)),""))</f>
        <v/>
      </c>
      <c r="BC118" s="57" t="str">
        <f aca="false">IF('STUDENT SCREENING'!BB118="","",IFERROR(INDEX('SCORING MASTER'!$D$117:$D$119,MATCH('STUDENT SCREENING'!BB118,'SCORING MASTER'!$C$117:$C$119,0)),""))</f>
        <v/>
      </c>
      <c r="BD118" s="57" t="str">
        <f aca="false">IF('STUDENT SCREENING'!BC118="","",IFERROR(INDEX('SCORING MASTER'!$D$121:$D$123,MATCH('STUDENT SCREENING'!BC118,'SCORING MASTER'!$C$121:$C$123,0)),""))</f>
        <v/>
      </c>
      <c r="BE118" s="57" t="str">
        <f aca="false">IF('STUDENT SCREENING'!BD118="","",IFERROR(INDEX('SCORING MASTER'!$D$125:$D$126,MATCH('STUDENT SCREENING'!BD118,'SCORING MASTER'!$C$125:$C$126,0)),""))</f>
        <v/>
      </c>
      <c r="BF118" s="57" t="str">
        <f aca="false">IF('STUDENT SCREENING'!BE118="","",IFERROR(INDEX('SCORING MASTER'!$D$128:$D$129,MATCH('STUDENT SCREENING'!BE118,'SCORING MASTER'!$C$128:$C$129,0)),""))</f>
        <v/>
      </c>
      <c r="BG118" s="57" t="str">
        <f aca="false">IF('STUDENT SCREENING'!BP118="","",IFERROR(MATCH('STUDENT SCREENING'!BP118,{"Red - High Risk","Orange - Moderate Risk","Yellow - Mild Risk","Light Green - Mild Watch","Green - Healthy"},0)-1,""))</f>
        <v/>
      </c>
      <c r="BH118" s="57" t="str">
        <f aca="false">IF('STUDENT SCREENING'!BQ118="","",IF('STUDENT SCREENING'!BQ118="Yes",1,0))</f>
        <v/>
      </c>
      <c r="BI118" s="57" t="str">
        <f aca="false">IF('STUDENT SCREENING'!BR118="","",IF('STUDENT SCREENING'!BR118="Yes",1,0))</f>
        <v/>
      </c>
    </row>
    <row r="119" customFormat="false" ht="15" hidden="false" customHeight="false" outlineLevel="0" collapsed="false">
      <c r="A119" s="58" t="str">
        <f aca="false">'STUDENT SCREENING'!A119</f>
        <v/>
      </c>
      <c r="B119" s="58" t="n">
        <f aca="false">'STUDENT SCREENING'!C119</f>
        <v>0</v>
      </c>
      <c r="C119" s="58" t="n">
        <f aca="false">'STUDENT SCREENING'!D119</f>
        <v>0</v>
      </c>
      <c r="D119" s="58" t="n">
        <f aca="false">'STUDENT SCREENING'!E119</f>
        <v>0</v>
      </c>
      <c r="E119" s="58" t="n">
        <f aca="false">'STUDENT SCREENING'!F119</f>
        <v>0</v>
      </c>
      <c r="F119" s="58" t="n">
        <f aca="false">'STUDENT SCREENING'!K119</f>
        <v>0</v>
      </c>
      <c r="G119" s="58" t="n">
        <f aca="false">'STUDENT SCREENING'!J119</f>
        <v>0</v>
      </c>
      <c r="H119" s="58" t="str">
        <f aca="false">IF('STUDENT SCREENING'!K119="","",IFERROR(MATCH('STUDENT SCREENING'!K119,Adm_Gender,0),""))</f>
        <v/>
      </c>
      <c r="I119" s="58" t="n">
        <f aca="false">'STUDENT SCREENING'!Q119</f>
        <v>0</v>
      </c>
      <c r="J119" s="58" t="n">
        <f aca="false">'STUDENT SCREENING'!R119</f>
        <v>0</v>
      </c>
      <c r="K119" s="58" t="str">
        <f aca="false">'STUDENT SCREENING'!S119</f>
        <v/>
      </c>
      <c r="L119" s="58" t="n">
        <f aca="false">'STUDENT SCREENING'!U119</f>
        <v>0</v>
      </c>
      <c r="M119" s="58" t="n">
        <f aca="false">'STUDENT SCREENING'!V119</f>
        <v>0</v>
      </c>
      <c r="N119" s="58" t="str">
        <f aca="false">'STUDENT SCREENING'!BF119</f>
        <v/>
      </c>
      <c r="O119" s="58" t="str">
        <f aca="false">'STUDENT SCREENING'!BG119</f>
        <v/>
      </c>
      <c r="P119" s="58" t="str">
        <f aca="false">'STUDENT SCREENING'!BH119</f>
        <v/>
      </c>
      <c r="Q119" s="58" t="str">
        <f aca="false">'STUDENT SCREENING'!BI119</f>
        <v/>
      </c>
      <c r="R119" s="58" t="str">
        <f aca="false">'STUDENT SCREENING'!BJ119</f>
        <v/>
      </c>
      <c r="S119" s="58" t="str">
        <f aca="false">'STUDENT SCREENING'!BK119</f>
        <v/>
      </c>
      <c r="T119" s="58" t="str">
        <f aca="false">'STUDENT SCREENING'!BL119</f>
        <v/>
      </c>
      <c r="U119" s="58" t="str">
        <f aca="false">'STUDENT SCREENING'!BM119</f>
        <v/>
      </c>
      <c r="V119" s="58" t="str">
        <f aca="false">'STUDENT SCREENING'!BN119</f>
        <v/>
      </c>
      <c r="W119" s="58" t="str">
        <f aca="false">'STUDENT SCREENING'!BO119</f>
        <v/>
      </c>
      <c r="X119" s="58" t="str">
        <f aca="false">IF('STUDENT SCREENING'!W119="","",IFERROR(INDEX('SCORING MASTER'!$D$5:$D$7,MATCH('STUDENT SCREENING'!W119,'SCORING MASTER'!$C$5:$C$7,0)),""))</f>
        <v/>
      </c>
      <c r="Y119" s="58" t="str">
        <f aca="false">IF('STUDENT SCREENING'!X119="","",IFERROR(INDEX('SCORING MASTER'!$D$9:$D$11,MATCH('STUDENT SCREENING'!X119,'SCORING MASTER'!$C$9:$C$11,0)),""))</f>
        <v/>
      </c>
      <c r="Z119" s="58" t="str">
        <f aca="false">IF('STUDENT SCREENING'!Y119="","",IFERROR(INDEX('SCORING MASTER'!$D$13:$D$15,MATCH('STUDENT SCREENING'!Y119,'SCORING MASTER'!$C$13:$C$15,0)),""))</f>
        <v/>
      </c>
      <c r="AA119" s="58" t="str">
        <f aca="false">IF('STUDENT SCREENING'!Z119="","",IFERROR(INDEX('SCORING MASTER'!$D$17:$D$19,MATCH('STUDENT SCREENING'!Z119,'SCORING MASTER'!$C$17:$C$19,0)),""))</f>
        <v/>
      </c>
      <c r="AB119" s="58" t="str">
        <f aca="false">IF('STUDENT SCREENING'!AA119="","",IFERROR(INDEX('SCORING MASTER'!$D$21:$D$23,MATCH('STUDENT SCREENING'!AA119,'SCORING MASTER'!$C$21:$C$23,0)),""))</f>
        <v/>
      </c>
      <c r="AC119" s="58" t="str">
        <f aca="false">IF('STUDENT SCREENING'!AB119="","",IFERROR(INDEX('SCORING MASTER'!$D$25:$D$27,MATCH('STUDENT SCREENING'!AB119,'SCORING MASTER'!$C$25:$C$27,0)),""))</f>
        <v/>
      </c>
      <c r="AD119" s="58" t="str">
        <f aca="false">IF('STUDENT SCREENING'!AC119="","",IFERROR(INDEX('SCORING MASTER'!$D$29:$D$31,MATCH('STUDENT SCREENING'!AC119,'SCORING MASTER'!$C$29:$C$31,0)),""))</f>
        <v/>
      </c>
      <c r="AE119" s="58" t="str">
        <f aca="false">IF('STUDENT SCREENING'!AD119="","",IFERROR(INDEX('SCORING MASTER'!$D$33:$D$35,MATCH('STUDENT SCREENING'!AD119,'SCORING MASTER'!$C$33:$C$35,0)),""))</f>
        <v/>
      </c>
      <c r="AF119" s="58" t="str">
        <f aca="false">IF('STUDENT SCREENING'!AE119="","",IFERROR(INDEX('SCORING MASTER'!$D$37:$D$39,MATCH('STUDENT SCREENING'!AE119,'SCORING MASTER'!$C$37:$C$39,0)),""))</f>
        <v/>
      </c>
      <c r="AG119" s="58" t="str">
        <f aca="false">IF('STUDENT SCREENING'!AF119="","",IFERROR(INDEX('SCORING MASTER'!$D$41:$D$43,MATCH('STUDENT SCREENING'!AF119,'SCORING MASTER'!$C$41:$C$43,0)),""))</f>
        <v/>
      </c>
      <c r="AH119" s="58" t="str">
        <f aca="false">IF('STUDENT SCREENING'!AG119="","",IFERROR(INDEX('SCORING MASTER'!$D$45:$D$47,MATCH('STUDENT SCREENING'!AG119,'SCORING MASTER'!$C$45:$C$47,0)),""))</f>
        <v/>
      </c>
      <c r="AI119" s="58" t="str">
        <f aca="false">IF('STUDENT SCREENING'!AH119="","",IFERROR(INDEX('SCORING MASTER'!$D$49:$D$52,MATCH('STUDENT SCREENING'!AH119,'SCORING MASTER'!$C$49:$C$52,0)),""))</f>
        <v/>
      </c>
      <c r="AJ119" s="58" t="str">
        <f aca="false">IF('STUDENT SCREENING'!AI119="","",IFERROR(INDEX('SCORING MASTER'!$D$54:$D$57,MATCH('STUDENT SCREENING'!AI119,'SCORING MASTER'!$C$54:$C$57,0)),""))</f>
        <v/>
      </c>
      <c r="AK119" s="58" t="str">
        <f aca="false">IF('STUDENT SCREENING'!AJ119="","",IFERROR(INDEX('SCORING MASTER'!$D$59:$D$60,MATCH('STUDENT SCREENING'!AJ119,'SCORING MASTER'!$C$59:$C$60,0)),""))</f>
        <v/>
      </c>
      <c r="AL119" s="58" t="str">
        <f aca="false">IF('STUDENT SCREENING'!AK119="","",IFERROR(INDEX('SCORING MASTER'!$D$62:$D$63,MATCH('STUDENT SCREENING'!AK119,'SCORING MASTER'!$C$62:$C$63,0)),""))</f>
        <v/>
      </c>
      <c r="AM119" s="58" t="str">
        <f aca="false">IF('STUDENT SCREENING'!AL119="","",IFERROR(INDEX('SCORING MASTER'!$D$65:$D$66,MATCH('STUDENT SCREENING'!AL119,'SCORING MASTER'!$C$65:$C$66,0)),""))</f>
        <v/>
      </c>
      <c r="AN119" s="58" t="str">
        <f aca="false">IF('STUDENT SCREENING'!AM119="","",IFERROR(INDEX('SCORING MASTER'!$D$68:$D$69,MATCH('STUDENT SCREENING'!AM119,'SCORING MASTER'!$C$68:$C$69,0)),""))</f>
        <v/>
      </c>
      <c r="AO119" s="58" t="str">
        <f aca="false">IF('STUDENT SCREENING'!AN119="","",IFERROR(INDEX('SCORING MASTER'!$D$71:$D$72,MATCH('STUDENT SCREENING'!AN119,'SCORING MASTER'!$C$71:$C$72,0)),""))</f>
        <v/>
      </c>
      <c r="AP119" s="58" t="str">
        <f aca="false">IF('STUDENT SCREENING'!AO119="","",IFERROR(INDEX('SCORING MASTER'!$D$74:$D$75,MATCH('STUDENT SCREENING'!AO119,'SCORING MASTER'!$C$74:$C$75,0)),""))</f>
        <v/>
      </c>
      <c r="AQ119" s="58" t="str">
        <f aca="false">IF('STUDENT SCREENING'!AP119="","",IFERROR(INDEX('SCORING MASTER'!$D$77:$D$78,MATCH('STUDENT SCREENING'!AP119,'SCORING MASTER'!$C$77:$C$78,0)),""))</f>
        <v/>
      </c>
      <c r="AR119" s="58" t="str">
        <f aca="false">IF('STUDENT SCREENING'!AQ119="","",IFERROR(INDEX('SCORING MASTER'!$D$80:$D$82,MATCH('STUDENT SCREENING'!AQ119,'SCORING MASTER'!$C$80:$C$82,0)),""))</f>
        <v/>
      </c>
      <c r="AS119" s="58" t="str">
        <f aca="false">IF('STUDENT SCREENING'!AR119="","",IFERROR(INDEX('SCORING MASTER'!$D$84:$D$86,MATCH('STUDENT SCREENING'!AR119,'SCORING MASTER'!$C$84:$C$86,0)),""))</f>
        <v/>
      </c>
      <c r="AT119" s="58" t="str">
        <f aca="false">IF('STUDENT SCREENING'!AS119="","",IFERROR(INDEX('SCORING MASTER'!$D$88:$D$90,MATCH('STUDENT SCREENING'!AS119,'SCORING MASTER'!$C$88:$C$90,0)),""))</f>
        <v/>
      </c>
      <c r="AU119" s="58" t="str">
        <f aca="false">IF('STUDENT SCREENING'!AT119="","",IFERROR(INDEX('SCORING MASTER'!$D$92:$D$93,MATCH('STUDENT SCREENING'!AT119,'SCORING MASTER'!$C$92:$C$93,0)),""))</f>
        <v/>
      </c>
      <c r="AV119" s="58" t="str">
        <f aca="false">IF('STUDENT SCREENING'!AU119="","",IFERROR(INDEX('SCORING MASTER'!$D$95:$D$96,MATCH('STUDENT SCREENING'!AU119,'SCORING MASTER'!$C$95:$C$96,0)),""))</f>
        <v/>
      </c>
      <c r="AW119" s="58" t="str">
        <f aca="false">IF('STUDENT SCREENING'!AV119="","",IFERROR(INDEX('SCORING MASTER'!$D$98:$D$99,MATCH('STUDENT SCREENING'!AV119,'SCORING MASTER'!$C$98:$C$99,0)),""))</f>
        <v/>
      </c>
      <c r="AX119" s="58" t="str">
        <f aca="false">IF('STUDENT SCREENING'!AW119="","",IFERROR(INDEX('SCORING MASTER'!$D$101:$D$102,MATCH('STUDENT SCREENING'!AW119,'SCORING MASTER'!$C$101:$C$102,0)),""))</f>
        <v/>
      </c>
      <c r="AY119" s="58" t="str">
        <f aca="false">IF('STUDENT SCREENING'!AX119="","",IFERROR(INDEX('SCORING MASTER'!$D$104:$D$105,MATCH('STUDENT SCREENING'!AX119,'SCORING MASTER'!$C$104:$C$105,0)),""))</f>
        <v/>
      </c>
      <c r="AZ119" s="58" t="str">
        <f aca="false">IF('STUDENT SCREENING'!AY119="","",IFERROR(INDEX('SCORING MASTER'!$D$107:$D$108,MATCH('STUDENT SCREENING'!AY119,'SCORING MASTER'!$C$107:$C$108,0)),""))</f>
        <v/>
      </c>
      <c r="BA119" s="58" t="str">
        <f aca="false">IF('STUDENT SCREENING'!AZ119="","",IFERROR(INDEX('SCORING MASTER'!$D$110:$D$111,MATCH('STUDENT SCREENING'!AZ119,'SCORING MASTER'!$C$110:$C$111,0)),""))</f>
        <v/>
      </c>
      <c r="BB119" s="58" t="str">
        <f aca="false">IF('STUDENT SCREENING'!BA119="","",IFERROR(INDEX('SCORING MASTER'!$D$113:$D$115,MATCH('STUDENT SCREENING'!BA119,'SCORING MASTER'!$C$113:$C$115,0)),""))</f>
        <v/>
      </c>
      <c r="BC119" s="58" t="str">
        <f aca="false">IF('STUDENT SCREENING'!BB119="","",IFERROR(INDEX('SCORING MASTER'!$D$117:$D$119,MATCH('STUDENT SCREENING'!BB119,'SCORING MASTER'!$C$117:$C$119,0)),""))</f>
        <v/>
      </c>
      <c r="BD119" s="58" t="str">
        <f aca="false">IF('STUDENT SCREENING'!BC119="","",IFERROR(INDEX('SCORING MASTER'!$D$121:$D$123,MATCH('STUDENT SCREENING'!BC119,'SCORING MASTER'!$C$121:$C$123,0)),""))</f>
        <v/>
      </c>
      <c r="BE119" s="58" t="str">
        <f aca="false">IF('STUDENT SCREENING'!BD119="","",IFERROR(INDEX('SCORING MASTER'!$D$125:$D$126,MATCH('STUDENT SCREENING'!BD119,'SCORING MASTER'!$C$125:$C$126,0)),""))</f>
        <v/>
      </c>
      <c r="BF119" s="58" t="str">
        <f aca="false">IF('STUDENT SCREENING'!BE119="","",IFERROR(INDEX('SCORING MASTER'!$D$128:$D$129,MATCH('STUDENT SCREENING'!BE119,'SCORING MASTER'!$C$128:$C$129,0)),""))</f>
        <v/>
      </c>
      <c r="BG119" s="58" t="str">
        <f aca="false">IF('STUDENT SCREENING'!BP119="","",IFERROR(MATCH('STUDENT SCREENING'!BP119,{"Red - High Risk","Orange - Moderate Risk","Yellow - Mild Risk","Light Green - Mild Watch","Green - Healthy"},0)-1,""))</f>
        <v/>
      </c>
      <c r="BH119" s="58" t="str">
        <f aca="false">IF('STUDENT SCREENING'!BQ119="","",IF('STUDENT SCREENING'!BQ119="Yes",1,0))</f>
        <v/>
      </c>
      <c r="BI119" s="58" t="str">
        <f aca="false">IF('STUDENT SCREENING'!BR119="","",IF('STUDENT SCREENING'!BR119="Yes",1,0))</f>
        <v/>
      </c>
    </row>
    <row r="120" customFormat="false" ht="15" hidden="false" customHeight="false" outlineLevel="0" collapsed="false">
      <c r="A120" s="57" t="str">
        <f aca="false">'STUDENT SCREENING'!A120</f>
        <v/>
      </c>
      <c r="B120" s="57" t="n">
        <f aca="false">'STUDENT SCREENING'!C120</f>
        <v>0</v>
      </c>
      <c r="C120" s="57" t="n">
        <f aca="false">'STUDENT SCREENING'!D120</f>
        <v>0</v>
      </c>
      <c r="D120" s="57" t="n">
        <f aca="false">'STUDENT SCREENING'!E120</f>
        <v>0</v>
      </c>
      <c r="E120" s="57" t="n">
        <f aca="false">'STUDENT SCREENING'!F120</f>
        <v>0</v>
      </c>
      <c r="F120" s="57" t="n">
        <f aca="false">'STUDENT SCREENING'!K120</f>
        <v>0</v>
      </c>
      <c r="G120" s="57" t="n">
        <f aca="false">'STUDENT SCREENING'!J120</f>
        <v>0</v>
      </c>
      <c r="H120" s="57" t="str">
        <f aca="false">IF('STUDENT SCREENING'!K120="","",IFERROR(MATCH('STUDENT SCREENING'!K120,Adm_Gender,0),""))</f>
        <v/>
      </c>
      <c r="I120" s="57" t="n">
        <f aca="false">'STUDENT SCREENING'!Q120</f>
        <v>0</v>
      </c>
      <c r="J120" s="57" t="n">
        <f aca="false">'STUDENT SCREENING'!R120</f>
        <v>0</v>
      </c>
      <c r="K120" s="57" t="str">
        <f aca="false">'STUDENT SCREENING'!S120</f>
        <v/>
      </c>
      <c r="L120" s="57" t="n">
        <f aca="false">'STUDENT SCREENING'!U120</f>
        <v>0</v>
      </c>
      <c r="M120" s="57" t="n">
        <f aca="false">'STUDENT SCREENING'!V120</f>
        <v>0</v>
      </c>
      <c r="N120" s="57" t="str">
        <f aca="false">'STUDENT SCREENING'!BF120</f>
        <v/>
      </c>
      <c r="O120" s="57" t="str">
        <f aca="false">'STUDENT SCREENING'!BG120</f>
        <v/>
      </c>
      <c r="P120" s="57" t="str">
        <f aca="false">'STUDENT SCREENING'!BH120</f>
        <v/>
      </c>
      <c r="Q120" s="57" t="str">
        <f aca="false">'STUDENT SCREENING'!BI120</f>
        <v/>
      </c>
      <c r="R120" s="57" t="str">
        <f aca="false">'STUDENT SCREENING'!BJ120</f>
        <v/>
      </c>
      <c r="S120" s="57" t="str">
        <f aca="false">'STUDENT SCREENING'!BK120</f>
        <v/>
      </c>
      <c r="T120" s="57" t="str">
        <f aca="false">'STUDENT SCREENING'!BL120</f>
        <v/>
      </c>
      <c r="U120" s="57" t="str">
        <f aca="false">'STUDENT SCREENING'!BM120</f>
        <v/>
      </c>
      <c r="V120" s="57" t="str">
        <f aca="false">'STUDENT SCREENING'!BN120</f>
        <v/>
      </c>
      <c r="W120" s="57" t="str">
        <f aca="false">'STUDENT SCREENING'!BO120</f>
        <v/>
      </c>
      <c r="X120" s="57" t="str">
        <f aca="false">IF('STUDENT SCREENING'!W120="","",IFERROR(INDEX('SCORING MASTER'!$D$5:$D$7,MATCH('STUDENT SCREENING'!W120,'SCORING MASTER'!$C$5:$C$7,0)),""))</f>
        <v/>
      </c>
      <c r="Y120" s="57" t="str">
        <f aca="false">IF('STUDENT SCREENING'!X120="","",IFERROR(INDEX('SCORING MASTER'!$D$9:$D$11,MATCH('STUDENT SCREENING'!X120,'SCORING MASTER'!$C$9:$C$11,0)),""))</f>
        <v/>
      </c>
      <c r="Z120" s="57" t="str">
        <f aca="false">IF('STUDENT SCREENING'!Y120="","",IFERROR(INDEX('SCORING MASTER'!$D$13:$D$15,MATCH('STUDENT SCREENING'!Y120,'SCORING MASTER'!$C$13:$C$15,0)),""))</f>
        <v/>
      </c>
      <c r="AA120" s="57" t="str">
        <f aca="false">IF('STUDENT SCREENING'!Z120="","",IFERROR(INDEX('SCORING MASTER'!$D$17:$D$19,MATCH('STUDENT SCREENING'!Z120,'SCORING MASTER'!$C$17:$C$19,0)),""))</f>
        <v/>
      </c>
      <c r="AB120" s="57" t="str">
        <f aca="false">IF('STUDENT SCREENING'!AA120="","",IFERROR(INDEX('SCORING MASTER'!$D$21:$D$23,MATCH('STUDENT SCREENING'!AA120,'SCORING MASTER'!$C$21:$C$23,0)),""))</f>
        <v/>
      </c>
      <c r="AC120" s="57" t="str">
        <f aca="false">IF('STUDENT SCREENING'!AB120="","",IFERROR(INDEX('SCORING MASTER'!$D$25:$D$27,MATCH('STUDENT SCREENING'!AB120,'SCORING MASTER'!$C$25:$C$27,0)),""))</f>
        <v/>
      </c>
      <c r="AD120" s="57" t="str">
        <f aca="false">IF('STUDENT SCREENING'!AC120="","",IFERROR(INDEX('SCORING MASTER'!$D$29:$D$31,MATCH('STUDENT SCREENING'!AC120,'SCORING MASTER'!$C$29:$C$31,0)),""))</f>
        <v/>
      </c>
      <c r="AE120" s="57" t="str">
        <f aca="false">IF('STUDENT SCREENING'!AD120="","",IFERROR(INDEX('SCORING MASTER'!$D$33:$D$35,MATCH('STUDENT SCREENING'!AD120,'SCORING MASTER'!$C$33:$C$35,0)),""))</f>
        <v/>
      </c>
      <c r="AF120" s="57" t="str">
        <f aca="false">IF('STUDENT SCREENING'!AE120="","",IFERROR(INDEX('SCORING MASTER'!$D$37:$D$39,MATCH('STUDENT SCREENING'!AE120,'SCORING MASTER'!$C$37:$C$39,0)),""))</f>
        <v/>
      </c>
      <c r="AG120" s="57" t="str">
        <f aca="false">IF('STUDENT SCREENING'!AF120="","",IFERROR(INDEX('SCORING MASTER'!$D$41:$D$43,MATCH('STUDENT SCREENING'!AF120,'SCORING MASTER'!$C$41:$C$43,0)),""))</f>
        <v/>
      </c>
      <c r="AH120" s="57" t="str">
        <f aca="false">IF('STUDENT SCREENING'!AG120="","",IFERROR(INDEX('SCORING MASTER'!$D$45:$D$47,MATCH('STUDENT SCREENING'!AG120,'SCORING MASTER'!$C$45:$C$47,0)),""))</f>
        <v/>
      </c>
      <c r="AI120" s="57" t="str">
        <f aca="false">IF('STUDENT SCREENING'!AH120="","",IFERROR(INDEX('SCORING MASTER'!$D$49:$D$52,MATCH('STUDENT SCREENING'!AH120,'SCORING MASTER'!$C$49:$C$52,0)),""))</f>
        <v/>
      </c>
      <c r="AJ120" s="57" t="str">
        <f aca="false">IF('STUDENT SCREENING'!AI120="","",IFERROR(INDEX('SCORING MASTER'!$D$54:$D$57,MATCH('STUDENT SCREENING'!AI120,'SCORING MASTER'!$C$54:$C$57,0)),""))</f>
        <v/>
      </c>
      <c r="AK120" s="57" t="str">
        <f aca="false">IF('STUDENT SCREENING'!AJ120="","",IFERROR(INDEX('SCORING MASTER'!$D$59:$D$60,MATCH('STUDENT SCREENING'!AJ120,'SCORING MASTER'!$C$59:$C$60,0)),""))</f>
        <v/>
      </c>
      <c r="AL120" s="57" t="str">
        <f aca="false">IF('STUDENT SCREENING'!AK120="","",IFERROR(INDEX('SCORING MASTER'!$D$62:$D$63,MATCH('STUDENT SCREENING'!AK120,'SCORING MASTER'!$C$62:$C$63,0)),""))</f>
        <v/>
      </c>
      <c r="AM120" s="57" t="str">
        <f aca="false">IF('STUDENT SCREENING'!AL120="","",IFERROR(INDEX('SCORING MASTER'!$D$65:$D$66,MATCH('STUDENT SCREENING'!AL120,'SCORING MASTER'!$C$65:$C$66,0)),""))</f>
        <v/>
      </c>
      <c r="AN120" s="57" t="str">
        <f aca="false">IF('STUDENT SCREENING'!AM120="","",IFERROR(INDEX('SCORING MASTER'!$D$68:$D$69,MATCH('STUDENT SCREENING'!AM120,'SCORING MASTER'!$C$68:$C$69,0)),""))</f>
        <v/>
      </c>
      <c r="AO120" s="57" t="str">
        <f aca="false">IF('STUDENT SCREENING'!AN120="","",IFERROR(INDEX('SCORING MASTER'!$D$71:$D$72,MATCH('STUDENT SCREENING'!AN120,'SCORING MASTER'!$C$71:$C$72,0)),""))</f>
        <v/>
      </c>
      <c r="AP120" s="57" t="str">
        <f aca="false">IF('STUDENT SCREENING'!AO120="","",IFERROR(INDEX('SCORING MASTER'!$D$74:$D$75,MATCH('STUDENT SCREENING'!AO120,'SCORING MASTER'!$C$74:$C$75,0)),""))</f>
        <v/>
      </c>
      <c r="AQ120" s="57" t="str">
        <f aca="false">IF('STUDENT SCREENING'!AP120="","",IFERROR(INDEX('SCORING MASTER'!$D$77:$D$78,MATCH('STUDENT SCREENING'!AP120,'SCORING MASTER'!$C$77:$C$78,0)),""))</f>
        <v/>
      </c>
      <c r="AR120" s="57" t="str">
        <f aca="false">IF('STUDENT SCREENING'!AQ120="","",IFERROR(INDEX('SCORING MASTER'!$D$80:$D$82,MATCH('STUDENT SCREENING'!AQ120,'SCORING MASTER'!$C$80:$C$82,0)),""))</f>
        <v/>
      </c>
      <c r="AS120" s="57" t="str">
        <f aca="false">IF('STUDENT SCREENING'!AR120="","",IFERROR(INDEX('SCORING MASTER'!$D$84:$D$86,MATCH('STUDENT SCREENING'!AR120,'SCORING MASTER'!$C$84:$C$86,0)),""))</f>
        <v/>
      </c>
      <c r="AT120" s="57" t="str">
        <f aca="false">IF('STUDENT SCREENING'!AS120="","",IFERROR(INDEX('SCORING MASTER'!$D$88:$D$90,MATCH('STUDENT SCREENING'!AS120,'SCORING MASTER'!$C$88:$C$90,0)),""))</f>
        <v/>
      </c>
      <c r="AU120" s="57" t="str">
        <f aca="false">IF('STUDENT SCREENING'!AT120="","",IFERROR(INDEX('SCORING MASTER'!$D$92:$D$93,MATCH('STUDENT SCREENING'!AT120,'SCORING MASTER'!$C$92:$C$93,0)),""))</f>
        <v/>
      </c>
      <c r="AV120" s="57" t="str">
        <f aca="false">IF('STUDENT SCREENING'!AU120="","",IFERROR(INDEX('SCORING MASTER'!$D$95:$D$96,MATCH('STUDENT SCREENING'!AU120,'SCORING MASTER'!$C$95:$C$96,0)),""))</f>
        <v/>
      </c>
      <c r="AW120" s="57" t="str">
        <f aca="false">IF('STUDENT SCREENING'!AV120="","",IFERROR(INDEX('SCORING MASTER'!$D$98:$D$99,MATCH('STUDENT SCREENING'!AV120,'SCORING MASTER'!$C$98:$C$99,0)),""))</f>
        <v/>
      </c>
      <c r="AX120" s="57" t="str">
        <f aca="false">IF('STUDENT SCREENING'!AW120="","",IFERROR(INDEX('SCORING MASTER'!$D$101:$D$102,MATCH('STUDENT SCREENING'!AW120,'SCORING MASTER'!$C$101:$C$102,0)),""))</f>
        <v/>
      </c>
      <c r="AY120" s="57" t="str">
        <f aca="false">IF('STUDENT SCREENING'!AX120="","",IFERROR(INDEX('SCORING MASTER'!$D$104:$D$105,MATCH('STUDENT SCREENING'!AX120,'SCORING MASTER'!$C$104:$C$105,0)),""))</f>
        <v/>
      </c>
      <c r="AZ120" s="57" t="str">
        <f aca="false">IF('STUDENT SCREENING'!AY120="","",IFERROR(INDEX('SCORING MASTER'!$D$107:$D$108,MATCH('STUDENT SCREENING'!AY120,'SCORING MASTER'!$C$107:$C$108,0)),""))</f>
        <v/>
      </c>
      <c r="BA120" s="57" t="str">
        <f aca="false">IF('STUDENT SCREENING'!AZ120="","",IFERROR(INDEX('SCORING MASTER'!$D$110:$D$111,MATCH('STUDENT SCREENING'!AZ120,'SCORING MASTER'!$C$110:$C$111,0)),""))</f>
        <v/>
      </c>
      <c r="BB120" s="57" t="str">
        <f aca="false">IF('STUDENT SCREENING'!BA120="","",IFERROR(INDEX('SCORING MASTER'!$D$113:$D$115,MATCH('STUDENT SCREENING'!BA120,'SCORING MASTER'!$C$113:$C$115,0)),""))</f>
        <v/>
      </c>
      <c r="BC120" s="57" t="str">
        <f aca="false">IF('STUDENT SCREENING'!BB120="","",IFERROR(INDEX('SCORING MASTER'!$D$117:$D$119,MATCH('STUDENT SCREENING'!BB120,'SCORING MASTER'!$C$117:$C$119,0)),""))</f>
        <v/>
      </c>
      <c r="BD120" s="57" t="str">
        <f aca="false">IF('STUDENT SCREENING'!BC120="","",IFERROR(INDEX('SCORING MASTER'!$D$121:$D$123,MATCH('STUDENT SCREENING'!BC120,'SCORING MASTER'!$C$121:$C$123,0)),""))</f>
        <v/>
      </c>
      <c r="BE120" s="57" t="str">
        <f aca="false">IF('STUDENT SCREENING'!BD120="","",IFERROR(INDEX('SCORING MASTER'!$D$125:$D$126,MATCH('STUDENT SCREENING'!BD120,'SCORING MASTER'!$C$125:$C$126,0)),""))</f>
        <v/>
      </c>
      <c r="BF120" s="57" t="str">
        <f aca="false">IF('STUDENT SCREENING'!BE120="","",IFERROR(INDEX('SCORING MASTER'!$D$128:$D$129,MATCH('STUDENT SCREENING'!BE120,'SCORING MASTER'!$C$128:$C$129,0)),""))</f>
        <v/>
      </c>
      <c r="BG120" s="57" t="str">
        <f aca="false">IF('STUDENT SCREENING'!BP120="","",IFERROR(MATCH('STUDENT SCREENING'!BP120,{"Red - High Risk","Orange - Moderate Risk","Yellow - Mild Risk","Light Green - Mild Watch","Green - Healthy"},0)-1,""))</f>
        <v/>
      </c>
      <c r="BH120" s="57" t="str">
        <f aca="false">IF('STUDENT SCREENING'!BQ120="","",IF('STUDENT SCREENING'!BQ120="Yes",1,0))</f>
        <v/>
      </c>
      <c r="BI120" s="57" t="str">
        <f aca="false">IF('STUDENT SCREENING'!BR120="","",IF('STUDENT SCREENING'!BR120="Yes",1,0))</f>
        <v/>
      </c>
    </row>
    <row r="121" customFormat="false" ht="15" hidden="false" customHeight="false" outlineLevel="0" collapsed="false">
      <c r="A121" s="58" t="str">
        <f aca="false">'STUDENT SCREENING'!A121</f>
        <v/>
      </c>
      <c r="B121" s="58" t="n">
        <f aca="false">'STUDENT SCREENING'!C121</f>
        <v>0</v>
      </c>
      <c r="C121" s="58" t="n">
        <f aca="false">'STUDENT SCREENING'!D121</f>
        <v>0</v>
      </c>
      <c r="D121" s="58" t="n">
        <f aca="false">'STUDENT SCREENING'!E121</f>
        <v>0</v>
      </c>
      <c r="E121" s="58" t="n">
        <f aca="false">'STUDENT SCREENING'!F121</f>
        <v>0</v>
      </c>
      <c r="F121" s="58" t="n">
        <f aca="false">'STUDENT SCREENING'!K121</f>
        <v>0</v>
      </c>
      <c r="G121" s="58" t="n">
        <f aca="false">'STUDENT SCREENING'!J121</f>
        <v>0</v>
      </c>
      <c r="H121" s="58" t="str">
        <f aca="false">IF('STUDENT SCREENING'!K121="","",IFERROR(MATCH('STUDENT SCREENING'!K121,Adm_Gender,0),""))</f>
        <v/>
      </c>
      <c r="I121" s="58" t="n">
        <f aca="false">'STUDENT SCREENING'!Q121</f>
        <v>0</v>
      </c>
      <c r="J121" s="58" t="n">
        <f aca="false">'STUDENT SCREENING'!R121</f>
        <v>0</v>
      </c>
      <c r="K121" s="58" t="str">
        <f aca="false">'STUDENT SCREENING'!S121</f>
        <v/>
      </c>
      <c r="L121" s="58" t="n">
        <f aca="false">'STUDENT SCREENING'!U121</f>
        <v>0</v>
      </c>
      <c r="M121" s="58" t="n">
        <f aca="false">'STUDENT SCREENING'!V121</f>
        <v>0</v>
      </c>
      <c r="N121" s="58" t="str">
        <f aca="false">'STUDENT SCREENING'!BF121</f>
        <v/>
      </c>
      <c r="O121" s="58" t="str">
        <f aca="false">'STUDENT SCREENING'!BG121</f>
        <v/>
      </c>
      <c r="P121" s="58" t="str">
        <f aca="false">'STUDENT SCREENING'!BH121</f>
        <v/>
      </c>
      <c r="Q121" s="58" t="str">
        <f aca="false">'STUDENT SCREENING'!BI121</f>
        <v/>
      </c>
      <c r="R121" s="58" t="str">
        <f aca="false">'STUDENT SCREENING'!BJ121</f>
        <v/>
      </c>
      <c r="S121" s="58" t="str">
        <f aca="false">'STUDENT SCREENING'!BK121</f>
        <v/>
      </c>
      <c r="T121" s="58" t="str">
        <f aca="false">'STUDENT SCREENING'!BL121</f>
        <v/>
      </c>
      <c r="U121" s="58" t="str">
        <f aca="false">'STUDENT SCREENING'!BM121</f>
        <v/>
      </c>
      <c r="V121" s="58" t="str">
        <f aca="false">'STUDENT SCREENING'!BN121</f>
        <v/>
      </c>
      <c r="W121" s="58" t="str">
        <f aca="false">'STUDENT SCREENING'!BO121</f>
        <v/>
      </c>
      <c r="X121" s="58" t="str">
        <f aca="false">IF('STUDENT SCREENING'!W121="","",IFERROR(INDEX('SCORING MASTER'!$D$5:$D$7,MATCH('STUDENT SCREENING'!W121,'SCORING MASTER'!$C$5:$C$7,0)),""))</f>
        <v/>
      </c>
      <c r="Y121" s="58" t="str">
        <f aca="false">IF('STUDENT SCREENING'!X121="","",IFERROR(INDEX('SCORING MASTER'!$D$9:$D$11,MATCH('STUDENT SCREENING'!X121,'SCORING MASTER'!$C$9:$C$11,0)),""))</f>
        <v/>
      </c>
      <c r="Z121" s="58" t="str">
        <f aca="false">IF('STUDENT SCREENING'!Y121="","",IFERROR(INDEX('SCORING MASTER'!$D$13:$D$15,MATCH('STUDENT SCREENING'!Y121,'SCORING MASTER'!$C$13:$C$15,0)),""))</f>
        <v/>
      </c>
      <c r="AA121" s="58" t="str">
        <f aca="false">IF('STUDENT SCREENING'!Z121="","",IFERROR(INDEX('SCORING MASTER'!$D$17:$D$19,MATCH('STUDENT SCREENING'!Z121,'SCORING MASTER'!$C$17:$C$19,0)),""))</f>
        <v/>
      </c>
      <c r="AB121" s="58" t="str">
        <f aca="false">IF('STUDENT SCREENING'!AA121="","",IFERROR(INDEX('SCORING MASTER'!$D$21:$D$23,MATCH('STUDENT SCREENING'!AA121,'SCORING MASTER'!$C$21:$C$23,0)),""))</f>
        <v/>
      </c>
      <c r="AC121" s="58" t="str">
        <f aca="false">IF('STUDENT SCREENING'!AB121="","",IFERROR(INDEX('SCORING MASTER'!$D$25:$D$27,MATCH('STUDENT SCREENING'!AB121,'SCORING MASTER'!$C$25:$C$27,0)),""))</f>
        <v/>
      </c>
      <c r="AD121" s="58" t="str">
        <f aca="false">IF('STUDENT SCREENING'!AC121="","",IFERROR(INDEX('SCORING MASTER'!$D$29:$D$31,MATCH('STUDENT SCREENING'!AC121,'SCORING MASTER'!$C$29:$C$31,0)),""))</f>
        <v/>
      </c>
      <c r="AE121" s="58" t="str">
        <f aca="false">IF('STUDENT SCREENING'!AD121="","",IFERROR(INDEX('SCORING MASTER'!$D$33:$D$35,MATCH('STUDENT SCREENING'!AD121,'SCORING MASTER'!$C$33:$C$35,0)),""))</f>
        <v/>
      </c>
      <c r="AF121" s="58" t="str">
        <f aca="false">IF('STUDENT SCREENING'!AE121="","",IFERROR(INDEX('SCORING MASTER'!$D$37:$D$39,MATCH('STUDENT SCREENING'!AE121,'SCORING MASTER'!$C$37:$C$39,0)),""))</f>
        <v/>
      </c>
      <c r="AG121" s="58" t="str">
        <f aca="false">IF('STUDENT SCREENING'!AF121="","",IFERROR(INDEX('SCORING MASTER'!$D$41:$D$43,MATCH('STUDENT SCREENING'!AF121,'SCORING MASTER'!$C$41:$C$43,0)),""))</f>
        <v/>
      </c>
      <c r="AH121" s="58" t="str">
        <f aca="false">IF('STUDENT SCREENING'!AG121="","",IFERROR(INDEX('SCORING MASTER'!$D$45:$D$47,MATCH('STUDENT SCREENING'!AG121,'SCORING MASTER'!$C$45:$C$47,0)),""))</f>
        <v/>
      </c>
      <c r="AI121" s="58" t="str">
        <f aca="false">IF('STUDENT SCREENING'!AH121="","",IFERROR(INDEX('SCORING MASTER'!$D$49:$D$52,MATCH('STUDENT SCREENING'!AH121,'SCORING MASTER'!$C$49:$C$52,0)),""))</f>
        <v/>
      </c>
      <c r="AJ121" s="58" t="str">
        <f aca="false">IF('STUDENT SCREENING'!AI121="","",IFERROR(INDEX('SCORING MASTER'!$D$54:$D$57,MATCH('STUDENT SCREENING'!AI121,'SCORING MASTER'!$C$54:$C$57,0)),""))</f>
        <v/>
      </c>
      <c r="AK121" s="58" t="str">
        <f aca="false">IF('STUDENT SCREENING'!AJ121="","",IFERROR(INDEX('SCORING MASTER'!$D$59:$D$60,MATCH('STUDENT SCREENING'!AJ121,'SCORING MASTER'!$C$59:$C$60,0)),""))</f>
        <v/>
      </c>
      <c r="AL121" s="58" t="str">
        <f aca="false">IF('STUDENT SCREENING'!AK121="","",IFERROR(INDEX('SCORING MASTER'!$D$62:$D$63,MATCH('STUDENT SCREENING'!AK121,'SCORING MASTER'!$C$62:$C$63,0)),""))</f>
        <v/>
      </c>
      <c r="AM121" s="58" t="str">
        <f aca="false">IF('STUDENT SCREENING'!AL121="","",IFERROR(INDEX('SCORING MASTER'!$D$65:$D$66,MATCH('STUDENT SCREENING'!AL121,'SCORING MASTER'!$C$65:$C$66,0)),""))</f>
        <v/>
      </c>
      <c r="AN121" s="58" t="str">
        <f aca="false">IF('STUDENT SCREENING'!AM121="","",IFERROR(INDEX('SCORING MASTER'!$D$68:$D$69,MATCH('STUDENT SCREENING'!AM121,'SCORING MASTER'!$C$68:$C$69,0)),""))</f>
        <v/>
      </c>
      <c r="AO121" s="58" t="str">
        <f aca="false">IF('STUDENT SCREENING'!AN121="","",IFERROR(INDEX('SCORING MASTER'!$D$71:$D$72,MATCH('STUDENT SCREENING'!AN121,'SCORING MASTER'!$C$71:$C$72,0)),""))</f>
        <v/>
      </c>
      <c r="AP121" s="58" t="str">
        <f aca="false">IF('STUDENT SCREENING'!AO121="","",IFERROR(INDEX('SCORING MASTER'!$D$74:$D$75,MATCH('STUDENT SCREENING'!AO121,'SCORING MASTER'!$C$74:$C$75,0)),""))</f>
        <v/>
      </c>
      <c r="AQ121" s="58" t="str">
        <f aca="false">IF('STUDENT SCREENING'!AP121="","",IFERROR(INDEX('SCORING MASTER'!$D$77:$D$78,MATCH('STUDENT SCREENING'!AP121,'SCORING MASTER'!$C$77:$C$78,0)),""))</f>
        <v/>
      </c>
      <c r="AR121" s="58" t="str">
        <f aca="false">IF('STUDENT SCREENING'!AQ121="","",IFERROR(INDEX('SCORING MASTER'!$D$80:$D$82,MATCH('STUDENT SCREENING'!AQ121,'SCORING MASTER'!$C$80:$C$82,0)),""))</f>
        <v/>
      </c>
      <c r="AS121" s="58" t="str">
        <f aca="false">IF('STUDENT SCREENING'!AR121="","",IFERROR(INDEX('SCORING MASTER'!$D$84:$D$86,MATCH('STUDENT SCREENING'!AR121,'SCORING MASTER'!$C$84:$C$86,0)),""))</f>
        <v/>
      </c>
      <c r="AT121" s="58" t="str">
        <f aca="false">IF('STUDENT SCREENING'!AS121="","",IFERROR(INDEX('SCORING MASTER'!$D$88:$D$90,MATCH('STUDENT SCREENING'!AS121,'SCORING MASTER'!$C$88:$C$90,0)),""))</f>
        <v/>
      </c>
      <c r="AU121" s="58" t="str">
        <f aca="false">IF('STUDENT SCREENING'!AT121="","",IFERROR(INDEX('SCORING MASTER'!$D$92:$D$93,MATCH('STUDENT SCREENING'!AT121,'SCORING MASTER'!$C$92:$C$93,0)),""))</f>
        <v/>
      </c>
      <c r="AV121" s="58" t="str">
        <f aca="false">IF('STUDENT SCREENING'!AU121="","",IFERROR(INDEX('SCORING MASTER'!$D$95:$D$96,MATCH('STUDENT SCREENING'!AU121,'SCORING MASTER'!$C$95:$C$96,0)),""))</f>
        <v/>
      </c>
      <c r="AW121" s="58" t="str">
        <f aca="false">IF('STUDENT SCREENING'!AV121="","",IFERROR(INDEX('SCORING MASTER'!$D$98:$D$99,MATCH('STUDENT SCREENING'!AV121,'SCORING MASTER'!$C$98:$C$99,0)),""))</f>
        <v/>
      </c>
      <c r="AX121" s="58" t="str">
        <f aca="false">IF('STUDENT SCREENING'!AW121="","",IFERROR(INDEX('SCORING MASTER'!$D$101:$D$102,MATCH('STUDENT SCREENING'!AW121,'SCORING MASTER'!$C$101:$C$102,0)),""))</f>
        <v/>
      </c>
      <c r="AY121" s="58" t="str">
        <f aca="false">IF('STUDENT SCREENING'!AX121="","",IFERROR(INDEX('SCORING MASTER'!$D$104:$D$105,MATCH('STUDENT SCREENING'!AX121,'SCORING MASTER'!$C$104:$C$105,0)),""))</f>
        <v/>
      </c>
      <c r="AZ121" s="58" t="str">
        <f aca="false">IF('STUDENT SCREENING'!AY121="","",IFERROR(INDEX('SCORING MASTER'!$D$107:$D$108,MATCH('STUDENT SCREENING'!AY121,'SCORING MASTER'!$C$107:$C$108,0)),""))</f>
        <v/>
      </c>
      <c r="BA121" s="58" t="str">
        <f aca="false">IF('STUDENT SCREENING'!AZ121="","",IFERROR(INDEX('SCORING MASTER'!$D$110:$D$111,MATCH('STUDENT SCREENING'!AZ121,'SCORING MASTER'!$C$110:$C$111,0)),""))</f>
        <v/>
      </c>
      <c r="BB121" s="58" t="str">
        <f aca="false">IF('STUDENT SCREENING'!BA121="","",IFERROR(INDEX('SCORING MASTER'!$D$113:$D$115,MATCH('STUDENT SCREENING'!BA121,'SCORING MASTER'!$C$113:$C$115,0)),""))</f>
        <v/>
      </c>
      <c r="BC121" s="58" t="str">
        <f aca="false">IF('STUDENT SCREENING'!BB121="","",IFERROR(INDEX('SCORING MASTER'!$D$117:$D$119,MATCH('STUDENT SCREENING'!BB121,'SCORING MASTER'!$C$117:$C$119,0)),""))</f>
        <v/>
      </c>
      <c r="BD121" s="58" t="str">
        <f aca="false">IF('STUDENT SCREENING'!BC121="","",IFERROR(INDEX('SCORING MASTER'!$D$121:$D$123,MATCH('STUDENT SCREENING'!BC121,'SCORING MASTER'!$C$121:$C$123,0)),""))</f>
        <v/>
      </c>
      <c r="BE121" s="58" t="str">
        <f aca="false">IF('STUDENT SCREENING'!BD121="","",IFERROR(INDEX('SCORING MASTER'!$D$125:$D$126,MATCH('STUDENT SCREENING'!BD121,'SCORING MASTER'!$C$125:$C$126,0)),""))</f>
        <v/>
      </c>
      <c r="BF121" s="58" t="str">
        <f aca="false">IF('STUDENT SCREENING'!BE121="","",IFERROR(INDEX('SCORING MASTER'!$D$128:$D$129,MATCH('STUDENT SCREENING'!BE121,'SCORING MASTER'!$C$128:$C$129,0)),""))</f>
        <v/>
      </c>
      <c r="BG121" s="58" t="str">
        <f aca="false">IF('STUDENT SCREENING'!BP121="","",IFERROR(MATCH('STUDENT SCREENING'!BP121,{"Red - High Risk","Orange - Moderate Risk","Yellow - Mild Risk","Light Green - Mild Watch","Green - Healthy"},0)-1,""))</f>
        <v/>
      </c>
      <c r="BH121" s="58" t="str">
        <f aca="false">IF('STUDENT SCREENING'!BQ121="","",IF('STUDENT SCREENING'!BQ121="Yes",1,0))</f>
        <v/>
      </c>
      <c r="BI121" s="58" t="str">
        <f aca="false">IF('STUDENT SCREENING'!BR121="","",IF('STUDENT SCREENING'!BR121="Yes",1,0))</f>
        <v/>
      </c>
    </row>
    <row r="122" customFormat="false" ht="15" hidden="false" customHeight="false" outlineLevel="0" collapsed="false">
      <c r="A122" s="57" t="str">
        <f aca="false">'STUDENT SCREENING'!A122</f>
        <v/>
      </c>
      <c r="B122" s="57" t="n">
        <f aca="false">'STUDENT SCREENING'!C122</f>
        <v>0</v>
      </c>
      <c r="C122" s="57" t="n">
        <f aca="false">'STUDENT SCREENING'!D122</f>
        <v>0</v>
      </c>
      <c r="D122" s="57" t="n">
        <f aca="false">'STUDENT SCREENING'!E122</f>
        <v>0</v>
      </c>
      <c r="E122" s="57" t="n">
        <f aca="false">'STUDENT SCREENING'!F122</f>
        <v>0</v>
      </c>
      <c r="F122" s="57" t="n">
        <f aca="false">'STUDENT SCREENING'!K122</f>
        <v>0</v>
      </c>
      <c r="G122" s="57" t="n">
        <f aca="false">'STUDENT SCREENING'!J122</f>
        <v>0</v>
      </c>
      <c r="H122" s="57" t="str">
        <f aca="false">IF('STUDENT SCREENING'!K122="","",IFERROR(MATCH('STUDENT SCREENING'!K122,Adm_Gender,0),""))</f>
        <v/>
      </c>
      <c r="I122" s="57" t="n">
        <f aca="false">'STUDENT SCREENING'!Q122</f>
        <v>0</v>
      </c>
      <c r="J122" s="57" t="n">
        <f aca="false">'STUDENT SCREENING'!R122</f>
        <v>0</v>
      </c>
      <c r="K122" s="57" t="str">
        <f aca="false">'STUDENT SCREENING'!S122</f>
        <v/>
      </c>
      <c r="L122" s="57" t="n">
        <f aca="false">'STUDENT SCREENING'!U122</f>
        <v>0</v>
      </c>
      <c r="M122" s="57" t="n">
        <f aca="false">'STUDENT SCREENING'!V122</f>
        <v>0</v>
      </c>
      <c r="N122" s="57" t="str">
        <f aca="false">'STUDENT SCREENING'!BF122</f>
        <v/>
      </c>
      <c r="O122" s="57" t="str">
        <f aca="false">'STUDENT SCREENING'!BG122</f>
        <v/>
      </c>
      <c r="P122" s="57" t="str">
        <f aca="false">'STUDENT SCREENING'!BH122</f>
        <v/>
      </c>
      <c r="Q122" s="57" t="str">
        <f aca="false">'STUDENT SCREENING'!BI122</f>
        <v/>
      </c>
      <c r="R122" s="57" t="str">
        <f aca="false">'STUDENT SCREENING'!BJ122</f>
        <v/>
      </c>
      <c r="S122" s="57" t="str">
        <f aca="false">'STUDENT SCREENING'!BK122</f>
        <v/>
      </c>
      <c r="T122" s="57" t="str">
        <f aca="false">'STUDENT SCREENING'!BL122</f>
        <v/>
      </c>
      <c r="U122" s="57" t="str">
        <f aca="false">'STUDENT SCREENING'!BM122</f>
        <v/>
      </c>
      <c r="V122" s="57" t="str">
        <f aca="false">'STUDENT SCREENING'!BN122</f>
        <v/>
      </c>
      <c r="W122" s="57" t="str">
        <f aca="false">'STUDENT SCREENING'!BO122</f>
        <v/>
      </c>
      <c r="X122" s="57" t="str">
        <f aca="false">IF('STUDENT SCREENING'!W122="","",IFERROR(INDEX('SCORING MASTER'!$D$5:$D$7,MATCH('STUDENT SCREENING'!W122,'SCORING MASTER'!$C$5:$C$7,0)),""))</f>
        <v/>
      </c>
      <c r="Y122" s="57" t="str">
        <f aca="false">IF('STUDENT SCREENING'!X122="","",IFERROR(INDEX('SCORING MASTER'!$D$9:$D$11,MATCH('STUDENT SCREENING'!X122,'SCORING MASTER'!$C$9:$C$11,0)),""))</f>
        <v/>
      </c>
      <c r="Z122" s="57" t="str">
        <f aca="false">IF('STUDENT SCREENING'!Y122="","",IFERROR(INDEX('SCORING MASTER'!$D$13:$D$15,MATCH('STUDENT SCREENING'!Y122,'SCORING MASTER'!$C$13:$C$15,0)),""))</f>
        <v/>
      </c>
      <c r="AA122" s="57" t="str">
        <f aca="false">IF('STUDENT SCREENING'!Z122="","",IFERROR(INDEX('SCORING MASTER'!$D$17:$D$19,MATCH('STUDENT SCREENING'!Z122,'SCORING MASTER'!$C$17:$C$19,0)),""))</f>
        <v/>
      </c>
      <c r="AB122" s="57" t="str">
        <f aca="false">IF('STUDENT SCREENING'!AA122="","",IFERROR(INDEX('SCORING MASTER'!$D$21:$D$23,MATCH('STUDENT SCREENING'!AA122,'SCORING MASTER'!$C$21:$C$23,0)),""))</f>
        <v/>
      </c>
      <c r="AC122" s="57" t="str">
        <f aca="false">IF('STUDENT SCREENING'!AB122="","",IFERROR(INDEX('SCORING MASTER'!$D$25:$D$27,MATCH('STUDENT SCREENING'!AB122,'SCORING MASTER'!$C$25:$C$27,0)),""))</f>
        <v/>
      </c>
      <c r="AD122" s="57" t="str">
        <f aca="false">IF('STUDENT SCREENING'!AC122="","",IFERROR(INDEX('SCORING MASTER'!$D$29:$D$31,MATCH('STUDENT SCREENING'!AC122,'SCORING MASTER'!$C$29:$C$31,0)),""))</f>
        <v/>
      </c>
      <c r="AE122" s="57" t="str">
        <f aca="false">IF('STUDENT SCREENING'!AD122="","",IFERROR(INDEX('SCORING MASTER'!$D$33:$D$35,MATCH('STUDENT SCREENING'!AD122,'SCORING MASTER'!$C$33:$C$35,0)),""))</f>
        <v/>
      </c>
      <c r="AF122" s="57" t="str">
        <f aca="false">IF('STUDENT SCREENING'!AE122="","",IFERROR(INDEX('SCORING MASTER'!$D$37:$D$39,MATCH('STUDENT SCREENING'!AE122,'SCORING MASTER'!$C$37:$C$39,0)),""))</f>
        <v/>
      </c>
      <c r="AG122" s="57" t="str">
        <f aca="false">IF('STUDENT SCREENING'!AF122="","",IFERROR(INDEX('SCORING MASTER'!$D$41:$D$43,MATCH('STUDENT SCREENING'!AF122,'SCORING MASTER'!$C$41:$C$43,0)),""))</f>
        <v/>
      </c>
      <c r="AH122" s="57" t="str">
        <f aca="false">IF('STUDENT SCREENING'!AG122="","",IFERROR(INDEX('SCORING MASTER'!$D$45:$D$47,MATCH('STUDENT SCREENING'!AG122,'SCORING MASTER'!$C$45:$C$47,0)),""))</f>
        <v/>
      </c>
      <c r="AI122" s="57" t="str">
        <f aca="false">IF('STUDENT SCREENING'!AH122="","",IFERROR(INDEX('SCORING MASTER'!$D$49:$D$52,MATCH('STUDENT SCREENING'!AH122,'SCORING MASTER'!$C$49:$C$52,0)),""))</f>
        <v/>
      </c>
      <c r="AJ122" s="57" t="str">
        <f aca="false">IF('STUDENT SCREENING'!AI122="","",IFERROR(INDEX('SCORING MASTER'!$D$54:$D$57,MATCH('STUDENT SCREENING'!AI122,'SCORING MASTER'!$C$54:$C$57,0)),""))</f>
        <v/>
      </c>
      <c r="AK122" s="57" t="str">
        <f aca="false">IF('STUDENT SCREENING'!AJ122="","",IFERROR(INDEX('SCORING MASTER'!$D$59:$D$60,MATCH('STUDENT SCREENING'!AJ122,'SCORING MASTER'!$C$59:$C$60,0)),""))</f>
        <v/>
      </c>
      <c r="AL122" s="57" t="str">
        <f aca="false">IF('STUDENT SCREENING'!AK122="","",IFERROR(INDEX('SCORING MASTER'!$D$62:$D$63,MATCH('STUDENT SCREENING'!AK122,'SCORING MASTER'!$C$62:$C$63,0)),""))</f>
        <v/>
      </c>
      <c r="AM122" s="57" t="str">
        <f aca="false">IF('STUDENT SCREENING'!AL122="","",IFERROR(INDEX('SCORING MASTER'!$D$65:$D$66,MATCH('STUDENT SCREENING'!AL122,'SCORING MASTER'!$C$65:$C$66,0)),""))</f>
        <v/>
      </c>
      <c r="AN122" s="57" t="str">
        <f aca="false">IF('STUDENT SCREENING'!AM122="","",IFERROR(INDEX('SCORING MASTER'!$D$68:$D$69,MATCH('STUDENT SCREENING'!AM122,'SCORING MASTER'!$C$68:$C$69,0)),""))</f>
        <v/>
      </c>
      <c r="AO122" s="57" t="str">
        <f aca="false">IF('STUDENT SCREENING'!AN122="","",IFERROR(INDEX('SCORING MASTER'!$D$71:$D$72,MATCH('STUDENT SCREENING'!AN122,'SCORING MASTER'!$C$71:$C$72,0)),""))</f>
        <v/>
      </c>
      <c r="AP122" s="57" t="str">
        <f aca="false">IF('STUDENT SCREENING'!AO122="","",IFERROR(INDEX('SCORING MASTER'!$D$74:$D$75,MATCH('STUDENT SCREENING'!AO122,'SCORING MASTER'!$C$74:$C$75,0)),""))</f>
        <v/>
      </c>
      <c r="AQ122" s="57" t="str">
        <f aca="false">IF('STUDENT SCREENING'!AP122="","",IFERROR(INDEX('SCORING MASTER'!$D$77:$D$78,MATCH('STUDENT SCREENING'!AP122,'SCORING MASTER'!$C$77:$C$78,0)),""))</f>
        <v/>
      </c>
      <c r="AR122" s="57" t="str">
        <f aca="false">IF('STUDENT SCREENING'!AQ122="","",IFERROR(INDEX('SCORING MASTER'!$D$80:$D$82,MATCH('STUDENT SCREENING'!AQ122,'SCORING MASTER'!$C$80:$C$82,0)),""))</f>
        <v/>
      </c>
      <c r="AS122" s="57" t="str">
        <f aca="false">IF('STUDENT SCREENING'!AR122="","",IFERROR(INDEX('SCORING MASTER'!$D$84:$D$86,MATCH('STUDENT SCREENING'!AR122,'SCORING MASTER'!$C$84:$C$86,0)),""))</f>
        <v/>
      </c>
      <c r="AT122" s="57" t="str">
        <f aca="false">IF('STUDENT SCREENING'!AS122="","",IFERROR(INDEX('SCORING MASTER'!$D$88:$D$90,MATCH('STUDENT SCREENING'!AS122,'SCORING MASTER'!$C$88:$C$90,0)),""))</f>
        <v/>
      </c>
      <c r="AU122" s="57" t="str">
        <f aca="false">IF('STUDENT SCREENING'!AT122="","",IFERROR(INDEX('SCORING MASTER'!$D$92:$D$93,MATCH('STUDENT SCREENING'!AT122,'SCORING MASTER'!$C$92:$C$93,0)),""))</f>
        <v/>
      </c>
      <c r="AV122" s="57" t="str">
        <f aca="false">IF('STUDENT SCREENING'!AU122="","",IFERROR(INDEX('SCORING MASTER'!$D$95:$D$96,MATCH('STUDENT SCREENING'!AU122,'SCORING MASTER'!$C$95:$C$96,0)),""))</f>
        <v/>
      </c>
      <c r="AW122" s="57" t="str">
        <f aca="false">IF('STUDENT SCREENING'!AV122="","",IFERROR(INDEX('SCORING MASTER'!$D$98:$D$99,MATCH('STUDENT SCREENING'!AV122,'SCORING MASTER'!$C$98:$C$99,0)),""))</f>
        <v/>
      </c>
      <c r="AX122" s="57" t="str">
        <f aca="false">IF('STUDENT SCREENING'!AW122="","",IFERROR(INDEX('SCORING MASTER'!$D$101:$D$102,MATCH('STUDENT SCREENING'!AW122,'SCORING MASTER'!$C$101:$C$102,0)),""))</f>
        <v/>
      </c>
      <c r="AY122" s="57" t="str">
        <f aca="false">IF('STUDENT SCREENING'!AX122="","",IFERROR(INDEX('SCORING MASTER'!$D$104:$D$105,MATCH('STUDENT SCREENING'!AX122,'SCORING MASTER'!$C$104:$C$105,0)),""))</f>
        <v/>
      </c>
      <c r="AZ122" s="57" t="str">
        <f aca="false">IF('STUDENT SCREENING'!AY122="","",IFERROR(INDEX('SCORING MASTER'!$D$107:$D$108,MATCH('STUDENT SCREENING'!AY122,'SCORING MASTER'!$C$107:$C$108,0)),""))</f>
        <v/>
      </c>
      <c r="BA122" s="57" t="str">
        <f aca="false">IF('STUDENT SCREENING'!AZ122="","",IFERROR(INDEX('SCORING MASTER'!$D$110:$D$111,MATCH('STUDENT SCREENING'!AZ122,'SCORING MASTER'!$C$110:$C$111,0)),""))</f>
        <v/>
      </c>
      <c r="BB122" s="57" t="str">
        <f aca="false">IF('STUDENT SCREENING'!BA122="","",IFERROR(INDEX('SCORING MASTER'!$D$113:$D$115,MATCH('STUDENT SCREENING'!BA122,'SCORING MASTER'!$C$113:$C$115,0)),""))</f>
        <v/>
      </c>
      <c r="BC122" s="57" t="str">
        <f aca="false">IF('STUDENT SCREENING'!BB122="","",IFERROR(INDEX('SCORING MASTER'!$D$117:$D$119,MATCH('STUDENT SCREENING'!BB122,'SCORING MASTER'!$C$117:$C$119,0)),""))</f>
        <v/>
      </c>
      <c r="BD122" s="57" t="str">
        <f aca="false">IF('STUDENT SCREENING'!BC122="","",IFERROR(INDEX('SCORING MASTER'!$D$121:$D$123,MATCH('STUDENT SCREENING'!BC122,'SCORING MASTER'!$C$121:$C$123,0)),""))</f>
        <v/>
      </c>
      <c r="BE122" s="57" t="str">
        <f aca="false">IF('STUDENT SCREENING'!BD122="","",IFERROR(INDEX('SCORING MASTER'!$D$125:$D$126,MATCH('STUDENT SCREENING'!BD122,'SCORING MASTER'!$C$125:$C$126,0)),""))</f>
        <v/>
      </c>
      <c r="BF122" s="57" t="str">
        <f aca="false">IF('STUDENT SCREENING'!BE122="","",IFERROR(INDEX('SCORING MASTER'!$D$128:$D$129,MATCH('STUDENT SCREENING'!BE122,'SCORING MASTER'!$C$128:$C$129,0)),""))</f>
        <v/>
      </c>
      <c r="BG122" s="57" t="str">
        <f aca="false">IF('STUDENT SCREENING'!BP122="","",IFERROR(MATCH('STUDENT SCREENING'!BP122,{"Red - High Risk","Orange - Moderate Risk","Yellow - Mild Risk","Light Green - Mild Watch","Green - Healthy"},0)-1,""))</f>
        <v/>
      </c>
      <c r="BH122" s="57" t="str">
        <f aca="false">IF('STUDENT SCREENING'!BQ122="","",IF('STUDENT SCREENING'!BQ122="Yes",1,0))</f>
        <v/>
      </c>
      <c r="BI122" s="57" t="str">
        <f aca="false">IF('STUDENT SCREENING'!BR122="","",IF('STUDENT SCREENING'!BR122="Yes",1,0))</f>
        <v/>
      </c>
    </row>
    <row r="123" customFormat="false" ht="15" hidden="false" customHeight="false" outlineLevel="0" collapsed="false">
      <c r="A123" s="58" t="str">
        <f aca="false">'STUDENT SCREENING'!A123</f>
        <v/>
      </c>
      <c r="B123" s="58" t="n">
        <f aca="false">'STUDENT SCREENING'!C123</f>
        <v>0</v>
      </c>
      <c r="C123" s="58" t="n">
        <f aca="false">'STUDENT SCREENING'!D123</f>
        <v>0</v>
      </c>
      <c r="D123" s="58" t="n">
        <f aca="false">'STUDENT SCREENING'!E123</f>
        <v>0</v>
      </c>
      <c r="E123" s="58" t="n">
        <f aca="false">'STUDENT SCREENING'!F123</f>
        <v>0</v>
      </c>
      <c r="F123" s="58" t="n">
        <f aca="false">'STUDENT SCREENING'!K123</f>
        <v>0</v>
      </c>
      <c r="G123" s="58" t="n">
        <f aca="false">'STUDENT SCREENING'!J123</f>
        <v>0</v>
      </c>
      <c r="H123" s="58" t="str">
        <f aca="false">IF('STUDENT SCREENING'!K123="","",IFERROR(MATCH('STUDENT SCREENING'!K123,Adm_Gender,0),""))</f>
        <v/>
      </c>
      <c r="I123" s="58" t="n">
        <f aca="false">'STUDENT SCREENING'!Q123</f>
        <v>0</v>
      </c>
      <c r="J123" s="58" t="n">
        <f aca="false">'STUDENT SCREENING'!R123</f>
        <v>0</v>
      </c>
      <c r="K123" s="58" t="str">
        <f aca="false">'STUDENT SCREENING'!S123</f>
        <v/>
      </c>
      <c r="L123" s="58" t="n">
        <f aca="false">'STUDENT SCREENING'!U123</f>
        <v>0</v>
      </c>
      <c r="M123" s="58" t="n">
        <f aca="false">'STUDENT SCREENING'!V123</f>
        <v>0</v>
      </c>
      <c r="N123" s="58" t="str">
        <f aca="false">'STUDENT SCREENING'!BF123</f>
        <v/>
      </c>
      <c r="O123" s="58" t="str">
        <f aca="false">'STUDENT SCREENING'!BG123</f>
        <v/>
      </c>
      <c r="P123" s="58" t="str">
        <f aca="false">'STUDENT SCREENING'!BH123</f>
        <v/>
      </c>
      <c r="Q123" s="58" t="str">
        <f aca="false">'STUDENT SCREENING'!BI123</f>
        <v/>
      </c>
      <c r="R123" s="58" t="str">
        <f aca="false">'STUDENT SCREENING'!BJ123</f>
        <v/>
      </c>
      <c r="S123" s="58" t="str">
        <f aca="false">'STUDENT SCREENING'!BK123</f>
        <v/>
      </c>
      <c r="T123" s="58" t="str">
        <f aca="false">'STUDENT SCREENING'!BL123</f>
        <v/>
      </c>
      <c r="U123" s="58" t="str">
        <f aca="false">'STUDENT SCREENING'!BM123</f>
        <v/>
      </c>
      <c r="V123" s="58" t="str">
        <f aca="false">'STUDENT SCREENING'!BN123</f>
        <v/>
      </c>
      <c r="W123" s="58" t="str">
        <f aca="false">'STUDENT SCREENING'!BO123</f>
        <v/>
      </c>
      <c r="X123" s="58" t="str">
        <f aca="false">IF('STUDENT SCREENING'!W123="","",IFERROR(INDEX('SCORING MASTER'!$D$5:$D$7,MATCH('STUDENT SCREENING'!W123,'SCORING MASTER'!$C$5:$C$7,0)),""))</f>
        <v/>
      </c>
      <c r="Y123" s="58" t="str">
        <f aca="false">IF('STUDENT SCREENING'!X123="","",IFERROR(INDEX('SCORING MASTER'!$D$9:$D$11,MATCH('STUDENT SCREENING'!X123,'SCORING MASTER'!$C$9:$C$11,0)),""))</f>
        <v/>
      </c>
      <c r="Z123" s="58" t="str">
        <f aca="false">IF('STUDENT SCREENING'!Y123="","",IFERROR(INDEX('SCORING MASTER'!$D$13:$D$15,MATCH('STUDENT SCREENING'!Y123,'SCORING MASTER'!$C$13:$C$15,0)),""))</f>
        <v/>
      </c>
      <c r="AA123" s="58" t="str">
        <f aca="false">IF('STUDENT SCREENING'!Z123="","",IFERROR(INDEX('SCORING MASTER'!$D$17:$D$19,MATCH('STUDENT SCREENING'!Z123,'SCORING MASTER'!$C$17:$C$19,0)),""))</f>
        <v/>
      </c>
      <c r="AB123" s="58" t="str">
        <f aca="false">IF('STUDENT SCREENING'!AA123="","",IFERROR(INDEX('SCORING MASTER'!$D$21:$D$23,MATCH('STUDENT SCREENING'!AA123,'SCORING MASTER'!$C$21:$C$23,0)),""))</f>
        <v/>
      </c>
      <c r="AC123" s="58" t="str">
        <f aca="false">IF('STUDENT SCREENING'!AB123="","",IFERROR(INDEX('SCORING MASTER'!$D$25:$D$27,MATCH('STUDENT SCREENING'!AB123,'SCORING MASTER'!$C$25:$C$27,0)),""))</f>
        <v/>
      </c>
      <c r="AD123" s="58" t="str">
        <f aca="false">IF('STUDENT SCREENING'!AC123="","",IFERROR(INDEX('SCORING MASTER'!$D$29:$D$31,MATCH('STUDENT SCREENING'!AC123,'SCORING MASTER'!$C$29:$C$31,0)),""))</f>
        <v/>
      </c>
      <c r="AE123" s="58" t="str">
        <f aca="false">IF('STUDENT SCREENING'!AD123="","",IFERROR(INDEX('SCORING MASTER'!$D$33:$D$35,MATCH('STUDENT SCREENING'!AD123,'SCORING MASTER'!$C$33:$C$35,0)),""))</f>
        <v/>
      </c>
      <c r="AF123" s="58" t="str">
        <f aca="false">IF('STUDENT SCREENING'!AE123="","",IFERROR(INDEX('SCORING MASTER'!$D$37:$D$39,MATCH('STUDENT SCREENING'!AE123,'SCORING MASTER'!$C$37:$C$39,0)),""))</f>
        <v/>
      </c>
      <c r="AG123" s="58" t="str">
        <f aca="false">IF('STUDENT SCREENING'!AF123="","",IFERROR(INDEX('SCORING MASTER'!$D$41:$D$43,MATCH('STUDENT SCREENING'!AF123,'SCORING MASTER'!$C$41:$C$43,0)),""))</f>
        <v/>
      </c>
      <c r="AH123" s="58" t="str">
        <f aca="false">IF('STUDENT SCREENING'!AG123="","",IFERROR(INDEX('SCORING MASTER'!$D$45:$D$47,MATCH('STUDENT SCREENING'!AG123,'SCORING MASTER'!$C$45:$C$47,0)),""))</f>
        <v/>
      </c>
      <c r="AI123" s="58" t="str">
        <f aca="false">IF('STUDENT SCREENING'!AH123="","",IFERROR(INDEX('SCORING MASTER'!$D$49:$D$52,MATCH('STUDENT SCREENING'!AH123,'SCORING MASTER'!$C$49:$C$52,0)),""))</f>
        <v/>
      </c>
      <c r="AJ123" s="58" t="str">
        <f aca="false">IF('STUDENT SCREENING'!AI123="","",IFERROR(INDEX('SCORING MASTER'!$D$54:$D$57,MATCH('STUDENT SCREENING'!AI123,'SCORING MASTER'!$C$54:$C$57,0)),""))</f>
        <v/>
      </c>
      <c r="AK123" s="58" t="str">
        <f aca="false">IF('STUDENT SCREENING'!AJ123="","",IFERROR(INDEX('SCORING MASTER'!$D$59:$D$60,MATCH('STUDENT SCREENING'!AJ123,'SCORING MASTER'!$C$59:$C$60,0)),""))</f>
        <v/>
      </c>
      <c r="AL123" s="58" t="str">
        <f aca="false">IF('STUDENT SCREENING'!AK123="","",IFERROR(INDEX('SCORING MASTER'!$D$62:$D$63,MATCH('STUDENT SCREENING'!AK123,'SCORING MASTER'!$C$62:$C$63,0)),""))</f>
        <v/>
      </c>
      <c r="AM123" s="58" t="str">
        <f aca="false">IF('STUDENT SCREENING'!AL123="","",IFERROR(INDEX('SCORING MASTER'!$D$65:$D$66,MATCH('STUDENT SCREENING'!AL123,'SCORING MASTER'!$C$65:$C$66,0)),""))</f>
        <v/>
      </c>
      <c r="AN123" s="58" t="str">
        <f aca="false">IF('STUDENT SCREENING'!AM123="","",IFERROR(INDEX('SCORING MASTER'!$D$68:$D$69,MATCH('STUDENT SCREENING'!AM123,'SCORING MASTER'!$C$68:$C$69,0)),""))</f>
        <v/>
      </c>
      <c r="AO123" s="58" t="str">
        <f aca="false">IF('STUDENT SCREENING'!AN123="","",IFERROR(INDEX('SCORING MASTER'!$D$71:$D$72,MATCH('STUDENT SCREENING'!AN123,'SCORING MASTER'!$C$71:$C$72,0)),""))</f>
        <v/>
      </c>
      <c r="AP123" s="58" t="str">
        <f aca="false">IF('STUDENT SCREENING'!AO123="","",IFERROR(INDEX('SCORING MASTER'!$D$74:$D$75,MATCH('STUDENT SCREENING'!AO123,'SCORING MASTER'!$C$74:$C$75,0)),""))</f>
        <v/>
      </c>
      <c r="AQ123" s="58" t="str">
        <f aca="false">IF('STUDENT SCREENING'!AP123="","",IFERROR(INDEX('SCORING MASTER'!$D$77:$D$78,MATCH('STUDENT SCREENING'!AP123,'SCORING MASTER'!$C$77:$C$78,0)),""))</f>
        <v/>
      </c>
      <c r="AR123" s="58" t="str">
        <f aca="false">IF('STUDENT SCREENING'!AQ123="","",IFERROR(INDEX('SCORING MASTER'!$D$80:$D$82,MATCH('STUDENT SCREENING'!AQ123,'SCORING MASTER'!$C$80:$C$82,0)),""))</f>
        <v/>
      </c>
      <c r="AS123" s="58" t="str">
        <f aca="false">IF('STUDENT SCREENING'!AR123="","",IFERROR(INDEX('SCORING MASTER'!$D$84:$D$86,MATCH('STUDENT SCREENING'!AR123,'SCORING MASTER'!$C$84:$C$86,0)),""))</f>
        <v/>
      </c>
      <c r="AT123" s="58" t="str">
        <f aca="false">IF('STUDENT SCREENING'!AS123="","",IFERROR(INDEX('SCORING MASTER'!$D$88:$D$90,MATCH('STUDENT SCREENING'!AS123,'SCORING MASTER'!$C$88:$C$90,0)),""))</f>
        <v/>
      </c>
      <c r="AU123" s="58" t="str">
        <f aca="false">IF('STUDENT SCREENING'!AT123="","",IFERROR(INDEX('SCORING MASTER'!$D$92:$D$93,MATCH('STUDENT SCREENING'!AT123,'SCORING MASTER'!$C$92:$C$93,0)),""))</f>
        <v/>
      </c>
      <c r="AV123" s="58" t="str">
        <f aca="false">IF('STUDENT SCREENING'!AU123="","",IFERROR(INDEX('SCORING MASTER'!$D$95:$D$96,MATCH('STUDENT SCREENING'!AU123,'SCORING MASTER'!$C$95:$C$96,0)),""))</f>
        <v/>
      </c>
      <c r="AW123" s="58" t="str">
        <f aca="false">IF('STUDENT SCREENING'!AV123="","",IFERROR(INDEX('SCORING MASTER'!$D$98:$D$99,MATCH('STUDENT SCREENING'!AV123,'SCORING MASTER'!$C$98:$C$99,0)),""))</f>
        <v/>
      </c>
      <c r="AX123" s="58" t="str">
        <f aca="false">IF('STUDENT SCREENING'!AW123="","",IFERROR(INDEX('SCORING MASTER'!$D$101:$D$102,MATCH('STUDENT SCREENING'!AW123,'SCORING MASTER'!$C$101:$C$102,0)),""))</f>
        <v/>
      </c>
      <c r="AY123" s="58" t="str">
        <f aca="false">IF('STUDENT SCREENING'!AX123="","",IFERROR(INDEX('SCORING MASTER'!$D$104:$D$105,MATCH('STUDENT SCREENING'!AX123,'SCORING MASTER'!$C$104:$C$105,0)),""))</f>
        <v/>
      </c>
      <c r="AZ123" s="58" t="str">
        <f aca="false">IF('STUDENT SCREENING'!AY123="","",IFERROR(INDEX('SCORING MASTER'!$D$107:$D$108,MATCH('STUDENT SCREENING'!AY123,'SCORING MASTER'!$C$107:$C$108,0)),""))</f>
        <v/>
      </c>
      <c r="BA123" s="58" t="str">
        <f aca="false">IF('STUDENT SCREENING'!AZ123="","",IFERROR(INDEX('SCORING MASTER'!$D$110:$D$111,MATCH('STUDENT SCREENING'!AZ123,'SCORING MASTER'!$C$110:$C$111,0)),""))</f>
        <v/>
      </c>
      <c r="BB123" s="58" t="str">
        <f aca="false">IF('STUDENT SCREENING'!BA123="","",IFERROR(INDEX('SCORING MASTER'!$D$113:$D$115,MATCH('STUDENT SCREENING'!BA123,'SCORING MASTER'!$C$113:$C$115,0)),""))</f>
        <v/>
      </c>
      <c r="BC123" s="58" t="str">
        <f aca="false">IF('STUDENT SCREENING'!BB123="","",IFERROR(INDEX('SCORING MASTER'!$D$117:$D$119,MATCH('STUDENT SCREENING'!BB123,'SCORING MASTER'!$C$117:$C$119,0)),""))</f>
        <v/>
      </c>
      <c r="BD123" s="58" t="str">
        <f aca="false">IF('STUDENT SCREENING'!BC123="","",IFERROR(INDEX('SCORING MASTER'!$D$121:$D$123,MATCH('STUDENT SCREENING'!BC123,'SCORING MASTER'!$C$121:$C$123,0)),""))</f>
        <v/>
      </c>
      <c r="BE123" s="58" t="str">
        <f aca="false">IF('STUDENT SCREENING'!BD123="","",IFERROR(INDEX('SCORING MASTER'!$D$125:$D$126,MATCH('STUDENT SCREENING'!BD123,'SCORING MASTER'!$C$125:$C$126,0)),""))</f>
        <v/>
      </c>
      <c r="BF123" s="58" t="str">
        <f aca="false">IF('STUDENT SCREENING'!BE123="","",IFERROR(INDEX('SCORING MASTER'!$D$128:$D$129,MATCH('STUDENT SCREENING'!BE123,'SCORING MASTER'!$C$128:$C$129,0)),""))</f>
        <v/>
      </c>
      <c r="BG123" s="58" t="str">
        <f aca="false">IF('STUDENT SCREENING'!BP123="","",IFERROR(MATCH('STUDENT SCREENING'!BP123,{"Red - High Risk","Orange - Moderate Risk","Yellow - Mild Risk","Light Green - Mild Watch","Green - Healthy"},0)-1,""))</f>
        <v/>
      </c>
      <c r="BH123" s="58" t="str">
        <f aca="false">IF('STUDENT SCREENING'!BQ123="","",IF('STUDENT SCREENING'!BQ123="Yes",1,0))</f>
        <v/>
      </c>
      <c r="BI123" s="58" t="str">
        <f aca="false">IF('STUDENT SCREENING'!BR123="","",IF('STUDENT SCREENING'!BR123="Yes",1,0))</f>
        <v/>
      </c>
    </row>
    <row r="124" customFormat="false" ht="15" hidden="false" customHeight="false" outlineLevel="0" collapsed="false">
      <c r="A124" s="57" t="str">
        <f aca="false">'STUDENT SCREENING'!A124</f>
        <v/>
      </c>
      <c r="B124" s="57" t="n">
        <f aca="false">'STUDENT SCREENING'!C124</f>
        <v>0</v>
      </c>
      <c r="C124" s="57" t="n">
        <f aca="false">'STUDENT SCREENING'!D124</f>
        <v>0</v>
      </c>
      <c r="D124" s="57" t="n">
        <f aca="false">'STUDENT SCREENING'!E124</f>
        <v>0</v>
      </c>
      <c r="E124" s="57" t="n">
        <f aca="false">'STUDENT SCREENING'!F124</f>
        <v>0</v>
      </c>
      <c r="F124" s="57" t="n">
        <f aca="false">'STUDENT SCREENING'!K124</f>
        <v>0</v>
      </c>
      <c r="G124" s="57" t="n">
        <f aca="false">'STUDENT SCREENING'!J124</f>
        <v>0</v>
      </c>
      <c r="H124" s="57" t="str">
        <f aca="false">IF('STUDENT SCREENING'!K124="","",IFERROR(MATCH('STUDENT SCREENING'!K124,Adm_Gender,0),""))</f>
        <v/>
      </c>
      <c r="I124" s="57" t="n">
        <f aca="false">'STUDENT SCREENING'!Q124</f>
        <v>0</v>
      </c>
      <c r="J124" s="57" t="n">
        <f aca="false">'STUDENT SCREENING'!R124</f>
        <v>0</v>
      </c>
      <c r="K124" s="57" t="str">
        <f aca="false">'STUDENT SCREENING'!S124</f>
        <v/>
      </c>
      <c r="L124" s="57" t="n">
        <f aca="false">'STUDENT SCREENING'!U124</f>
        <v>0</v>
      </c>
      <c r="M124" s="57" t="n">
        <f aca="false">'STUDENT SCREENING'!V124</f>
        <v>0</v>
      </c>
      <c r="N124" s="57" t="str">
        <f aca="false">'STUDENT SCREENING'!BF124</f>
        <v/>
      </c>
      <c r="O124" s="57" t="str">
        <f aca="false">'STUDENT SCREENING'!BG124</f>
        <v/>
      </c>
      <c r="P124" s="57" t="str">
        <f aca="false">'STUDENT SCREENING'!BH124</f>
        <v/>
      </c>
      <c r="Q124" s="57" t="str">
        <f aca="false">'STUDENT SCREENING'!BI124</f>
        <v/>
      </c>
      <c r="R124" s="57" t="str">
        <f aca="false">'STUDENT SCREENING'!BJ124</f>
        <v/>
      </c>
      <c r="S124" s="57" t="str">
        <f aca="false">'STUDENT SCREENING'!BK124</f>
        <v/>
      </c>
      <c r="T124" s="57" t="str">
        <f aca="false">'STUDENT SCREENING'!BL124</f>
        <v/>
      </c>
      <c r="U124" s="57" t="str">
        <f aca="false">'STUDENT SCREENING'!BM124</f>
        <v/>
      </c>
      <c r="V124" s="57" t="str">
        <f aca="false">'STUDENT SCREENING'!BN124</f>
        <v/>
      </c>
      <c r="W124" s="57" t="str">
        <f aca="false">'STUDENT SCREENING'!BO124</f>
        <v/>
      </c>
      <c r="X124" s="57" t="str">
        <f aca="false">IF('STUDENT SCREENING'!W124="","",IFERROR(INDEX('SCORING MASTER'!$D$5:$D$7,MATCH('STUDENT SCREENING'!W124,'SCORING MASTER'!$C$5:$C$7,0)),""))</f>
        <v/>
      </c>
      <c r="Y124" s="57" t="str">
        <f aca="false">IF('STUDENT SCREENING'!X124="","",IFERROR(INDEX('SCORING MASTER'!$D$9:$D$11,MATCH('STUDENT SCREENING'!X124,'SCORING MASTER'!$C$9:$C$11,0)),""))</f>
        <v/>
      </c>
      <c r="Z124" s="57" t="str">
        <f aca="false">IF('STUDENT SCREENING'!Y124="","",IFERROR(INDEX('SCORING MASTER'!$D$13:$D$15,MATCH('STUDENT SCREENING'!Y124,'SCORING MASTER'!$C$13:$C$15,0)),""))</f>
        <v/>
      </c>
      <c r="AA124" s="57" t="str">
        <f aca="false">IF('STUDENT SCREENING'!Z124="","",IFERROR(INDEX('SCORING MASTER'!$D$17:$D$19,MATCH('STUDENT SCREENING'!Z124,'SCORING MASTER'!$C$17:$C$19,0)),""))</f>
        <v/>
      </c>
      <c r="AB124" s="57" t="str">
        <f aca="false">IF('STUDENT SCREENING'!AA124="","",IFERROR(INDEX('SCORING MASTER'!$D$21:$D$23,MATCH('STUDENT SCREENING'!AA124,'SCORING MASTER'!$C$21:$C$23,0)),""))</f>
        <v/>
      </c>
      <c r="AC124" s="57" t="str">
        <f aca="false">IF('STUDENT SCREENING'!AB124="","",IFERROR(INDEX('SCORING MASTER'!$D$25:$D$27,MATCH('STUDENT SCREENING'!AB124,'SCORING MASTER'!$C$25:$C$27,0)),""))</f>
        <v/>
      </c>
      <c r="AD124" s="57" t="str">
        <f aca="false">IF('STUDENT SCREENING'!AC124="","",IFERROR(INDEX('SCORING MASTER'!$D$29:$D$31,MATCH('STUDENT SCREENING'!AC124,'SCORING MASTER'!$C$29:$C$31,0)),""))</f>
        <v/>
      </c>
      <c r="AE124" s="57" t="str">
        <f aca="false">IF('STUDENT SCREENING'!AD124="","",IFERROR(INDEX('SCORING MASTER'!$D$33:$D$35,MATCH('STUDENT SCREENING'!AD124,'SCORING MASTER'!$C$33:$C$35,0)),""))</f>
        <v/>
      </c>
      <c r="AF124" s="57" t="str">
        <f aca="false">IF('STUDENT SCREENING'!AE124="","",IFERROR(INDEX('SCORING MASTER'!$D$37:$D$39,MATCH('STUDENT SCREENING'!AE124,'SCORING MASTER'!$C$37:$C$39,0)),""))</f>
        <v/>
      </c>
      <c r="AG124" s="57" t="str">
        <f aca="false">IF('STUDENT SCREENING'!AF124="","",IFERROR(INDEX('SCORING MASTER'!$D$41:$D$43,MATCH('STUDENT SCREENING'!AF124,'SCORING MASTER'!$C$41:$C$43,0)),""))</f>
        <v/>
      </c>
      <c r="AH124" s="57" t="str">
        <f aca="false">IF('STUDENT SCREENING'!AG124="","",IFERROR(INDEX('SCORING MASTER'!$D$45:$D$47,MATCH('STUDENT SCREENING'!AG124,'SCORING MASTER'!$C$45:$C$47,0)),""))</f>
        <v/>
      </c>
      <c r="AI124" s="57" t="str">
        <f aca="false">IF('STUDENT SCREENING'!AH124="","",IFERROR(INDEX('SCORING MASTER'!$D$49:$D$52,MATCH('STUDENT SCREENING'!AH124,'SCORING MASTER'!$C$49:$C$52,0)),""))</f>
        <v/>
      </c>
      <c r="AJ124" s="57" t="str">
        <f aca="false">IF('STUDENT SCREENING'!AI124="","",IFERROR(INDEX('SCORING MASTER'!$D$54:$D$57,MATCH('STUDENT SCREENING'!AI124,'SCORING MASTER'!$C$54:$C$57,0)),""))</f>
        <v/>
      </c>
      <c r="AK124" s="57" t="str">
        <f aca="false">IF('STUDENT SCREENING'!AJ124="","",IFERROR(INDEX('SCORING MASTER'!$D$59:$D$60,MATCH('STUDENT SCREENING'!AJ124,'SCORING MASTER'!$C$59:$C$60,0)),""))</f>
        <v/>
      </c>
      <c r="AL124" s="57" t="str">
        <f aca="false">IF('STUDENT SCREENING'!AK124="","",IFERROR(INDEX('SCORING MASTER'!$D$62:$D$63,MATCH('STUDENT SCREENING'!AK124,'SCORING MASTER'!$C$62:$C$63,0)),""))</f>
        <v/>
      </c>
      <c r="AM124" s="57" t="str">
        <f aca="false">IF('STUDENT SCREENING'!AL124="","",IFERROR(INDEX('SCORING MASTER'!$D$65:$D$66,MATCH('STUDENT SCREENING'!AL124,'SCORING MASTER'!$C$65:$C$66,0)),""))</f>
        <v/>
      </c>
      <c r="AN124" s="57" t="str">
        <f aca="false">IF('STUDENT SCREENING'!AM124="","",IFERROR(INDEX('SCORING MASTER'!$D$68:$D$69,MATCH('STUDENT SCREENING'!AM124,'SCORING MASTER'!$C$68:$C$69,0)),""))</f>
        <v/>
      </c>
      <c r="AO124" s="57" t="str">
        <f aca="false">IF('STUDENT SCREENING'!AN124="","",IFERROR(INDEX('SCORING MASTER'!$D$71:$D$72,MATCH('STUDENT SCREENING'!AN124,'SCORING MASTER'!$C$71:$C$72,0)),""))</f>
        <v/>
      </c>
      <c r="AP124" s="57" t="str">
        <f aca="false">IF('STUDENT SCREENING'!AO124="","",IFERROR(INDEX('SCORING MASTER'!$D$74:$D$75,MATCH('STUDENT SCREENING'!AO124,'SCORING MASTER'!$C$74:$C$75,0)),""))</f>
        <v/>
      </c>
      <c r="AQ124" s="57" t="str">
        <f aca="false">IF('STUDENT SCREENING'!AP124="","",IFERROR(INDEX('SCORING MASTER'!$D$77:$D$78,MATCH('STUDENT SCREENING'!AP124,'SCORING MASTER'!$C$77:$C$78,0)),""))</f>
        <v/>
      </c>
      <c r="AR124" s="57" t="str">
        <f aca="false">IF('STUDENT SCREENING'!AQ124="","",IFERROR(INDEX('SCORING MASTER'!$D$80:$D$82,MATCH('STUDENT SCREENING'!AQ124,'SCORING MASTER'!$C$80:$C$82,0)),""))</f>
        <v/>
      </c>
      <c r="AS124" s="57" t="str">
        <f aca="false">IF('STUDENT SCREENING'!AR124="","",IFERROR(INDEX('SCORING MASTER'!$D$84:$D$86,MATCH('STUDENT SCREENING'!AR124,'SCORING MASTER'!$C$84:$C$86,0)),""))</f>
        <v/>
      </c>
      <c r="AT124" s="57" t="str">
        <f aca="false">IF('STUDENT SCREENING'!AS124="","",IFERROR(INDEX('SCORING MASTER'!$D$88:$D$90,MATCH('STUDENT SCREENING'!AS124,'SCORING MASTER'!$C$88:$C$90,0)),""))</f>
        <v/>
      </c>
      <c r="AU124" s="57" t="str">
        <f aca="false">IF('STUDENT SCREENING'!AT124="","",IFERROR(INDEX('SCORING MASTER'!$D$92:$D$93,MATCH('STUDENT SCREENING'!AT124,'SCORING MASTER'!$C$92:$C$93,0)),""))</f>
        <v/>
      </c>
      <c r="AV124" s="57" t="str">
        <f aca="false">IF('STUDENT SCREENING'!AU124="","",IFERROR(INDEX('SCORING MASTER'!$D$95:$D$96,MATCH('STUDENT SCREENING'!AU124,'SCORING MASTER'!$C$95:$C$96,0)),""))</f>
        <v/>
      </c>
      <c r="AW124" s="57" t="str">
        <f aca="false">IF('STUDENT SCREENING'!AV124="","",IFERROR(INDEX('SCORING MASTER'!$D$98:$D$99,MATCH('STUDENT SCREENING'!AV124,'SCORING MASTER'!$C$98:$C$99,0)),""))</f>
        <v/>
      </c>
      <c r="AX124" s="57" t="str">
        <f aca="false">IF('STUDENT SCREENING'!AW124="","",IFERROR(INDEX('SCORING MASTER'!$D$101:$D$102,MATCH('STUDENT SCREENING'!AW124,'SCORING MASTER'!$C$101:$C$102,0)),""))</f>
        <v/>
      </c>
      <c r="AY124" s="57" t="str">
        <f aca="false">IF('STUDENT SCREENING'!AX124="","",IFERROR(INDEX('SCORING MASTER'!$D$104:$D$105,MATCH('STUDENT SCREENING'!AX124,'SCORING MASTER'!$C$104:$C$105,0)),""))</f>
        <v/>
      </c>
      <c r="AZ124" s="57" t="str">
        <f aca="false">IF('STUDENT SCREENING'!AY124="","",IFERROR(INDEX('SCORING MASTER'!$D$107:$D$108,MATCH('STUDENT SCREENING'!AY124,'SCORING MASTER'!$C$107:$C$108,0)),""))</f>
        <v/>
      </c>
      <c r="BA124" s="57" t="str">
        <f aca="false">IF('STUDENT SCREENING'!AZ124="","",IFERROR(INDEX('SCORING MASTER'!$D$110:$D$111,MATCH('STUDENT SCREENING'!AZ124,'SCORING MASTER'!$C$110:$C$111,0)),""))</f>
        <v/>
      </c>
      <c r="BB124" s="57" t="str">
        <f aca="false">IF('STUDENT SCREENING'!BA124="","",IFERROR(INDEX('SCORING MASTER'!$D$113:$D$115,MATCH('STUDENT SCREENING'!BA124,'SCORING MASTER'!$C$113:$C$115,0)),""))</f>
        <v/>
      </c>
      <c r="BC124" s="57" t="str">
        <f aca="false">IF('STUDENT SCREENING'!BB124="","",IFERROR(INDEX('SCORING MASTER'!$D$117:$D$119,MATCH('STUDENT SCREENING'!BB124,'SCORING MASTER'!$C$117:$C$119,0)),""))</f>
        <v/>
      </c>
      <c r="BD124" s="57" t="str">
        <f aca="false">IF('STUDENT SCREENING'!BC124="","",IFERROR(INDEX('SCORING MASTER'!$D$121:$D$123,MATCH('STUDENT SCREENING'!BC124,'SCORING MASTER'!$C$121:$C$123,0)),""))</f>
        <v/>
      </c>
      <c r="BE124" s="57" t="str">
        <f aca="false">IF('STUDENT SCREENING'!BD124="","",IFERROR(INDEX('SCORING MASTER'!$D$125:$D$126,MATCH('STUDENT SCREENING'!BD124,'SCORING MASTER'!$C$125:$C$126,0)),""))</f>
        <v/>
      </c>
      <c r="BF124" s="57" t="str">
        <f aca="false">IF('STUDENT SCREENING'!BE124="","",IFERROR(INDEX('SCORING MASTER'!$D$128:$D$129,MATCH('STUDENT SCREENING'!BE124,'SCORING MASTER'!$C$128:$C$129,0)),""))</f>
        <v/>
      </c>
      <c r="BG124" s="57" t="str">
        <f aca="false">IF('STUDENT SCREENING'!BP124="","",IFERROR(MATCH('STUDENT SCREENING'!BP124,{"Red - High Risk","Orange - Moderate Risk","Yellow - Mild Risk","Light Green - Mild Watch","Green - Healthy"},0)-1,""))</f>
        <v/>
      </c>
      <c r="BH124" s="57" t="str">
        <f aca="false">IF('STUDENT SCREENING'!BQ124="","",IF('STUDENT SCREENING'!BQ124="Yes",1,0))</f>
        <v/>
      </c>
      <c r="BI124" s="57" t="str">
        <f aca="false">IF('STUDENT SCREENING'!BR124="","",IF('STUDENT SCREENING'!BR124="Yes",1,0))</f>
        <v/>
      </c>
    </row>
    <row r="125" customFormat="false" ht="15" hidden="false" customHeight="false" outlineLevel="0" collapsed="false">
      <c r="A125" s="58" t="str">
        <f aca="false">'STUDENT SCREENING'!A125</f>
        <v/>
      </c>
      <c r="B125" s="58" t="n">
        <f aca="false">'STUDENT SCREENING'!C125</f>
        <v>0</v>
      </c>
      <c r="C125" s="58" t="n">
        <f aca="false">'STUDENT SCREENING'!D125</f>
        <v>0</v>
      </c>
      <c r="D125" s="58" t="n">
        <f aca="false">'STUDENT SCREENING'!E125</f>
        <v>0</v>
      </c>
      <c r="E125" s="58" t="n">
        <f aca="false">'STUDENT SCREENING'!F125</f>
        <v>0</v>
      </c>
      <c r="F125" s="58" t="n">
        <f aca="false">'STUDENT SCREENING'!K125</f>
        <v>0</v>
      </c>
      <c r="G125" s="58" t="n">
        <f aca="false">'STUDENT SCREENING'!J125</f>
        <v>0</v>
      </c>
      <c r="H125" s="58" t="str">
        <f aca="false">IF('STUDENT SCREENING'!K125="","",IFERROR(MATCH('STUDENT SCREENING'!K125,Adm_Gender,0),""))</f>
        <v/>
      </c>
      <c r="I125" s="58" t="n">
        <f aca="false">'STUDENT SCREENING'!Q125</f>
        <v>0</v>
      </c>
      <c r="J125" s="58" t="n">
        <f aca="false">'STUDENT SCREENING'!R125</f>
        <v>0</v>
      </c>
      <c r="K125" s="58" t="str">
        <f aca="false">'STUDENT SCREENING'!S125</f>
        <v/>
      </c>
      <c r="L125" s="58" t="n">
        <f aca="false">'STUDENT SCREENING'!U125</f>
        <v>0</v>
      </c>
      <c r="M125" s="58" t="n">
        <f aca="false">'STUDENT SCREENING'!V125</f>
        <v>0</v>
      </c>
      <c r="N125" s="58" t="str">
        <f aca="false">'STUDENT SCREENING'!BF125</f>
        <v/>
      </c>
      <c r="O125" s="58" t="str">
        <f aca="false">'STUDENT SCREENING'!BG125</f>
        <v/>
      </c>
      <c r="P125" s="58" t="str">
        <f aca="false">'STUDENT SCREENING'!BH125</f>
        <v/>
      </c>
      <c r="Q125" s="58" t="str">
        <f aca="false">'STUDENT SCREENING'!BI125</f>
        <v/>
      </c>
      <c r="R125" s="58" t="str">
        <f aca="false">'STUDENT SCREENING'!BJ125</f>
        <v/>
      </c>
      <c r="S125" s="58" t="str">
        <f aca="false">'STUDENT SCREENING'!BK125</f>
        <v/>
      </c>
      <c r="T125" s="58" t="str">
        <f aca="false">'STUDENT SCREENING'!BL125</f>
        <v/>
      </c>
      <c r="U125" s="58" t="str">
        <f aca="false">'STUDENT SCREENING'!BM125</f>
        <v/>
      </c>
      <c r="V125" s="58" t="str">
        <f aca="false">'STUDENT SCREENING'!BN125</f>
        <v/>
      </c>
      <c r="W125" s="58" t="str">
        <f aca="false">'STUDENT SCREENING'!BO125</f>
        <v/>
      </c>
      <c r="X125" s="58" t="str">
        <f aca="false">IF('STUDENT SCREENING'!W125="","",IFERROR(INDEX('SCORING MASTER'!$D$5:$D$7,MATCH('STUDENT SCREENING'!W125,'SCORING MASTER'!$C$5:$C$7,0)),""))</f>
        <v/>
      </c>
      <c r="Y125" s="58" t="str">
        <f aca="false">IF('STUDENT SCREENING'!X125="","",IFERROR(INDEX('SCORING MASTER'!$D$9:$D$11,MATCH('STUDENT SCREENING'!X125,'SCORING MASTER'!$C$9:$C$11,0)),""))</f>
        <v/>
      </c>
      <c r="Z125" s="58" t="str">
        <f aca="false">IF('STUDENT SCREENING'!Y125="","",IFERROR(INDEX('SCORING MASTER'!$D$13:$D$15,MATCH('STUDENT SCREENING'!Y125,'SCORING MASTER'!$C$13:$C$15,0)),""))</f>
        <v/>
      </c>
      <c r="AA125" s="58" t="str">
        <f aca="false">IF('STUDENT SCREENING'!Z125="","",IFERROR(INDEX('SCORING MASTER'!$D$17:$D$19,MATCH('STUDENT SCREENING'!Z125,'SCORING MASTER'!$C$17:$C$19,0)),""))</f>
        <v/>
      </c>
      <c r="AB125" s="58" t="str">
        <f aca="false">IF('STUDENT SCREENING'!AA125="","",IFERROR(INDEX('SCORING MASTER'!$D$21:$D$23,MATCH('STUDENT SCREENING'!AA125,'SCORING MASTER'!$C$21:$C$23,0)),""))</f>
        <v/>
      </c>
      <c r="AC125" s="58" t="str">
        <f aca="false">IF('STUDENT SCREENING'!AB125="","",IFERROR(INDEX('SCORING MASTER'!$D$25:$D$27,MATCH('STUDENT SCREENING'!AB125,'SCORING MASTER'!$C$25:$C$27,0)),""))</f>
        <v/>
      </c>
      <c r="AD125" s="58" t="str">
        <f aca="false">IF('STUDENT SCREENING'!AC125="","",IFERROR(INDEX('SCORING MASTER'!$D$29:$D$31,MATCH('STUDENT SCREENING'!AC125,'SCORING MASTER'!$C$29:$C$31,0)),""))</f>
        <v/>
      </c>
      <c r="AE125" s="58" t="str">
        <f aca="false">IF('STUDENT SCREENING'!AD125="","",IFERROR(INDEX('SCORING MASTER'!$D$33:$D$35,MATCH('STUDENT SCREENING'!AD125,'SCORING MASTER'!$C$33:$C$35,0)),""))</f>
        <v/>
      </c>
      <c r="AF125" s="58" t="str">
        <f aca="false">IF('STUDENT SCREENING'!AE125="","",IFERROR(INDEX('SCORING MASTER'!$D$37:$D$39,MATCH('STUDENT SCREENING'!AE125,'SCORING MASTER'!$C$37:$C$39,0)),""))</f>
        <v/>
      </c>
      <c r="AG125" s="58" t="str">
        <f aca="false">IF('STUDENT SCREENING'!AF125="","",IFERROR(INDEX('SCORING MASTER'!$D$41:$D$43,MATCH('STUDENT SCREENING'!AF125,'SCORING MASTER'!$C$41:$C$43,0)),""))</f>
        <v/>
      </c>
      <c r="AH125" s="58" t="str">
        <f aca="false">IF('STUDENT SCREENING'!AG125="","",IFERROR(INDEX('SCORING MASTER'!$D$45:$D$47,MATCH('STUDENT SCREENING'!AG125,'SCORING MASTER'!$C$45:$C$47,0)),""))</f>
        <v/>
      </c>
      <c r="AI125" s="58" t="str">
        <f aca="false">IF('STUDENT SCREENING'!AH125="","",IFERROR(INDEX('SCORING MASTER'!$D$49:$D$52,MATCH('STUDENT SCREENING'!AH125,'SCORING MASTER'!$C$49:$C$52,0)),""))</f>
        <v/>
      </c>
      <c r="AJ125" s="58" t="str">
        <f aca="false">IF('STUDENT SCREENING'!AI125="","",IFERROR(INDEX('SCORING MASTER'!$D$54:$D$57,MATCH('STUDENT SCREENING'!AI125,'SCORING MASTER'!$C$54:$C$57,0)),""))</f>
        <v/>
      </c>
      <c r="AK125" s="58" t="str">
        <f aca="false">IF('STUDENT SCREENING'!AJ125="","",IFERROR(INDEX('SCORING MASTER'!$D$59:$D$60,MATCH('STUDENT SCREENING'!AJ125,'SCORING MASTER'!$C$59:$C$60,0)),""))</f>
        <v/>
      </c>
      <c r="AL125" s="58" t="str">
        <f aca="false">IF('STUDENT SCREENING'!AK125="","",IFERROR(INDEX('SCORING MASTER'!$D$62:$D$63,MATCH('STUDENT SCREENING'!AK125,'SCORING MASTER'!$C$62:$C$63,0)),""))</f>
        <v/>
      </c>
      <c r="AM125" s="58" t="str">
        <f aca="false">IF('STUDENT SCREENING'!AL125="","",IFERROR(INDEX('SCORING MASTER'!$D$65:$D$66,MATCH('STUDENT SCREENING'!AL125,'SCORING MASTER'!$C$65:$C$66,0)),""))</f>
        <v/>
      </c>
      <c r="AN125" s="58" t="str">
        <f aca="false">IF('STUDENT SCREENING'!AM125="","",IFERROR(INDEX('SCORING MASTER'!$D$68:$D$69,MATCH('STUDENT SCREENING'!AM125,'SCORING MASTER'!$C$68:$C$69,0)),""))</f>
        <v/>
      </c>
      <c r="AO125" s="58" t="str">
        <f aca="false">IF('STUDENT SCREENING'!AN125="","",IFERROR(INDEX('SCORING MASTER'!$D$71:$D$72,MATCH('STUDENT SCREENING'!AN125,'SCORING MASTER'!$C$71:$C$72,0)),""))</f>
        <v/>
      </c>
      <c r="AP125" s="58" t="str">
        <f aca="false">IF('STUDENT SCREENING'!AO125="","",IFERROR(INDEX('SCORING MASTER'!$D$74:$D$75,MATCH('STUDENT SCREENING'!AO125,'SCORING MASTER'!$C$74:$C$75,0)),""))</f>
        <v/>
      </c>
      <c r="AQ125" s="58" t="str">
        <f aca="false">IF('STUDENT SCREENING'!AP125="","",IFERROR(INDEX('SCORING MASTER'!$D$77:$D$78,MATCH('STUDENT SCREENING'!AP125,'SCORING MASTER'!$C$77:$C$78,0)),""))</f>
        <v/>
      </c>
      <c r="AR125" s="58" t="str">
        <f aca="false">IF('STUDENT SCREENING'!AQ125="","",IFERROR(INDEX('SCORING MASTER'!$D$80:$D$82,MATCH('STUDENT SCREENING'!AQ125,'SCORING MASTER'!$C$80:$C$82,0)),""))</f>
        <v/>
      </c>
      <c r="AS125" s="58" t="str">
        <f aca="false">IF('STUDENT SCREENING'!AR125="","",IFERROR(INDEX('SCORING MASTER'!$D$84:$D$86,MATCH('STUDENT SCREENING'!AR125,'SCORING MASTER'!$C$84:$C$86,0)),""))</f>
        <v/>
      </c>
      <c r="AT125" s="58" t="str">
        <f aca="false">IF('STUDENT SCREENING'!AS125="","",IFERROR(INDEX('SCORING MASTER'!$D$88:$D$90,MATCH('STUDENT SCREENING'!AS125,'SCORING MASTER'!$C$88:$C$90,0)),""))</f>
        <v/>
      </c>
      <c r="AU125" s="58" t="str">
        <f aca="false">IF('STUDENT SCREENING'!AT125="","",IFERROR(INDEX('SCORING MASTER'!$D$92:$D$93,MATCH('STUDENT SCREENING'!AT125,'SCORING MASTER'!$C$92:$C$93,0)),""))</f>
        <v/>
      </c>
      <c r="AV125" s="58" t="str">
        <f aca="false">IF('STUDENT SCREENING'!AU125="","",IFERROR(INDEX('SCORING MASTER'!$D$95:$D$96,MATCH('STUDENT SCREENING'!AU125,'SCORING MASTER'!$C$95:$C$96,0)),""))</f>
        <v/>
      </c>
      <c r="AW125" s="58" t="str">
        <f aca="false">IF('STUDENT SCREENING'!AV125="","",IFERROR(INDEX('SCORING MASTER'!$D$98:$D$99,MATCH('STUDENT SCREENING'!AV125,'SCORING MASTER'!$C$98:$C$99,0)),""))</f>
        <v/>
      </c>
      <c r="AX125" s="58" t="str">
        <f aca="false">IF('STUDENT SCREENING'!AW125="","",IFERROR(INDEX('SCORING MASTER'!$D$101:$D$102,MATCH('STUDENT SCREENING'!AW125,'SCORING MASTER'!$C$101:$C$102,0)),""))</f>
        <v/>
      </c>
      <c r="AY125" s="58" t="str">
        <f aca="false">IF('STUDENT SCREENING'!AX125="","",IFERROR(INDEX('SCORING MASTER'!$D$104:$D$105,MATCH('STUDENT SCREENING'!AX125,'SCORING MASTER'!$C$104:$C$105,0)),""))</f>
        <v/>
      </c>
      <c r="AZ125" s="58" t="str">
        <f aca="false">IF('STUDENT SCREENING'!AY125="","",IFERROR(INDEX('SCORING MASTER'!$D$107:$D$108,MATCH('STUDENT SCREENING'!AY125,'SCORING MASTER'!$C$107:$C$108,0)),""))</f>
        <v/>
      </c>
      <c r="BA125" s="58" t="str">
        <f aca="false">IF('STUDENT SCREENING'!AZ125="","",IFERROR(INDEX('SCORING MASTER'!$D$110:$D$111,MATCH('STUDENT SCREENING'!AZ125,'SCORING MASTER'!$C$110:$C$111,0)),""))</f>
        <v/>
      </c>
      <c r="BB125" s="58" t="str">
        <f aca="false">IF('STUDENT SCREENING'!BA125="","",IFERROR(INDEX('SCORING MASTER'!$D$113:$D$115,MATCH('STUDENT SCREENING'!BA125,'SCORING MASTER'!$C$113:$C$115,0)),""))</f>
        <v/>
      </c>
      <c r="BC125" s="58" t="str">
        <f aca="false">IF('STUDENT SCREENING'!BB125="","",IFERROR(INDEX('SCORING MASTER'!$D$117:$D$119,MATCH('STUDENT SCREENING'!BB125,'SCORING MASTER'!$C$117:$C$119,0)),""))</f>
        <v/>
      </c>
      <c r="BD125" s="58" t="str">
        <f aca="false">IF('STUDENT SCREENING'!BC125="","",IFERROR(INDEX('SCORING MASTER'!$D$121:$D$123,MATCH('STUDENT SCREENING'!BC125,'SCORING MASTER'!$C$121:$C$123,0)),""))</f>
        <v/>
      </c>
      <c r="BE125" s="58" t="str">
        <f aca="false">IF('STUDENT SCREENING'!BD125="","",IFERROR(INDEX('SCORING MASTER'!$D$125:$D$126,MATCH('STUDENT SCREENING'!BD125,'SCORING MASTER'!$C$125:$C$126,0)),""))</f>
        <v/>
      </c>
      <c r="BF125" s="58" t="str">
        <f aca="false">IF('STUDENT SCREENING'!BE125="","",IFERROR(INDEX('SCORING MASTER'!$D$128:$D$129,MATCH('STUDENT SCREENING'!BE125,'SCORING MASTER'!$C$128:$C$129,0)),""))</f>
        <v/>
      </c>
      <c r="BG125" s="58" t="str">
        <f aca="false">IF('STUDENT SCREENING'!BP125="","",IFERROR(MATCH('STUDENT SCREENING'!BP125,{"Red - High Risk","Orange - Moderate Risk","Yellow - Mild Risk","Light Green - Mild Watch","Green - Healthy"},0)-1,""))</f>
        <v/>
      </c>
      <c r="BH125" s="58" t="str">
        <f aca="false">IF('STUDENT SCREENING'!BQ125="","",IF('STUDENT SCREENING'!BQ125="Yes",1,0))</f>
        <v/>
      </c>
      <c r="BI125" s="58" t="str">
        <f aca="false">IF('STUDENT SCREENING'!BR125="","",IF('STUDENT SCREENING'!BR125="Yes",1,0))</f>
        <v/>
      </c>
    </row>
    <row r="126" customFormat="false" ht="15" hidden="false" customHeight="false" outlineLevel="0" collapsed="false">
      <c r="A126" s="57" t="str">
        <f aca="false">'STUDENT SCREENING'!A126</f>
        <v/>
      </c>
      <c r="B126" s="57" t="n">
        <f aca="false">'STUDENT SCREENING'!C126</f>
        <v>0</v>
      </c>
      <c r="C126" s="57" t="n">
        <f aca="false">'STUDENT SCREENING'!D126</f>
        <v>0</v>
      </c>
      <c r="D126" s="57" t="n">
        <f aca="false">'STUDENT SCREENING'!E126</f>
        <v>0</v>
      </c>
      <c r="E126" s="57" t="n">
        <f aca="false">'STUDENT SCREENING'!F126</f>
        <v>0</v>
      </c>
      <c r="F126" s="57" t="n">
        <f aca="false">'STUDENT SCREENING'!K126</f>
        <v>0</v>
      </c>
      <c r="G126" s="57" t="n">
        <f aca="false">'STUDENT SCREENING'!J126</f>
        <v>0</v>
      </c>
      <c r="H126" s="57" t="str">
        <f aca="false">IF('STUDENT SCREENING'!K126="","",IFERROR(MATCH('STUDENT SCREENING'!K126,Adm_Gender,0),""))</f>
        <v/>
      </c>
      <c r="I126" s="57" t="n">
        <f aca="false">'STUDENT SCREENING'!Q126</f>
        <v>0</v>
      </c>
      <c r="J126" s="57" t="n">
        <f aca="false">'STUDENT SCREENING'!R126</f>
        <v>0</v>
      </c>
      <c r="K126" s="57" t="str">
        <f aca="false">'STUDENT SCREENING'!S126</f>
        <v/>
      </c>
      <c r="L126" s="57" t="n">
        <f aca="false">'STUDENT SCREENING'!U126</f>
        <v>0</v>
      </c>
      <c r="M126" s="57" t="n">
        <f aca="false">'STUDENT SCREENING'!V126</f>
        <v>0</v>
      </c>
      <c r="N126" s="57" t="str">
        <f aca="false">'STUDENT SCREENING'!BF126</f>
        <v/>
      </c>
      <c r="O126" s="57" t="str">
        <f aca="false">'STUDENT SCREENING'!BG126</f>
        <v/>
      </c>
      <c r="P126" s="57" t="str">
        <f aca="false">'STUDENT SCREENING'!BH126</f>
        <v/>
      </c>
      <c r="Q126" s="57" t="str">
        <f aca="false">'STUDENT SCREENING'!BI126</f>
        <v/>
      </c>
      <c r="R126" s="57" t="str">
        <f aca="false">'STUDENT SCREENING'!BJ126</f>
        <v/>
      </c>
      <c r="S126" s="57" t="str">
        <f aca="false">'STUDENT SCREENING'!BK126</f>
        <v/>
      </c>
      <c r="T126" s="57" t="str">
        <f aca="false">'STUDENT SCREENING'!BL126</f>
        <v/>
      </c>
      <c r="U126" s="57" t="str">
        <f aca="false">'STUDENT SCREENING'!BM126</f>
        <v/>
      </c>
      <c r="V126" s="57" t="str">
        <f aca="false">'STUDENT SCREENING'!BN126</f>
        <v/>
      </c>
      <c r="W126" s="57" t="str">
        <f aca="false">'STUDENT SCREENING'!BO126</f>
        <v/>
      </c>
      <c r="X126" s="57" t="str">
        <f aca="false">IF('STUDENT SCREENING'!W126="","",IFERROR(INDEX('SCORING MASTER'!$D$5:$D$7,MATCH('STUDENT SCREENING'!W126,'SCORING MASTER'!$C$5:$C$7,0)),""))</f>
        <v/>
      </c>
      <c r="Y126" s="57" t="str">
        <f aca="false">IF('STUDENT SCREENING'!X126="","",IFERROR(INDEX('SCORING MASTER'!$D$9:$D$11,MATCH('STUDENT SCREENING'!X126,'SCORING MASTER'!$C$9:$C$11,0)),""))</f>
        <v/>
      </c>
      <c r="Z126" s="57" t="str">
        <f aca="false">IF('STUDENT SCREENING'!Y126="","",IFERROR(INDEX('SCORING MASTER'!$D$13:$D$15,MATCH('STUDENT SCREENING'!Y126,'SCORING MASTER'!$C$13:$C$15,0)),""))</f>
        <v/>
      </c>
      <c r="AA126" s="57" t="str">
        <f aca="false">IF('STUDENT SCREENING'!Z126="","",IFERROR(INDEX('SCORING MASTER'!$D$17:$D$19,MATCH('STUDENT SCREENING'!Z126,'SCORING MASTER'!$C$17:$C$19,0)),""))</f>
        <v/>
      </c>
      <c r="AB126" s="57" t="str">
        <f aca="false">IF('STUDENT SCREENING'!AA126="","",IFERROR(INDEX('SCORING MASTER'!$D$21:$D$23,MATCH('STUDENT SCREENING'!AA126,'SCORING MASTER'!$C$21:$C$23,0)),""))</f>
        <v/>
      </c>
      <c r="AC126" s="57" t="str">
        <f aca="false">IF('STUDENT SCREENING'!AB126="","",IFERROR(INDEX('SCORING MASTER'!$D$25:$D$27,MATCH('STUDENT SCREENING'!AB126,'SCORING MASTER'!$C$25:$C$27,0)),""))</f>
        <v/>
      </c>
      <c r="AD126" s="57" t="str">
        <f aca="false">IF('STUDENT SCREENING'!AC126="","",IFERROR(INDEX('SCORING MASTER'!$D$29:$D$31,MATCH('STUDENT SCREENING'!AC126,'SCORING MASTER'!$C$29:$C$31,0)),""))</f>
        <v/>
      </c>
      <c r="AE126" s="57" t="str">
        <f aca="false">IF('STUDENT SCREENING'!AD126="","",IFERROR(INDEX('SCORING MASTER'!$D$33:$D$35,MATCH('STUDENT SCREENING'!AD126,'SCORING MASTER'!$C$33:$C$35,0)),""))</f>
        <v/>
      </c>
      <c r="AF126" s="57" t="str">
        <f aca="false">IF('STUDENT SCREENING'!AE126="","",IFERROR(INDEX('SCORING MASTER'!$D$37:$D$39,MATCH('STUDENT SCREENING'!AE126,'SCORING MASTER'!$C$37:$C$39,0)),""))</f>
        <v/>
      </c>
      <c r="AG126" s="57" t="str">
        <f aca="false">IF('STUDENT SCREENING'!AF126="","",IFERROR(INDEX('SCORING MASTER'!$D$41:$D$43,MATCH('STUDENT SCREENING'!AF126,'SCORING MASTER'!$C$41:$C$43,0)),""))</f>
        <v/>
      </c>
      <c r="AH126" s="57" t="str">
        <f aca="false">IF('STUDENT SCREENING'!AG126="","",IFERROR(INDEX('SCORING MASTER'!$D$45:$D$47,MATCH('STUDENT SCREENING'!AG126,'SCORING MASTER'!$C$45:$C$47,0)),""))</f>
        <v/>
      </c>
      <c r="AI126" s="57" t="str">
        <f aca="false">IF('STUDENT SCREENING'!AH126="","",IFERROR(INDEX('SCORING MASTER'!$D$49:$D$52,MATCH('STUDENT SCREENING'!AH126,'SCORING MASTER'!$C$49:$C$52,0)),""))</f>
        <v/>
      </c>
      <c r="AJ126" s="57" t="str">
        <f aca="false">IF('STUDENT SCREENING'!AI126="","",IFERROR(INDEX('SCORING MASTER'!$D$54:$D$57,MATCH('STUDENT SCREENING'!AI126,'SCORING MASTER'!$C$54:$C$57,0)),""))</f>
        <v/>
      </c>
      <c r="AK126" s="57" t="str">
        <f aca="false">IF('STUDENT SCREENING'!AJ126="","",IFERROR(INDEX('SCORING MASTER'!$D$59:$D$60,MATCH('STUDENT SCREENING'!AJ126,'SCORING MASTER'!$C$59:$C$60,0)),""))</f>
        <v/>
      </c>
      <c r="AL126" s="57" t="str">
        <f aca="false">IF('STUDENT SCREENING'!AK126="","",IFERROR(INDEX('SCORING MASTER'!$D$62:$D$63,MATCH('STUDENT SCREENING'!AK126,'SCORING MASTER'!$C$62:$C$63,0)),""))</f>
        <v/>
      </c>
      <c r="AM126" s="57" t="str">
        <f aca="false">IF('STUDENT SCREENING'!AL126="","",IFERROR(INDEX('SCORING MASTER'!$D$65:$D$66,MATCH('STUDENT SCREENING'!AL126,'SCORING MASTER'!$C$65:$C$66,0)),""))</f>
        <v/>
      </c>
      <c r="AN126" s="57" t="str">
        <f aca="false">IF('STUDENT SCREENING'!AM126="","",IFERROR(INDEX('SCORING MASTER'!$D$68:$D$69,MATCH('STUDENT SCREENING'!AM126,'SCORING MASTER'!$C$68:$C$69,0)),""))</f>
        <v/>
      </c>
      <c r="AO126" s="57" t="str">
        <f aca="false">IF('STUDENT SCREENING'!AN126="","",IFERROR(INDEX('SCORING MASTER'!$D$71:$D$72,MATCH('STUDENT SCREENING'!AN126,'SCORING MASTER'!$C$71:$C$72,0)),""))</f>
        <v/>
      </c>
      <c r="AP126" s="57" t="str">
        <f aca="false">IF('STUDENT SCREENING'!AO126="","",IFERROR(INDEX('SCORING MASTER'!$D$74:$D$75,MATCH('STUDENT SCREENING'!AO126,'SCORING MASTER'!$C$74:$C$75,0)),""))</f>
        <v/>
      </c>
      <c r="AQ126" s="57" t="str">
        <f aca="false">IF('STUDENT SCREENING'!AP126="","",IFERROR(INDEX('SCORING MASTER'!$D$77:$D$78,MATCH('STUDENT SCREENING'!AP126,'SCORING MASTER'!$C$77:$C$78,0)),""))</f>
        <v/>
      </c>
      <c r="AR126" s="57" t="str">
        <f aca="false">IF('STUDENT SCREENING'!AQ126="","",IFERROR(INDEX('SCORING MASTER'!$D$80:$D$82,MATCH('STUDENT SCREENING'!AQ126,'SCORING MASTER'!$C$80:$C$82,0)),""))</f>
        <v/>
      </c>
      <c r="AS126" s="57" t="str">
        <f aca="false">IF('STUDENT SCREENING'!AR126="","",IFERROR(INDEX('SCORING MASTER'!$D$84:$D$86,MATCH('STUDENT SCREENING'!AR126,'SCORING MASTER'!$C$84:$C$86,0)),""))</f>
        <v/>
      </c>
      <c r="AT126" s="57" t="str">
        <f aca="false">IF('STUDENT SCREENING'!AS126="","",IFERROR(INDEX('SCORING MASTER'!$D$88:$D$90,MATCH('STUDENT SCREENING'!AS126,'SCORING MASTER'!$C$88:$C$90,0)),""))</f>
        <v/>
      </c>
      <c r="AU126" s="57" t="str">
        <f aca="false">IF('STUDENT SCREENING'!AT126="","",IFERROR(INDEX('SCORING MASTER'!$D$92:$D$93,MATCH('STUDENT SCREENING'!AT126,'SCORING MASTER'!$C$92:$C$93,0)),""))</f>
        <v/>
      </c>
      <c r="AV126" s="57" t="str">
        <f aca="false">IF('STUDENT SCREENING'!AU126="","",IFERROR(INDEX('SCORING MASTER'!$D$95:$D$96,MATCH('STUDENT SCREENING'!AU126,'SCORING MASTER'!$C$95:$C$96,0)),""))</f>
        <v/>
      </c>
      <c r="AW126" s="57" t="str">
        <f aca="false">IF('STUDENT SCREENING'!AV126="","",IFERROR(INDEX('SCORING MASTER'!$D$98:$D$99,MATCH('STUDENT SCREENING'!AV126,'SCORING MASTER'!$C$98:$C$99,0)),""))</f>
        <v/>
      </c>
      <c r="AX126" s="57" t="str">
        <f aca="false">IF('STUDENT SCREENING'!AW126="","",IFERROR(INDEX('SCORING MASTER'!$D$101:$D$102,MATCH('STUDENT SCREENING'!AW126,'SCORING MASTER'!$C$101:$C$102,0)),""))</f>
        <v/>
      </c>
      <c r="AY126" s="57" t="str">
        <f aca="false">IF('STUDENT SCREENING'!AX126="","",IFERROR(INDEX('SCORING MASTER'!$D$104:$D$105,MATCH('STUDENT SCREENING'!AX126,'SCORING MASTER'!$C$104:$C$105,0)),""))</f>
        <v/>
      </c>
      <c r="AZ126" s="57" t="str">
        <f aca="false">IF('STUDENT SCREENING'!AY126="","",IFERROR(INDEX('SCORING MASTER'!$D$107:$D$108,MATCH('STUDENT SCREENING'!AY126,'SCORING MASTER'!$C$107:$C$108,0)),""))</f>
        <v/>
      </c>
      <c r="BA126" s="57" t="str">
        <f aca="false">IF('STUDENT SCREENING'!AZ126="","",IFERROR(INDEX('SCORING MASTER'!$D$110:$D$111,MATCH('STUDENT SCREENING'!AZ126,'SCORING MASTER'!$C$110:$C$111,0)),""))</f>
        <v/>
      </c>
      <c r="BB126" s="57" t="str">
        <f aca="false">IF('STUDENT SCREENING'!BA126="","",IFERROR(INDEX('SCORING MASTER'!$D$113:$D$115,MATCH('STUDENT SCREENING'!BA126,'SCORING MASTER'!$C$113:$C$115,0)),""))</f>
        <v/>
      </c>
      <c r="BC126" s="57" t="str">
        <f aca="false">IF('STUDENT SCREENING'!BB126="","",IFERROR(INDEX('SCORING MASTER'!$D$117:$D$119,MATCH('STUDENT SCREENING'!BB126,'SCORING MASTER'!$C$117:$C$119,0)),""))</f>
        <v/>
      </c>
      <c r="BD126" s="57" t="str">
        <f aca="false">IF('STUDENT SCREENING'!BC126="","",IFERROR(INDEX('SCORING MASTER'!$D$121:$D$123,MATCH('STUDENT SCREENING'!BC126,'SCORING MASTER'!$C$121:$C$123,0)),""))</f>
        <v/>
      </c>
      <c r="BE126" s="57" t="str">
        <f aca="false">IF('STUDENT SCREENING'!BD126="","",IFERROR(INDEX('SCORING MASTER'!$D$125:$D$126,MATCH('STUDENT SCREENING'!BD126,'SCORING MASTER'!$C$125:$C$126,0)),""))</f>
        <v/>
      </c>
      <c r="BF126" s="57" t="str">
        <f aca="false">IF('STUDENT SCREENING'!BE126="","",IFERROR(INDEX('SCORING MASTER'!$D$128:$D$129,MATCH('STUDENT SCREENING'!BE126,'SCORING MASTER'!$C$128:$C$129,0)),""))</f>
        <v/>
      </c>
      <c r="BG126" s="57" t="str">
        <f aca="false">IF('STUDENT SCREENING'!BP126="","",IFERROR(MATCH('STUDENT SCREENING'!BP126,{"Red - High Risk","Orange - Moderate Risk","Yellow - Mild Risk","Light Green - Mild Watch","Green - Healthy"},0)-1,""))</f>
        <v/>
      </c>
      <c r="BH126" s="57" t="str">
        <f aca="false">IF('STUDENT SCREENING'!BQ126="","",IF('STUDENT SCREENING'!BQ126="Yes",1,0))</f>
        <v/>
      </c>
      <c r="BI126" s="57" t="str">
        <f aca="false">IF('STUDENT SCREENING'!BR126="","",IF('STUDENT SCREENING'!BR126="Yes",1,0))</f>
        <v/>
      </c>
    </row>
    <row r="127" customFormat="false" ht="15" hidden="false" customHeight="false" outlineLevel="0" collapsed="false">
      <c r="A127" s="58" t="str">
        <f aca="false">'STUDENT SCREENING'!A127</f>
        <v/>
      </c>
      <c r="B127" s="58" t="n">
        <f aca="false">'STUDENT SCREENING'!C127</f>
        <v>0</v>
      </c>
      <c r="C127" s="58" t="n">
        <f aca="false">'STUDENT SCREENING'!D127</f>
        <v>0</v>
      </c>
      <c r="D127" s="58" t="n">
        <f aca="false">'STUDENT SCREENING'!E127</f>
        <v>0</v>
      </c>
      <c r="E127" s="58" t="n">
        <f aca="false">'STUDENT SCREENING'!F127</f>
        <v>0</v>
      </c>
      <c r="F127" s="58" t="n">
        <f aca="false">'STUDENT SCREENING'!K127</f>
        <v>0</v>
      </c>
      <c r="G127" s="58" t="n">
        <f aca="false">'STUDENT SCREENING'!J127</f>
        <v>0</v>
      </c>
      <c r="H127" s="58" t="str">
        <f aca="false">IF('STUDENT SCREENING'!K127="","",IFERROR(MATCH('STUDENT SCREENING'!K127,Adm_Gender,0),""))</f>
        <v/>
      </c>
      <c r="I127" s="58" t="n">
        <f aca="false">'STUDENT SCREENING'!Q127</f>
        <v>0</v>
      </c>
      <c r="J127" s="58" t="n">
        <f aca="false">'STUDENT SCREENING'!R127</f>
        <v>0</v>
      </c>
      <c r="K127" s="58" t="str">
        <f aca="false">'STUDENT SCREENING'!S127</f>
        <v/>
      </c>
      <c r="L127" s="58" t="n">
        <f aca="false">'STUDENT SCREENING'!U127</f>
        <v>0</v>
      </c>
      <c r="M127" s="58" t="n">
        <f aca="false">'STUDENT SCREENING'!V127</f>
        <v>0</v>
      </c>
      <c r="N127" s="58" t="str">
        <f aca="false">'STUDENT SCREENING'!BF127</f>
        <v/>
      </c>
      <c r="O127" s="58" t="str">
        <f aca="false">'STUDENT SCREENING'!BG127</f>
        <v/>
      </c>
      <c r="P127" s="58" t="str">
        <f aca="false">'STUDENT SCREENING'!BH127</f>
        <v/>
      </c>
      <c r="Q127" s="58" t="str">
        <f aca="false">'STUDENT SCREENING'!BI127</f>
        <v/>
      </c>
      <c r="R127" s="58" t="str">
        <f aca="false">'STUDENT SCREENING'!BJ127</f>
        <v/>
      </c>
      <c r="S127" s="58" t="str">
        <f aca="false">'STUDENT SCREENING'!BK127</f>
        <v/>
      </c>
      <c r="T127" s="58" t="str">
        <f aca="false">'STUDENT SCREENING'!BL127</f>
        <v/>
      </c>
      <c r="U127" s="58" t="str">
        <f aca="false">'STUDENT SCREENING'!BM127</f>
        <v/>
      </c>
      <c r="V127" s="58" t="str">
        <f aca="false">'STUDENT SCREENING'!BN127</f>
        <v/>
      </c>
      <c r="W127" s="58" t="str">
        <f aca="false">'STUDENT SCREENING'!BO127</f>
        <v/>
      </c>
      <c r="X127" s="58" t="str">
        <f aca="false">IF('STUDENT SCREENING'!W127="","",IFERROR(INDEX('SCORING MASTER'!$D$5:$D$7,MATCH('STUDENT SCREENING'!W127,'SCORING MASTER'!$C$5:$C$7,0)),""))</f>
        <v/>
      </c>
      <c r="Y127" s="58" t="str">
        <f aca="false">IF('STUDENT SCREENING'!X127="","",IFERROR(INDEX('SCORING MASTER'!$D$9:$D$11,MATCH('STUDENT SCREENING'!X127,'SCORING MASTER'!$C$9:$C$11,0)),""))</f>
        <v/>
      </c>
      <c r="Z127" s="58" t="str">
        <f aca="false">IF('STUDENT SCREENING'!Y127="","",IFERROR(INDEX('SCORING MASTER'!$D$13:$D$15,MATCH('STUDENT SCREENING'!Y127,'SCORING MASTER'!$C$13:$C$15,0)),""))</f>
        <v/>
      </c>
      <c r="AA127" s="58" t="str">
        <f aca="false">IF('STUDENT SCREENING'!Z127="","",IFERROR(INDEX('SCORING MASTER'!$D$17:$D$19,MATCH('STUDENT SCREENING'!Z127,'SCORING MASTER'!$C$17:$C$19,0)),""))</f>
        <v/>
      </c>
      <c r="AB127" s="58" t="str">
        <f aca="false">IF('STUDENT SCREENING'!AA127="","",IFERROR(INDEX('SCORING MASTER'!$D$21:$D$23,MATCH('STUDENT SCREENING'!AA127,'SCORING MASTER'!$C$21:$C$23,0)),""))</f>
        <v/>
      </c>
      <c r="AC127" s="58" t="str">
        <f aca="false">IF('STUDENT SCREENING'!AB127="","",IFERROR(INDEX('SCORING MASTER'!$D$25:$D$27,MATCH('STUDENT SCREENING'!AB127,'SCORING MASTER'!$C$25:$C$27,0)),""))</f>
        <v/>
      </c>
      <c r="AD127" s="58" t="str">
        <f aca="false">IF('STUDENT SCREENING'!AC127="","",IFERROR(INDEX('SCORING MASTER'!$D$29:$D$31,MATCH('STUDENT SCREENING'!AC127,'SCORING MASTER'!$C$29:$C$31,0)),""))</f>
        <v/>
      </c>
      <c r="AE127" s="58" t="str">
        <f aca="false">IF('STUDENT SCREENING'!AD127="","",IFERROR(INDEX('SCORING MASTER'!$D$33:$D$35,MATCH('STUDENT SCREENING'!AD127,'SCORING MASTER'!$C$33:$C$35,0)),""))</f>
        <v/>
      </c>
      <c r="AF127" s="58" t="str">
        <f aca="false">IF('STUDENT SCREENING'!AE127="","",IFERROR(INDEX('SCORING MASTER'!$D$37:$D$39,MATCH('STUDENT SCREENING'!AE127,'SCORING MASTER'!$C$37:$C$39,0)),""))</f>
        <v/>
      </c>
      <c r="AG127" s="58" t="str">
        <f aca="false">IF('STUDENT SCREENING'!AF127="","",IFERROR(INDEX('SCORING MASTER'!$D$41:$D$43,MATCH('STUDENT SCREENING'!AF127,'SCORING MASTER'!$C$41:$C$43,0)),""))</f>
        <v/>
      </c>
      <c r="AH127" s="58" t="str">
        <f aca="false">IF('STUDENT SCREENING'!AG127="","",IFERROR(INDEX('SCORING MASTER'!$D$45:$D$47,MATCH('STUDENT SCREENING'!AG127,'SCORING MASTER'!$C$45:$C$47,0)),""))</f>
        <v/>
      </c>
      <c r="AI127" s="58" t="str">
        <f aca="false">IF('STUDENT SCREENING'!AH127="","",IFERROR(INDEX('SCORING MASTER'!$D$49:$D$52,MATCH('STUDENT SCREENING'!AH127,'SCORING MASTER'!$C$49:$C$52,0)),""))</f>
        <v/>
      </c>
      <c r="AJ127" s="58" t="str">
        <f aca="false">IF('STUDENT SCREENING'!AI127="","",IFERROR(INDEX('SCORING MASTER'!$D$54:$D$57,MATCH('STUDENT SCREENING'!AI127,'SCORING MASTER'!$C$54:$C$57,0)),""))</f>
        <v/>
      </c>
      <c r="AK127" s="58" t="str">
        <f aca="false">IF('STUDENT SCREENING'!AJ127="","",IFERROR(INDEX('SCORING MASTER'!$D$59:$D$60,MATCH('STUDENT SCREENING'!AJ127,'SCORING MASTER'!$C$59:$C$60,0)),""))</f>
        <v/>
      </c>
      <c r="AL127" s="58" t="str">
        <f aca="false">IF('STUDENT SCREENING'!AK127="","",IFERROR(INDEX('SCORING MASTER'!$D$62:$D$63,MATCH('STUDENT SCREENING'!AK127,'SCORING MASTER'!$C$62:$C$63,0)),""))</f>
        <v/>
      </c>
      <c r="AM127" s="58" t="str">
        <f aca="false">IF('STUDENT SCREENING'!AL127="","",IFERROR(INDEX('SCORING MASTER'!$D$65:$D$66,MATCH('STUDENT SCREENING'!AL127,'SCORING MASTER'!$C$65:$C$66,0)),""))</f>
        <v/>
      </c>
      <c r="AN127" s="58" t="str">
        <f aca="false">IF('STUDENT SCREENING'!AM127="","",IFERROR(INDEX('SCORING MASTER'!$D$68:$D$69,MATCH('STUDENT SCREENING'!AM127,'SCORING MASTER'!$C$68:$C$69,0)),""))</f>
        <v/>
      </c>
      <c r="AO127" s="58" t="str">
        <f aca="false">IF('STUDENT SCREENING'!AN127="","",IFERROR(INDEX('SCORING MASTER'!$D$71:$D$72,MATCH('STUDENT SCREENING'!AN127,'SCORING MASTER'!$C$71:$C$72,0)),""))</f>
        <v/>
      </c>
      <c r="AP127" s="58" t="str">
        <f aca="false">IF('STUDENT SCREENING'!AO127="","",IFERROR(INDEX('SCORING MASTER'!$D$74:$D$75,MATCH('STUDENT SCREENING'!AO127,'SCORING MASTER'!$C$74:$C$75,0)),""))</f>
        <v/>
      </c>
      <c r="AQ127" s="58" t="str">
        <f aca="false">IF('STUDENT SCREENING'!AP127="","",IFERROR(INDEX('SCORING MASTER'!$D$77:$D$78,MATCH('STUDENT SCREENING'!AP127,'SCORING MASTER'!$C$77:$C$78,0)),""))</f>
        <v/>
      </c>
      <c r="AR127" s="58" t="str">
        <f aca="false">IF('STUDENT SCREENING'!AQ127="","",IFERROR(INDEX('SCORING MASTER'!$D$80:$D$82,MATCH('STUDENT SCREENING'!AQ127,'SCORING MASTER'!$C$80:$C$82,0)),""))</f>
        <v/>
      </c>
      <c r="AS127" s="58" t="str">
        <f aca="false">IF('STUDENT SCREENING'!AR127="","",IFERROR(INDEX('SCORING MASTER'!$D$84:$D$86,MATCH('STUDENT SCREENING'!AR127,'SCORING MASTER'!$C$84:$C$86,0)),""))</f>
        <v/>
      </c>
      <c r="AT127" s="58" t="str">
        <f aca="false">IF('STUDENT SCREENING'!AS127="","",IFERROR(INDEX('SCORING MASTER'!$D$88:$D$90,MATCH('STUDENT SCREENING'!AS127,'SCORING MASTER'!$C$88:$C$90,0)),""))</f>
        <v/>
      </c>
      <c r="AU127" s="58" t="str">
        <f aca="false">IF('STUDENT SCREENING'!AT127="","",IFERROR(INDEX('SCORING MASTER'!$D$92:$D$93,MATCH('STUDENT SCREENING'!AT127,'SCORING MASTER'!$C$92:$C$93,0)),""))</f>
        <v/>
      </c>
      <c r="AV127" s="58" t="str">
        <f aca="false">IF('STUDENT SCREENING'!AU127="","",IFERROR(INDEX('SCORING MASTER'!$D$95:$D$96,MATCH('STUDENT SCREENING'!AU127,'SCORING MASTER'!$C$95:$C$96,0)),""))</f>
        <v/>
      </c>
      <c r="AW127" s="58" t="str">
        <f aca="false">IF('STUDENT SCREENING'!AV127="","",IFERROR(INDEX('SCORING MASTER'!$D$98:$D$99,MATCH('STUDENT SCREENING'!AV127,'SCORING MASTER'!$C$98:$C$99,0)),""))</f>
        <v/>
      </c>
      <c r="AX127" s="58" t="str">
        <f aca="false">IF('STUDENT SCREENING'!AW127="","",IFERROR(INDEX('SCORING MASTER'!$D$101:$D$102,MATCH('STUDENT SCREENING'!AW127,'SCORING MASTER'!$C$101:$C$102,0)),""))</f>
        <v/>
      </c>
      <c r="AY127" s="58" t="str">
        <f aca="false">IF('STUDENT SCREENING'!AX127="","",IFERROR(INDEX('SCORING MASTER'!$D$104:$D$105,MATCH('STUDENT SCREENING'!AX127,'SCORING MASTER'!$C$104:$C$105,0)),""))</f>
        <v/>
      </c>
      <c r="AZ127" s="58" t="str">
        <f aca="false">IF('STUDENT SCREENING'!AY127="","",IFERROR(INDEX('SCORING MASTER'!$D$107:$D$108,MATCH('STUDENT SCREENING'!AY127,'SCORING MASTER'!$C$107:$C$108,0)),""))</f>
        <v/>
      </c>
      <c r="BA127" s="58" t="str">
        <f aca="false">IF('STUDENT SCREENING'!AZ127="","",IFERROR(INDEX('SCORING MASTER'!$D$110:$D$111,MATCH('STUDENT SCREENING'!AZ127,'SCORING MASTER'!$C$110:$C$111,0)),""))</f>
        <v/>
      </c>
      <c r="BB127" s="58" t="str">
        <f aca="false">IF('STUDENT SCREENING'!BA127="","",IFERROR(INDEX('SCORING MASTER'!$D$113:$D$115,MATCH('STUDENT SCREENING'!BA127,'SCORING MASTER'!$C$113:$C$115,0)),""))</f>
        <v/>
      </c>
      <c r="BC127" s="58" t="str">
        <f aca="false">IF('STUDENT SCREENING'!BB127="","",IFERROR(INDEX('SCORING MASTER'!$D$117:$D$119,MATCH('STUDENT SCREENING'!BB127,'SCORING MASTER'!$C$117:$C$119,0)),""))</f>
        <v/>
      </c>
      <c r="BD127" s="58" t="str">
        <f aca="false">IF('STUDENT SCREENING'!BC127="","",IFERROR(INDEX('SCORING MASTER'!$D$121:$D$123,MATCH('STUDENT SCREENING'!BC127,'SCORING MASTER'!$C$121:$C$123,0)),""))</f>
        <v/>
      </c>
      <c r="BE127" s="58" t="str">
        <f aca="false">IF('STUDENT SCREENING'!BD127="","",IFERROR(INDEX('SCORING MASTER'!$D$125:$D$126,MATCH('STUDENT SCREENING'!BD127,'SCORING MASTER'!$C$125:$C$126,0)),""))</f>
        <v/>
      </c>
      <c r="BF127" s="58" t="str">
        <f aca="false">IF('STUDENT SCREENING'!BE127="","",IFERROR(INDEX('SCORING MASTER'!$D$128:$D$129,MATCH('STUDENT SCREENING'!BE127,'SCORING MASTER'!$C$128:$C$129,0)),""))</f>
        <v/>
      </c>
      <c r="BG127" s="58" t="str">
        <f aca="false">IF('STUDENT SCREENING'!BP127="","",IFERROR(MATCH('STUDENT SCREENING'!BP127,{"Red - High Risk","Orange - Moderate Risk","Yellow - Mild Risk","Light Green - Mild Watch","Green - Healthy"},0)-1,""))</f>
        <v/>
      </c>
      <c r="BH127" s="58" t="str">
        <f aca="false">IF('STUDENT SCREENING'!BQ127="","",IF('STUDENT SCREENING'!BQ127="Yes",1,0))</f>
        <v/>
      </c>
      <c r="BI127" s="58" t="str">
        <f aca="false">IF('STUDENT SCREENING'!BR127="","",IF('STUDENT SCREENING'!BR127="Yes",1,0))</f>
        <v/>
      </c>
    </row>
    <row r="128" customFormat="false" ht="15" hidden="false" customHeight="false" outlineLevel="0" collapsed="false">
      <c r="A128" s="57" t="str">
        <f aca="false">'STUDENT SCREENING'!A128</f>
        <v/>
      </c>
      <c r="B128" s="57" t="n">
        <f aca="false">'STUDENT SCREENING'!C128</f>
        <v>0</v>
      </c>
      <c r="C128" s="57" t="n">
        <f aca="false">'STUDENT SCREENING'!D128</f>
        <v>0</v>
      </c>
      <c r="D128" s="57" t="n">
        <f aca="false">'STUDENT SCREENING'!E128</f>
        <v>0</v>
      </c>
      <c r="E128" s="57" t="n">
        <f aca="false">'STUDENT SCREENING'!F128</f>
        <v>0</v>
      </c>
      <c r="F128" s="57" t="n">
        <f aca="false">'STUDENT SCREENING'!K128</f>
        <v>0</v>
      </c>
      <c r="G128" s="57" t="n">
        <f aca="false">'STUDENT SCREENING'!J128</f>
        <v>0</v>
      </c>
      <c r="H128" s="57" t="str">
        <f aca="false">IF('STUDENT SCREENING'!K128="","",IFERROR(MATCH('STUDENT SCREENING'!K128,Adm_Gender,0),""))</f>
        <v/>
      </c>
      <c r="I128" s="57" t="n">
        <f aca="false">'STUDENT SCREENING'!Q128</f>
        <v>0</v>
      </c>
      <c r="J128" s="57" t="n">
        <f aca="false">'STUDENT SCREENING'!R128</f>
        <v>0</v>
      </c>
      <c r="K128" s="57" t="str">
        <f aca="false">'STUDENT SCREENING'!S128</f>
        <v/>
      </c>
      <c r="L128" s="57" t="n">
        <f aca="false">'STUDENT SCREENING'!U128</f>
        <v>0</v>
      </c>
      <c r="M128" s="57" t="n">
        <f aca="false">'STUDENT SCREENING'!V128</f>
        <v>0</v>
      </c>
      <c r="N128" s="57" t="str">
        <f aca="false">'STUDENT SCREENING'!BF128</f>
        <v/>
      </c>
      <c r="O128" s="57" t="str">
        <f aca="false">'STUDENT SCREENING'!BG128</f>
        <v/>
      </c>
      <c r="P128" s="57" t="str">
        <f aca="false">'STUDENT SCREENING'!BH128</f>
        <v/>
      </c>
      <c r="Q128" s="57" t="str">
        <f aca="false">'STUDENT SCREENING'!BI128</f>
        <v/>
      </c>
      <c r="R128" s="57" t="str">
        <f aca="false">'STUDENT SCREENING'!BJ128</f>
        <v/>
      </c>
      <c r="S128" s="57" t="str">
        <f aca="false">'STUDENT SCREENING'!BK128</f>
        <v/>
      </c>
      <c r="T128" s="57" t="str">
        <f aca="false">'STUDENT SCREENING'!BL128</f>
        <v/>
      </c>
      <c r="U128" s="57" t="str">
        <f aca="false">'STUDENT SCREENING'!BM128</f>
        <v/>
      </c>
      <c r="V128" s="57" t="str">
        <f aca="false">'STUDENT SCREENING'!BN128</f>
        <v/>
      </c>
      <c r="W128" s="57" t="str">
        <f aca="false">'STUDENT SCREENING'!BO128</f>
        <v/>
      </c>
      <c r="X128" s="57" t="str">
        <f aca="false">IF('STUDENT SCREENING'!W128="","",IFERROR(INDEX('SCORING MASTER'!$D$5:$D$7,MATCH('STUDENT SCREENING'!W128,'SCORING MASTER'!$C$5:$C$7,0)),""))</f>
        <v/>
      </c>
      <c r="Y128" s="57" t="str">
        <f aca="false">IF('STUDENT SCREENING'!X128="","",IFERROR(INDEX('SCORING MASTER'!$D$9:$D$11,MATCH('STUDENT SCREENING'!X128,'SCORING MASTER'!$C$9:$C$11,0)),""))</f>
        <v/>
      </c>
      <c r="Z128" s="57" t="str">
        <f aca="false">IF('STUDENT SCREENING'!Y128="","",IFERROR(INDEX('SCORING MASTER'!$D$13:$D$15,MATCH('STUDENT SCREENING'!Y128,'SCORING MASTER'!$C$13:$C$15,0)),""))</f>
        <v/>
      </c>
      <c r="AA128" s="57" t="str">
        <f aca="false">IF('STUDENT SCREENING'!Z128="","",IFERROR(INDEX('SCORING MASTER'!$D$17:$D$19,MATCH('STUDENT SCREENING'!Z128,'SCORING MASTER'!$C$17:$C$19,0)),""))</f>
        <v/>
      </c>
      <c r="AB128" s="57" t="str">
        <f aca="false">IF('STUDENT SCREENING'!AA128="","",IFERROR(INDEX('SCORING MASTER'!$D$21:$D$23,MATCH('STUDENT SCREENING'!AA128,'SCORING MASTER'!$C$21:$C$23,0)),""))</f>
        <v/>
      </c>
      <c r="AC128" s="57" t="str">
        <f aca="false">IF('STUDENT SCREENING'!AB128="","",IFERROR(INDEX('SCORING MASTER'!$D$25:$D$27,MATCH('STUDENT SCREENING'!AB128,'SCORING MASTER'!$C$25:$C$27,0)),""))</f>
        <v/>
      </c>
      <c r="AD128" s="57" t="str">
        <f aca="false">IF('STUDENT SCREENING'!AC128="","",IFERROR(INDEX('SCORING MASTER'!$D$29:$D$31,MATCH('STUDENT SCREENING'!AC128,'SCORING MASTER'!$C$29:$C$31,0)),""))</f>
        <v/>
      </c>
      <c r="AE128" s="57" t="str">
        <f aca="false">IF('STUDENT SCREENING'!AD128="","",IFERROR(INDEX('SCORING MASTER'!$D$33:$D$35,MATCH('STUDENT SCREENING'!AD128,'SCORING MASTER'!$C$33:$C$35,0)),""))</f>
        <v/>
      </c>
      <c r="AF128" s="57" t="str">
        <f aca="false">IF('STUDENT SCREENING'!AE128="","",IFERROR(INDEX('SCORING MASTER'!$D$37:$D$39,MATCH('STUDENT SCREENING'!AE128,'SCORING MASTER'!$C$37:$C$39,0)),""))</f>
        <v/>
      </c>
      <c r="AG128" s="57" t="str">
        <f aca="false">IF('STUDENT SCREENING'!AF128="","",IFERROR(INDEX('SCORING MASTER'!$D$41:$D$43,MATCH('STUDENT SCREENING'!AF128,'SCORING MASTER'!$C$41:$C$43,0)),""))</f>
        <v/>
      </c>
      <c r="AH128" s="57" t="str">
        <f aca="false">IF('STUDENT SCREENING'!AG128="","",IFERROR(INDEX('SCORING MASTER'!$D$45:$D$47,MATCH('STUDENT SCREENING'!AG128,'SCORING MASTER'!$C$45:$C$47,0)),""))</f>
        <v/>
      </c>
      <c r="AI128" s="57" t="str">
        <f aca="false">IF('STUDENT SCREENING'!AH128="","",IFERROR(INDEX('SCORING MASTER'!$D$49:$D$52,MATCH('STUDENT SCREENING'!AH128,'SCORING MASTER'!$C$49:$C$52,0)),""))</f>
        <v/>
      </c>
      <c r="AJ128" s="57" t="str">
        <f aca="false">IF('STUDENT SCREENING'!AI128="","",IFERROR(INDEX('SCORING MASTER'!$D$54:$D$57,MATCH('STUDENT SCREENING'!AI128,'SCORING MASTER'!$C$54:$C$57,0)),""))</f>
        <v/>
      </c>
      <c r="AK128" s="57" t="str">
        <f aca="false">IF('STUDENT SCREENING'!AJ128="","",IFERROR(INDEX('SCORING MASTER'!$D$59:$D$60,MATCH('STUDENT SCREENING'!AJ128,'SCORING MASTER'!$C$59:$C$60,0)),""))</f>
        <v/>
      </c>
      <c r="AL128" s="57" t="str">
        <f aca="false">IF('STUDENT SCREENING'!AK128="","",IFERROR(INDEX('SCORING MASTER'!$D$62:$D$63,MATCH('STUDENT SCREENING'!AK128,'SCORING MASTER'!$C$62:$C$63,0)),""))</f>
        <v/>
      </c>
      <c r="AM128" s="57" t="str">
        <f aca="false">IF('STUDENT SCREENING'!AL128="","",IFERROR(INDEX('SCORING MASTER'!$D$65:$D$66,MATCH('STUDENT SCREENING'!AL128,'SCORING MASTER'!$C$65:$C$66,0)),""))</f>
        <v/>
      </c>
      <c r="AN128" s="57" t="str">
        <f aca="false">IF('STUDENT SCREENING'!AM128="","",IFERROR(INDEX('SCORING MASTER'!$D$68:$D$69,MATCH('STUDENT SCREENING'!AM128,'SCORING MASTER'!$C$68:$C$69,0)),""))</f>
        <v/>
      </c>
      <c r="AO128" s="57" t="str">
        <f aca="false">IF('STUDENT SCREENING'!AN128="","",IFERROR(INDEX('SCORING MASTER'!$D$71:$D$72,MATCH('STUDENT SCREENING'!AN128,'SCORING MASTER'!$C$71:$C$72,0)),""))</f>
        <v/>
      </c>
      <c r="AP128" s="57" t="str">
        <f aca="false">IF('STUDENT SCREENING'!AO128="","",IFERROR(INDEX('SCORING MASTER'!$D$74:$D$75,MATCH('STUDENT SCREENING'!AO128,'SCORING MASTER'!$C$74:$C$75,0)),""))</f>
        <v/>
      </c>
      <c r="AQ128" s="57" t="str">
        <f aca="false">IF('STUDENT SCREENING'!AP128="","",IFERROR(INDEX('SCORING MASTER'!$D$77:$D$78,MATCH('STUDENT SCREENING'!AP128,'SCORING MASTER'!$C$77:$C$78,0)),""))</f>
        <v/>
      </c>
      <c r="AR128" s="57" t="str">
        <f aca="false">IF('STUDENT SCREENING'!AQ128="","",IFERROR(INDEX('SCORING MASTER'!$D$80:$D$82,MATCH('STUDENT SCREENING'!AQ128,'SCORING MASTER'!$C$80:$C$82,0)),""))</f>
        <v/>
      </c>
      <c r="AS128" s="57" t="str">
        <f aca="false">IF('STUDENT SCREENING'!AR128="","",IFERROR(INDEX('SCORING MASTER'!$D$84:$D$86,MATCH('STUDENT SCREENING'!AR128,'SCORING MASTER'!$C$84:$C$86,0)),""))</f>
        <v/>
      </c>
      <c r="AT128" s="57" t="str">
        <f aca="false">IF('STUDENT SCREENING'!AS128="","",IFERROR(INDEX('SCORING MASTER'!$D$88:$D$90,MATCH('STUDENT SCREENING'!AS128,'SCORING MASTER'!$C$88:$C$90,0)),""))</f>
        <v/>
      </c>
      <c r="AU128" s="57" t="str">
        <f aca="false">IF('STUDENT SCREENING'!AT128="","",IFERROR(INDEX('SCORING MASTER'!$D$92:$D$93,MATCH('STUDENT SCREENING'!AT128,'SCORING MASTER'!$C$92:$C$93,0)),""))</f>
        <v/>
      </c>
      <c r="AV128" s="57" t="str">
        <f aca="false">IF('STUDENT SCREENING'!AU128="","",IFERROR(INDEX('SCORING MASTER'!$D$95:$D$96,MATCH('STUDENT SCREENING'!AU128,'SCORING MASTER'!$C$95:$C$96,0)),""))</f>
        <v/>
      </c>
      <c r="AW128" s="57" t="str">
        <f aca="false">IF('STUDENT SCREENING'!AV128="","",IFERROR(INDEX('SCORING MASTER'!$D$98:$D$99,MATCH('STUDENT SCREENING'!AV128,'SCORING MASTER'!$C$98:$C$99,0)),""))</f>
        <v/>
      </c>
      <c r="AX128" s="57" t="str">
        <f aca="false">IF('STUDENT SCREENING'!AW128="","",IFERROR(INDEX('SCORING MASTER'!$D$101:$D$102,MATCH('STUDENT SCREENING'!AW128,'SCORING MASTER'!$C$101:$C$102,0)),""))</f>
        <v/>
      </c>
      <c r="AY128" s="57" t="str">
        <f aca="false">IF('STUDENT SCREENING'!AX128="","",IFERROR(INDEX('SCORING MASTER'!$D$104:$D$105,MATCH('STUDENT SCREENING'!AX128,'SCORING MASTER'!$C$104:$C$105,0)),""))</f>
        <v/>
      </c>
      <c r="AZ128" s="57" t="str">
        <f aca="false">IF('STUDENT SCREENING'!AY128="","",IFERROR(INDEX('SCORING MASTER'!$D$107:$D$108,MATCH('STUDENT SCREENING'!AY128,'SCORING MASTER'!$C$107:$C$108,0)),""))</f>
        <v/>
      </c>
      <c r="BA128" s="57" t="str">
        <f aca="false">IF('STUDENT SCREENING'!AZ128="","",IFERROR(INDEX('SCORING MASTER'!$D$110:$D$111,MATCH('STUDENT SCREENING'!AZ128,'SCORING MASTER'!$C$110:$C$111,0)),""))</f>
        <v/>
      </c>
      <c r="BB128" s="57" t="str">
        <f aca="false">IF('STUDENT SCREENING'!BA128="","",IFERROR(INDEX('SCORING MASTER'!$D$113:$D$115,MATCH('STUDENT SCREENING'!BA128,'SCORING MASTER'!$C$113:$C$115,0)),""))</f>
        <v/>
      </c>
      <c r="BC128" s="57" t="str">
        <f aca="false">IF('STUDENT SCREENING'!BB128="","",IFERROR(INDEX('SCORING MASTER'!$D$117:$D$119,MATCH('STUDENT SCREENING'!BB128,'SCORING MASTER'!$C$117:$C$119,0)),""))</f>
        <v/>
      </c>
      <c r="BD128" s="57" t="str">
        <f aca="false">IF('STUDENT SCREENING'!BC128="","",IFERROR(INDEX('SCORING MASTER'!$D$121:$D$123,MATCH('STUDENT SCREENING'!BC128,'SCORING MASTER'!$C$121:$C$123,0)),""))</f>
        <v/>
      </c>
      <c r="BE128" s="57" t="str">
        <f aca="false">IF('STUDENT SCREENING'!BD128="","",IFERROR(INDEX('SCORING MASTER'!$D$125:$D$126,MATCH('STUDENT SCREENING'!BD128,'SCORING MASTER'!$C$125:$C$126,0)),""))</f>
        <v/>
      </c>
      <c r="BF128" s="57" t="str">
        <f aca="false">IF('STUDENT SCREENING'!BE128="","",IFERROR(INDEX('SCORING MASTER'!$D$128:$D$129,MATCH('STUDENT SCREENING'!BE128,'SCORING MASTER'!$C$128:$C$129,0)),""))</f>
        <v/>
      </c>
      <c r="BG128" s="57" t="str">
        <f aca="false">IF('STUDENT SCREENING'!BP128="","",IFERROR(MATCH('STUDENT SCREENING'!BP128,{"Red - High Risk","Orange - Moderate Risk","Yellow - Mild Risk","Light Green - Mild Watch","Green - Healthy"},0)-1,""))</f>
        <v/>
      </c>
      <c r="BH128" s="57" t="str">
        <f aca="false">IF('STUDENT SCREENING'!BQ128="","",IF('STUDENT SCREENING'!BQ128="Yes",1,0))</f>
        <v/>
      </c>
      <c r="BI128" s="57" t="str">
        <f aca="false">IF('STUDENT SCREENING'!BR128="","",IF('STUDENT SCREENING'!BR128="Yes",1,0))</f>
        <v/>
      </c>
    </row>
    <row r="129" customFormat="false" ht="15" hidden="false" customHeight="false" outlineLevel="0" collapsed="false">
      <c r="A129" s="58" t="str">
        <f aca="false">'STUDENT SCREENING'!A129</f>
        <v/>
      </c>
      <c r="B129" s="58" t="n">
        <f aca="false">'STUDENT SCREENING'!C129</f>
        <v>0</v>
      </c>
      <c r="C129" s="58" t="n">
        <f aca="false">'STUDENT SCREENING'!D129</f>
        <v>0</v>
      </c>
      <c r="D129" s="58" t="n">
        <f aca="false">'STUDENT SCREENING'!E129</f>
        <v>0</v>
      </c>
      <c r="E129" s="58" t="n">
        <f aca="false">'STUDENT SCREENING'!F129</f>
        <v>0</v>
      </c>
      <c r="F129" s="58" t="n">
        <f aca="false">'STUDENT SCREENING'!K129</f>
        <v>0</v>
      </c>
      <c r="G129" s="58" t="n">
        <f aca="false">'STUDENT SCREENING'!J129</f>
        <v>0</v>
      </c>
      <c r="H129" s="58" t="str">
        <f aca="false">IF('STUDENT SCREENING'!K129="","",IFERROR(MATCH('STUDENT SCREENING'!K129,Adm_Gender,0),""))</f>
        <v/>
      </c>
      <c r="I129" s="58" t="n">
        <f aca="false">'STUDENT SCREENING'!Q129</f>
        <v>0</v>
      </c>
      <c r="J129" s="58" t="n">
        <f aca="false">'STUDENT SCREENING'!R129</f>
        <v>0</v>
      </c>
      <c r="K129" s="58" t="str">
        <f aca="false">'STUDENT SCREENING'!S129</f>
        <v/>
      </c>
      <c r="L129" s="58" t="n">
        <f aca="false">'STUDENT SCREENING'!U129</f>
        <v>0</v>
      </c>
      <c r="M129" s="58" t="n">
        <f aca="false">'STUDENT SCREENING'!V129</f>
        <v>0</v>
      </c>
      <c r="N129" s="58" t="str">
        <f aca="false">'STUDENT SCREENING'!BF129</f>
        <v/>
      </c>
      <c r="O129" s="58" t="str">
        <f aca="false">'STUDENT SCREENING'!BG129</f>
        <v/>
      </c>
      <c r="P129" s="58" t="str">
        <f aca="false">'STUDENT SCREENING'!BH129</f>
        <v/>
      </c>
      <c r="Q129" s="58" t="str">
        <f aca="false">'STUDENT SCREENING'!BI129</f>
        <v/>
      </c>
      <c r="R129" s="58" t="str">
        <f aca="false">'STUDENT SCREENING'!BJ129</f>
        <v/>
      </c>
      <c r="S129" s="58" t="str">
        <f aca="false">'STUDENT SCREENING'!BK129</f>
        <v/>
      </c>
      <c r="T129" s="58" t="str">
        <f aca="false">'STUDENT SCREENING'!BL129</f>
        <v/>
      </c>
      <c r="U129" s="58" t="str">
        <f aca="false">'STUDENT SCREENING'!BM129</f>
        <v/>
      </c>
      <c r="V129" s="58" t="str">
        <f aca="false">'STUDENT SCREENING'!BN129</f>
        <v/>
      </c>
      <c r="W129" s="58" t="str">
        <f aca="false">'STUDENT SCREENING'!BO129</f>
        <v/>
      </c>
      <c r="X129" s="58" t="str">
        <f aca="false">IF('STUDENT SCREENING'!W129="","",IFERROR(INDEX('SCORING MASTER'!$D$5:$D$7,MATCH('STUDENT SCREENING'!W129,'SCORING MASTER'!$C$5:$C$7,0)),""))</f>
        <v/>
      </c>
      <c r="Y129" s="58" t="str">
        <f aca="false">IF('STUDENT SCREENING'!X129="","",IFERROR(INDEX('SCORING MASTER'!$D$9:$D$11,MATCH('STUDENT SCREENING'!X129,'SCORING MASTER'!$C$9:$C$11,0)),""))</f>
        <v/>
      </c>
      <c r="Z129" s="58" t="str">
        <f aca="false">IF('STUDENT SCREENING'!Y129="","",IFERROR(INDEX('SCORING MASTER'!$D$13:$D$15,MATCH('STUDENT SCREENING'!Y129,'SCORING MASTER'!$C$13:$C$15,0)),""))</f>
        <v/>
      </c>
      <c r="AA129" s="58" t="str">
        <f aca="false">IF('STUDENT SCREENING'!Z129="","",IFERROR(INDEX('SCORING MASTER'!$D$17:$D$19,MATCH('STUDENT SCREENING'!Z129,'SCORING MASTER'!$C$17:$C$19,0)),""))</f>
        <v/>
      </c>
      <c r="AB129" s="58" t="str">
        <f aca="false">IF('STUDENT SCREENING'!AA129="","",IFERROR(INDEX('SCORING MASTER'!$D$21:$D$23,MATCH('STUDENT SCREENING'!AA129,'SCORING MASTER'!$C$21:$C$23,0)),""))</f>
        <v/>
      </c>
      <c r="AC129" s="58" t="str">
        <f aca="false">IF('STUDENT SCREENING'!AB129="","",IFERROR(INDEX('SCORING MASTER'!$D$25:$D$27,MATCH('STUDENT SCREENING'!AB129,'SCORING MASTER'!$C$25:$C$27,0)),""))</f>
        <v/>
      </c>
      <c r="AD129" s="58" t="str">
        <f aca="false">IF('STUDENT SCREENING'!AC129="","",IFERROR(INDEX('SCORING MASTER'!$D$29:$D$31,MATCH('STUDENT SCREENING'!AC129,'SCORING MASTER'!$C$29:$C$31,0)),""))</f>
        <v/>
      </c>
      <c r="AE129" s="58" t="str">
        <f aca="false">IF('STUDENT SCREENING'!AD129="","",IFERROR(INDEX('SCORING MASTER'!$D$33:$D$35,MATCH('STUDENT SCREENING'!AD129,'SCORING MASTER'!$C$33:$C$35,0)),""))</f>
        <v/>
      </c>
      <c r="AF129" s="58" t="str">
        <f aca="false">IF('STUDENT SCREENING'!AE129="","",IFERROR(INDEX('SCORING MASTER'!$D$37:$D$39,MATCH('STUDENT SCREENING'!AE129,'SCORING MASTER'!$C$37:$C$39,0)),""))</f>
        <v/>
      </c>
      <c r="AG129" s="58" t="str">
        <f aca="false">IF('STUDENT SCREENING'!AF129="","",IFERROR(INDEX('SCORING MASTER'!$D$41:$D$43,MATCH('STUDENT SCREENING'!AF129,'SCORING MASTER'!$C$41:$C$43,0)),""))</f>
        <v/>
      </c>
      <c r="AH129" s="58" t="str">
        <f aca="false">IF('STUDENT SCREENING'!AG129="","",IFERROR(INDEX('SCORING MASTER'!$D$45:$D$47,MATCH('STUDENT SCREENING'!AG129,'SCORING MASTER'!$C$45:$C$47,0)),""))</f>
        <v/>
      </c>
      <c r="AI129" s="58" t="str">
        <f aca="false">IF('STUDENT SCREENING'!AH129="","",IFERROR(INDEX('SCORING MASTER'!$D$49:$D$52,MATCH('STUDENT SCREENING'!AH129,'SCORING MASTER'!$C$49:$C$52,0)),""))</f>
        <v/>
      </c>
      <c r="AJ129" s="58" t="str">
        <f aca="false">IF('STUDENT SCREENING'!AI129="","",IFERROR(INDEX('SCORING MASTER'!$D$54:$D$57,MATCH('STUDENT SCREENING'!AI129,'SCORING MASTER'!$C$54:$C$57,0)),""))</f>
        <v/>
      </c>
      <c r="AK129" s="58" t="str">
        <f aca="false">IF('STUDENT SCREENING'!AJ129="","",IFERROR(INDEX('SCORING MASTER'!$D$59:$D$60,MATCH('STUDENT SCREENING'!AJ129,'SCORING MASTER'!$C$59:$C$60,0)),""))</f>
        <v/>
      </c>
      <c r="AL129" s="58" t="str">
        <f aca="false">IF('STUDENT SCREENING'!AK129="","",IFERROR(INDEX('SCORING MASTER'!$D$62:$D$63,MATCH('STUDENT SCREENING'!AK129,'SCORING MASTER'!$C$62:$C$63,0)),""))</f>
        <v/>
      </c>
      <c r="AM129" s="58" t="str">
        <f aca="false">IF('STUDENT SCREENING'!AL129="","",IFERROR(INDEX('SCORING MASTER'!$D$65:$D$66,MATCH('STUDENT SCREENING'!AL129,'SCORING MASTER'!$C$65:$C$66,0)),""))</f>
        <v/>
      </c>
      <c r="AN129" s="58" t="str">
        <f aca="false">IF('STUDENT SCREENING'!AM129="","",IFERROR(INDEX('SCORING MASTER'!$D$68:$D$69,MATCH('STUDENT SCREENING'!AM129,'SCORING MASTER'!$C$68:$C$69,0)),""))</f>
        <v/>
      </c>
      <c r="AO129" s="58" t="str">
        <f aca="false">IF('STUDENT SCREENING'!AN129="","",IFERROR(INDEX('SCORING MASTER'!$D$71:$D$72,MATCH('STUDENT SCREENING'!AN129,'SCORING MASTER'!$C$71:$C$72,0)),""))</f>
        <v/>
      </c>
      <c r="AP129" s="58" t="str">
        <f aca="false">IF('STUDENT SCREENING'!AO129="","",IFERROR(INDEX('SCORING MASTER'!$D$74:$D$75,MATCH('STUDENT SCREENING'!AO129,'SCORING MASTER'!$C$74:$C$75,0)),""))</f>
        <v/>
      </c>
      <c r="AQ129" s="58" t="str">
        <f aca="false">IF('STUDENT SCREENING'!AP129="","",IFERROR(INDEX('SCORING MASTER'!$D$77:$D$78,MATCH('STUDENT SCREENING'!AP129,'SCORING MASTER'!$C$77:$C$78,0)),""))</f>
        <v/>
      </c>
      <c r="AR129" s="58" t="str">
        <f aca="false">IF('STUDENT SCREENING'!AQ129="","",IFERROR(INDEX('SCORING MASTER'!$D$80:$D$82,MATCH('STUDENT SCREENING'!AQ129,'SCORING MASTER'!$C$80:$C$82,0)),""))</f>
        <v/>
      </c>
      <c r="AS129" s="58" t="str">
        <f aca="false">IF('STUDENT SCREENING'!AR129="","",IFERROR(INDEX('SCORING MASTER'!$D$84:$D$86,MATCH('STUDENT SCREENING'!AR129,'SCORING MASTER'!$C$84:$C$86,0)),""))</f>
        <v/>
      </c>
      <c r="AT129" s="58" t="str">
        <f aca="false">IF('STUDENT SCREENING'!AS129="","",IFERROR(INDEX('SCORING MASTER'!$D$88:$D$90,MATCH('STUDENT SCREENING'!AS129,'SCORING MASTER'!$C$88:$C$90,0)),""))</f>
        <v/>
      </c>
      <c r="AU129" s="58" t="str">
        <f aca="false">IF('STUDENT SCREENING'!AT129="","",IFERROR(INDEX('SCORING MASTER'!$D$92:$D$93,MATCH('STUDENT SCREENING'!AT129,'SCORING MASTER'!$C$92:$C$93,0)),""))</f>
        <v/>
      </c>
      <c r="AV129" s="58" t="str">
        <f aca="false">IF('STUDENT SCREENING'!AU129="","",IFERROR(INDEX('SCORING MASTER'!$D$95:$D$96,MATCH('STUDENT SCREENING'!AU129,'SCORING MASTER'!$C$95:$C$96,0)),""))</f>
        <v/>
      </c>
      <c r="AW129" s="58" t="str">
        <f aca="false">IF('STUDENT SCREENING'!AV129="","",IFERROR(INDEX('SCORING MASTER'!$D$98:$D$99,MATCH('STUDENT SCREENING'!AV129,'SCORING MASTER'!$C$98:$C$99,0)),""))</f>
        <v/>
      </c>
      <c r="AX129" s="58" t="str">
        <f aca="false">IF('STUDENT SCREENING'!AW129="","",IFERROR(INDEX('SCORING MASTER'!$D$101:$D$102,MATCH('STUDENT SCREENING'!AW129,'SCORING MASTER'!$C$101:$C$102,0)),""))</f>
        <v/>
      </c>
      <c r="AY129" s="58" t="str">
        <f aca="false">IF('STUDENT SCREENING'!AX129="","",IFERROR(INDEX('SCORING MASTER'!$D$104:$D$105,MATCH('STUDENT SCREENING'!AX129,'SCORING MASTER'!$C$104:$C$105,0)),""))</f>
        <v/>
      </c>
      <c r="AZ129" s="58" t="str">
        <f aca="false">IF('STUDENT SCREENING'!AY129="","",IFERROR(INDEX('SCORING MASTER'!$D$107:$D$108,MATCH('STUDENT SCREENING'!AY129,'SCORING MASTER'!$C$107:$C$108,0)),""))</f>
        <v/>
      </c>
      <c r="BA129" s="58" t="str">
        <f aca="false">IF('STUDENT SCREENING'!AZ129="","",IFERROR(INDEX('SCORING MASTER'!$D$110:$D$111,MATCH('STUDENT SCREENING'!AZ129,'SCORING MASTER'!$C$110:$C$111,0)),""))</f>
        <v/>
      </c>
      <c r="BB129" s="58" t="str">
        <f aca="false">IF('STUDENT SCREENING'!BA129="","",IFERROR(INDEX('SCORING MASTER'!$D$113:$D$115,MATCH('STUDENT SCREENING'!BA129,'SCORING MASTER'!$C$113:$C$115,0)),""))</f>
        <v/>
      </c>
      <c r="BC129" s="58" t="str">
        <f aca="false">IF('STUDENT SCREENING'!BB129="","",IFERROR(INDEX('SCORING MASTER'!$D$117:$D$119,MATCH('STUDENT SCREENING'!BB129,'SCORING MASTER'!$C$117:$C$119,0)),""))</f>
        <v/>
      </c>
      <c r="BD129" s="58" t="str">
        <f aca="false">IF('STUDENT SCREENING'!BC129="","",IFERROR(INDEX('SCORING MASTER'!$D$121:$D$123,MATCH('STUDENT SCREENING'!BC129,'SCORING MASTER'!$C$121:$C$123,0)),""))</f>
        <v/>
      </c>
      <c r="BE129" s="58" t="str">
        <f aca="false">IF('STUDENT SCREENING'!BD129="","",IFERROR(INDEX('SCORING MASTER'!$D$125:$D$126,MATCH('STUDENT SCREENING'!BD129,'SCORING MASTER'!$C$125:$C$126,0)),""))</f>
        <v/>
      </c>
      <c r="BF129" s="58" t="str">
        <f aca="false">IF('STUDENT SCREENING'!BE129="","",IFERROR(INDEX('SCORING MASTER'!$D$128:$D$129,MATCH('STUDENT SCREENING'!BE129,'SCORING MASTER'!$C$128:$C$129,0)),""))</f>
        <v/>
      </c>
      <c r="BG129" s="58" t="str">
        <f aca="false">IF('STUDENT SCREENING'!BP129="","",IFERROR(MATCH('STUDENT SCREENING'!BP129,{"Red - High Risk","Orange - Moderate Risk","Yellow - Mild Risk","Light Green - Mild Watch","Green - Healthy"},0)-1,""))</f>
        <v/>
      </c>
      <c r="BH129" s="58" t="str">
        <f aca="false">IF('STUDENT SCREENING'!BQ129="","",IF('STUDENT SCREENING'!BQ129="Yes",1,0))</f>
        <v/>
      </c>
      <c r="BI129" s="58" t="str">
        <f aca="false">IF('STUDENT SCREENING'!BR129="","",IF('STUDENT SCREENING'!BR129="Yes",1,0))</f>
        <v/>
      </c>
    </row>
    <row r="130" customFormat="false" ht="15" hidden="false" customHeight="false" outlineLevel="0" collapsed="false">
      <c r="A130" s="57" t="str">
        <f aca="false">'STUDENT SCREENING'!A130</f>
        <v/>
      </c>
      <c r="B130" s="57" t="n">
        <f aca="false">'STUDENT SCREENING'!C130</f>
        <v>0</v>
      </c>
      <c r="C130" s="57" t="n">
        <f aca="false">'STUDENT SCREENING'!D130</f>
        <v>0</v>
      </c>
      <c r="D130" s="57" t="n">
        <f aca="false">'STUDENT SCREENING'!E130</f>
        <v>0</v>
      </c>
      <c r="E130" s="57" t="n">
        <f aca="false">'STUDENT SCREENING'!F130</f>
        <v>0</v>
      </c>
      <c r="F130" s="57" t="n">
        <f aca="false">'STUDENT SCREENING'!K130</f>
        <v>0</v>
      </c>
      <c r="G130" s="57" t="n">
        <f aca="false">'STUDENT SCREENING'!J130</f>
        <v>0</v>
      </c>
      <c r="H130" s="57" t="str">
        <f aca="false">IF('STUDENT SCREENING'!K130="","",IFERROR(MATCH('STUDENT SCREENING'!K130,Adm_Gender,0),""))</f>
        <v/>
      </c>
      <c r="I130" s="57" t="n">
        <f aca="false">'STUDENT SCREENING'!Q130</f>
        <v>0</v>
      </c>
      <c r="J130" s="57" t="n">
        <f aca="false">'STUDENT SCREENING'!R130</f>
        <v>0</v>
      </c>
      <c r="K130" s="57" t="str">
        <f aca="false">'STUDENT SCREENING'!S130</f>
        <v/>
      </c>
      <c r="L130" s="57" t="n">
        <f aca="false">'STUDENT SCREENING'!U130</f>
        <v>0</v>
      </c>
      <c r="M130" s="57" t="n">
        <f aca="false">'STUDENT SCREENING'!V130</f>
        <v>0</v>
      </c>
      <c r="N130" s="57" t="str">
        <f aca="false">'STUDENT SCREENING'!BF130</f>
        <v/>
      </c>
      <c r="O130" s="57" t="str">
        <f aca="false">'STUDENT SCREENING'!BG130</f>
        <v/>
      </c>
      <c r="P130" s="57" t="str">
        <f aca="false">'STUDENT SCREENING'!BH130</f>
        <v/>
      </c>
      <c r="Q130" s="57" t="str">
        <f aca="false">'STUDENT SCREENING'!BI130</f>
        <v/>
      </c>
      <c r="R130" s="57" t="str">
        <f aca="false">'STUDENT SCREENING'!BJ130</f>
        <v/>
      </c>
      <c r="S130" s="57" t="str">
        <f aca="false">'STUDENT SCREENING'!BK130</f>
        <v/>
      </c>
      <c r="T130" s="57" t="str">
        <f aca="false">'STUDENT SCREENING'!BL130</f>
        <v/>
      </c>
      <c r="U130" s="57" t="str">
        <f aca="false">'STUDENT SCREENING'!BM130</f>
        <v/>
      </c>
      <c r="V130" s="57" t="str">
        <f aca="false">'STUDENT SCREENING'!BN130</f>
        <v/>
      </c>
      <c r="W130" s="57" t="str">
        <f aca="false">'STUDENT SCREENING'!BO130</f>
        <v/>
      </c>
      <c r="X130" s="57" t="str">
        <f aca="false">IF('STUDENT SCREENING'!W130="","",IFERROR(INDEX('SCORING MASTER'!$D$5:$D$7,MATCH('STUDENT SCREENING'!W130,'SCORING MASTER'!$C$5:$C$7,0)),""))</f>
        <v/>
      </c>
      <c r="Y130" s="57" t="str">
        <f aca="false">IF('STUDENT SCREENING'!X130="","",IFERROR(INDEX('SCORING MASTER'!$D$9:$D$11,MATCH('STUDENT SCREENING'!X130,'SCORING MASTER'!$C$9:$C$11,0)),""))</f>
        <v/>
      </c>
      <c r="Z130" s="57" t="str">
        <f aca="false">IF('STUDENT SCREENING'!Y130="","",IFERROR(INDEX('SCORING MASTER'!$D$13:$D$15,MATCH('STUDENT SCREENING'!Y130,'SCORING MASTER'!$C$13:$C$15,0)),""))</f>
        <v/>
      </c>
      <c r="AA130" s="57" t="str">
        <f aca="false">IF('STUDENT SCREENING'!Z130="","",IFERROR(INDEX('SCORING MASTER'!$D$17:$D$19,MATCH('STUDENT SCREENING'!Z130,'SCORING MASTER'!$C$17:$C$19,0)),""))</f>
        <v/>
      </c>
      <c r="AB130" s="57" t="str">
        <f aca="false">IF('STUDENT SCREENING'!AA130="","",IFERROR(INDEX('SCORING MASTER'!$D$21:$D$23,MATCH('STUDENT SCREENING'!AA130,'SCORING MASTER'!$C$21:$C$23,0)),""))</f>
        <v/>
      </c>
      <c r="AC130" s="57" t="str">
        <f aca="false">IF('STUDENT SCREENING'!AB130="","",IFERROR(INDEX('SCORING MASTER'!$D$25:$D$27,MATCH('STUDENT SCREENING'!AB130,'SCORING MASTER'!$C$25:$C$27,0)),""))</f>
        <v/>
      </c>
      <c r="AD130" s="57" t="str">
        <f aca="false">IF('STUDENT SCREENING'!AC130="","",IFERROR(INDEX('SCORING MASTER'!$D$29:$D$31,MATCH('STUDENT SCREENING'!AC130,'SCORING MASTER'!$C$29:$C$31,0)),""))</f>
        <v/>
      </c>
      <c r="AE130" s="57" t="str">
        <f aca="false">IF('STUDENT SCREENING'!AD130="","",IFERROR(INDEX('SCORING MASTER'!$D$33:$D$35,MATCH('STUDENT SCREENING'!AD130,'SCORING MASTER'!$C$33:$C$35,0)),""))</f>
        <v/>
      </c>
      <c r="AF130" s="57" t="str">
        <f aca="false">IF('STUDENT SCREENING'!AE130="","",IFERROR(INDEX('SCORING MASTER'!$D$37:$D$39,MATCH('STUDENT SCREENING'!AE130,'SCORING MASTER'!$C$37:$C$39,0)),""))</f>
        <v/>
      </c>
      <c r="AG130" s="57" t="str">
        <f aca="false">IF('STUDENT SCREENING'!AF130="","",IFERROR(INDEX('SCORING MASTER'!$D$41:$D$43,MATCH('STUDENT SCREENING'!AF130,'SCORING MASTER'!$C$41:$C$43,0)),""))</f>
        <v/>
      </c>
      <c r="AH130" s="57" t="str">
        <f aca="false">IF('STUDENT SCREENING'!AG130="","",IFERROR(INDEX('SCORING MASTER'!$D$45:$D$47,MATCH('STUDENT SCREENING'!AG130,'SCORING MASTER'!$C$45:$C$47,0)),""))</f>
        <v/>
      </c>
      <c r="AI130" s="57" t="str">
        <f aca="false">IF('STUDENT SCREENING'!AH130="","",IFERROR(INDEX('SCORING MASTER'!$D$49:$D$52,MATCH('STUDENT SCREENING'!AH130,'SCORING MASTER'!$C$49:$C$52,0)),""))</f>
        <v/>
      </c>
      <c r="AJ130" s="57" t="str">
        <f aca="false">IF('STUDENT SCREENING'!AI130="","",IFERROR(INDEX('SCORING MASTER'!$D$54:$D$57,MATCH('STUDENT SCREENING'!AI130,'SCORING MASTER'!$C$54:$C$57,0)),""))</f>
        <v/>
      </c>
      <c r="AK130" s="57" t="str">
        <f aca="false">IF('STUDENT SCREENING'!AJ130="","",IFERROR(INDEX('SCORING MASTER'!$D$59:$D$60,MATCH('STUDENT SCREENING'!AJ130,'SCORING MASTER'!$C$59:$C$60,0)),""))</f>
        <v/>
      </c>
      <c r="AL130" s="57" t="str">
        <f aca="false">IF('STUDENT SCREENING'!AK130="","",IFERROR(INDEX('SCORING MASTER'!$D$62:$D$63,MATCH('STUDENT SCREENING'!AK130,'SCORING MASTER'!$C$62:$C$63,0)),""))</f>
        <v/>
      </c>
      <c r="AM130" s="57" t="str">
        <f aca="false">IF('STUDENT SCREENING'!AL130="","",IFERROR(INDEX('SCORING MASTER'!$D$65:$D$66,MATCH('STUDENT SCREENING'!AL130,'SCORING MASTER'!$C$65:$C$66,0)),""))</f>
        <v/>
      </c>
      <c r="AN130" s="57" t="str">
        <f aca="false">IF('STUDENT SCREENING'!AM130="","",IFERROR(INDEX('SCORING MASTER'!$D$68:$D$69,MATCH('STUDENT SCREENING'!AM130,'SCORING MASTER'!$C$68:$C$69,0)),""))</f>
        <v/>
      </c>
      <c r="AO130" s="57" t="str">
        <f aca="false">IF('STUDENT SCREENING'!AN130="","",IFERROR(INDEX('SCORING MASTER'!$D$71:$D$72,MATCH('STUDENT SCREENING'!AN130,'SCORING MASTER'!$C$71:$C$72,0)),""))</f>
        <v/>
      </c>
      <c r="AP130" s="57" t="str">
        <f aca="false">IF('STUDENT SCREENING'!AO130="","",IFERROR(INDEX('SCORING MASTER'!$D$74:$D$75,MATCH('STUDENT SCREENING'!AO130,'SCORING MASTER'!$C$74:$C$75,0)),""))</f>
        <v/>
      </c>
      <c r="AQ130" s="57" t="str">
        <f aca="false">IF('STUDENT SCREENING'!AP130="","",IFERROR(INDEX('SCORING MASTER'!$D$77:$D$78,MATCH('STUDENT SCREENING'!AP130,'SCORING MASTER'!$C$77:$C$78,0)),""))</f>
        <v/>
      </c>
      <c r="AR130" s="57" t="str">
        <f aca="false">IF('STUDENT SCREENING'!AQ130="","",IFERROR(INDEX('SCORING MASTER'!$D$80:$D$82,MATCH('STUDENT SCREENING'!AQ130,'SCORING MASTER'!$C$80:$C$82,0)),""))</f>
        <v/>
      </c>
      <c r="AS130" s="57" t="str">
        <f aca="false">IF('STUDENT SCREENING'!AR130="","",IFERROR(INDEX('SCORING MASTER'!$D$84:$D$86,MATCH('STUDENT SCREENING'!AR130,'SCORING MASTER'!$C$84:$C$86,0)),""))</f>
        <v/>
      </c>
      <c r="AT130" s="57" t="str">
        <f aca="false">IF('STUDENT SCREENING'!AS130="","",IFERROR(INDEX('SCORING MASTER'!$D$88:$D$90,MATCH('STUDENT SCREENING'!AS130,'SCORING MASTER'!$C$88:$C$90,0)),""))</f>
        <v/>
      </c>
      <c r="AU130" s="57" t="str">
        <f aca="false">IF('STUDENT SCREENING'!AT130="","",IFERROR(INDEX('SCORING MASTER'!$D$92:$D$93,MATCH('STUDENT SCREENING'!AT130,'SCORING MASTER'!$C$92:$C$93,0)),""))</f>
        <v/>
      </c>
      <c r="AV130" s="57" t="str">
        <f aca="false">IF('STUDENT SCREENING'!AU130="","",IFERROR(INDEX('SCORING MASTER'!$D$95:$D$96,MATCH('STUDENT SCREENING'!AU130,'SCORING MASTER'!$C$95:$C$96,0)),""))</f>
        <v/>
      </c>
      <c r="AW130" s="57" t="str">
        <f aca="false">IF('STUDENT SCREENING'!AV130="","",IFERROR(INDEX('SCORING MASTER'!$D$98:$D$99,MATCH('STUDENT SCREENING'!AV130,'SCORING MASTER'!$C$98:$C$99,0)),""))</f>
        <v/>
      </c>
      <c r="AX130" s="57" t="str">
        <f aca="false">IF('STUDENT SCREENING'!AW130="","",IFERROR(INDEX('SCORING MASTER'!$D$101:$D$102,MATCH('STUDENT SCREENING'!AW130,'SCORING MASTER'!$C$101:$C$102,0)),""))</f>
        <v/>
      </c>
      <c r="AY130" s="57" t="str">
        <f aca="false">IF('STUDENT SCREENING'!AX130="","",IFERROR(INDEX('SCORING MASTER'!$D$104:$D$105,MATCH('STUDENT SCREENING'!AX130,'SCORING MASTER'!$C$104:$C$105,0)),""))</f>
        <v/>
      </c>
      <c r="AZ130" s="57" t="str">
        <f aca="false">IF('STUDENT SCREENING'!AY130="","",IFERROR(INDEX('SCORING MASTER'!$D$107:$D$108,MATCH('STUDENT SCREENING'!AY130,'SCORING MASTER'!$C$107:$C$108,0)),""))</f>
        <v/>
      </c>
      <c r="BA130" s="57" t="str">
        <f aca="false">IF('STUDENT SCREENING'!AZ130="","",IFERROR(INDEX('SCORING MASTER'!$D$110:$D$111,MATCH('STUDENT SCREENING'!AZ130,'SCORING MASTER'!$C$110:$C$111,0)),""))</f>
        <v/>
      </c>
      <c r="BB130" s="57" t="str">
        <f aca="false">IF('STUDENT SCREENING'!BA130="","",IFERROR(INDEX('SCORING MASTER'!$D$113:$D$115,MATCH('STUDENT SCREENING'!BA130,'SCORING MASTER'!$C$113:$C$115,0)),""))</f>
        <v/>
      </c>
      <c r="BC130" s="57" t="str">
        <f aca="false">IF('STUDENT SCREENING'!BB130="","",IFERROR(INDEX('SCORING MASTER'!$D$117:$D$119,MATCH('STUDENT SCREENING'!BB130,'SCORING MASTER'!$C$117:$C$119,0)),""))</f>
        <v/>
      </c>
      <c r="BD130" s="57" t="str">
        <f aca="false">IF('STUDENT SCREENING'!BC130="","",IFERROR(INDEX('SCORING MASTER'!$D$121:$D$123,MATCH('STUDENT SCREENING'!BC130,'SCORING MASTER'!$C$121:$C$123,0)),""))</f>
        <v/>
      </c>
      <c r="BE130" s="57" t="str">
        <f aca="false">IF('STUDENT SCREENING'!BD130="","",IFERROR(INDEX('SCORING MASTER'!$D$125:$D$126,MATCH('STUDENT SCREENING'!BD130,'SCORING MASTER'!$C$125:$C$126,0)),""))</f>
        <v/>
      </c>
      <c r="BF130" s="57" t="str">
        <f aca="false">IF('STUDENT SCREENING'!BE130="","",IFERROR(INDEX('SCORING MASTER'!$D$128:$D$129,MATCH('STUDENT SCREENING'!BE130,'SCORING MASTER'!$C$128:$C$129,0)),""))</f>
        <v/>
      </c>
      <c r="BG130" s="57" t="str">
        <f aca="false">IF('STUDENT SCREENING'!BP130="","",IFERROR(MATCH('STUDENT SCREENING'!BP130,{"Red - High Risk","Orange - Moderate Risk","Yellow - Mild Risk","Light Green - Mild Watch","Green - Healthy"},0)-1,""))</f>
        <v/>
      </c>
      <c r="BH130" s="57" t="str">
        <f aca="false">IF('STUDENT SCREENING'!BQ130="","",IF('STUDENT SCREENING'!BQ130="Yes",1,0))</f>
        <v/>
      </c>
      <c r="BI130" s="57" t="str">
        <f aca="false">IF('STUDENT SCREENING'!BR130="","",IF('STUDENT SCREENING'!BR130="Yes",1,0))</f>
        <v/>
      </c>
    </row>
    <row r="131" customFormat="false" ht="15" hidden="false" customHeight="false" outlineLevel="0" collapsed="false">
      <c r="A131" s="58" t="str">
        <f aca="false">'STUDENT SCREENING'!A131</f>
        <v/>
      </c>
      <c r="B131" s="58" t="n">
        <f aca="false">'STUDENT SCREENING'!C131</f>
        <v>0</v>
      </c>
      <c r="C131" s="58" t="n">
        <f aca="false">'STUDENT SCREENING'!D131</f>
        <v>0</v>
      </c>
      <c r="D131" s="58" t="n">
        <f aca="false">'STUDENT SCREENING'!E131</f>
        <v>0</v>
      </c>
      <c r="E131" s="58" t="n">
        <f aca="false">'STUDENT SCREENING'!F131</f>
        <v>0</v>
      </c>
      <c r="F131" s="58" t="n">
        <f aca="false">'STUDENT SCREENING'!K131</f>
        <v>0</v>
      </c>
      <c r="G131" s="58" t="n">
        <f aca="false">'STUDENT SCREENING'!J131</f>
        <v>0</v>
      </c>
      <c r="H131" s="58" t="str">
        <f aca="false">IF('STUDENT SCREENING'!K131="","",IFERROR(MATCH('STUDENT SCREENING'!K131,Adm_Gender,0),""))</f>
        <v/>
      </c>
      <c r="I131" s="58" t="n">
        <f aca="false">'STUDENT SCREENING'!Q131</f>
        <v>0</v>
      </c>
      <c r="J131" s="58" t="n">
        <f aca="false">'STUDENT SCREENING'!R131</f>
        <v>0</v>
      </c>
      <c r="K131" s="58" t="str">
        <f aca="false">'STUDENT SCREENING'!S131</f>
        <v/>
      </c>
      <c r="L131" s="58" t="n">
        <f aca="false">'STUDENT SCREENING'!U131</f>
        <v>0</v>
      </c>
      <c r="M131" s="58" t="n">
        <f aca="false">'STUDENT SCREENING'!V131</f>
        <v>0</v>
      </c>
      <c r="N131" s="58" t="str">
        <f aca="false">'STUDENT SCREENING'!BF131</f>
        <v/>
      </c>
      <c r="O131" s="58" t="str">
        <f aca="false">'STUDENT SCREENING'!BG131</f>
        <v/>
      </c>
      <c r="P131" s="58" t="str">
        <f aca="false">'STUDENT SCREENING'!BH131</f>
        <v/>
      </c>
      <c r="Q131" s="58" t="str">
        <f aca="false">'STUDENT SCREENING'!BI131</f>
        <v/>
      </c>
      <c r="R131" s="58" t="str">
        <f aca="false">'STUDENT SCREENING'!BJ131</f>
        <v/>
      </c>
      <c r="S131" s="58" t="str">
        <f aca="false">'STUDENT SCREENING'!BK131</f>
        <v/>
      </c>
      <c r="T131" s="58" t="str">
        <f aca="false">'STUDENT SCREENING'!BL131</f>
        <v/>
      </c>
      <c r="U131" s="58" t="str">
        <f aca="false">'STUDENT SCREENING'!BM131</f>
        <v/>
      </c>
      <c r="V131" s="58" t="str">
        <f aca="false">'STUDENT SCREENING'!BN131</f>
        <v/>
      </c>
      <c r="W131" s="58" t="str">
        <f aca="false">'STUDENT SCREENING'!BO131</f>
        <v/>
      </c>
      <c r="X131" s="58" t="str">
        <f aca="false">IF('STUDENT SCREENING'!W131="","",IFERROR(INDEX('SCORING MASTER'!$D$5:$D$7,MATCH('STUDENT SCREENING'!W131,'SCORING MASTER'!$C$5:$C$7,0)),""))</f>
        <v/>
      </c>
      <c r="Y131" s="58" t="str">
        <f aca="false">IF('STUDENT SCREENING'!X131="","",IFERROR(INDEX('SCORING MASTER'!$D$9:$D$11,MATCH('STUDENT SCREENING'!X131,'SCORING MASTER'!$C$9:$C$11,0)),""))</f>
        <v/>
      </c>
      <c r="Z131" s="58" t="str">
        <f aca="false">IF('STUDENT SCREENING'!Y131="","",IFERROR(INDEX('SCORING MASTER'!$D$13:$D$15,MATCH('STUDENT SCREENING'!Y131,'SCORING MASTER'!$C$13:$C$15,0)),""))</f>
        <v/>
      </c>
      <c r="AA131" s="58" t="str">
        <f aca="false">IF('STUDENT SCREENING'!Z131="","",IFERROR(INDEX('SCORING MASTER'!$D$17:$D$19,MATCH('STUDENT SCREENING'!Z131,'SCORING MASTER'!$C$17:$C$19,0)),""))</f>
        <v/>
      </c>
      <c r="AB131" s="58" t="str">
        <f aca="false">IF('STUDENT SCREENING'!AA131="","",IFERROR(INDEX('SCORING MASTER'!$D$21:$D$23,MATCH('STUDENT SCREENING'!AA131,'SCORING MASTER'!$C$21:$C$23,0)),""))</f>
        <v/>
      </c>
      <c r="AC131" s="58" t="str">
        <f aca="false">IF('STUDENT SCREENING'!AB131="","",IFERROR(INDEX('SCORING MASTER'!$D$25:$D$27,MATCH('STUDENT SCREENING'!AB131,'SCORING MASTER'!$C$25:$C$27,0)),""))</f>
        <v/>
      </c>
      <c r="AD131" s="58" t="str">
        <f aca="false">IF('STUDENT SCREENING'!AC131="","",IFERROR(INDEX('SCORING MASTER'!$D$29:$D$31,MATCH('STUDENT SCREENING'!AC131,'SCORING MASTER'!$C$29:$C$31,0)),""))</f>
        <v/>
      </c>
      <c r="AE131" s="58" t="str">
        <f aca="false">IF('STUDENT SCREENING'!AD131="","",IFERROR(INDEX('SCORING MASTER'!$D$33:$D$35,MATCH('STUDENT SCREENING'!AD131,'SCORING MASTER'!$C$33:$C$35,0)),""))</f>
        <v/>
      </c>
      <c r="AF131" s="58" t="str">
        <f aca="false">IF('STUDENT SCREENING'!AE131="","",IFERROR(INDEX('SCORING MASTER'!$D$37:$D$39,MATCH('STUDENT SCREENING'!AE131,'SCORING MASTER'!$C$37:$C$39,0)),""))</f>
        <v/>
      </c>
      <c r="AG131" s="58" t="str">
        <f aca="false">IF('STUDENT SCREENING'!AF131="","",IFERROR(INDEX('SCORING MASTER'!$D$41:$D$43,MATCH('STUDENT SCREENING'!AF131,'SCORING MASTER'!$C$41:$C$43,0)),""))</f>
        <v/>
      </c>
      <c r="AH131" s="58" t="str">
        <f aca="false">IF('STUDENT SCREENING'!AG131="","",IFERROR(INDEX('SCORING MASTER'!$D$45:$D$47,MATCH('STUDENT SCREENING'!AG131,'SCORING MASTER'!$C$45:$C$47,0)),""))</f>
        <v/>
      </c>
      <c r="AI131" s="58" t="str">
        <f aca="false">IF('STUDENT SCREENING'!AH131="","",IFERROR(INDEX('SCORING MASTER'!$D$49:$D$52,MATCH('STUDENT SCREENING'!AH131,'SCORING MASTER'!$C$49:$C$52,0)),""))</f>
        <v/>
      </c>
      <c r="AJ131" s="58" t="str">
        <f aca="false">IF('STUDENT SCREENING'!AI131="","",IFERROR(INDEX('SCORING MASTER'!$D$54:$D$57,MATCH('STUDENT SCREENING'!AI131,'SCORING MASTER'!$C$54:$C$57,0)),""))</f>
        <v/>
      </c>
      <c r="AK131" s="58" t="str">
        <f aca="false">IF('STUDENT SCREENING'!AJ131="","",IFERROR(INDEX('SCORING MASTER'!$D$59:$D$60,MATCH('STUDENT SCREENING'!AJ131,'SCORING MASTER'!$C$59:$C$60,0)),""))</f>
        <v/>
      </c>
      <c r="AL131" s="58" t="str">
        <f aca="false">IF('STUDENT SCREENING'!AK131="","",IFERROR(INDEX('SCORING MASTER'!$D$62:$D$63,MATCH('STUDENT SCREENING'!AK131,'SCORING MASTER'!$C$62:$C$63,0)),""))</f>
        <v/>
      </c>
      <c r="AM131" s="58" t="str">
        <f aca="false">IF('STUDENT SCREENING'!AL131="","",IFERROR(INDEX('SCORING MASTER'!$D$65:$D$66,MATCH('STUDENT SCREENING'!AL131,'SCORING MASTER'!$C$65:$C$66,0)),""))</f>
        <v/>
      </c>
      <c r="AN131" s="58" t="str">
        <f aca="false">IF('STUDENT SCREENING'!AM131="","",IFERROR(INDEX('SCORING MASTER'!$D$68:$D$69,MATCH('STUDENT SCREENING'!AM131,'SCORING MASTER'!$C$68:$C$69,0)),""))</f>
        <v/>
      </c>
      <c r="AO131" s="58" t="str">
        <f aca="false">IF('STUDENT SCREENING'!AN131="","",IFERROR(INDEX('SCORING MASTER'!$D$71:$D$72,MATCH('STUDENT SCREENING'!AN131,'SCORING MASTER'!$C$71:$C$72,0)),""))</f>
        <v/>
      </c>
      <c r="AP131" s="58" t="str">
        <f aca="false">IF('STUDENT SCREENING'!AO131="","",IFERROR(INDEX('SCORING MASTER'!$D$74:$D$75,MATCH('STUDENT SCREENING'!AO131,'SCORING MASTER'!$C$74:$C$75,0)),""))</f>
        <v/>
      </c>
      <c r="AQ131" s="58" t="str">
        <f aca="false">IF('STUDENT SCREENING'!AP131="","",IFERROR(INDEX('SCORING MASTER'!$D$77:$D$78,MATCH('STUDENT SCREENING'!AP131,'SCORING MASTER'!$C$77:$C$78,0)),""))</f>
        <v/>
      </c>
      <c r="AR131" s="58" t="str">
        <f aca="false">IF('STUDENT SCREENING'!AQ131="","",IFERROR(INDEX('SCORING MASTER'!$D$80:$D$82,MATCH('STUDENT SCREENING'!AQ131,'SCORING MASTER'!$C$80:$C$82,0)),""))</f>
        <v/>
      </c>
      <c r="AS131" s="58" t="str">
        <f aca="false">IF('STUDENT SCREENING'!AR131="","",IFERROR(INDEX('SCORING MASTER'!$D$84:$D$86,MATCH('STUDENT SCREENING'!AR131,'SCORING MASTER'!$C$84:$C$86,0)),""))</f>
        <v/>
      </c>
      <c r="AT131" s="58" t="str">
        <f aca="false">IF('STUDENT SCREENING'!AS131="","",IFERROR(INDEX('SCORING MASTER'!$D$88:$D$90,MATCH('STUDENT SCREENING'!AS131,'SCORING MASTER'!$C$88:$C$90,0)),""))</f>
        <v/>
      </c>
      <c r="AU131" s="58" t="str">
        <f aca="false">IF('STUDENT SCREENING'!AT131="","",IFERROR(INDEX('SCORING MASTER'!$D$92:$D$93,MATCH('STUDENT SCREENING'!AT131,'SCORING MASTER'!$C$92:$C$93,0)),""))</f>
        <v/>
      </c>
      <c r="AV131" s="58" t="str">
        <f aca="false">IF('STUDENT SCREENING'!AU131="","",IFERROR(INDEX('SCORING MASTER'!$D$95:$D$96,MATCH('STUDENT SCREENING'!AU131,'SCORING MASTER'!$C$95:$C$96,0)),""))</f>
        <v/>
      </c>
      <c r="AW131" s="58" t="str">
        <f aca="false">IF('STUDENT SCREENING'!AV131="","",IFERROR(INDEX('SCORING MASTER'!$D$98:$D$99,MATCH('STUDENT SCREENING'!AV131,'SCORING MASTER'!$C$98:$C$99,0)),""))</f>
        <v/>
      </c>
      <c r="AX131" s="58" t="str">
        <f aca="false">IF('STUDENT SCREENING'!AW131="","",IFERROR(INDEX('SCORING MASTER'!$D$101:$D$102,MATCH('STUDENT SCREENING'!AW131,'SCORING MASTER'!$C$101:$C$102,0)),""))</f>
        <v/>
      </c>
      <c r="AY131" s="58" t="str">
        <f aca="false">IF('STUDENT SCREENING'!AX131="","",IFERROR(INDEX('SCORING MASTER'!$D$104:$D$105,MATCH('STUDENT SCREENING'!AX131,'SCORING MASTER'!$C$104:$C$105,0)),""))</f>
        <v/>
      </c>
      <c r="AZ131" s="58" t="str">
        <f aca="false">IF('STUDENT SCREENING'!AY131="","",IFERROR(INDEX('SCORING MASTER'!$D$107:$D$108,MATCH('STUDENT SCREENING'!AY131,'SCORING MASTER'!$C$107:$C$108,0)),""))</f>
        <v/>
      </c>
      <c r="BA131" s="58" t="str">
        <f aca="false">IF('STUDENT SCREENING'!AZ131="","",IFERROR(INDEX('SCORING MASTER'!$D$110:$D$111,MATCH('STUDENT SCREENING'!AZ131,'SCORING MASTER'!$C$110:$C$111,0)),""))</f>
        <v/>
      </c>
      <c r="BB131" s="58" t="str">
        <f aca="false">IF('STUDENT SCREENING'!BA131="","",IFERROR(INDEX('SCORING MASTER'!$D$113:$D$115,MATCH('STUDENT SCREENING'!BA131,'SCORING MASTER'!$C$113:$C$115,0)),""))</f>
        <v/>
      </c>
      <c r="BC131" s="58" t="str">
        <f aca="false">IF('STUDENT SCREENING'!BB131="","",IFERROR(INDEX('SCORING MASTER'!$D$117:$D$119,MATCH('STUDENT SCREENING'!BB131,'SCORING MASTER'!$C$117:$C$119,0)),""))</f>
        <v/>
      </c>
      <c r="BD131" s="58" t="str">
        <f aca="false">IF('STUDENT SCREENING'!BC131="","",IFERROR(INDEX('SCORING MASTER'!$D$121:$D$123,MATCH('STUDENT SCREENING'!BC131,'SCORING MASTER'!$C$121:$C$123,0)),""))</f>
        <v/>
      </c>
      <c r="BE131" s="58" t="str">
        <f aca="false">IF('STUDENT SCREENING'!BD131="","",IFERROR(INDEX('SCORING MASTER'!$D$125:$D$126,MATCH('STUDENT SCREENING'!BD131,'SCORING MASTER'!$C$125:$C$126,0)),""))</f>
        <v/>
      </c>
      <c r="BF131" s="58" t="str">
        <f aca="false">IF('STUDENT SCREENING'!BE131="","",IFERROR(INDEX('SCORING MASTER'!$D$128:$D$129,MATCH('STUDENT SCREENING'!BE131,'SCORING MASTER'!$C$128:$C$129,0)),""))</f>
        <v/>
      </c>
      <c r="BG131" s="58" t="str">
        <f aca="false">IF('STUDENT SCREENING'!BP131="","",IFERROR(MATCH('STUDENT SCREENING'!BP131,{"Red - High Risk","Orange - Moderate Risk","Yellow - Mild Risk","Light Green - Mild Watch","Green - Healthy"},0)-1,""))</f>
        <v/>
      </c>
      <c r="BH131" s="58" t="str">
        <f aca="false">IF('STUDENT SCREENING'!BQ131="","",IF('STUDENT SCREENING'!BQ131="Yes",1,0))</f>
        <v/>
      </c>
      <c r="BI131" s="58" t="str">
        <f aca="false">IF('STUDENT SCREENING'!BR131="","",IF('STUDENT SCREENING'!BR131="Yes",1,0))</f>
        <v/>
      </c>
    </row>
    <row r="132" customFormat="false" ht="15" hidden="false" customHeight="false" outlineLevel="0" collapsed="false">
      <c r="A132" s="57" t="str">
        <f aca="false">'STUDENT SCREENING'!A132</f>
        <v/>
      </c>
      <c r="B132" s="57" t="n">
        <f aca="false">'STUDENT SCREENING'!C132</f>
        <v>0</v>
      </c>
      <c r="C132" s="57" t="n">
        <f aca="false">'STUDENT SCREENING'!D132</f>
        <v>0</v>
      </c>
      <c r="D132" s="57" t="n">
        <f aca="false">'STUDENT SCREENING'!E132</f>
        <v>0</v>
      </c>
      <c r="E132" s="57" t="n">
        <f aca="false">'STUDENT SCREENING'!F132</f>
        <v>0</v>
      </c>
      <c r="F132" s="57" t="n">
        <f aca="false">'STUDENT SCREENING'!K132</f>
        <v>0</v>
      </c>
      <c r="G132" s="57" t="n">
        <f aca="false">'STUDENT SCREENING'!J132</f>
        <v>0</v>
      </c>
      <c r="H132" s="57" t="str">
        <f aca="false">IF('STUDENT SCREENING'!K132="","",IFERROR(MATCH('STUDENT SCREENING'!K132,Adm_Gender,0),""))</f>
        <v/>
      </c>
      <c r="I132" s="57" t="n">
        <f aca="false">'STUDENT SCREENING'!Q132</f>
        <v>0</v>
      </c>
      <c r="J132" s="57" t="n">
        <f aca="false">'STUDENT SCREENING'!R132</f>
        <v>0</v>
      </c>
      <c r="K132" s="57" t="str">
        <f aca="false">'STUDENT SCREENING'!S132</f>
        <v/>
      </c>
      <c r="L132" s="57" t="n">
        <f aca="false">'STUDENT SCREENING'!U132</f>
        <v>0</v>
      </c>
      <c r="M132" s="57" t="n">
        <f aca="false">'STUDENT SCREENING'!V132</f>
        <v>0</v>
      </c>
      <c r="N132" s="57" t="str">
        <f aca="false">'STUDENT SCREENING'!BF132</f>
        <v/>
      </c>
      <c r="O132" s="57" t="str">
        <f aca="false">'STUDENT SCREENING'!BG132</f>
        <v/>
      </c>
      <c r="P132" s="57" t="str">
        <f aca="false">'STUDENT SCREENING'!BH132</f>
        <v/>
      </c>
      <c r="Q132" s="57" t="str">
        <f aca="false">'STUDENT SCREENING'!BI132</f>
        <v/>
      </c>
      <c r="R132" s="57" t="str">
        <f aca="false">'STUDENT SCREENING'!BJ132</f>
        <v/>
      </c>
      <c r="S132" s="57" t="str">
        <f aca="false">'STUDENT SCREENING'!BK132</f>
        <v/>
      </c>
      <c r="T132" s="57" t="str">
        <f aca="false">'STUDENT SCREENING'!BL132</f>
        <v/>
      </c>
      <c r="U132" s="57" t="str">
        <f aca="false">'STUDENT SCREENING'!BM132</f>
        <v/>
      </c>
      <c r="V132" s="57" t="str">
        <f aca="false">'STUDENT SCREENING'!BN132</f>
        <v/>
      </c>
      <c r="W132" s="57" t="str">
        <f aca="false">'STUDENT SCREENING'!BO132</f>
        <v/>
      </c>
      <c r="X132" s="57" t="str">
        <f aca="false">IF('STUDENT SCREENING'!W132="","",IFERROR(INDEX('SCORING MASTER'!$D$5:$D$7,MATCH('STUDENT SCREENING'!W132,'SCORING MASTER'!$C$5:$C$7,0)),""))</f>
        <v/>
      </c>
      <c r="Y132" s="57" t="str">
        <f aca="false">IF('STUDENT SCREENING'!X132="","",IFERROR(INDEX('SCORING MASTER'!$D$9:$D$11,MATCH('STUDENT SCREENING'!X132,'SCORING MASTER'!$C$9:$C$11,0)),""))</f>
        <v/>
      </c>
      <c r="Z132" s="57" t="str">
        <f aca="false">IF('STUDENT SCREENING'!Y132="","",IFERROR(INDEX('SCORING MASTER'!$D$13:$D$15,MATCH('STUDENT SCREENING'!Y132,'SCORING MASTER'!$C$13:$C$15,0)),""))</f>
        <v/>
      </c>
      <c r="AA132" s="57" t="str">
        <f aca="false">IF('STUDENT SCREENING'!Z132="","",IFERROR(INDEX('SCORING MASTER'!$D$17:$D$19,MATCH('STUDENT SCREENING'!Z132,'SCORING MASTER'!$C$17:$C$19,0)),""))</f>
        <v/>
      </c>
      <c r="AB132" s="57" t="str">
        <f aca="false">IF('STUDENT SCREENING'!AA132="","",IFERROR(INDEX('SCORING MASTER'!$D$21:$D$23,MATCH('STUDENT SCREENING'!AA132,'SCORING MASTER'!$C$21:$C$23,0)),""))</f>
        <v/>
      </c>
      <c r="AC132" s="57" t="str">
        <f aca="false">IF('STUDENT SCREENING'!AB132="","",IFERROR(INDEX('SCORING MASTER'!$D$25:$D$27,MATCH('STUDENT SCREENING'!AB132,'SCORING MASTER'!$C$25:$C$27,0)),""))</f>
        <v/>
      </c>
      <c r="AD132" s="57" t="str">
        <f aca="false">IF('STUDENT SCREENING'!AC132="","",IFERROR(INDEX('SCORING MASTER'!$D$29:$D$31,MATCH('STUDENT SCREENING'!AC132,'SCORING MASTER'!$C$29:$C$31,0)),""))</f>
        <v/>
      </c>
      <c r="AE132" s="57" t="str">
        <f aca="false">IF('STUDENT SCREENING'!AD132="","",IFERROR(INDEX('SCORING MASTER'!$D$33:$D$35,MATCH('STUDENT SCREENING'!AD132,'SCORING MASTER'!$C$33:$C$35,0)),""))</f>
        <v/>
      </c>
      <c r="AF132" s="57" t="str">
        <f aca="false">IF('STUDENT SCREENING'!AE132="","",IFERROR(INDEX('SCORING MASTER'!$D$37:$D$39,MATCH('STUDENT SCREENING'!AE132,'SCORING MASTER'!$C$37:$C$39,0)),""))</f>
        <v/>
      </c>
      <c r="AG132" s="57" t="str">
        <f aca="false">IF('STUDENT SCREENING'!AF132="","",IFERROR(INDEX('SCORING MASTER'!$D$41:$D$43,MATCH('STUDENT SCREENING'!AF132,'SCORING MASTER'!$C$41:$C$43,0)),""))</f>
        <v/>
      </c>
      <c r="AH132" s="57" t="str">
        <f aca="false">IF('STUDENT SCREENING'!AG132="","",IFERROR(INDEX('SCORING MASTER'!$D$45:$D$47,MATCH('STUDENT SCREENING'!AG132,'SCORING MASTER'!$C$45:$C$47,0)),""))</f>
        <v/>
      </c>
      <c r="AI132" s="57" t="str">
        <f aca="false">IF('STUDENT SCREENING'!AH132="","",IFERROR(INDEX('SCORING MASTER'!$D$49:$D$52,MATCH('STUDENT SCREENING'!AH132,'SCORING MASTER'!$C$49:$C$52,0)),""))</f>
        <v/>
      </c>
      <c r="AJ132" s="57" t="str">
        <f aca="false">IF('STUDENT SCREENING'!AI132="","",IFERROR(INDEX('SCORING MASTER'!$D$54:$D$57,MATCH('STUDENT SCREENING'!AI132,'SCORING MASTER'!$C$54:$C$57,0)),""))</f>
        <v/>
      </c>
      <c r="AK132" s="57" t="str">
        <f aca="false">IF('STUDENT SCREENING'!AJ132="","",IFERROR(INDEX('SCORING MASTER'!$D$59:$D$60,MATCH('STUDENT SCREENING'!AJ132,'SCORING MASTER'!$C$59:$C$60,0)),""))</f>
        <v/>
      </c>
      <c r="AL132" s="57" t="str">
        <f aca="false">IF('STUDENT SCREENING'!AK132="","",IFERROR(INDEX('SCORING MASTER'!$D$62:$D$63,MATCH('STUDENT SCREENING'!AK132,'SCORING MASTER'!$C$62:$C$63,0)),""))</f>
        <v/>
      </c>
      <c r="AM132" s="57" t="str">
        <f aca="false">IF('STUDENT SCREENING'!AL132="","",IFERROR(INDEX('SCORING MASTER'!$D$65:$D$66,MATCH('STUDENT SCREENING'!AL132,'SCORING MASTER'!$C$65:$C$66,0)),""))</f>
        <v/>
      </c>
      <c r="AN132" s="57" t="str">
        <f aca="false">IF('STUDENT SCREENING'!AM132="","",IFERROR(INDEX('SCORING MASTER'!$D$68:$D$69,MATCH('STUDENT SCREENING'!AM132,'SCORING MASTER'!$C$68:$C$69,0)),""))</f>
        <v/>
      </c>
      <c r="AO132" s="57" t="str">
        <f aca="false">IF('STUDENT SCREENING'!AN132="","",IFERROR(INDEX('SCORING MASTER'!$D$71:$D$72,MATCH('STUDENT SCREENING'!AN132,'SCORING MASTER'!$C$71:$C$72,0)),""))</f>
        <v/>
      </c>
      <c r="AP132" s="57" t="str">
        <f aca="false">IF('STUDENT SCREENING'!AO132="","",IFERROR(INDEX('SCORING MASTER'!$D$74:$D$75,MATCH('STUDENT SCREENING'!AO132,'SCORING MASTER'!$C$74:$C$75,0)),""))</f>
        <v/>
      </c>
      <c r="AQ132" s="57" t="str">
        <f aca="false">IF('STUDENT SCREENING'!AP132="","",IFERROR(INDEX('SCORING MASTER'!$D$77:$D$78,MATCH('STUDENT SCREENING'!AP132,'SCORING MASTER'!$C$77:$C$78,0)),""))</f>
        <v/>
      </c>
      <c r="AR132" s="57" t="str">
        <f aca="false">IF('STUDENT SCREENING'!AQ132="","",IFERROR(INDEX('SCORING MASTER'!$D$80:$D$82,MATCH('STUDENT SCREENING'!AQ132,'SCORING MASTER'!$C$80:$C$82,0)),""))</f>
        <v/>
      </c>
      <c r="AS132" s="57" t="str">
        <f aca="false">IF('STUDENT SCREENING'!AR132="","",IFERROR(INDEX('SCORING MASTER'!$D$84:$D$86,MATCH('STUDENT SCREENING'!AR132,'SCORING MASTER'!$C$84:$C$86,0)),""))</f>
        <v/>
      </c>
      <c r="AT132" s="57" t="str">
        <f aca="false">IF('STUDENT SCREENING'!AS132="","",IFERROR(INDEX('SCORING MASTER'!$D$88:$D$90,MATCH('STUDENT SCREENING'!AS132,'SCORING MASTER'!$C$88:$C$90,0)),""))</f>
        <v/>
      </c>
      <c r="AU132" s="57" t="str">
        <f aca="false">IF('STUDENT SCREENING'!AT132="","",IFERROR(INDEX('SCORING MASTER'!$D$92:$D$93,MATCH('STUDENT SCREENING'!AT132,'SCORING MASTER'!$C$92:$C$93,0)),""))</f>
        <v/>
      </c>
      <c r="AV132" s="57" t="str">
        <f aca="false">IF('STUDENT SCREENING'!AU132="","",IFERROR(INDEX('SCORING MASTER'!$D$95:$D$96,MATCH('STUDENT SCREENING'!AU132,'SCORING MASTER'!$C$95:$C$96,0)),""))</f>
        <v/>
      </c>
      <c r="AW132" s="57" t="str">
        <f aca="false">IF('STUDENT SCREENING'!AV132="","",IFERROR(INDEX('SCORING MASTER'!$D$98:$D$99,MATCH('STUDENT SCREENING'!AV132,'SCORING MASTER'!$C$98:$C$99,0)),""))</f>
        <v/>
      </c>
      <c r="AX132" s="57" t="str">
        <f aca="false">IF('STUDENT SCREENING'!AW132="","",IFERROR(INDEX('SCORING MASTER'!$D$101:$D$102,MATCH('STUDENT SCREENING'!AW132,'SCORING MASTER'!$C$101:$C$102,0)),""))</f>
        <v/>
      </c>
      <c r="AY132" s="57" t="str">
        <f aca="false">IF('STUDENT SCREENING'!AX132="","",IFERROR(INDEX('SCORING MASTER'!$D$104:$D$105,MATCH('STUDENT SCREENING'!AX132,'SCORING MASTER'!$C$104:$C$105,0)),""))</f>
        <v/>
      </c>
      <c r="AZ132" s="57" t="str">
        <f aca="false">IF('STUDENT SCREENING'!AY132="","",IFERROR(INDEX('SCORING MASTER'!$D$107:$D$108,MATCH('STUDENT SCREENING'!AY132,'SCORING MASTER'!$C$107:$C$108,0)),""))</f>
        <v/>
      </c>
      <c r="BA132" s="57" t="str">
        <f aca="false">IF('STUDENT SCREENING'!AZ132="","",IFERROR(INDEX('SCORING MASTER'!$D$110:$D$111,MATCH('STUDENT SCREENING'!AZ132,'SCORING MASTER'!$C$110:$C$111,0)),""))</f>
        <v/>
      </c>
      <c r="BB132" s="57" t="str">
        <f aca="false">IF('STUDENT SCREENING'!BA132="","",IFERROR(INDEX('SCORING MASTER'!$D$113:$D$115,MATCH('STUDENT SCREENING'!BA132,'SCORING MASTER'!$C$113:$C$115,0)),""))</f>
        <v/>
      </c>
      <c r="BC132" s="57" t="str">
        <f aca="false">IF('STUDENT SCREENING'!BB132="","",IFERROR(INDEX('SCORING MASTER'!$D$117:$D$119,MATCH('STUDENT SCREENING'!BB132,'SCORING MASTER'!$C$117:$C$119,0)),""))</f>
        <v/>
      </c>
      <c r="BD132" s="57" t="str">
        <f aca="false">IF('STUDENT SCREENING'!BC132="","",IFERROR(INDEX('SCORING MASTER'!$D$121:$D$123,MATCH('STUDENT SCREENING'!BC132,'SCORING MASTER'!$C$121:$C$123,0)),""))</f>
        <v/>
      </c>
      <c r="BE132" s="57" t="str">
        <f aca="false">IF('STUDENT SCREENING'!BD132="","",IFERROR(INDEX('SCORING MASTER'!$D$125:$D$126,MATCH('STUDENT SCREENING'!BD132,'SCORING MASTER'!$C$125:$C$126,0)),""))</f>
        <v/>
      </c>
      <c r="BF132" s="57" t="str">
        <f aca="false">IF('STUDENT SCREENING'!BE132="","",IFERROR(INDEX('SCORING MASTER'!$D$128:$D$129,MATCH('STUDENT SCREENING'!BE132,'SCORING MASTER'!$C$128:$C$129,0)),""))</f>
        <v/>
      </c>
      <c r="BG132" s="57" t="str">
        <f aca="false">IF('STUDENT SCREENING'!BP132="","",IFERROR(MATCH('STUDENT SCREENING'!BP132,{"Red - High Risk","Orange - Moderate Risk","Yellow - Mild Risk","Light Green - Mild Watch","Green - Healthy"},0)-1,""))</f>
        <v/>
      </c>
      <c r="BH132" s="57" t="str">
        <f aca="false">IF('STUDENT SCREENING'!BQ132="","",IF('STUDENT SCREENING'!BQ132="Yes",1,0))</f>
        <v/>
      </c>
      <c r="BI132" s="57" t="str">
        <f aca="false">IF('STUDENT SCREENING'!BR132="","",IF('STUDENT SCREENING'!BR132="Yes",1,0))</f>
        <v/>
      </c>
    </row>
    <row r="133" customFormat="false" ht="15" hidden="false" customHeight="false" outlineLevel="0" collapsed="false">
      <c r="A133" s="58" t="str">
        <f aca="false">'STUDENT SCREENING'!A133</f>
        <v/>
      </c>
      <c r="B133" s="58" t="n">
        <f aca="false">'STUDENT SCREENING'!C133</f>
        <v>0</v>
      </c>
      <c r="C133" s="58" t="n">
        <f aca="false">'STUDENT SCREENING'!D133</f>
        <v>0</v>
      </c>
      <c r="D133" s="58" t="n">
        <f aca="false">'STUDENT SCREENING'!E133</f>
        <v>0</v>
      </c>
      <c r="E133" s="58" t="n">
        <f aca="false">'STUDENT SCREENING'!F133</f>
        <v>0</v>
      </c>
      <c r="F133" s="58" t="n">
        <f aca="false">'STUDENT SCREENING'!K133</f>
        <v>0</v>
      </c>
      <c r="G133" s="58" t="n">
        <f aca="false">'STUDENT SCREENING'!J133</f>
        <v>0</v>
      </c>
      <c r="H133" s="58" t="str">
        <f aca="false">IF('STUDENT SCREENING'!K133="","",IFERROR(MATCH('STUDENT SCREENING'!K133,Adm_Gender,0),""))</f>
        <v/>
      </c>
      <c r="I133" s="58" t="n">
        <f aca="false">'STUDENT SCREENING'!Q133</f>
        <v>0</v>
      </c>
      <c r="J133" s="58" t="n">
        <f aca="false">'STUDENT SCREENING'!R133</f>
        <v>0</v>
      </c>
      <c r="K133" s="58" t="str">
        <f aca="false">'STUDENT SCREENING'!S133</f>
        <v/>
      </c>
      <c r="L133" s="58" t="n">
        <f aca="false">'STUDENT SCREENING'!U133</f>
        <v>0</v>
      </c>
      <c r="M133" s="58" t="n">
        <f aca="false">'STUDENT SCREENING'!V133</f>
        <v>0</v>
      </c>
      <c r="N133" s="58" t="str">
        <f aca="false">'STUDENT SCREENING'!BF133</f>
        <v/>
      </c>
      <c r="O133" s="58" t="str">
        <f aca="false">'STUDENT SCREENING'!BG133</f>
        <v/>
      </c>
      <c r="P133" s="58" t="str">
        <f aca="false">'STUDENT SCREENING'!BH133</f>
        <v/>
      </c>
      <c r="Q133" s="58" t="str">
        <f aca="false">'STUDENT SCREENING'!BI133</f>
        <v/>
      </c>
      <c r="R133" s="58" t="str">
        <f aca="false">'STUDENT SCREENING'!BJ133</f>
        <v/>
      </c>
      <c r="S133" s="58" t="str">
        <f aca="false">'STUDENT SCREENING'!BK133</f>
        <v/>
      </c>
      <c r="T133" s="58" t="str">
        <f aca="false">'STUDENT SCREENING'!BL133</f>
        <v/>
      </c>
      <c r="U133" s="58" t="str">
        <f aca="false">'STUDENT SCREENING'!BM133</f>
        <v/>
      </c>
      <c r="V133" s="58" t="str">
        <f aca="false">'STUDENT SCREENING'!BN133</f>
        <v/>
      </c>
      <c r="W133" s="58" t="str">
        <f aca="false">'STUDENT SCREENING'!BO133</f>
        <v/>
      </c>
      <c r="X133" s="58" t="str">
        <f aca="false">IF('STUDENT SCREENING'!W133="","",IFERROR(INDEX('SCORING MASTER'!$D$5:$D$7,MATCH('STUDENT SCREENING'!W133,'SCORING MASTER'!$C$5:$C$7,0)),""))</f>
        <v/>
      </c>
      <c r="Y133" s="58" t="str">
        <f aca="false">IF('STUDENT SCREENING'!X133="","",IFERROR(INDEX('SCORING MASTER'!$D$9:$D$11,MATCH('STUDENT SCREENING'!X133,'SCORING MASTER'!$C$9:$C$11,0)),""))</f>
        <v/>
      </c>
      <c r="Z133" s="58" t="str">
        <f aca="false">IF('STUDENT SCREENING'!Y133="","",IFERROR(INDEX('SCORING MASTER'!$D$13:$D$15,MATCH('STUDENT SCREENING'!Y133,'SCORING MASTER'!$C$13:$C$15,0)),""))</f>
        <v/>
      </c>
      <c r="AA133" s="58" t="str">
        <f aca="false">IF('STUDENT SCREENING'!Z133="","",IFERROR(INDEX('SCORING MASTER'!$D$17:$D$19,MATCH('STUDENT SCREENING'!Z133,'SCORING MASTER'!$C$17:$C$19,0)),""))</f>
        <v/>
      </c>
      <c r="AB133" s="58" t="str">
        <f aca="false">IF('STUDENT SCREENING'!AA133="","",IFERROR(INDEX('SCORING MASTER'!$D$21:$D$23,MATCH('STUDENT SCREENING'!AA133,'SCORING MASTER'!$C$21:$C$23,0)),""))</f>
        <v/>
      </c>
      <c r="AC133" s="58" t="str">
        <f aca="false">IF('STUDENT SCREENING'!AB133="","",IFERROR(INDEX('SCORING MASTER'!$D$25:$D$27,MATCH('STUDENT SCREENING'!AB133,'SCORING MASTER'!$C$25:$C$27,0)),""))</f>
        <v/>
      </c>
      <c r="AD133" s="58" t="str">
        <f aca="false">IF('STUDENT SCREENING'!AC133="","",IFERROR(INDEX('SCORING MASTER'!$D$29:$D$31,MATCH('STUDENT SCREENING'!AC133,'SCORING MASTER'!$C$29:$C$31,0)),""))</f>
        <v/>
      </c>
      <c r="AE133" s="58" t="str">
        <f aca="false">IF('STUDENT SCREENING'!AD133="","",IFERROR(INDEX('SCORING MASTER'!$D$33:$D$35,MATCH('STUDENT SCREENING'!AD133,'SCORING MASTER'!$C$33:$C$35,0)),""))</f>
        <v/>
      </c>
      <c r="AF133" s="58" t="str">
        <f aca="false">IF('STUDENT SCREENING'!AE133="","",IFERROR(INDEX('SCORING MASTER'!$D$37:$D$39,MATCH('STUDENT SCREENING'!AE133,'SCORING MASTER'!$C$37:$C$39,0)),""))</f>
        <v/>
      </c>
      <c r="AG133" s="58" t="str">
        <f aca="false">IF('STUDENT SCREENING'!AF133="","",IFERROR(INDEX('SCORING MASTER'!$D$41:$D$43,MATCH('STUDENT SCREENING'!AF133,'SCORING MASTER'!$C$41:$C$43,0)),""))</f>
        <v/>
      </c>
      <c r="AH133" s="58" t="str">
        <f aca="false">IF('STUDENT SCREENING'!AG133="","",IFERROR(INDEX('SCORING MASTER'!$D$45:$D$47,MATCH('STUDENT SCREENING'!AG133,'SCORING MASTER'!$C$45:$C$47,0)),""))</f>
        <v/>
      </c>
      <c r="AI133" s="58" t="str">
        <f aca="false">IF('STUDENT SCREENING'!AH133="","",IFERROR(INDEX('SCORING MASTER'!$D$49:$D$52,MATCH('STUDENT SCREENING'!AH133,'SCORING MASTER'!$C$49:$C$52,0)),""))</f>
        <v/>
      </c>
      <c r="AJ133" s="58" t="str">
        <f aca="false">IF('STUDENT SCREENING'!AI133="","",IFERROR(INDEX('SCORING MASTER'!$D$54:$D$57,MATCH('STUDENT SCREENING'!AI133,'SCORING MASTER'!$C$54:$C$57,0)),""))</f>
        <v/>
      </c>
      <c r="AK133" s="58" t="str">
        <f aca="false">IF('STUDENT SCREENING'!AJ133="","",IFERROR(INDEX('SCORING MASTER'!$D$59:$D$60,MATCH('STUDENT SCREENING'!AJ133,'SCORING MASTER'!$C$59:$C$60,0)),""))</f>
        <v/>
      </c>
      <c r="AL133" s="58" t="str">
        <f aca="false">IF('STUDENT SCREENING'!AK133="","",IFERROR(INDEX('SCORING MASTER'!$D$62:$D$63,MATCH('STUDENT SCREENING'!AK133,'SCORING MASTER'!$C$62:$C$63,0)),""))</f>
        <v/>
      </c>
      <c r="AM133" s="58" t="str">
        <f aca="false">IF('STUDENT SCREENING'!AL133="","",IFERROR(INDEX('SCORING MASTER'!$D$65:$D$66,MATCH('STUDENT SCREENING'!AL133,'SCORING MASTER'!$C$65:$C$66,0)),""))</f>
        <v/>
      </c>
      <c r="AN133" s="58" t="str">
        <f aca="false">IF('STUDENT SCREENING'!AM133="","",IFERROR(INDEX('SCORING MASTER'!$D$68:$D$69,MATCH('STUDENT SCREENING'!AM133,'SCORING MASTER'!$C$68:$C$69,0)),""))</f>
        <v/>
      </c>
      <c r="AO133" s="58" t="str">
        <f aca="false">IF('STUDENT SCREENING'!AN133="","",IFERROR(INDEX('SCORING MASTER'!$D$71:$D$72,MATCH('STUDENT SCREENING'!AN133,'SCORING MASTER'!$C$71:$C$72,0)),""))</f>
        <v/>
      </c>
      <c r="AP133" s="58" t="str">
        <f aca="false">IF('STUDENT SCREENING'!AO133="","",IFERROR(INDEX('SCORING MASTER'!$D$74:$D$75,MATCH('STUDENT SCREENING'!AO133,'SCORING MASTER'!$C$74:$C$75,0)),""))</f>
        <v/>
      </c>
      <c r="AQ133" s="58" t="str">
        <f aca="false">IF('STUDENT SCREENING'!AP133="","",IFERROR(INDEX('SCORING MASTER'!$D$77:$D$78,MATCH('STUDENT SCREENING'!AP133,'SCORING MASTER'!$C$77:$C$78,0)),""))</f>
        <v/>
      </c>
      <c r="AR133" s="58" t="str">
        <f aca="false">IF('STUDENT SCREENING'!AQ133="","",IFERROR(INDEX('SCORING MASTER'!$D$80:$D$82,MATCH('STUDENT SCREENING'!AQ133,'SCORING MASTER'!$C$80:$C$82,0)),""))</f>
        <v/>
      </c>
      <c r="AS133" s="58" t="str">
        <f aca="false">IF('STUDENT SCREENING'!AR133="","",IFERROR(INDEX('SCORING MASTER'!$D$84:$D$86,MATCH('STUDENT SCREENING'!AR133,'SCORING MASTER'!$C$84:$C$86,0)),""))</f>
        <v/>
      </c>
      <c r="AT133" s="58" t="str">
        <f aca="false">IF('STUDENT SCREENING'!AS133="","",IFERROR(INDEX('SCORING MASTER'!$D$88:$D$90,MATCH('STUDENT SCREENING'!AS133,'SCORING MASTER'!$C$88:$C$90,0)),""))</f>
        <v/>
      </c>
      <c r="AU133" s="58" t="str">
        <f aca="false">IF('STUDENT SCREENING'!AT133="","",IFERROR(INDEX('SCORING MASTER'!$D$92:$D$93,MATCH('STUDENT SCREENING'!AT133,'SCORING MASTER'!$C$92:$C$93,0)),""))</f>
        <v/>
      </c>
      <c r="AV133" s="58" t="str">
        <f aca="false">IF('STUDENT SCREENING'!AU133="","",IFERROR(INDEX('SCORING MASTER'!$D$95:$D$96,MATCH('STUDENT SCREENING'!AU133,'SCORING MASTER'!$C$95:$C$96,0)),""))</f>
        <v/>
      </c>
      <c r="AW133" s="58" t="str">
        <f aca="false">IF('STUDENT SCREENING'!AV133="","",IFERROR(INDEX('SCORING MASTER'!$D$98:$D$99,MATCH('STUDENT SCREENING'!AV133,'SCORING MASTER'!$C$98:$C$99,0)),""))</f>
        <v/>
      </c>
      <c r="AX133" s="58" t="str">
        <f aca="false">IF('STUDENT SCREENING'!AW133="","",IFERROR(INDEX('SCORING MASTER'!$D$101:$D$102,MATCH('STUDENT SCREENING'!AW133,'SCORING MASTER'!$C$101:$C$102,0)),""))</f>
        <v/>
      </c>
      <c r="AY133" s="58" t="str">
        <f aca="false">IF('STUDENT SCREENING'!AX133="","",IFERROR(INDEX('SCORING MASTER'!$D$104:$D$105,MATCH('STUDENT SCREENING'!AX133,'SCORING MASTER'!$C$104:$C$105,0)),""))</f>
        <v/>
      </c>
      <c r="AZ133" s="58" t="str">
        <f aca="false">IF('STUDENT SCREENING'!AY133="","",IFERROR(INDEX('SCORING MASTER'!$D$107:$D$108,MATCH('STUDENT SCREENING'!AY133,'SCORING MASTER'!$C$107:$C$108,0)),""))</f>
        <v/>
      </c>
      <c r="BA133" s="58" t="str">
        <f aca="false">IF('STUDENT SCREENING'!AZ133="","",IFERROR(INDEX('SCORING MASTER'!$D$110:$D$111,MATCH('STUDENT SCREENING'!AZ133,'SCORING MASTER'!$C$110:$C$111,0)),""))</f>
        <v/>
      </c>
      <c r="BB133" s="58" t="str">
        <f aca="false">IF('STUDENT SCREENING'!BA133="","",IFERROR(INDEX('SCORING MASTER'!$D$113:$D$115,MATCH('STUDENT SCREENING'!BA133,'SCORING MASTER'!$C$113:$C$115,0)),""))</f>
        <v/>
      </c>
      <c r="BC133" s="58" t="str">
        <f aca="false">IF('STUDENT SCREENING'!BB133="","",IFERROR(INDEX('SCORING MASTER'!$D$117:$D$119,MATCH('STUDENT SCREENING'!BB133,'SCORING MASTER'!$C$117:$C$119,0)),""))</f>
        <v/>
      </c>
      <c r="BD133" s="58" t="str">
        <f aca="false">IF('STUDENT SCREENING'!BC133="","",IFERROR(INDEX('SCORING MASTER'!$D$121:$D$123,MATCH('STUDENT SCREENING'!BC133,'SCORING MASTER'!$C$121:$C$123,0)),""))</f>
        <v/>
      </c>
      <c r="BE133" s="58" t="str">
        <f aca="false">IF('STUDENT SCREENING'!BD133="","",IFERROR(INDEX('SCORING MASTER'!$D$125:$D$126,MATCH('STUDENT SCREENING'!BD133,'SCORING MASTER'!$C$125:$C$126,0)),""))</f>
        <v/>
      </c>
      <c r="BF133" s="58" t="str">
        <f aca="false">IF('STUDENT SCREENING'!BE133="","",IFERROR(INDEX('SCORING MASTER'!$D$128:$D$129,MATCH('STUDENT SCREENING'!BE133,'SCORING MASTER'!$C$128:$C$129,0)),""))</f>
        <v/>
      </c>
      <c r="BG133" s="58" t="str">
        <f aca="false">IF('STUDENT SCREENING'!BP133="","",IFERROR(MATCH('STUDENT SCREENING'!BP133,{"Red - High Risk","Orange - Moderate Risk","Yellow - Mild Risk","Light Green - Mild Watch","Green - Healthy"},0)-1,""))</f>
        <v/>
      </c>
      <c r="BH133" s="58" t="str">
        <f aca="false">IF('STUDENT SCREENING'!BQ133="","",IF('STUDENT SCREENING'!BQ133="Yes",1,0))</f>
        <v/>
      </c>
      <c r="BI133" s="58" t="str">
        <f aca="false">IF('STUDENT SCREENING'!BR133="","",IF('STUDENT SCREENING'!BR133="Yes",1,0))</f>
        <v/>
      </c>
    </row>
    <row r="134" customFormat="false" ht="15" hidden="false" customHeight="false" outlineLevel="0" collapsed="false">
      <c r="A134" s="57" t="str">
        <f aca="false">'STUDENT SCREENING'!A134</f>
        <v/>
      </c>
      <c r="B134" s="57" t="n">
        <f aca="false">'STUDENT SCREENING'!C134</f>
        <v>0</v>
      </c>
      <c r="C134" s="57" t="n">
        <f aca="false">'STUDENT SCREENING'!D134</f>
        <v>0</v>
      </c>
      <c r="D134" s="57" t="n">
        <f aca="false">'STUDENT SCREENING'!E134</f>
        <v>0</v>
      </c>
      <c r="E134" s="57" t="n">
        <f aca="false">'STUDENT SCREENING'!F134</f>
        <v>0</v>
      </c>
      <c r="F134" s="57" t="n">
        <f aca="false">'STUDENT SCREENING'!K134</f>
        <v>0</v>
      </c>
      <c r="G134" s="57" t="n">
        <f aca="false">'STUDENT SCREENING'!J134</f>
        <v>0</v>
      </c>
      <c r="H134" s="57" t="str">
        <f aca="false">IF('STUDENT SCREENING'!K134="","",IFERROR(MATCH('STUDENT SCREENING'!K134,Adm_Gender,0),""))</f>
        <v/>
      </c>
      <c r="I134" s="57" t="n">
        <f aca="false">'STUDENT SCREENING'!Q134</f>
        <v>0</v>
      </c>
      <c r="J134" s="57" t="n">
        <f aca="false">'STUDENT SCREENING'!R134</f>
        <v>0</v>
      </c>
      <c r="K134" s="57" t="str">
        <f aca="false">'STUDENT SCREENING'!S134</f>
        <v/>
      </c>
      <c r="L134" s="57" t="n">
        <f aca="false">'STUDENT SCREENING'!U134</f>
        <v>0</v>
      </c>
      <c r="M134" s="57" t="n">
        <f aca="false">'STUDENT SCREENING'!V134</f>
        <v>0</v>
      </c>
      <c r="N134" s="57" t="str">
        <f aca="false">'STUDENT SCREENING'!BF134</f>
        <v/>
      </c>
      <c r="O134" s="57" t="str">
        <f aca="false">'STUDENT SCREENING'!BG134</f>
        <v/>
      </c>
      <c r="P134" s="57" t="str">
        <f aca="false">'STUDENT SCREENING'!BH134</f>
        <v/>
      </c>
      <c r="Q134" s="57" t="str">
        <f aca="false">'STUDENT SCREENING'!BI134</f>
        <v/>
      </c>
      <c r="R134" s="57" t="str">
        <f aca="false">'STUDENT SCREENING'!BJ134</f>
        <v/>
      </c>
      <c r="S134" s="57" t="str">
        <f aca="false">'STUDENT SCREENING'!BK134</f>
        <v/>
      </c>
      <c r="T134" s="57" t="str">
        <f aca="false">'STUDENT SCREENING'!BL134</f>
        <v/>
      </c>
      <c r="U134" s="57" t="str">
        <f aca="false">'STUDENT SCREENING'!BM134</f>
        <v/>
      </c>
      <c r="V134" s="57" t="str">
        <f aca="false">'STUDENT SCREENING'!BN134</f>
        <v/>
      </c>
      <c r="W134" s="57" t="str">
        <f aca="false">'STUDENT SCREENING'!BO134</f>
        <v/>
      </c>
      <c r="X134" s="57" t="str">
        <f aca="false">IF('STUDENT SCREENING'!W134="","",IFERROR(INDEX('SCORING MASTER'!$D$5:$D$7,MATCH('STUDENT SCREENING'!W134,'SCORING MASTER'!$C$5:$C$7,0)),""))</f>
        <v/>
      </c>
      <c r="Y134" s="57" t="str">
        <f aca="false">IF('STUDENT SCREENING'!X134="","",IFERROR(INDEX('SCORING MASTER'!$D$9:$D$11,MATCH('STUDENT SCREENING'!X134,'SCORING MASTER'!$C$9:$C$11,0)),""))</f>
        <v/>
      </c>
      <c r="Z134" s="57" t="str">
        <f aca="false">IF('STUDENT SCREENING'!Y134="","",IFERROR(INDEX('SCORING MASTER'!$D$13:$D$15,MATCH('STUDENT SCREENING'!Y134,'SCORING MASTER'!$C$13:$C$15,0)),""))</f>
        <v/>
      </c>
      <c r="AA134" s="57" t="str">
        <f aca="false">IF('STUDENT SCREENING'!Z134="","",IFERROR(INDEX('SCORING MASTER'!$D$17:$D$19,MATCH('STUDENT SCREENING'!Z134,'SCORING MASTER'!$C$17:$C$19,0)),""))</f>
        <v/>
      </c>
      <c r="AB134" s="57" t="str">
        <f aca="false">IF('STUDENT SCREENING'!AA134="","",IFERROR(INDEX('SCORING MASTER'!$D$21:$D$23,MATCH('STUDENT SCREENING'!AA134,'SCORING MASTER'!$C$21:$C$23,0)),""))</f>
        <v/>
      </c>
      <c r="AC134" s="57" t="str">
        <f aca="false">IF('STUDENT SCREENING'!AB134="","",IFERROR(INDEX('SCORING MASTER'!$D$25:$D$27,MATCH('STUDENT SCREENING'!AB134,'SCORING MASTER'!$C$25:$C$27,0)),""))</f>
        <v/>
      </c>
      <c r="AD134" s="57" t="str">
        <f aca="false">IF('STUDENT SCREENING'!AC134="","",IFERROR(INDEX('SCORING MASTER'!$D$29:$D$31,MATCH('STUDENT SCREENING'!AC134,'SCORING MASTER'!$C$29:$C$31,0)),""))</f>
        <v/>
      </c>
      <c r="AE134" s="57" t="str">
        <f aca="false">IF('STUDENT SCREENING'!AD134="","",IFERROR(INDEX('SCORING MASTER'!$D$33:$D$35,MATCH('STUDENT SCREENING'!AD134,'SCORING MASTER'!$C$33:$C$35,0)),""))</f>
        <v/>
      </c>
      <c r="AF134" s="57" t="str">
        <f aca="false">IF('STUDENT SCREENING'!AE134="","",IFERROR(INDEX('SCORING MASTER'!$D$37:$D$39,MATCH('STUDENT SCREENING'!AE134,'SCORING MASTER'!$C$37:$C$39,0)),""))</f>
        <v/>
      </c>
      <c r="AG134" s="57" t="str">
        <f aca="false">IF('STUDENT SCREENING'!AF134="","",IFERROR(INDEX('SCORING MASTER'!$D$41:$D$43,MATCH('STUDENT SCREENING'!AF134,'SCORING MASTER'!$C$41:$C$43,0)),""))</f>
        <v/>
      </c>
      <c r="AH134" s="57" t="str">
        <f aca="false">IF('STUDENT SCREENING'!AG134="","",IFERROR(INDEX('SCORING MASTER'!$D$45:$D$47,MATCH('STUDENT SCREENING'!AG134,'SCORING MASTER'!$C$45:$C$47,0)),""))</f>
        <v/>
      </c>
      <c r="AI134" s="57" t="str">
        <f aca="false">IF('STUDENT SCREENING'!AH134="","",IFERROR(INDEX('SCORING MASTER'!$D$49:$D$52,MATCH('STUDENT SCREENING'!AH134,'SCORING MASTER'!$C$49:$C$52,0)),""))</f>
        <v/>
      </c>
      <c r="AJ134" s="57" t="str">
        <f aca="false">IF('STUDENT SCREENING'!AI134="","",IFERROR(INDEX('SCORING MASTER'!$D$54:$D$57,MATCH('STUDENT SCREENING'!AI134,'SCORING MASTER'!$C$54:$C$57,0)),""))</f>
        <v/>
      </c>
      <c r="AK134" s="57" t="str">
        <f aca="false">IF('STUDENT SCREENING'!AJ134="","",IFERROR(INDEX('SCORING MASTER'!$D$59:$D$60,MATCH('STUDENT SCREENING'!AJ134,'SCORING MASTER'!$C$59:$C$60,0)),""))</f>
        <v/>
      </c>
      <c r="AL134" s="57" t="str">
        <f aca="false">IF('STUDENT SCREENING'!AK134="","",IFERROR(INDEX('SCORING MASTER'!$D$62:$D$63,MATCH('STUDENT SCREENING'!AK134,'SCORING MASTER'!$C$62:$C$63,0)),""))</f>
        <v/>
      </c>
      <c r="AM134" s="57" t="str">
        <f aca="false">IF('STUDENT SCREENING'!AL134="","",IFERROR(INDEX('SCORING MASTER'!$D$65:$D$66,MATCH('STUDENT SCREENING'!AL134,'SCORING MASTER'!$C$65:$C$66,0)),""))</f>
        <v/>
      </c>
      <c r="AN134" s="57" t="str">
        <f aca="false">IF('STUDENT SCREENING'!AM134="","",IFERROR(INDEX('SCORING MASTER'!$D$68:$D$69,MATCH('STUDENT SCREENING'!AM134,'SCORING MASTER'!$C$68:$C$69,0)),""))</f>
        <v/>
      </c>
      <c r="AO134" s="57" t="str">
        <f aca="false">IF('STUDENT SCREENING'!AN134="","",IFERROR(INDEX('SCORING MASTER'!$D$71:$D$72,MATCH('STUDENT SCREENING'!AN134,'SCORING MASTER'!$C$71:$C$72,0)),""))</f>
        <v/>
      </c>
      <c r="AP134" s="57" t="str">
        <f aca="false">IF('STUDENT SCREENING'!AO134="","",IFERROR(INDEX('SCORING MASTER'!$D$74:$D$75,MATCH('STUDENT SCREENING'!AO134,'SCORING MASTER'!$C$74:$C$75,0)),""))</f>
        <v/>
      </c>
      <c r="AQ134" s="57" t="str">
        <f aca="false">IF('STUDENT SCREENING'!AP134="","",IFERROR(INDEX('SCORING MASTER'!$D$77:$D$78,MATCH('STUDENT SCREENING'!AP134,'SCORING MASTER'!$C$77:$C$78,0)),""))</f>
        <v/>
      </c>
      <c r="AR134" s="57" t="str">
        <f aca="false">IF('STUDENT SCREENING'!AQ134="","",IFERROR(INDEX('SCORING MASTER'!$D$80:$D$82,MATCH('STUDENT SCREENING'!AQ134,'SCORING MASTER'!$C$80:$C$82,0)),""))</f>
        <v/>
      </c>
      <c r="AS134" s="57" t="str">
        <f aca="false">IF('STUDENT SCREENING'!AR134="","",IFERROR(INDEX('SCORING MASTER'!$D$84:$D$86,MATCH('STUDENT SCREENING'!AR134,'SCORING MASTER'!$C$84:$C$86,0)),""))</f>
        <v/>
      </c>
      <c r="AT134" s="57" t="str">
        <f aca="false">IF('STUDENT SCREENING'!AS134="","",IFERROR(INDEX('SCORING MASTER'!$D$88:$D$90,MATCH('STUDENT SCREENING'!AS134,'SCORING MASTER'!$C$88:$C$90,0)),""))</f>
        <v/>
      </c>
      <c r="AU134" s="57" t="str">
        <f aca="false">IF('STUDENT SCREENING'!AT134="","",IFERROR(INDEX('SCORING MASTER'!$D$92:$D$93,MATCH('STUDENT SCREENING'!AT134,'SCORING MASTER'!$C$92:$C$93,0)),""))</f>
        <v/>
      </c>
      <c r="AV134" s="57" t="str">
        <f aca="false">IF('STUDENT SCREENING'!AU134="","",IFERROR(INDEX('SCORING MASTER'!$D$95:$D$96,MATCH('STUDENT SCREENING'!AU134,'SCORING MASTER'!$C$95:$C$96,0)),""))</f>
        <v/>
      </c>
      <c r="AW134" s="57" t="str">
        <f aca="false">IF('STUDENT SCREENING'!AV134="","",IFERROR(INDEX('SCORING MASTER'!$D$98:$D$99,MATCH('STUDENT SCREENING'!AV134,'SCORING MASTER'!$C$98:$C$99,0)),""))</f>
        <v/>
      </c>
      <c r="AX134" s="57" t="str">
        <f aca="false">IF('STUDENT SCREENING'!AW134="","",IFERROR(INDEX('SCORING MASTER'!$D$101:$D$102,MATCH('STUDENT SCREENING'!AW134,'SCORING MASTER'!$C$101:$C$102,0)),""))</f>
        <v/>
      </c>
      <c r="AY134" s="57" t="str">
        <f aca="false">IF('STUDENT SCREENING'!AX134="","",IFERROR(INDEX('SCORING MASTER'!$D$104:$D$105,MATCH('STUDENT SCREENING'!AX134,'SCORING MASTER'!$C$104:$C$105,0)),""))</f>
        <v/>
      </c>
      <c r="AZ134" s="57" t="str">
        <f aca="false">IF('STUDENT SCREENING'!AY134="","",IFERROR(INDEX('SCORING MASTER'!$D$107:$D$108,MATCH('STUDENT SCREENING'!AY134,'SCORING MASTER'!$C$107:$C$108,0)),""))</f>
        <v/>
      </c>
      <c r="BA134" s="57" t="str">
        <f aca="false">IF('STUDENT SCREENING'!AZ134="","",IFERROR(INDEX('SCORING MASTER'!$D$110:$D$111,MATCH('STUDENT SCREENING'!AZ134,'SCORING MASTER'!$C$110:$C$111,0)),""))</f>
        <v/>
      </c>
      <c r="BB134" s="57" t="str">
        <f aca="false">IF('STUDENT SCREENING'!BA134="","",IFERROR(INDEX('SCORING MASTER'!$D$113:$D$115,MATCH('STUDENT SCREENING'!BA134,'SCORING MASTER'!$C$113:$C$115,0)),""))</f>
        <v/>
      </c>
      <c r="BC134" s="57" t="str">
        <f aca="false">IF('STUDENT SCREENING'!BB134="","",IFERROR(INDEX('SCORING MASTER'!$D$117:$D$119,MATCH('STUDENT SCREENING'!BB134,'SCORING MASTER'!$C$117:$C$119,0)),""))</f>
        <v/>
      </c>
      <c r="BD134" s="57" t="str">
        <f aca="false">IF('STUDENT SCREENING'!BC134="","",IFERROR(INDEX('SCORING MASTER'!$D$121:$D$123,MATCH('STUDENT SCREENING'!BC134,'SCORING MASTER'!$C$121:$C$123,0)),""))</f>
        <v/>
      </c>
      <c r="BE134" s="57" t="str">
        <f aca="false">IF('STUDENT SCREENING'!BD134="","",IFERROR(INDEX('SCORING MASTER'!$D$125:$D$126,MATCH('STUDENT SCREENING'!BD134,'SCORING MASTER'!$C$125:$C$126,0)),""))</f>
        <v/>
      </c>
      <c r="BF134" s="57" t="str">
        <f aca="false">IF('STUDENT SCREENING'!BE134="","",IFERROR(INDEX('SCORING MASTER'!$D$128:$D$129,MATCH('STUDENT SCREENING'!BE134,'SCORING MASTER'!$C$128:$C$129,0)),""))</f>
        <v/>
      </c>
      <c r="BG134" s="57" t="str">
        <f aca="false">IF('STUDENT SCREENING'!BP134="","",IFERROR(MATCH('STUDENT SCREENING'!BP134,{"Red - High Risk","Orange - Moderate Risk","Yellow - Mild Risk","Light Green - Mild Watch","Green - Healthy"},0)-1,""))</f>
        <v/>
      </c>
      <c r="BH134" s="57" t="str">
        <f aca="false">IF('STUDENT SCREENING'!BQ134="","",IF('STUDENT SCREENING'!BQ134="Yes",1,0))</f>
        <v/>
      </c>
      <c r="BI134" s="57" t="str">
        <f aca="false">IF('STUDENT SCREENING'!BR134="","",IF('STUDENT SCREENING'!BR134="Yes",1,0))</f>
        <v/>
      </c>
    </row>
    <row r="135" customFormat="false" ht="15" hidden="false" customHeight="false" outlineLevel="0" collapsed="false">
      <c r="A135" s="58" t="str">
        <f aca="false">'STUDENT SCREENING'!A135</f>
        <v/>
      </c>
      <c r="B135" s="58" t="n">
        <f aca="false">'STUDENT SCREENING'!C135</f>
        <v>0</v>
      </c>
      <c r="C135" s="58" t="n">
        <f aca="false">'STUDENT SCREENING'!D135</f>
        <v>0</v>
      </c>
      <c r="D135" s="58" t="n">
        <f aca="false">'STUDENT SCREENING'!E135</f>
        <v>0</v>
      </c>
      <c r="E135" s="58" t="n">
        <f aca="false">'STUDENT SCREENING'!F135</f>
        <v>0</v>
      </c>
      <c r="F135" s="58" t="n">
        <f aca="false">'STUDENT SCREENING'!K135</f>
        <v>0</v>
      </c>
      <c r="G135" s="58" t="n">
        <f aca="false">'STUDENT SCREENING'!J135</f>
        <v>0</v>
      </c>
      <c r="H135" s="58" t="str">
        <f aca="false">IF('STUDENT SCREENING'!K135="","",IFERROR(MATCH('STUDENT SCREENING'!K135,Adm_Gender,0),""))</f>
        <v/>
      </c>
      <c r="I135" s="58" t="n">
        <f aca="false">'STUDENT SCREENING'!Q135</f>
        <v>0</v>
      </c>
      <c r="J135" s="58" t="n">
        <f aca="false">'STUDENT SCREENING'!R135</f>
        <v>0</v>
      </c>
      <c r="K135" s="58" t="str">
        <f aca="false">'STUDENT SCREENING'!S135</f>
        <v/>
      </c>
      <c r="L135" s="58" t="n">
        <f aca="false">'STUDENT SCREENING'!U135</f>
        <v>0</v>
      </c>
      <c r="M135" s="58" t="n">
        <f aca="false">'STUDENT SCREENING'!V135</f>
        <v>0</v>
      </c>
      <c r="N135" s="58" t="str">
        <f aca="false">'STUDENT SCREENING'!BF135</f>
        <v/>
      </c>
      <c r="O135" s="58" t="str">
        <f aca="false">'STUDENT SCREENING'!BG135</f>
        <v/>
      </c>
      <c r="P135" s="58" t="str">
        <f aca="false">'STUDENT SCREENING'!BH135</f>
        <v/>
      </c>
      <c r="Q135" s="58" t="str">
        <f aca="false">'STUDENT SCREENING'!BI135</f>
        <v/>
      </c>
      <c r="R135" s="58" t="str">
        <f aca="false">'STUDENT SCREENING'!BJ135</f>
        <v/>
      </c>
      <c r="S135" s="58" t="str">
        <f aca="false">'STUDENT SCREENING'!BK135</f>
        <v/>
      </c>
      <c r="T135" s="58" t="str">
        <f aca="false">'STUDENT SCREENING'!BL135</f>
        <v/>
      </c>
      <c r="U135" s="58" t="str">
        <f aca="false">'STUDENT SCREENING'!BM135</f>
        <v/>
      </c>
      <c r="V135" s="58" t="str">
        <f aca="false">'STUDENT SCREENING'!BN135</f>
        <v/>
      </c>
      <c r="W135" s="58" t="str">
        <f aca="false">'STUDENT SCREENING'!BO135</f>
        <v/>
      </c>
      <c r="X135" s="58" t="str">
        <f aca="false">IF('STUDENT SCREENING'!W135="","",IFERROR(INDEX('SCORING MASTER'!$D$5:$D$7,MATCH('STUDENT SCREENING'!W135,'SCORING MASTER'!$C$5:$C$7,0)),""))</f>
        <v/>
      </c>
      <c r="Y135" s="58" t="str">
        <f aca="false">IF('STUDENT SCREENING'!X135="","",IFERROR(INDEX('SCORING MASTER'!$D$9:$D$11,MATCH('STUDENT SCREENING'!X135,'SCORING MASTER'!$C$9:$C$11,0)),""))</f>
        <v/>
      </c>
      <c r="Z135" s="58" t="str">
        <f aca="false">IF('STUDENT SCREENING'!Y135="","",IFERROR(INDEX('SCORING MASTER'!$D$13:$D$15,MATCH('STUDENT SCREENING'!Y135,'SCORING MASTER'!$C$13:$C$15,0)),""))</f>
        <v/>
      </c>
      <c r="AA135" s="58" t="str">
        <f aca="false">IF('STUDENT SCREENING'!Z135="","",IFERROR(INDEX('SCORING MASTER'!$D$17:$D$19,MATCH('STUDENT SCREENING'!Z135,'SCORING MASTER'!$C$17:$C$19,0)),""))</f>
        <v/>
      </c>
      <c r="AB135" s="58" t="str">
        <f aca="false">IF('STUDENT SCREENING'!AA135="","",IFERROR(INDEX('SCORING MASTER'!$D$21:$D$23,MATCH('STUDENT SCREENING'!AA135,'SCORING MASTER'!$C$21:$C$23,0)),""))</f>
        <v/>
      </c>
      <c r="AC135" s="58" t="str">
        <f aca="false">IF('STUDENT SCREENING'!AB135="","",IFERROR(INDEX('SCORING MASTER'!$D$25:$D$27,MATCH('STUDENT SCREENING'!AB135,'SCORING MASTER'!$C$25:$C$27,0)),""))</f>
        <v/>
      </c>
      <c r="AD135" s="58" t="str">
        <f aca="false">IF('STUDENT SCREENING'!AC135="","",IFERROR(INDEX('SCORING MASTER'!$D$29:$D$31,MATCH('STUDENT SCREENING'!AC135,'SCORING MASTER'!$C$29:$C$31,0)),""))</f>
        <v/>
      </c>
      <c r="AE135" s="58" t="str">
        <f aca="false">IF('STUDENT SCREENING'!AD135="","",IFERROR(INDEX('SCORING MASTER'!$D$33:$D$35,MATCH('STUDENT SCREENING'!AD135,'SCORING MASTER'!$C$33:$C$35,0)),""))</f>
        <v/>
      </c>
      <c r="AF135" s="58" t="str">
        <f aca="false">IF('STUDENT SCREENING'!AE135="","",IFERROR(INDEX('SCORING MASTER'!$D$37:$D$39,MATCH('STUDENT SCREENING'!AE135,'SCORING MASTER'!$C$37:$C$39,0)),""))</f>
        <v/>
      </c>
      <c r="AG135" s="58" t="str">
        <f aca="false">IF('STUDENT SCREENING'!AF135="","",IFERROR(INDEX('SCORING MASTER'!$D$41:$D$43,MATCH('STUDENT SCREENING'!AF135,'SCORING MASTER'!$C$41:$C$43,0)),""))</f>
        <v/>
      </c>
      <c r="AH135" s="58" t="str">
        <f aca="false">IF('STUDENT SCREENING'!AG135="","",IFERROR(INDEX('SCORING MASTER'!$D$45:$D$47,MATCH('STUDENT SCREENING'!AG135,'SCORING MASTER'!$C$45:$C$47,0)),""))</f>
        <v/>
      </c>
      <c r="AI135" s="58" t="str">
        <f aca="false">IF('STUDENT SCREENING'!AH135="","",IFERROR(INDEX('SCORING MASTER'!$D$49:$D$52,MATCH('STUDENT SCREENING'!AH135,'SCORING MASTER'!$C$49:$C$52,0)),""))</f>
        <v/>
      </c>
      <c r="AJ135" s="58" t="str">
        <f aca="false">IF('STUDENT SCREENING'!AI135="","",IFERROR(INDEX('SCORING MASTER'!$D$54:$D$57,MATCH('STUDENT SCREENING'!AI135,'SCORING MASTER'!$C$54:$C$57,0)),""))</f>
        <v/>
      </c>
      <c r="AK135" s="58" t="str">
        <f aca="false">IF('STUDENT SCREENING'!AJ135="","",IFERROR(INDEX('SCORING MASTER'!$D$59:$D$60,MATCH('STUDENT SCREENING'!AJ135,'SCORING MASTER'!$C$59:$C$60,0)),""))</f>
        <v/>
      </c>
      <c r="AL135" s="58" t="str">
        <f aca="false">IF('STUDENT SCREENING'!AK135="","",IFERROR(INDEX('SCORING MASTER'!$D$62:$D$63,MATCH('STUDENT SCREENING'!AK135,'SCORING MASTER'!$C$62:$C$63,0)),""))</f>
        <v/>
      </c>
      <c r="AM135" s="58" t="str">
        <f aca="false">IF('STUDENT SCREENING'!AL135="","",IFERROR(INDEX('SCORING MASTER'!$D$65:$D$66,MATCH('STUDENT SCREENING'!AL135,'SCORING MASTER'!$C$65:$C$66,0)),""))</f>
        <v/>
      </c>
      <c r="AN135" s="58" t="str">
        <f aca="false">IF('STUDENT SCREENING'!AM135="","",IFERROR(INDEX('SCORING MASTER'!$D$68:$D$69,MATCH('STUDENT SCREENING'!AM135,'SCORING MASTER'!$C$68:$C$69,0)),""))</f>
        <v/>
      </c>
      <c r="AO135" s="58" t="str">
        <f aca="false">IF('STUDENT SCREENING'!AN135="","",IFERROR(INDEX('SCORING MASTER'!$D$71:$D$72,MATCH('STUDENT SCREENING'!AN135,'SCORING MASTER'!$C$71:$C$72,0)),""))</f>
        <v/>
      </c>
      <c r="AP135" s="58" t="str">
        <f aca="false">IF('STUDENT SCREENING'!AO135="","",IFERROR(INDEX('SCORING MASTER'!$D$74:$D$75,MATCH('STUDENT SCREENING'!AO135,'SCORING MASTER'!$C$74:$C$75,0)),""))</f>
        <v/>
      </c>
      <c r="AQ135" s="58" t="str">
        <f aca="false">IF('STUDENT SCREENING'!AP135="","",IFERROR(INDEX('SCORING MASTER'!$D$77:$D$78,MATCH('STUDENT SCREENING'!AP135,'SCORING MASTER'!$C$77:$C$78,0)),""))</f>
        <v/>
      </c>
      <c r="AR135" s="58" t="str">
        <f aca="false">IF('STUDENT SCREENING'!AQ135="","",IFERROR(INDEX('SCORING MASTER'!$D$80:$D$82,MATCH('STUDENT SCREENING'!AQ135,'SCORING MASTER'!$C$80:$C$82,0)),""))</f>
        <v/>
      </c>
      <c r="AS135" s="58" t="str">
        <f aca="false">IF('STUDENT SCREENING'!AR135="","",IFERROR(INDEX('SCORING MASTER'!$D$84:$D$86,MATCH('STUDENT SCREENING'!AR135,'SCORING MASTER'!$C$84:$C$86,0)),""))</f>
        <v/>
      </c>
      <c r="AT135" s="58" t="str">
        <f aca="false">IF('STUDENT SCREENING'!AS135="","",IFERROR(INDEX('SCORING MASTER'!$D$88:$D$90,MATCH('STUDENT SCREENING'!AS135,'SCORING MASTER'!$C$88:$C$90,0)),""))</f>
        <v/>
      </c>
      <c r="AU135" s="58" t="str">
        <f aca="false">IF('STUDENT SCREENING'!AT135="","",IFERROR(INDEX('SCORING MASTER'!$D$92:$D$93,MATCH('STUDENT SCREENING'!AT135,'SCORING MASTER'!$C$92:$C$93,0)),""))</f>
        <v/>
      </c>
      <c r="AV135" s="58" t="str">
        <f aca="false">IF('STUDENT SCREENING'!AU135="","",IFERROR(INDEX('SCORING MASTER'!$D$95:$D$96,MATCH('STUDENT SCREENING'!AU135,'SCORING MASTER'!$C$95:$C$96,0)),""))</f>
        <v/>
      </c>
      <c r="AW135" s="58" t="str">
        <f aca="false">IF('STUDENT SCREENING'!AV135="","",IFERROR(INDEX('SCORING MASTER'!$D$98:$D$99,MATCH('STUDENT SCREENING'!AV135,'SCORING MASTER'!$C$98:$C$99,0)),""))</f>
        <v/>
      </c>
      <c r="AX135" s="58" t="str">
        <f aca="false">IF('STUDENT SCREENING'!AW135="","",IFERROR(INDEX('SCORING MASTER'!$D$101:$D$102,MATCH('STUDENT SCREENING'!AW135,'SCORING MASTER'!$C$101:$C$102,0)),""))</f>
        <v/>
      </c>
      <c r="AY135" s="58" t="str">
        <f aca="false">IF('STUDENT SCREENING'!AX135="","",IFERROR(INDEX('SCORING MASTER'!$D$104:$D$105,MATCH('STUDENT SCREENING'!AX135,'SCORING MASTER'!$C$104:$C$105,0)),""))</f>
        <v/>
      </c>
      <c r="AZ135" s="58" t="str">
        <f aca="false">IF('STUDENT SCREENING'!AY135="","",IFERROR(INDEX('SCORING MASTER'!$D$107:$D$108,MATCH('STUDENT SCREENING'!AY135,'SCORING MASTER'!$C$107:$C$108,0)),""))</f>
        <v/>
      </c>
      <c r="BA135" s="58" t="str">
        <f aca="false">IF('STUDENT SCREENING'!AZ135="","",IFERROR(INDEX('SCORING MASTER'!$D$110:$D$111,MATCH('STUDENT SCREENING'!AZ135,'SCORING MASTER'!$C$110:$C$111,0)),""))</f>
        <v/>
      </c>
      <c r="BB135" s="58" t="str">
        <f aca="false">IF('STUDENT SCREENING'!BA135="","",IFERROR(INDEX('SCORING MASTER'!$D$113:$D$115,MATCH('STUDENT SCREENING'!BA135,'SCORING MASTER'!$C$113:$C$115,0)),""))</f>
        <v/>
      </c>
      <c r="BC135" s="58" t="str">
        <f aca="false">IF('STUDENT SCREENING'!BB135="","",IFERROR(INDEX('SCORING MASTER'!$D$117:$D$119,MATCH('STUDENT SCREENING'!BB135,'SCORING MASTER'!$C$117:$C$119,0)),""))</f>
        <v/>
      </c>
      <c r="BD135" s="58" t="str">
        <f aca="false">IF('STUDENT SCREENING'!BC135="","",IFERROR(INDEX('SCORING MASTER'!$D$121:$D$123,MATCH('STUDENT SCREENING'!BC135,'SCORING MASTER'!$C$121:$C$123,0)),""))</f>
        <v/>
      </c>
      <c r="BE135" s="58" t="str">
        <f aca="false">IF('STUDENT SCREENING'!BD135="","",IFERROR(INDEX('SCORING MASTER'!$D$125:$D$126,MATCH('STUDENT SCREENING'!BD135,'SCORING MASTER'!$C$125:$C$126,0)),""))</f>
        <v/>
      </c>
      <c r="BF135" s="58" t="str">
        <f aca="false">IF('STUDENT SCREENING'!BE135="","",IFERROR(INDEX('SCORING MASTER'!$D$128:$D$129,MATCH('STUDENT SCREENING'!BE135,'SCORING MASTER'!$C$128:$C$129,0)),""))</f>
        <v/>
      </c>
      <c r="BG135" s="58" t="str">
        <f aca="false">IF('STUDENT SCREENING'!BP135="","",IFERROR(MATCH('STUDENT SCREENING'!BP135,{"Red - High Risk","Orange - Moderate Risk","Yellow - Mild Risk","Light Green - Mild Watch","Green - Healthy"},0)-1,""))</f>
        <v/>
      </c>
      <c r="BH135" s="58" t="str">
        <f aca="false">IF('STUDENT SCREENING'!BQ135="","",IF('STUDENT SCREENING'!BQ135="Yes",1,0))</f>
        <v/>
      </c>
      <c r="BI135" s="58" t="str">
        <f aca="false">IF('STUDENT SCREENING'!BR135="","",IF('STUDENT SCREENING'!BR135="Yes",1,0))</f>
        <v/>
      </c>
    </row>
    <row r="136" customFormat="false" ht="15" hidden="false" customHeight="false" outlineLevel="0" collapsed="false">
      <c r="A136" s="57" t="str">
        <f aca="false">'STUDENT SCREENING'!A136</f>
        <v/>
      </c>
      <c r="B136" s="57" t="n">
        <f aca="false">'STUDENT SCREENING'!C136</f>
        <v>0</v>
      </c>
      <c r="C136" s="57" t="n">
        <f aca="false">'STUDENT SCREENING'!D136</f>
        <v>0</v>
      </c>
      <c r="D136" s="57" t="n">
        <f aca="false">'STUDENT SCREENING'!E136</f>
        <v>0</v>
      </c>
      <c r="E136" s="57" t="n">
        <f aca="false">'STUDENT SCREENING'!F136</f>
        <v>0</v>
      </c>
      <c r="F136" s="57" t="n">
        <f aca="false">'STUDENT SCREENING'!K136</f>
        <v>0</v>
      </c>
      <c r="G136" s="57" t="n">
        <f aca="false">'STUDENT SCREENING'!J136</f>
        <v>0</v>
      </c>
      <c r="H136" s="57" t="str">
        <f aca="false">IF('STUDENT SCREENING'!K136="","",IFERROR(MATCH('STUDENT SCREENING'!K136,Adm_Gender,0),""))</f>
        <v/>
      </c>
      <c r="I136" s="57" t="n">
        <f aca="false">'STUDENT SCREENING'!Q136</f>
        <v>0</v>
      </c>
      <c r="J136" s="57" t="n">
        <f aca="false">'STUDENT SCREENING'!R136</f>
        <v>0</v>
      </c>
      <c r="K136" s="57" t="str">
        <f aca="false">'STUDENT SCREENING'!S136</f>
        <v/>
      </c>
      <c r="L136" s="57" t="n">
        <f aca="false">'STUDENT SCREENING'!U136</f>
        <v>0</v>
      </c>
      <c r="M136" s="57" t="n">
        <f aca="false">'STUDENT SCREENING'!V136</f>
        <v>0</v>
      </c>
      <c r="N136" s="57" t="str">
        <f aca="false">'STUDENT SCREENING'!BF136</f>
        <v/>
      </c>
      <c r="O136" s="57" t="str">
        <f aca="false">'STUDENT SCREENING'!BG136</f>
        <v/>
      </c>
      <c r="P136" s="57" t="str">
        <f aca="false">'STUDENT SCREENING'!BH136</f>
        <v/>
      </c>
      <c r="Q136" s="57" t="str">
        <f aca="false">'STUDENT SCREENING'!BI136</f>
        <v/>
      </c>
      <c r="R136" s="57" t="str">
        <f aca="false">'STUDENT SCREENING'!BJ136</f>
        <v/>
      </c>
      <c r="S136" s="57" t="str">
        <f aca="false">'STUDENT SCREENING'!BK136</f>
        <v/>
      </c>
      <c r="T136" s="57" t="str">
        <f aca="false">'STUDENT SCREENING'!BL136</f>
        <v/>
      </c>
      <c r="U136" s="57" t="str">
        <f aca="false">'STUDENT SCREENING'!BM136</f>
        <v/>
      </c>
      <c r="V136" s="57" t="str">
        <f aca="false">'STUDENT SCREENING'!BN136</f>
        <v/>
      </c>
      <c r="W136" s="57" t="str">
        <f aca="false">'STUDENT SCREENING'!BO136</f>
        <v/>
      </c>
      <c r="X136" s="57" t="str">
        <f aca="false">IF('STUDENT SCREENING'!W136="","",IFERROR(INDEX('SCORING MASTER'!$D$5:$D$7,MATCH('STUDENT SCREENING'!W136,'SCORING MASTER'!$C$5:$C$7,0)),""))</f>
        <v/>
      </c>
      <c r="Y136" s="57" t="str">
        <f aca="false">IF('STUDENT SCREENING'!X136="","",IFERROR(INDEX('SCORING MASTER'!$D$9:$D$11,MATCH('STUDENT SCREENING'!X136,'SCORING MASTER'!$C$9:$C$11,0)),""))</f>
        <v/>
      </c>
      <c r="Z136" s="57" t="str">
        <f aca="false">IF('STUDENT SCREENING'!Y136="","",IFERROR(INDEX('SCORING MASTER'!$D$13:$D$15,MATCH('STUDENT SCREENING'!Y136,'SCORING MASTER'!$C$13:$C$15,0)),""))</f>
        <v/>
      </c>
      <c r="AA136" s="57" t="str">
        <f aca="false">IF('STUDENT SCREENING'!Z136="","",IFERROR(INDEX('SCORING MASTER'!$D$17:$D$19,MATCH('STUDENT SCREENING'!Z136,'SCORING MASTER'!$C$17:$C$19,0)),""))</f>
        <v/>
      </c>
      <c r="AB136" s="57" t="str">
        <f aca="false">IF('STUDENT SCREENING'!AA136="","",IFERROR(INDEX('SCORING MASTER'!$D$21:$D$23,MATCH('STUDENT SCREENING'!AA136,'SCORING MASTER'!$C$21:$C$23,0)),""))</f>
        <v/>
      </c>
      <c r="AC136" s="57" t="str">
        <f aca="false">IF('STUDENT SCREENING'!AB136="","",IFERROR(INDEX('SCORING MASTER'!$D$25:$D$27,MATCH('STUDENT SCREENING'!AB136,'SCORING MASTER'!$C$25:$C$27,0)),""))</f>
        <v/>
      </c>
      <c r="AD136" s="57" t="str">
        <f aca="false">IF('STUDENT SCREENING'!AC136="","",IFERROR(INDEX('SCORING MASTER'!$D$29:$D$31,MATCH('STUDENT SCREENING'!AC136,'SCORING MASTER'!$C$29:$C$31,0)),""))</f>
        <v/>
      </c>
      <c r="AE136" s="57" t="str">
        <f aca="false">IF('STUDENT SCREENING'!AD136="","",IFERROR(INDEX('SCORING MASTER'!$D$33:$D$35,MATCH('STUDENT SCREENING'!AD136,'SCORING MASTER'!$C$33:$C$35,0)),""))</f>
        <v/>
      </c>
      <c r="AF136" s="57" t="str">
        <f aca="false">IF('STUDENT SCREENING'!AE136="","",IFERROR(INDEX('SCORING MASTER'!$D$37:$D$39,MATCH('STUDENT SCREENING'!AE136,'SCORING MASTER'!$C$37:$C$39,0)),""))</f>
        <v/>
      </c>
      <c r="AG136" s="57" t="str">
        <f aca="false">IF('STUDENT SCREENING'!AF136="","",IFERROR(INDEX('SCORING MASTER'!$D$41:$D$43,MATCH('STUDENT SCREENING'!AF136,'SCORING MASTER'!$C$41:$C$43,0)),""))</f>
        <v/>
      </c>
      <c r="AH136" s="57" t="str">
        <f aca="false">IF('STUDENT SCREENING'!AG136="","",IFERROR(INDEX('SCORING MASTER'!$D$45:$D$47,MATCH('STUDENT SCREENING'!AG136,'SCORING MASTER'!$C$45:$C$47,0)),""))</f>
        <v/>
      </c>
      <c r="AI136" s="57" t="str">
        <f aca="false">IF('STUDENT SCREENING'!AH136="","",IFERROR(INDEX('SCORING MASTER'!$D$49:$D$52,MATCH('STUDENT SCREENING'!AH136,'SCORING MASTER'!$C$49:$C$52,0)),""))</f>
        <v/>
      </c>
      <c r="AJ136" s="57" t="str">
        <f aca="false">IF('STUDENT SCREENING'!AI136="","",IFERROR(INDEX('SCORING MASTER'!$D$54:$D$57,MATCH('STUDENT SCREENING'!AI136,'SCORING MASTER'!$C$54:$C$57,0)),""))</f>
        <v/>
      </c>
      <c r="AK136" s="57" t="str">
        <f aca="false">IF('STUDENT SCREENING'!AJ136="","",IFERROR(INDEX('SCORING MASTER'!$D$59:$D$60,MATCH('STUDENT SCREENING'!AJ136,'SCORING MASTER'!$C$59:$C$60,0)),""))</f>
        <v/>
      </c>
      <c r="AL136" s="57" t="str">
        <f aca="false">IF('STUDENT SCREENING'!AK136="","",IFERROR(INDEX('SCORING MASTER'!$D$62:$D$63,MATCH('STUDENT SCREENING'!AK136,'SCORING MASTER'!$C$62:$C$63,0)),""))</f>
        <v/>
      </c>
      <c r="AM136" s="57" t="str">
        <f aca="false">IF('STUDENT SCREENING'!AL136="","",IFERROR(INDEX('SCORING MASTER'!$D$65:$D$66,MATCH('STUDENT SCREENING'!AL136,'SCORING MASTER'!$C$65:$C$66,0)),""))</f>
        <v/>
      </c>
      <c r="AN136" s="57" t="str">
        <f aca="false">IF('STUDENT SCREENING'!AM136="","",IFERROR(INDEX('SCORING MASTER'!$D$68:$D$69,MATCH('STUDENT SCREENING'!AM136,'SCORING MASTER'!$C$68:$C$69,0)),""))</f>
        <v/>
      </c>
      <c r="AO136" s="57" t="str">
        <f aca="false">IF('STUDENT SCREENING'!AN136="","",IFERROR(INDEX('SCORING MASTER'!$D$71:$D$72,MATCH('STUDENT SCREENING'!AN136,'SCORING MASTER'!$C$71:$C$72,0)),""))</f>
        <v/>
      </c>
      <c r="AP136" s="57" t="str">
        <f aca="false">IF('STUDENT SCREENING'!AO136="","",IFERROR(INDEX('SCORING MASTER'!$D$74:$D$75,MATCH('STUDENT SCREENING'!AO136,'SCORING MASTER'!$C$74:$C$75,0)),""))</f>
        <v/>
      </c>
      <c r="AQ136" s="57" t="str">
        <f aca="false">IF('STUDENT SCREENING'!AP136="","",IFERROR(INDEX('SCORING MASTER'!$D$77:$D$78,MATCH('STUDENT SCREENING'!AP136,'SCORING MASTER'!$C$77:$C$78,0)),""))</f>
        <v/>
      </c>
      <c r="AR136" s="57" t="str">
        <f aca="false">IF('STUDENT SCREENING'!AQ136="","",IFERROR(INDEX('SCORING MASTER'!$D$80:$D$82,MATCH('STUDENT SCREENING'!AQ136,'SCORING MASTER'!$C$80:$C$82,0)),""))</f>
        <v/>
      </c>
      <c r="AS136" s="57" t="str">
        <f aca="false">IF('STUDENT SCREENING'!AR136="","",IFERROR(INDEX('SCORING MASTER'!$D$84:$D$86,MATCH('STUDENT SCREENING'!AR136,'SCORING MASTER'!$C$84:$C$86,0)),""))</f>
        <v/>
      </c>
      <c r="AT136" s="57" t="str">
        <f aca="false">IF('STUDENT SCREENING'!AS136="","",IFERROR(INDEX('SCORING MASTER'!$D$88:$D$90,MATCH('STUDENT SCREENING'!AS136,'SCORING MASTER'!$C$88:$C$90,0)),""))</f>
        <v/>
      </c>
      <c r="AU136" s="57" t="str">
        <f aca="false">IF('STUDENT SCREENING'!AT136="","",IFERROR(INDEX('SCORING MASTER'!$D$92:$D$93,MATCH('STUDENT SCREENING'!AT136,'SCORING MASTER'!$C$92:$C$93,0)),""))</f>
        <v/>
      </c>
      <c r="AV136" s="57" t="str">
        <f aca="false">IF('STUDENT SCREENING'!AU136="","",IFERROR(INDEX('SCORING MASTER'!$D$95:$D$96,MATCH('STUDENT SCREENING'!AU136,'SCORING MASTER'!$C$95:$C$96,0)),""))</f>
        <v/>
      </c>
      <c r="AW136" s="57" t="str">
        <f aca="false">IF('STUDENT SCREENING'!AV136="","",IFERROR(INDEX('SCORING MASTER'!$D$98:$D$99,MATCH('STUDENT SCREENING'!AV136,'SCORING MASTER'!$C$98:$C$99,0)),""))</f>
        <v/>
      </c>
      <c r="AX136" s="57" t="str">
        <f aca="false">IF('STUDENT SCREENING'!AW136="","",IFERROR(INDEX('SCORING MASTER'!$D$101:$D$102,MATCH('STUDENT SCREENING'!AW136,'SCORING MASTER'!$C$101:$C$102,0)),""))</f>
        <v/>
      </c>
      <c r="AY136" s="57" t="str">
        <f aca="false">IF('STUDENT SCREENING'!AX136="","",IFERROR(INDEX('SCORING MASTER'!$D$104:$D$105,MATCH('STUDENT SCREENING'!AX136,'SCORING MASTER'!$C$104:$C$105,0)),""))</f>
        <v/>
      </c>
      <c r="AZ136" s="57" t="str">
        <f aca="false">IF('STUDENT SCREENING'!AY136="","",IFERROR(INDEX('SCORING MASTER'!$D$107:$D$108,MATCH('STUDENT SCREENING'!AY136,'SCORING MASTER'!$C$107:$C$108,0)),""))</f>
        <v/>
      </c>
      <c r="BA136" s="57" t="str">
        <f aca="false">IF('STUDENT SCREENING'!AZ136="","",IFERROR(INDEX('SCORING MASTER'!$D$110:$D$111,MATCH('STUDENT SCREENING'!AZ136,'SCORING MASTER'!$C$110:$C$111,0)),""))</f>
        <v/>
      </c>
      <c r="BB136" s="57" t="str">
        <f aca="false">IF('STUDENT SCREENING'!BA136="","",IFERROR(INDEX('SCORING MASTER'!$D$113:$D$115,MATCH('STUDENT SCREENING'!BA136,'SCORING MASTER'!$C$113:$C$115,0)),""))</f>
        <v/>
      </c>
      <c r="BC136" s="57" t="str">
        <f aca="false">IF('STUDENT SCREENING'!BB136="","",IFERROR(INDEX('SCORING MASTER'!$D$117:$D$119,MATCH('STUDENT SCREENING'!BB136,'SCORING MASTER'!$C$117:$C$119,0)),""))</f>
        <v/>
      </c>
      <c r="BD136" s="57" t="str">
        <f aca="false">IF('STUDENT SCREENING'!BC136="","",IFERROR(INDEX('SCORING MASTER'!$D$121:$D$123,MATCH('STUDENT SCREENING'!BC136,'SCORING MASTER'!$C$121:$C$123,0)),""))</f>
        <v/>
      </c>
      <c r="BE136" s="57" t="str">
        <f aca="false">IF('STUDENT SCREENING'!BD136="","",IFERROR(INDEX('SCORING MASTER'!$D$125:$D$126,MATCH('STUDENT SCREENING'!BD136,'SCORING MASTER'!$C$125:$C$126,0)),""))</f>
        <v/>
      </c>
      <c r="BF136" s="57" t="str">
        <f aca="false">IF('STUDENT SCREENING'!BE136="","",IFERROR(INDEX('SCORING MASTER'!$D$128:$D$129,MATCH('STUDENT SCREENING'!BE136,'SCORING MASTER'!$C$128:$C$129,0)),""))</f>
        <v/>
      </c>
      <c r="BG136" s="57" t="str">
        <f aca="false">IF('STUDENT SCREENING'!BP136="","",IFERROR(MATCH('STUDENT SCREENING'!BP136,{"Red - High Risk","Orange - Moderate Risk","Yellow - Mild Risk","Light Green - Mild Watch","Green - Healthy"},0)-1,""))</f>
        <v/>
      </c>
      <c r="BH136" s="57" t="str">
        <f aca="false">IF('STUDENT SCREENING'!BQ136="","",IF('STUDENT SCREENING'!BQ136="Yes",1,0))</f>
        <v/>
      </c>
      <c r="BI136" s="57" t="str">
        <f aca="false">IF('STUDENT SCREENING'!BR136="","",IF('STUDENT SCREENING'!BR136="Yes",1,0))</f>
        <v/>
      </c>
    </row>
    <row r="137" customFormat="false" ht="15" hidden="false" customHeight="false" outlineLevel="0" collapsed="false">
      <c r="A137" s="58" t="str">
        <f aca="false">'STUDENT SCREENING'!A137</f>
        <v/>
      </c>
      <c r="B137" s="58" t="n">
        <f aca="false">'STUDENT SCREENING'!C137</f>
        <v>0</v>
      </c>
      <c r="C137" s="58" t="n">
        <f aca="false">'STUDENT SCREENING'!D137</f>
        <v>0</v>
      </c>
      <c r="D137" s="58" t="n">
        <f aca="false">'STUDENT SCREENING'!E137</f>
        <v>0</v>
      </c>
      <c r="E137" s="58" t="n">
        <f aca="false">'STUDENT SCREENING'!F137</f>
        <v>0</v>
      </c>
      <c r="F137" s="58" t="n">
        <f aca="false">'STUDENT SCREENING'!K137</f>
        <v>0</v>
      </c>
      <c r="G137" s="58" t="n">
        <f aca="false">'STUDENT SCREENING'!J137</f>
        <v>0</v>
      </c>
      <c r="H137" s="58" t="str">
        <f aca="false">IF('STUDENT SCREENING'!K137="","",IFERROR(MATCH('STUDENT SCREENING'!K137,Adm_Gender,0),""))</f>
        <v/>
      </c>
      <c r="I137" s="58" t="n">
        <f aca="false">'STUDENT SCREENING'!Q137</f>
        <v>0</v>
      </c>
      <c r="J137" s="58" t="n">
        <f aca="false">'STUDENT SCREENING'!R137</f>
        <v>0</v>
      </c>
      <c r="K137" s="58" t="str">
        <f aca="false">'STUDENT SCREENING'!S137</f>
        <v/>
      </c>
      <c r="L137" s="58" t="n">
        <f aca="false">'STUDENT SCREENING'!U137</f>
        <v>0</v>
      </c>
      <c r="M137" s="58" t="n">
        <f aca="false">'STUDENT SCREENING'!V137</f>
        <v>0</v>
      </c>
      <c r="N137" s="58" t="str">
        <f aca="false">'STUDENT SCREENING'!BF137</f>
        <v/>
      </c>
      <c r="O137" s="58" t="str">
        <f aca="false">'STUDENT SCREENING'!BG137</f>
        <v/>
      </c>
      <c r="P137" s="58" t="str">
        <f aca="false">'STUDENT SCREENING'!BH137</f>
        <v/>
      </c>
      <c r="Q137" s="58" t="str">
        <f aca="false">'STUDENT SCREENING'!BI137</f>
        <v/>
      </c>
      <c r="R137" s="58" t="str">
        <f aca="false">'STUDENT SCREENING'!BJ137</f>
        <v/>
      </c>
      <c r="S137" s="58" t="str">
        <f aca="false">'STUDENT SCREENING'!BK137</f>
        <v/>
      </c>
      <c r="T137" s="58" t="str">
        <f aca="false">'STUDENT SCREENING'!BL137</f>
        <v/>
      </c>
      <c r="U137" s="58" t="str">
        <f aca="false">'STUDENT SCREENING'!BM137</f>
        <v/>
      </c>
      <c r="V137" s="58" t="str">
        <f aca="false">'STUDENT SCREENING'!BN137</f>
        <v/>
      </c>
      <c r="W137" s="58" t="str">
        <f aca="false">'STUDENT SCREENING'!BO137</f>
        <v/>
      </c>
      <c r="X137" s="58" t="str">
        <f aca="false">IF('STUDENT SCREENING'!W137="","",IFERROR(INDEX('SCORING MASTER'!$D$5:$D$7,MATCH('STUDENT SCREENING'!W137,'SCORING MASTER'!$C$5:$C$7,0)),""))</f>
        <v/>
      </c>
      <c r="Y137" s="58" t="str">
        <f aca="false">IF('STUDENT SCREENING'!X137="","",IFERROR(INDEX('SCORING MASTER'!$D$9:$D$11,MATCH('STUDENT SCREENING'!X137,'SCORING MASTER'!$C$9:$C$11,0)),""))</f>
        <v/>
      </c>
      <c r="Z137" s="58" t="str">
        <f aca="false">IF('STUDENT SCREENING'!Y137="","",IFERROR(INDEX('SCORING MASTER'!$D$13:$D$15,MATCH('STUDENT SCREENING'!Y137,'SCORING MASTER'!$C$13:$C$15,0)),""))</f>
        <v/>
      </c>
      <c r="AA137" s="58" t="str">
        <f aca="false">IF('STUDENT SCREENING'!Z137="","",IFERROR(INDEX('SCORING MASTER'!$D$17:$D$19,MATCH('STUDENT SCREENING'!Z137,'SCORING MASTER'!$C$17:$C$19,0)),""))</f>
        <v/>
      </c>
      <c r="AB137" s="58" t="str">
        <f aca="false">IF('STUDENT SCREENING'!AA137="","",IFERROR(INDEX('SCORING MASTER'!$D$21:$D$23,MATCH('STUDENT SCREENING'!AA137,'SCORING MASTER'!$C$21:$C$23,0)),""))</f>
        <v/>
      </c>
      <c r="AC137" s="58" t="str">
        <f aca="false">IF('STUDENT SCREENING'!AB137="","",IFERROR(INDEX('SCORING MASTER'!$D$25:$D$27,MATCH('STUDENT SCREENING'!AB137,'SCORING MASTER'!$C$25:$C$27,0)),""))</f>
        <v/>
      </c>
      <c r="AD137" s="58" t="str">
        <f aca="false">IF('STUDENT SCREENING'!AC137="","",IFERROR(INDEX('SCORING MASTER'!$D$29:$D$31,MATCH('STUDENT SCREENING'!AC137,'SCORING MASTER'!$C$29:$C$31,0)),""))</f>
        <v/>
      </c>
      <c r="AE137" s="58" t="str">
        <f aca="false">IF('STUDENT SCREENING'!AD137="","",IFERROR(INDEX('SCORING MASTER'!$D$33:$D$35,MATCH('STUDENT SCREENING'!AD137,'SCORING MASTER'!$C$33:$C$35,0)),""))</f>
        <v/>
      </c>
      <c r="AF137" s="58" t="str">
        <f aca="false">IF('STUDENT SCREENING'!AE137="","",IFERROR(INDEX('SCORING MASTER'!$D$37:$D$39,MATCH('STUDENT SCREENING'!AE137,'SCORING MASTER'!$C$37:$C$39,0)),""))</f>
        <v/>
      </c>
      <c r="AG137" s="58" t="str">
        <f aca="false">IF('STUDENT SCREENING'!AF137="","",IFERROR(INDEX('SCORING MASTER'!$D$41:$D$43,MATCH('STUDENT SCREENING'!AF137,'SCORING MASTER'!$C$41:$C$43,0)),""))</f>
        <v/>
      </c>
      <c r="AH137" s="58" t="str">
        <f aca="false">IF('STUDENT SCREENING'!AG137="","",IFERROR(INDEX('SCORING MASTER'!$D$45:$D$47,MATCH('STUDENT SCREENING'!AG137,'SCORING MASTER'!$C$45:$C$47,0)),""))</f>
        <v/>
      </c>
      <c r="AI137" s="58" t="str">
        <f aca="false">IF('STUDENT SCREENING'!AH137="","",IFERROR(INDEX('SCORING MASTER'!$D$49:$D$52,MATCH('STUDENT SCREENING'!AH137,'SCORING MASTER'!$C$49:$C$52,0)),""))</f>
        <v/>
      </c>
      <c r="AJ137" s="58" t="str">
        <f aca="false">IF('STUDENT SCREENING'!AI137="","",IFERROR(INDEX('SCORING MASTER'!$D$54:$D$57,MATCH('STUDENT SCREENING'!AI137,'SCORING MASTER'!$C$54:$C$57,0)),""))</f>
        <v/>
      </c>
      <c r="AK137" s="58" t="str">
        <f aca="false">IF('STUDENT SCREENING'!AJ137="","",IFERROR(INDEX('SCORING MASTER'!$D$59:$D$60,MATCH('STUDENT SCREENING'!AJ137,'SCORING MASTER'!$C$59:$C$60,0)),""))</f>
        <v/>
      </c>
      <c r="AL137" s="58" t="str">
        <f aca="false">IF('STUDENT SCREENING'!AK137="","",IFERROR(INDEX('SCORING MASTER'!$D$62:$D$63,MATCH('STUDENT SCREENING'!AK137,'SCORING MASTER'!$C$62:$C$63,0)),""))</f>
        <v/>
      </c>
      <c r="AM137" s="58" t="str">
        <f aca="false">IF('STUDENT SCREENING'!AL137="","",IFERROR(INDEX('SCORING MASTER'!$D$65:$D$66,MATCH('STUDENT SCREENING'!AL137,'SCORING MASTER'!$C$65:$C$66,0)),""))</f>
        <v/>
      </c>
      <c r="AN137" s="58" t="str">
        <f aca="false">IF('STUDENT SCREENING'!AM137="","",IFERROR(INDEX('SCORING MASTER'!$D$68:$D$69,MATCH('STUDENT SCREENING'!AM137,'SCORING MASTER'!$C$68:$C$69,0)),""))</f>
        <v/>
      </c>
      <c r="AO137" s="58" t="str">
        <f aca="false">IF('STUDENT SCREENING'!AN137="","",IFERROR(INDEX('SCORING MASTER'!$D$71:$D$72,MATCH('STUDENT SCREENING'!AN137,'SCORING MASTER'!$C$71:$C$72,0)),""))</f>
        <v/>
      </c>
      <c r="AP137" s="58" t="str">
        <f aca="false">IF('STUDENT SCREENING'!AO137="","",IFERROR(INDEX('SCORING MASTER'!$D$74:$D$75,MATCH('STUDENT SCREENING'!AO137,'SCORING MASTER'!$C$74:$C$75,0)),""))</f>
        <v/>
      </c>
      <c r="AQ137" s="58" t="str">
        <f aca="false">IF('STUDENT SCREENING'!AP137="","",IFERROR(INDEX('SCORING MASTER'!$D$77:$D$78,MATCH('STUDENT SCREENING'!AP137,'SCORING MASTER'!$C$77:$C$78,0)),""))</f>
        <v/>
      </c>
      <c r="AR137" s="58" t="str">
        <f aca="false">IF('STUDENT SCREENING'!AQ137="","",IFERROR(INDEX('SCORING MASTER'!$D$80:$D$82,MATCH('STUDENT SCREENING'!AQ137,'SCORING MASTER'!$C$80:$C$82,0)),""))</f>
        <v/>
      </c>
      <c r="AS137" s="58" t="str">
        <f aca="false">IF('STUDENT SCREENING'!AR137="","",IFERROR(INDEX('SCORING MASTER'!$D$84:$D$86,MATCH('STUDENT SCREENING'!AR137,'SCORING MASTER'!$C$84:$C$86,0)),""))</f>
        <v/>
      </c>
      <c r="AT137" s="58" t="str">
        <f aca="false">IF('STUDENT SCREENING'!AS137="","",IFERROR(INDEX('SCORING MASTER'!$D$88:$D$90,MATCH('STUDENT SCREENING'!AS137,'SCORING MASTER'!$C$88:$C$90,0)),""))</f>
        <v/>
      </c>
      <c r="AU137" s="58" t="str">
        <f aca="false">IF('STUDENT SCREENING'!AT137="","",IFERROR(INDEX('SCORING MASTER'!$D$92:$D$93,MATCH('STUDENT SCREENING'!AT137,'SCORING MASTER'!$C$92:$C$93,0)),""))</f>
        <v/>
      </c>
      <c r="AV137" s="58" t="str">
        <f aca="false">IF('STUDENT SCREENING'!AU137="","",IFERROR(INDEX('SCORING MASTER'!$D$95:$D$96,MATCH('STUDENT SCREENING'!AU137,'SCORING MASTER'!$C$95:$C$96,0)),""))</f>
        <v/>
      </c>
      <c r="AW137" s="58" t="str">
        <f aca="false">IF('STUDENT SCREENING'!AV137="","",IFERROR(INDEX('SCORING MASTER'!$D$98:$D$99,MATCH('STUDENT SCREENING'!AV137,'SCORING MASTER'!$C$98:$C$99,0)),""))</f>
        <v/>
      </c>
      <c r="AX137" s="58" t="str">
        <f aca="false">IF('STUDENT SCREENING'!AW137="","",IFERROR(INDEX('SCORING MASTER'!$D$101:$D$102,MATCH('STUDENT SCREENING'!AW137,'SCORING MASTER'!$C$101:$C$102,0)),""))</f>
        <v/>
      </c>
      <c r="AY137" s="58" t="str">
        <f aca="false">IF('STUDENT SCREENING'!AX137="","",IFERROR(INDEX('SCORING MASTER'!$D$104:$D$105,MATCH('STUDENT SCREENING'!AX137,'SCORING MASTER'!$C$104:$C$105,0)),""))</f>
        <v/>
      </c>
      <c r="AZ137" s="58" t="str">
        <f aca="false">IF('STUDENT SCREENING'!AY137="","",IFERROR(INDEX('SCORING MASTER'!$D$107:$D$108,MATCH('STUDENT SCREENING'!AY137,'SCORING MASTER'!$C$107:$C$108,0)),""))</f>
        <v/>
      </c>
      <c r="BA137" s="58" t="str">
        <f aca="false">IF('STUDENT SCREENING'!AZ137="","",IFERROR(INDEX('SCORING MASTER'!$D$110:$D$111,MATCH('STUDENT SCREENING'!AZ137,'SCORING MASTER'!$C$110:$C$111,0)),""))</f>
        <v/>
      </c>
      <c r="BB137" s="58" t="str">
        <f aca="false">IF('STUDENT SCREENING'!BA137="","",IFERROR(INDEX('SCORING MASTER'!$D$113:$D$115,MATCH('STUDENT SCREENING'!BA137,'SCORING MASTER'!$C$113:$C$115,0)),""))</f>
        <v/>
      </c>
      <c r="BC137" s="58" t="str">
        <f aca="false">IF('STUDENT SCREENING'!BB137="","",IFERROR(INDEX('SCORING MASTER'!$D$117:$D$119,MATCH('STUDENT SCREENING'!BB137,'SCORING MASTER'!$C$117:$C$119,0)),""))</f>
        <v/>
      </c>
      <c r="BD137" s="58" t="str">
        <f aca="false">IF('STUDENT SCREENING'!BC137="","",IFERROR(INDEX('SCORING MASTER'!$D$121:$D$123,MATCH('STUDENT SCREENING'!BC137,'SCORING MASTER'!$C$121:$C$123,0)),""))</f>
        <v/>
      </c>
      <c r="BE137" s="58" t="str">
        <f aca="false">IF('STUDENT SCREENING'!BD137="","",IFERROR(INDEX('SCORING MASTER'!$D$125:$D$126,MATCH('STUDENT SCREENING'!BD137,'SCORING MASTER'!$C$125:$C$126,0)),""))</f>
        <v/>
      </c>
      <c r="BF137" s="58" t="str">
        <f aca="false">IF('STUDENT SCREENING'!BE137="","",IFERROR(INDEX('SCORING MASTER'!$D$128:$D$129,MATCH('STUDENT SCREENING'!BE137,'SCORING MASTER'!$C$128:$C$129,0)),""))</f>
        <v/>
      </c>
      <c r="BG137" s="58" t="str">
        <f aca="false">IF('STUDENT SCREENING'!BP137="","",IFERROR(MATCH('STUDENT SCREENING'!BP137,{"Red - High Risk","Orange - Moderate Risk","Yellow - Mild Risk","Light Green - Mild Watch","Green - Healthy"},0)-1,""))</f>
        <v/>
      </c>
      <c r="BH137" s="58" t="str">
        <f aca="false">IF('STUDENT SCREENING'!BQ137="","",IF('STUDENT SCREENING'!BQ137="Yes",1,0))</f>
        <v/>
      </c>
      <c r="BI137" s="58" t="str">
        <f aca="false">IF('STUDENT SCREENING'!BR137="","",IF('STUDENT SCREENING'!BR137="Yes",1,0))</f>
        <v/>
      </c>
    </row>
    <row r="138" customFormat="false" ht="15" hidden="false" customHeight="false" outlineLevel="0" collapsed="false">
      <c r="A138" s="57" t="str">
        <f aca="false">'STUDENT SCREENING'!A138</f>
        <v/>
      </c>
      <c r="B138" s="57" t="n">
        <f aca="false">'STUDENT SCREENING'!C138</f>
        <v>0</v>
      </c>
      <c r="C138" s="57" t="n">
        <f aca="false">'STUDENT SCREENING'!D138</f>
        <v>0</v>
      </c>
      <c r="D138" s="57" t="n">
        <f aca="false">'STUDENT SCREENING'!E138</f>
        <v>0</v>
      </c>
      <c r="E138" s="57" t="n">
        <f aca="false">'STUDENT SCREENING'!F138</f>
        <v>0</v>
      </c>
      <c r="F138" s="57" t="n">
        <f aca="false">'STUDENT SCREENING'!K138</f>
        <v>0</v>
      </c>
      <c r="G138" s="57" t="n">
        <f aca="false">'STUDENT SCREENING'!J138</f>
        <v>0</v>
      </c>
      <c r="H138" s="57" t="str">
        <f aca="false">IF('STUDENT SCREENING'!K138="","",IFERROR(MATCH('STUDENT SCREENING'!K138,Adm_Gender,0),""))</f>
        <v/>
      </c>
      <c r="I138" s="57" t="n">
        <f aca="false">'STUDENT SCREENING'!Q138</f>
        <v>0</v>
      </c>
      <c r="J138" s="57" t="n">
        <f aca="false">'STUDENT SCREENING'!R138</f>
        <v>0</v>
      </c>
      <c r="K138" s="57" t="str">
        <f aca="false">'STUDENT SCREENING'!S138</f>
        <v/>
      </c>
      <c r="L138" s="57" t="n">
        <f aca="false">'STUDENT SCREENING'!U138</f>
        <v>0</v>
      </c>
      <c r="M138" s="57" t="n">
        <f aca="false">'STUDENT SCREENING'!V138</f>
        <v>0</v>
      </c>
      <c r="N138" s="57" t="str">
        <f aca="false">'STUDENT SCREENING'!BF138</f>
        <v/>
      </c>
      <c r="O138" s="57" t="str">
        <f aca="false">'STUDENT SCREENING'!BG138</f>
        <v/>
      </c>
      <c r="P138" s="57" t="str">
        <f aca="false">'STUDENT SCREENING'!BH138</f>
        <v/>
      </c>
      <c r="Q138" s="57" t="str">
        <f aca="false">'STUDENT SCREENING'!BI138</f>
        <v/>
      </c>
      <c r="R138" s="57" t="str">
        <f aca="false">'STUDENT SCREENING'!BJ138</f>
        <v/>
      </c>
      <c r="S138" s="57" t="str">
        <f aca="false">'STUDENT SCREENING'!BK138</f>
        <v/>
      </c>
      <c r="T138" s="57" t="str">
        <f aca="false">'STUDENT SCREENING'!BL138</f>
        <v/>
      </c>
      <c r="U138" s="57" t="str">
        <f aca="false">'STUDENT SCREENING'!BM138</f>
        <v/>
      </c>
      <c r="V138" s="57" t="str">
        <f aca="false">'STUDENT SCREENING'!BN138</f>
        <v/>
      </c>
      <c r="W138" s="57" t="str">
        <f aca="false">'STUDENT SCREENING'!BO138</f>
        <v/>
      </c>
      <c r="X138" s="57" t="str">
        <f aca="false">IF('STUDENT SCREENING'!W138="","",IFERROR(INDEX('SCORING MASTER'!$D$5:$D$7,MATCH('STUDENT SCREENING'!W138,'SCORING MASTER'!$C$5:$C$7,0)),""))</f>
        <v/>
      </c>
      <c r="Y138" s="57" t="str">
        <f aca="false">IF('STUDENT SCREENING'!X138="","",IFERROR(INDEX('SCORING MASTER'!$D$9:$D$11,MATCH('STUDENT SCREENING'!X138,'SCORING MASTER'!$C$9:$C$11,0)),""))</f>
        <v/>
      </c>
      <c r="Z138" s="57" t="str">
        <f aca="false">IF('STUDENT SCREENING'!Y138="","",IFERROR(INDEX('SCORING MASTER'!$D$13:$D$15,MATCH('STUDENT SCREENING'!Y138,'SCORING MASTER'!$C$13:$C$15,0)),""))</f>
        <v/>
      </c>
      <c r="AA138" s="57" t="str">
        <f aca="false">IF('STUDENT SCREENING'!Z138="","",IFERROR(INDEX('SCORING MASTER'!$D$17:$D$19,MATCH('STUDENT SCREENING'!Z138,'SCORING MASTER'!$C$17:$C$19,0)),""))</f>
        <v/>
      </c>
      <c r="AB138" s="57" t="str">
        <f aca="false">IF('STUDENT SCREENING'!AA138="","",IFERROR(INDEX('SCORING MASTER'!$D$21:$D$23,MATCH('STUDENT SCREENING'!AA138,'SCORING MASTER'!$C$21:$C$23,0)),""))</f>
        <v/>
      </c>
      <c r="AC138" s="57" t="str">
        <f aca="false">IF('STUDENT SCREENING'!AB138="","",IFERROR(INDEX('SCORING MASTER'!$D$25:$D$27,MATCH('STUDENT SCREENING'!AB138,'SCORING MASTER'!$C$25:$C$27,0)),""))</f>
        <v/>
      </c>
      <c r="AD138" s="57" t="str">
        <f aca="false">IF('STUDENT SCREENING'!AC138="","",IFERROR(INDEX('SCORING MASTER'!$D$29:$D$31,MATCH('STUDENT SCREENING'!AC138,'SCORING MASTER'!$C$29:$C$31,0)),""))</f>
        <v/>
      </c>
      <c r="AE138" s="57" t="str">
        <f aca="false">IF('STUDENT SCREENING'!AD138="","",IFERROR(INDEX('SCORING MASTER'!$D$33:$D$35,MATCH('STUDENT SCREENING'!AD138,'SCORING MASTER'!$C$33:$C$35,0)),""))</f>
        <v/>
      </c>
      <c r="AF138" s="57" t="str">
        <f aca="false">IF('STUDENT SCREENING'!AE138="","",IFERROR(INDEX('SCORING MASTER'!$D$37:$D$39,MATCH('STUDENT SCREENING'!AE138,'SCORING MASTER'!$C$37:$C$39,0)),""))</f>
        <v/>
      </c>
      <c r="AG138" s="57" t="str">
        <f aca="false">IF('STUDENT SCREENING'!AF138="","",IFERROR(INDEX('SCORING MASTER'!$D$41:$D$43,MATCH('STUDENT SCREENING'!AF138,'SCORING MASTER'!$C$41:$C$43,0)),""))</f>
        <v/>
      </c>
      <c r="AH138" s="57" t="str">
        <f aca="false">IF('STUDENT SCREENING'!AG138="","",IFERROR(INDEX('SCORING MASTER'!$D$45:$D$47,MATCH('STUDENT SCREENING'!AG138,'SCORING MASTER'!$C$45:$C$47,0)),""))</f>
        <v/>
      </c>
      <c r="AI138" s="57" t="str">
        <f aca="false">IF('STUDENT SCREENING'!AH138="","",IFERROR(INDEX('SCORING MASTER'!$D$49:$D$52,MATCH('STUDENT SCREENING'!AH138,'SCORING MASTER'!$C$49:$C$52,0)),""))</f>
        <v/>
      </c>
      <c r="AJ138" s="57" t="str">
        <f aca="false">IF('STUDENT SCREENING'!AI138="","",IFERROR(INDEX('SCORING MASTER'!$D$54:$D$57,MATCH('STUDENT SCREENING'!AI138,'SCORING MASTER'!$C$54:$C$57,0)),""))</f>
        <v/>
      </c>
      <c r="AK138" s="57" t="str">
        <f aca="false">IF('STUDENT SCREENING'!AJ138="","",IFERROR(INDEX('SCORING MASTER'!$D$59:$D$60,MATCH('STUDENT SCREENING'!AJ138,'SCORING MASTER'!$C$59:$C$60,0)),""))</f>
        <v/>
      </c>
      <c r="AL138" s="57" t="str">
        <f aca="false">IF('STUDENT SCREENING'!AK138="","",IFERROR(INDEX('SCORING MASTER'!$D$62:$D$63,MATCH('STUDENT SCREENING'!AK138,'SCORING MASTER'!$C$62:$C$63,0)),""))</f>
        <v/>
      </c>
      <c r="AM138" s="57" t="str">
        <f aca="false">IF('STUDENT SCREENING'!AL138="","",IFERROR(INDEX('SCORING MASTER'!$D$65:$D$66,MATCH('STUDENT SCREENING'!AL138,'SCORING MASTER'!$C$65:$C$66,0)),""))</f>
        <v/>
      </c>
      <c r="AN138" s="57" t="str">
        <f aca="false">IF('STUDENT SCREENING'!AM138="","",IFERROR(INDEX('SCORING MASTER'!$D$68:$D$69,MATCH('STUDENT SCREENING'!AM138,'SCORING MASTER'!$C$68:$C$69,0)),""))</f>
        <v/>
      </c>
      <c r="AO138" s="57" t="str">
        <f aca="false">IF('STUDENT SCREENING'!AN138="","",IFERROR(INDEX('SCORING MASTER'!$D$71:$D$72,MATCH('STUDENT SCREENING'!AN138,'SCORING MASTER'!$C$71:$C$72,0)),""))</f>
        <v/>
      </c>
      <c r="AP138" s="57" t="str">
        <f aca="false">IF('STUDENT SCREENING'!AO138="","",IFERROR(INDEX('SCORING MASTER'!$D$74:$D$75,MATCH('STUDENT SCREENING'!AO138,'SCORING MASTER'!$C$74:$C$75,0)),""))</f>
        <v/>
      </c>
      <c r="AQ138" s="57" t="str">
        <f aca="false">IF('STUDENT SCREENING'!AP138="","",IFERROR(INDEX('SCORING MASTER'!$D$77:$D$78,MATCH('STUDENT SCREENING'!AP138,'SCORING MASTER'!$C$77:$C$78,0)),""))</f>
        <v/>
      </c>
      <c r="AR138" s="57" t="str">
        <f aca="false">IF('STUDENT SCREENING'!AQ138="","",IFERROR(INDEX('SCORING MASTER'!$D$80:$D$82,MATCH('STUDENT SCREENING'!AQ138,'SCORING MASTER'!$C$80:$C$82,0)),""))</f>
        <v/>
      </c>
      <c r="AS138" s="57" t="str">
        <f aca="false">IF('STUDENT SCREENING'!AR138="","",IFERROR(INDEX('SCORING MASTER'!$D$84:$D$86,MATCH('STUDENT SCREENING'!AR138,'SCORING MASTER'!$C$84:$C$86,0)),""))</f>
        <v/>
      </c>
      <c r="AT138" s="57" t="str">
        <f aca="false">IF('STUDENT SCREENING'!AS138="","",IFERROR(INDEX('SCORING MASTER'!$D$88:$D$90,MATCH('STUDENT SCREENING'!AS138,'SCORING MASTER'!$C$88:$C$90,0)),""))</f>
        <v/>
      </c>
      <c r="AU138" s="57" t="str">
        <f aca="false">IF('STUDENT SCREENING'!AT138="","",IFERROR(INDEX('SCORING MASTER'!$D$92:$D$93,MATCH('STUDENT SCREENING'!AT138,'SCORING MASTER'!$C$92:$C$93,0)),""))</f>
        <v/>
      </c>
      <c r="AV138" s="57" t="str">
        <f aca="false">IF('STUDENT SCREENING'!AU138="","",IFERROR(INDEX('SCORING MASTER'!$D$95:$D$96,MATCH('STUDENT SCREENING'!AU138,'SCORING MASTER'!$C$95:$C$96,0)),""))</f>
        <v/>
      </c>
      <c r="AW138" s="57" t="str">
        <f aca="false">IF('STUDENT SCREENING'!AV138="","",IFERROR(INDEX('SCORING MASTER'!$D$98:$D$99,MATCH('STUDENT SCREENING'!AV138,'SCORING MASTER'!$C$98:$C$99,0)),""))</f>
        <v/>
      </c>
      <c r="AX138" s="57" t="str">
        <f aca="false">IF('STUDENT SCREENING'!AW138="","",IFERROR(INDEX('SCORING MASTER'!$D$101:$D$102,MATCH('STUDENT SCREENING'!AW138,'SCORING MASTER'!$C$101:$C$102,0)),""))</f>
        <v/>
      </c>
      <c r="AY138" s="57" t="str">
        <f aca="false">IF('STUDENT SCREENING'!AX138="","",IFERROR(INDEX('SCORING MASTER'!$D$104:$D$105,MATCH('STUDENT SCREENING'!AX138,'SCORING MASTER'!$C$104:$C$105,0)),""))</f>
        <v/>
      </c>
      <c r="AZ138" s="57" t="str">
        <f aca="false">IF('STUDENT SCREENING'!AY138="","",IFERROR(INDEX('SCORING MASTER'!$D$107:$D$108,MATCH('STUDENT SCREENING'!AY138,'SCORING MASTER'!$C$107:$C$108,0)),""))</f>
        <v/>
      </c>
      <c r="BA138" s="57" t="str">
        <f aca="false">IF('STUDENT SCREENING'!AZ138="","",IFERROR(INDEX('SCORING MASTER'!$D$110:$D$111,MATCH('STUDENT SCREENING'!AZ138,'SCORING MASTER'!$C$110:$C$111,0)),""))</f>
        <v/>
      </c>
      <c r="BB138" s="57" t="str">
        <f aca="false">IF('STUDENT SCREENING'!BA138="","",IFERROR(INDEX('SCORING MASTER'!$D$113:$D$115,MATCH('STUDENT SCREENING'!BA138,'SCORING MASTER'!$C$113:$C$115,0)),""))</f>
        <v/>
      </c>
      <c r="BC138" s="57" t="str">
        <f aca="false">IF('STUDENT SCREENING'!BB138="","",IFERROR(INDEX('SCORING MASTER'!$D$117:$D$119,MATCH('STUDENT SCREENING'!BB138,'SCORING MASTER'!$C$117:$C$119,0)),""))</f>
        <v/>
      </c>
      <c r="BD138" s="57" t="str">
        <f aca="false">IF('STUDENT SCREENING'!BC138="","",IFERROR(INDEX('SCORING MASTER'!$D$121:$D$123,MATCH('STUDENT SCREENING'!BC138,'SCORING MASTER'!$C$121:$C$123,0)),""))</f>
        <v/>
      </c>
      <c r="BE138" s="57" t="str">
        <f aca="false">IF('STUDENT SCREENING'!BD138="","",IFERROR(INDEX('SCORING MASTER'!$D$125:$D$126,MATCH('STUDENT SCREENING'!BD138,'SCORING MASTER'!$C$125:$C$126,0)),""))</f>
        <v/>
      </c>
      <c r="BF138" s="57" t="str">
        <f aca="false">IF('STUDENT SCREENING'!BE138="","",IFERROR(INDEX('SCORING MASTER'!$D$128:$D$129,MATCH('STUDENT SCREENING'!BE138,'SCORING MASTER'!$C$128:$C$129,0)),""))</f>
        <v/>
      </c>
      <c r="BG138" s="57" t="str">
        <f aca="false">IF('STUDENT SCREENING'!BP138="","",IFERROR(MATCH('STUDENT SCREENING'!BP138,{"Red - High Risk","Orange - Moderate Risk","Yellow - Mild Risk","Light Green - Mild Watch","Green - Healthy"},0)-1,""))</f>
        <v/>
      </c>
      <c r="BH138" s="57" t="str">
        <f aca="false">IF('STUDENT SCREENING'!BQ138="","",IF('STUDENT SCREENING'!BQ138="Yes",1,0))</f>
        <v/>
      </c>
      <c r="BI138" s="57" t="str">
        <f aca="false">IF('STUDENT SCREENING'!BR138="","",IF('STUDENT SCREENING'!BR138="Yes",1,0))</f>
        <v/>
      </c>
    </row>
    <row r="139" customFormat="false" ht="15" hidden="false" customHeight="false" outlineLevel="0" collapsed="false">
      <c r="A139" s="58" t="str">
        <f aca="false">'STUDENT SCREENING'!A139</f>
        <v/>
      </c>
      <c r="B139" s="58" t="n">
        <f aca="false">'STUDENT SCREENING'!C139</f>
        <v>0</v>
      </c>
      <c r="C139" s="58" t="n">
        <f aca="false">'STUDENT SCREENING'!D139</f>
        <v>0</v>
      </c>
      <c r="D139" s="58" t="n">
        <f aca="false">'STUDENT SCREENING'!E139</f>
        <v>0</v>
      </c>
      <c r="E139" s="58" t="n">
        <f aca="false">'STUDENT SCREENING'!F139</f>
        <v>0</v>
      </c>
      <c r="F139" s="58" t="n">
        <f aca="false">'STUDENT SCREENING'!K139</f>
        <v>0</v>
      </c>
      <c r="G139" s="58" t="n">
        <f aca="false">'STUDENT SCREENING'!J139</f>
        <v>0</v>
      </c>
      <c r="H139" s="58" t="str">
        <f aca="false">IF('STUDENT SCREENING'!K139="","",IFERROR(MATCH('STUDENT SCREENING'!K139,Adm_Gender,0),""))</f>
        <v/>
      </c>
      <c r="I139" s="58" t="n">
        <f aca="false">'STUDENT SCREENING'!Q139</f>
        <v>0</v>
      </c>
      <c r="J139" s="58" t="n">
        <f aca="false">'STUDENT SCREENING'!R139</f>
        <v>0</v>
      </c>
      <c r="K139" s="58" t="str">
        <f aca="false">'STUDENT SCREENING'!S139</f>
        <v/>
      </c>
      <c r="L139" s="58" t="n">
        <f aca="false">'STUDENT SCREENING'!U139</f>
        <v>0</v>
      </c>
      <c r="M139" s="58" t="n">
        <f aca="false">'STUDENT SCREENING'!V139</f>
        <v>0</v>
      </c>
      <c r="N139" s="58" t="str">
        <f aca="false">'STUDENT SCREENING'!BF139</f>
        <v/>
      </c>
      <c r="O139" s="58" t="str">
        <f aca="false">'STUDENT SCREENING'!BG139</f>
        <v/>
      </c>
      <c r="P139" s="58" t="str">
        <f aca="false">'STUDENT SCREENING'!BH139</f>
        <v/>
      </c>
      <c r="Q139" s="58" t="str">
        <f aca="false">'STUDENT SCREENING'!BI139</f>
        <v/>
      </c>
      <c r="R139" s="58" t="str">
        <f aca="false">'STUDENT SCREENING'!BJ139</f>
        <v/>
      </c>
      <c r="S139" s="58" t="str">
        <f aca="false">'STUDENT SCREENING'!BK139</f>
        <v/>
      </c>
      <c r="T139" s="58" t="str">
        <f aca="false">'STUDENT SCREENING'!BL139</f>
        <v/>
      </c>
      <c r="U139" s="58" t="str">
        <f aca="false">'STUDENT SCREENING'!BM139</f>
        <v/>
      </c>
      <c r="V139" s="58" t="str">
        <f aca="false">'STUDENT SCREENING'!BN139</f>
        <v/>
      </c>
      <c r="W139" s="58" t="str">
        <f aca="false">'STUDENT SCREENING'!BO139</f>
        <v/>
      </c>
      <c r="X139" s="58" t="str">
        <f aca="false">IF('STUDENT SCREENING'!W139="","",IFERROR(INDEX('SCORING MASTER'!$D$5:$D$7,MATCH('STUDENT SCREENING'!W139,'SCORING MASTER'!$C$5:$C$7,0)),""))</f>
        <v/>
      </c>
      <c r="Y139" s="58" t="str">
        <f aca="false">IF('STUDENT SCREENING'!X139="","",IFERROR(INDEX('SCORING MASTER'!$D$9:$D$11,MATCH('STUDENT SCREENING'!X139,'SCORING MASTER'!$C$9:$C$11,0)),""))</f>
        <v/>
      </c>
      <c r="Z139" s="58" t="str">
        <f aca="false">IF('STUDENT SCREENING'!Y139="","",IFERROR(INDEX('SCORING MASTER'!$D$13:$D$15,MATCH('STUDENT SCREENING'!Y139,'SCORING MASTER'!$C$13:$C$15,0)),""))</f>
        <v/>
      </c>
      <c r="AA139" s="58" t="str">
        <f aca="false">IF('STUDENT SCREENING'!Z139="","",IFERROR(INDEX('SCORING MASTER'!$D$17:$D$19,MATCH('STUDENT SCREENING'!Z139,'SCORING MASTER'!$C$17:$C$19,0)),""))</f>
        <v/>
      </c>
      <c r="AB139" s="58" t="str">
        <f aca="false">IF('STUDENT SCREENING'!AA139="","",IFERROR(INDEX('SCORING MASTER'!$D$21:$D$23,MATCH('STUDENT SCREENING'!AA139,'SCORING MASTER'!$C$21:$C$23,0)),""))</f>
        <v/>
      </c>
      <c r="AC139" s="58" t="str">
        <f aca="false">IF('STUDENT SCREENING'!AB139="","",IFERROR(INDEX('SCORING MASTER'!$D$25:$D$27,MATCH('STUDENT SCREENING'!AB139,'SCORING MASTER'!$C$25:$C$27,0)),""))</f>
        <v/>
      </c>
      <c r="AD139" s="58" t="str">
        <f aca="false">IF('STUDENT SCREENING'!AC139="","",IFERROR(INDEX('SCORING MASTER'!$D$29:$D$31,MATCH('STUDENT SCREENING'!AC139,'SCORING MASTER'!$C$29:$C$31,0)),""))</f>
        <v/>
      </c>
      <c r="AE139" s="58" t="str">
        <f aca="false">IF('STUDENT SCREENING'!AD139="","",IFERROR(INDEX('SCORING MASTER'!$D$33:$D$35,MATCH('STUDENT SCREENING'!AD139,'SCORING MASTER'!$C$33:$C$35,0)),""))</f>
        <v/>
      </c>
      <c r="AF139" s="58" t="str">
        <f aca="false">IF('STUDENT SCREENING'!AE139="","",IFERROR(INDEX('SCORING MASTER'!$D$37:$D$39,MATCH('STUDENT SCREENING'!AE139,'SCORING MASTER'!$C$37:$C$39,0)),""))</f>
        <v/>
      </c>
      <c r="AG139" s="58" t="str">
        <f aca="false">IF('STUDENT SCREENING'!AF139="","",IFERROR(INDEX('SCORING MASTER'!$D$41:$D$43,MATCH('STUDENT SCREENING'!AF139,'SCORING MASTER'!$C$41:$C$43,0)),""))</f>
        <v/>
      </c>
      <c r="AH139" s="58" t="str">
        <f aca="false">IF('STUDENT SCREENING'!AG139="","",IFERROR(INDEX('SCORING MASTER'!$D$45:$D$47,MATCH('STUDENT SCREENING'!AG139,'SCORING MASTER'!$C$45:$C$47,0)),""))</f>
        <v/>
      </c>
      <c r="AI139" s="58" t="str">
        <f aca="false">IF('STUDENT SCREENING'!AH139="","",IFERROR(INDEX('SCORING MASTER'!$D$49:$D$52,MATCH('STUDENT SCREENING'!AH139,'SCORING MASTER'!$C$49:$C$52,0)),""))</f>
        <v/>
      </c>
      <c r="AJ139" s="58" t="str">
        <f aca="false">IF('STUDENT SCREENING'!AI139="","",IFERROR(INDEX('SCORING MASTER'!$D$54:$D$57,MATCH('STUDENT SCREENING'!AI139,'SCORING MASTER'!$C$54:$C$57,0)),""))</f>
        <v/>
      </c>
      <c r="AK139" s="58" t="str">
        <f aca="false">IF('STUDENT SCREENING'!AJ139="","",IFERROR(INDEX('SCORING MASTER'!$D$59:$D$60,MATCH('STUDENT SCREENING'!AJ139,'SCORING MASTER'!$C$59:$C$60,0)),""))</f>
        <v/>
      </c>
      <c r="AL139" s="58" t="str">
        <f aca="false">IF('STUDENT SCREENING'!AK139="","",IFERROR(INDEX('SCORING MASTER'!$D$62:$D$63,MATCH('STUDENT SCREENING'!AK139,'SCORING MASTER'!$C$62:$C$63,0)),""))</f>
        <v/>
      </c>
      <c r="AM139" s="58" t="str">
        <f aca="false">IF('STUDENT SCREENING'!AL139="","",IFERROR(INDEX('SCORING MASTER'!$D$65:$D$66,MATCH('STUDENT SCREENING'!AL139,'SCORING MASTER'!$C$65:$C$66,0)),""))</f>
        <v/>
      </c>
      <c r="AN139" s="58" t="str">
        <f aca="false">IF('STUDENT SCREENING'!AM139="","",IFERROR(INDEX('SCORING MASTER'!$D$68:$D$69,MATCH('STUDENT SCREENING'!AM139,'SCORING MASTER'!$C$68:$C$69,0)),""))</f>
        <v/>
      </c>
      <c r="AO139" s="58" t="str">
        <f aca="false">IF('STUDENT SCREENING'!AN139="","",IFERROR(INDEX('SCORING MASTER'!$D$71:$D$72,MATCH('STUDENT SCREENING'!AN139,'SCORING MASTER'!$C$71:$C$72,0)),""))</f>
        <v/>
      </c>
      <c r="AP139" s="58" t="str">
        <f aca="false">IF('STUDENT SCREENING'!AO139="","",IFERROR(INDEX('SCORING MASTER'!$D$74:$D$75,MATCH('STUDENT SCREENING'!AO139,'SCORING MASTER'!$C$74:$C$75,0)),""))</f>
        <v/>
      </c>
      <c r="AQ139" s="58" t="str">
        <f aca="false">IF('STUDENT SCREENING'!AP139="","",IFERROR(INDEX('SCORING MASTER'!$D$77:$D$78,MATCH('STUDENT SCREENING'!AP139,'SCORING MASTER'!$C$77:$C$78,0)),""))</f>
        <v/>
      </c>
      <c r="AR139" s="58" t="str">
        <f aca="false">IF('STUDENT SCREENING'!AQ139="","",IFERROR(INDEX('SCORING MASTER'!$D$80:$D$82,MATCH('STUDENT SCREENING'!AQ139,'SCORING MASTER'!$C$80:$C$82,0)),""))</f>
        <v/>
      </c>
      <c r="AS139" s="58" t="str">
        <f aca="false">IF('STUDENT SCREENING'!AR139="","",IFERROR(INDEX('SCORING MASTER'!$D$84:$D$86,MATCH('STUDENT SCREENING'!AR139,'SCORING MASTER'!$C$84:$C$86,0)),""))</f>
        <v/>
      </c>
      <c r="AT139" s="58" t="str">
        <f aca="false">IF('STUDENT SCREENING'!AS139="","",IFERROR(INDEX('SCORING MASTER'!$D$88:$D$90,MATCH('STUDENT SCREENING'!AS139,'SCORING MASTER'!$C$88:$C$90,0)),""))</f>
        <v/>
      </c>
      <c r="AU139" s="58" t="str">
        <f aca="false">IF('STUDENT SCREENING'!AT139="","",IFERROR(INDEX('SCORING MASTER'!$D$92:$D$93,MATCH('STUDENT SCREENING'!AT139,'SCORING MASTER'!$C$92:$C$93,0)),""))</f>
        <v/>
      </c>
      <c r="AV139" s="58" t="str">
        <f aca="false">IF('STUDENT SCREENING'!AU139="","",IFERROR(INDEX('SCORING MASTER'!$D$95:$D$96,MATCH('STUDENT SCREENING'!AU139,'SCORING MASTER'!$C$95:$C$96,0)),""))</f>
        <v/>
      </c>
      <c r="AW139" s="58" t="str">
        <f aca="false">IF('STUDENT SCREENING'!AV139="","",IFERROR(INDEX('SCORING MASTER'!$D$98:$D$99,MATCH('STUDENT SCREENING'!AV139,'SCORING MASTER'!$C$98:$C$99,0)),""))</f>
        <v/>
      </c>
      <c r="AX139" s="58" t="str">
        <f aca="false">IF('STUDENT SCREENING'!AW139="","",IFERROR(INDEX('SCORING MASTER'!$D$101:$D$102,MATCH('STUDENT SCREENING'!AW139,'SCORING MASTER'!$C$101:$C$102,0)),""))</f>
        <v/>
      </c>
      <c r="AY139" s="58" t="str">
        <f aca="false">IF('STUDENT SCREENING'!AX139="","",IFERROR(INDEX('SCORING MASTER'!$D$104:$D$105,MATCH('STUDENT SCREENING'!AX139,'SCORING MASTER'!$C$104:$C$105,0)),""))</f>
        <v/>
      </c>
      <c r="AZ139" s="58" t="str">
        <f aca="false">IF('STUDENT SCREENING'!AY139="","",IFERROR(INDEX('SCORING MASTER'!$D$107:$D$108,MATCH('STUDENT SCREENING'!AY139,'SCORING MASTER'!$C$107:$C$108,0)),""))</f>
        <v/>
      </c>
      <c r="BA139" s="58" t="str">
        <f aca="false">IF('STUDENT SCREENING'!AZ139="","",IFERROR(INDEX('SCORING MASTER'!$D$110:$D$111,MATCH('STUDENT SCREENING'!AZ139,'SCORING MASTER'!$C$110:$C$111,0)),""))</f>
        <v/>
      </c>
      <c r="BB139" s="58" t="str">
        <f aca="false">IF('STUDENT SCREENING'!BA139="","",IFERROR(INDEX('SCORING MASTER'!$D$113:$D$115,MATCH('STUDENT SCREENING'!BA139,'SCORING MASTER'!$C$113:$C$115,0)),""))</f>
        <v/>
      </c>
      <c r="BC139" s="58" t="str">
        <f aca="false">IF('STUDENT SCREENING'!BB139="","",IFERROR(INDEX('SCORING MASTER'!$D$117:$D$119,MATCH('STUDENT SCREENING'!BB139,'SCORING MASTER'!$C$117:$C$119,0)),""))</f>
        <v/>
      </c>
      <c r="BD139" s="58" t="str">
        <f aca="false">IF('STUDENT SCREENING'!BC139="","",IFERROR(INDEX('SCORING MASTER'!$D$121:$D$123,MATCH('STUDENT SCREENING'!BC139,'SCORING MASTER'!$C$121:$C$123,0)),""))</f>
        <v/>
      </c>
      <c r="BE139" s="58" t="str">
        <f aca="false">IF('STUDENT SCREENING'!BD139="","",IFERROR(INDEX('SCORING MASTER'!$D$125:$D$126,MATCH('STUDENT SCREENING'!BD139,'SCORING MASTER'!$C$125:$C$126,0)),""))</f>
        <v/>
      </c>
      <c r="BF139" s="58" t="str">
        <f aca="false">IF('STUDENT SCREENING'!BE139="","",IFERROR(INDEX('SCORING MASTER'!$D$128:$D$129,MATCH('STUDENT SCREENING'!BE139,'SCORING MASTER'!$C$128:$C$129,0)),""))</f>
        <v/>
      </c>
      <c r="BG139" s="58" t="str">
        <f aca="false">IF('STUDENT SCREENING'!BP139="","",IFERROR(MATCH('STUDENT SCREENING'!BP139,{"Red - High Risk","Orange - Moderate Risk","Yellow - Mild Risk","Light Green - Mild Watch","Green - Healthy"},0)-1,""))</f>
        <v/>
      </c>
      <c r="BH139" s="58" t="str">
        <f aca="false">IF('STUDENT SCREENING'!BQ139="","",IF('STUDENT SCREENING'!BQ139="Yes",1,0))</f>
        <v/>
      </c>
      <c r="BI139" s="58" t="str">
        <f aca="false">IF('STUDENT SCREENING'!BR139="","",IF('STUDENT SCREENING'!BR139="Yes",1,0))</f>
        <v/>
      </c>
    </row>
    <row r="140" customFormat="false" ht="15" hidden="false" customHeight="false" outlineLevel="0" collapsed="false">
      <c r="A140" s="57" t="str">
        <f aca="false">'STUDENT SCREENING'!A140</f>
        <v/>
      </c>
      <c r="B140" s="57" t="n">
        <f aca="false">'STUDENT SCREENING'!C140</f>
        <v>0</v>
      </c>
      <c r="C140" s="57" t="n">
        <f aca="false">'STUDENT SCREENING'!D140</f>
        <v>0</v>
      </c>
      <c r="D140" s="57" t="n">
        <f aca="false">'STUDENT SCREENING'!E140</f>
        <v>0</v>
      </c>
      <c r="E140" s="57" t="n">
        <f aca="false">'STUDENT SCREENING'!F140</f>
        <v>0</v>
      </c>
      <c r="F140" s="57" t="n">
        <f aca="false">'STUDENT SCREENING'!K140</f>
        <v>0</v>
      </c>
      <c r="G140" s="57" t="n">
        <f aca="false">'STUDENT SCREENING'!J140</f>
        <v>0</v>
      </c>
      <c r="H140" s="57" t="str">
        <f aca="false">IF('STUDENT SCREENING'!K140="","",IFERROR(MATCH('STUDENT SCREENING'!K140,Adm_Gender,0),""))</f>
        <v/>
      </c>
      <c r="I140" s="57" t="n">
        <f aca="false">'STUDENT SCREENING'!Q140</f>
        <v>0</v>
      </c>
      <c r="J140" s="57" t="n">
        <f aca="false">'STUDENT SCREENING'!R140</f>
        <v>0</v>
      </c>
      <c r="K140" s="57" t="str">
        <f aca="false">'STUDENT SCREENING'!S140</f>
        <v/>
      </c>
      <c r="L140" s="57" t="n">
        <f aca="false">'STUDENT SCREENING'!U140</f>
        <v>0</v>
      </c>
      <c r="M140" s="57" t="n">
        <f aca="false">'STUDENT SCREENING'!V140</f>
        <v>0</v>
      </c>
      <c r="N140" s="57" t="str">
        <f aca="false">'STUDENT SCREENING'!BF140</f>
        <v/>
      </c>
      <c r="O140" s="57" t="str">
        <f aca="false">'STUDENT SCREENING'!BG140</f>
        <v/>
      </c>
      <c r="P140" s="57" t="str">
        <f aca="false">'STUDENT SCREENING'!BH140</f>
        <v/>
      </c>
      <c r="Q140" s="57" t="str">
        <f aca="false">'STUDENT SCREENING'!BI140</f>
        <v/>
      </c>
      <c r="R140" s="57" t="str">
        <f aca="false">'STUDENT SCREENING'!BJ140</f>
        <v/>
      </c>
      <c r="S140" s="57" t="str">
        <f aca="false">'STUDENT SCREENING'!BK140</f>
        <v/>
      </c>
      <c r="T140" s="57" t="str">
        <f aca="false">'STUDENT SCREENING'!BL140</f>
        <v/>
      </c>
      <c r="U140" s="57" t="str">
        <f aca="false">'STUDENT SCREENING'!BM140</f>
        <v/>
      </c>
      <c r="V140" s="57" t="str">
        <f aca="false">'STUDENT SCREENING'!BN140</f>
        <v/>
      </c>
      <c r="W140" s="57" t="str">
        <f aca="false">'STUDENT SCREENING'!BO140</f>
        <v/>
      </c>
      <c r="X140" s="57" t="str">
        <f aca="false">IF('STUDENT SCREENING'!W140="","",IFERROR(INDEX('SCORING MASTER'!$D$5:$D$7,MATCH('STUDENT SCREENING'!W140,'SCORING MASTER'!$C$5:$C$7,0)),""))</f>
        <v/>
      </c>
      <c r="Y140" s="57" t="str">
        <f aca="false">IF('STUDENT SCREENING'!X140="","",IFERROR(INDEX('SCORING MASTER'!$D$9:$D$11,MATCH('STUDENT SCREENING'!X140,'SCORING MASTER'!$C$9:$C$11,0)),""))</f>
        <v/>
      </c>
      <c r="Z140" s="57" t="str">
        <f aca="false">IF('STUDENT SCREENING'!Y140="","",IFERROR(INDEX('SCORING MASTER'!$D$13:$D$15,MATCH('STUDENT SCREENING'!Y140,'SCORING MASTER'!$C$13:$C$15,0)),""))</f>
        <v/>
      </c>
      <c r="AA140" s="57" t="str">
        <f aca="false">IF('STUDENT SCREENING'!Z140="","",IFERROR(INDEX('SCORING MASTER'!$D$17:$D$19,MATCH('STUDENT SCREENING'!Z140,'SCORING MASTER'!$C$17:$C$19,0)),""))</f>
        <v/>
      </c>
      <c r="AB140" s="57" t="str">
        <f aca="false">IF('STUDENT SCREENING'!AA140="","",IFERROR(INDEX('SCORING MASTER'!$D$21:$D$23,MATCH('STUDENT SCREENING'!AA140,'SCORING MASTER'!$C$21:$C$23,0)),""))</f>
        <v/>
      </c>
      <c r="AC140" s="57" t="str">
        <f aca="false">IF('STUDENT SCREENING'!AB140="","",IFERROR(INDEX('SCORING MASTER'!$D$25:$D$27,MATCH('STUDENT SCREENING'!AB140,'SCORING MASTER'!$C$25:$C$27,0)),""))</f>
        <v/>
      </c>
      <c r="AD140" s="57" t="str">
        <f aca="false">IF('STUDENT SCREENING'!AC140="","",IFERROR(INDEX('SCORING MASTER'!$D$29:$D$31,MATCH('STUDENT SCREENING'!AC140,'SCORING MASTER'!$C$29:$C$31,0)),""))</f>
        <v/>
      </c>
      <c r="AE140" s="57" t="str">
        <f aca="false">IF('STUDENT SCREENING'!AD140="","",IFERROR(INDEX('SCORING MASTER'!$D$33:$D$35,MATCH('STUDENT SCREENING'!AD140,'SCORING MASTER'!$C$33:$C$35,0)),""))</f>
        <v/>
      </c>
      <c r="AF140" s="57" t="str">
        <f aca="false">IF('STUDENT SCREENING'!AE140="","",IFERROR(INDEX('SCORING MASTER'!$D$37:$D$39,MATCH('STUDENT SCREENING'!AE140,'SCORING MASTER'!$C$37:$C$39,0)),""))</f>
        <v/>
      </c>
      <c r="AG140" s="57" t="str">
        <f aca="false">IF('STUDENT SCREENING'!AF140="","",IFERROR(INDEX('SCORING MASTER'!$D$41:$D$43,MATCH('STUDENT SCREENING'!AF140,'SCORING MASTER'!$C$41:$C$43,0)),""))</f>
        <v/>
      </c>
      <c r="AH140" s="57" t="str">
        <f aca="false">IF('STUDENT SCREENING'!AG140="","",IFERROR(INDEX('SCORING MASTER'!$D$45:$D$47,MATCH('STUDENT SCREENING'!AG140,'SCORING MASTER'!$C$45:$C$47,0)),""))</f>
        <v/>
      </c>
      <c r="AI140" s="57" t="str">
        <f aca="false">IF('STUDENT SCREENING'!AH140="","",IFERROR(INDEX('SCORING MASTER'!$D$49:$D$52,MATCH('STUDENT SCREENING'!AH140,'SCORING MASTER'!$C$49:$C$52,0)),""))</f>
        <v/>
      </c>
      <c r="AJ140" s="57" t="str">
        <f aca="false">IF('STUDENT SCREENING'!AI140="","",IFERROR(INDEX('SCORING MASTER'!$D$54:$D$57,MATCH('STUDENT SCREENING'!AI140,'SCORING MASTER'!$C$54:$C$57,0)),""))</f>
        <v/>
      </c>
      <c r="AK140" s="57" t="str">
        <f aca="false">IF('STUDENT SCREENING'!AJ140="","",IFERROR(INDEX('SCORING MASTER'!$D$59:$D$60,MATCH('STUDENT SCREENING'!AJ140,'SCORING MASTER'!$C$59:$C$60,0)),""))</f>
        <v/>
      </c>
      <c r="AL140" s="57" t="str">
        <f aca="false">IF('STUDENT SCREENING'!AK140="","",IFERROR(INDEX('SCORING MASTER'!$D$62:$D$63,MATCH('STUDENT SCREENING'!AK140,'SCORING MASTER'!$C$62:$C$63,0)),""))</f>
        <v/>
      </c>
      <c r="AM140" s="57" t="str">
        <f aca="false">IF('STUDENT SCREENING'!AL140="","",IFERROR(INDEX('SCORING MASTER'!$D$65:$D$66,MATCH('STUDENT SCREENING'!AL140,'SCORING MASTER'!$C$65:$C$66,0)),""))</f>
        <v/>
      </c>
      <c r="AN140" s="57" t="str">
        <f aca="false">IF('STUDENT SCREENING'!AM140="","",IFERROR(INDEX('SCORING MASTER'!$D$68:$D$69,MATCH('STUDENT SCREENING'!AM140,'SCORING MASTER'!$C$68:$C$69,0)),""))</f>
        <v/>
      </c>
      <c r="AO140" s="57" t="str">
        <f aca="false">IF('STUDENT SCREENING'!AN140="","",IFERROR(INDEX('SCORING MASTER'!$D$71:$D$72,MATCH('STUDENT SCREENING'!AN140,'SCORING MASTER'!$C$71:$C$72,0)),""))</f>
        <v/>
      </c>
      <c r="AP140" s="57" t="str">
        <f aca="false">IF('STUDENT SCREENING'!AO140="","",IFERROR(INDEX('SCORING MASTER'!$D$74:$D$75,MATCH('STUDENT SCREENING'!AO140,'SCORING MASTER'!$C$74:$C$75,0)),""))</f>
        <v/>
      </c>
      <c r="AQ140" s="57" t="str">
        <f aca="false">IF('STUDENT SCREENING'!AP140="","",IFERROR(INDEX('SCORING MASTER'!$D$77:$D$78,MATCH('STUDENT SCREENING'!AP140,'SCORING MASTER'!$C$77:$C$78,0)),""))</f>
        <v/>
      </c>
      <c r="AR140" s="57" t="str">
        <f aca="false">IF('STUDENT SCREENING'!AQ140="","",IFERROR(INDEX('SCORING MASTER'!$D$80:$D$82,MATCH('STUDENT SCREENING'!AQ140,'SCORING MASTER'!$C$80:$C$82,0)),""))</f>
        <v/>
      </c>
      <c r="AS140" s="57" t="str">
        <f aca="false">IF('STUDENT SCREENING'!AR140="","",IFERROR(INDEX('SCORING MASTER'!$D$84:$D$86,MATCH('STUDENT SCREENING'!AR140,'SCORING MASTER'!$C$84:$C$86,0)),""))</f>
        <v/>
      </c>
      <c r="AT140" s="57" t="str">
        <f aca="false">IF('STUDENT SCREENING'!AS140="","",IFERROR(INDEX('SCORING MASTER'!$D$88:$D$90,MATCH('STUDENT SCREENING'!AS140,'SCORING MASTER'!$C$88:$C$90,0)),""))</f>
        <v/>
      </c>
      <c r="AU140" s="57" t="str">
        <f aca="false">IF('STUDENT SCREENING'!AT140="","",IFERROR(INDEX('SCORING MASTER'!$D$92:$D$93,MATCH('STUDENT SCREENING'!AT140,'SCORING MASTER'!$C$92:$C$93,0)),""))</f>
        <v/>
      </c>
      <c r="AV140" s="57" t="str">
        <f aca="false">IF('STUDENT SCREENING'!AU140="","",IFERROR(INDEX('SCORING MASTER'!$D$95:$D$96,MATCH('STUDENT SCREENING'!AU140,'SCORING MASTER'!$C$95:$C$96,0)),""))</f>
        <v/>
      </c>
      <c r="AW140" s="57" t="str">
        <f aca="false">IF('STUDENT SCREENING'!AV140="","",IFERROR(INDEX('SCORING MASTER'!$D$98:$D$99,MATCH('STUDENT SCREENING'!AV140,'SCORING MASTER'!$C$98:$C$99,0)),""))</f>
        <v/>
      </c>
      <c r="AX140" s="57" t="str">
        <f aca="false">IF('STUDENT SCREENING'!AW140="","",IFERROR(INDEX('SCORING MASTER'!$D$101:$D$102,MATCH('STUDENT SCREENING'!AW140,'SCORING MASTER'!$C$101:$C$102,0)),""))</f>
        <v/>
      </c>
      <c r="AY140" s="57" t="str">
        <f aca="false">IF('STUDENT SCREENING'!AX140="","",IFERROR(INDEX('SCORING MASTER'!$D$104:$D$105,MATCH('STUDENT SCREENING'!AX140,'SCORING MASTER'!$C$104:$C$105,0)),""))</f>
        <v/>
      </c>
      <c r="AZ140" s="57" t="str">
        <f aca="false">IF('STUDENT SCREENING'!AY140="","",IFERROR(INDEX('SCORING MASTER'!$D$107:$D$108,MATCH('STUDENT SCREENING'!AY140,'SCORING MASTER'!$C$107:$C$108,0)),""))</f>
        <v/>
      </c>
      <c r="BA140" s="57" t="str">
        <f aca="false">IF('STUDENT SCREENING'!AZ140="","",IFERROR(INDEX('SCORING MASTER'!$D$110:$D$111,MATCH('STUDENT SCREENING'!AZ140,'SCORING MASTER'!$C$110:$C$111,0)),""))</f>
        <v/>
      </c>
      <c r="BB140" s="57" t="str">
        <f aca="false">IF('STUDENT SCREENING'!BA140="","",IFERROR(INDEX('SCORING MASTER'!$D$113:$D$115,MATCH('STUDENT SCREENING'!BA140,'SCORING MASTER'!$C$113:$C$115,0)),""))</f>
        <v/>
      </c>
      <c r="BC140" s="57" t="str">
        <f aca="false">IF('STUDENT SCREENING'!BB140="","",IFERROR(INDEX('SCORING MASTER'!$D$117:$D$119,MATCH('STUDENT SCREENING'!BB140,'SCORING MASTER'!$C$117:$C$119,0)),""))</f>
        <v/>
      </c>
      <c r="BD140" s="57" t="str">
        <f aca="false">IF('STUDENT SCREENING'!BC140="","",IFERROR(INDEX('SCORING MASTER'!$D$121:$D$123,MATCH('STUDENT SCREENING'!BC140,'SCORING MASTER'!$C$121:$C$123,0)),""))</f>
        <v/>
      </c>
      <c r="BE140" s="57" t="str">
        <f aca="false">IF('STUDENT SCREENING'!BD140="","",IFERROR(INDEX('SCORING MASTER'!$D$125:$D$126,MATCH('STUDENT SCREENING'!BD140,'SCORING MASTER'!$C$125:$C$126,0)),""))</f>
        <v/>
      </c>
      <c r="BF140" s="57" t="str">
        <f aca="false">IF('STUDENT SCREENING'!BE140="","",IFERROR(INDEX('SCORING MASTER'!$D$128:$D$129,MATCH('STUDENT SCREENING'!BE140,'SCORING MASTER'!$C$128:$C$129,0)),""))</f>
        <v/>
      </c>
      <c r="BG140" s="57" t="str">
        <f aca="false">IF('STUDENT SCREENING'!BP140="","",IFERROR(MATCH('STUDENT SCREENING'!BP140,{"Red - High Risk","Orange - Moderate Risk","Yellow - Mild Risk","Light Green - Mild Watch","Green - Healthy"},0)-1,""))</f>
        <v/>
      </c>
      <c r="BH140" s="57" t="str">
        <f aca="false">IF('STUDENT SCREENING'!BQ140="","",IF('STUDENT SCREENING'!BQ140="Yes",1,0))</f>
        <v/>
      </c>
      <c r="BI140" s="57" t="str">
        <f aca="false">IF('STUDENT SCREENING'!BR140="","",IF('STUDENT SCREENING'!BR140="Yes",1,0))</f>
        <v/>
      </c>
    </row>
    <row r="141" customFormat="false" ht="15" hidden="false" customHeight="false" outlineLevel="0" collapsed="false">
      <c r="A141" s="58" t="str">
        <f aca="false">'STUDENT SCREENING'!A141</f>
        <v/>
      </c>
      <c r="B141" s="58" t="n">
        <f aca="false">'STUDENT SCREENING'!C141</f>
        <v>0</v>
      </c>
      <c r="C141" s="58" t="n">
        <f aca="false">'STUDENT SCREENING'!D141</f>
        <v>0</v>
      </c>
      <c r="D141" s="58" t="n">
        <f aca="false">'STUDENT SCREENING'!E141</f>
        <v>0</v>
      </c>
      <c r="E141" s="58" t="n">
        <f aca="false">'STUDENT SCREENING'!F141</f>
        <v>0</v>
      </c>
      <c r="F141" s="58" t="n">
        <f aca="false">'STUDENT SCREENING'!K141</f>
        <v>0</v>
      </c>
      <c r="G141" s="58" t="n">
        <f aca="false">'STUDENT SCREENING'!J141</f>
        <v>0</v>
      </c>
      <c r="H141" s="58" t="str">
        <f aca="false">IF('STUDENT SCREENING'!K141="","",IFERROR(MATCH('STUDENT SCREENING'!K141,Adm_Gender,0),""))</f>
        <v/>
      </c>
      <c r="I141" s="58" t="n">
        <f aca="false">'STUDENT SCREENING'!Q141</f>
        <v>0</v>
      </c>
      <c r="J141" s="58" t="n">
        <f aca="false">'STUDENT SCREENING'!R141</f>
        <v>0</v>
      </c>
      <c r="K141" s="58" t="str">
        <f aca="false">'STUDENT SCREENING'!S141</f>
        <v/>
      </c>
      <c r="L141" s="58" t="n">
        <f aca="false">'STUDENT SCREENING'!U141</f>
        <v>0</v>
      </c>
      <c r="M141" s="58" t="n">
        <f aca="false">'STUDENT SCREENING'!V141</f>
        <v>0</v>
      </c>
      <c r="N141" s="58" t="str">
        <f aca="false">'STUDENT SCREENING'!BF141</f>
        <v/>
      </c>
      <c r="O141" s="58" t="str">
        <f aca="false">'STUDENT SCREENING'!BG141</f>
        <v/>
      </c>
      <c r="P141" s="58" t="str">
        <f aca="false">'STUDENT SCREENING'!BH141</f>
        <v/>
      </c>
      <c r="Q141" s="58" t="str">
        <f aca="false">'STUDENT SCREENING'!BI141</f>
        <v/>
      </c>
      <c r="R141" s="58" t="str">
        <f aca="false">'STUDENT SCREENING'!BJ141</f>
        <v/>
      </c>
      <c r="S141" s="58" t="str">
        <f aca="false">'STUDENT SCREENING'!BK141</f>
        <v/>
      </c>
      <c r="T141" s="58" t="str">
        <f aca="false">'STUDENT SCREENING'!BL141</f>
        <v/>
      </c>
      <c r="U141" s="58" t="str">
        <f aca="false">'STUDENT SCREENING'!BM141</f>
        <v/>
      </c>
      <c r="V141" s="58" t="str">
        <f aca="false">'STUDENT SCREENING'!BN141</f>
        <v/>
      </c>
      <c r="W141" s="58" t="str">
        <f aca="false">'STUDENT SCREENING'!BO141</f>
        <v/>
      </c>
      <c r="X141" s="58" t="str">
        <f aca="false">IF('STUDENT SCREENING'!W141="","",IFERROR(INDEX('SCORING MASTER'!$D$5:$D$7,MATCH('STUDENT SCREENING'!W141,'SCORING MASTER'!$C$5:$C$7,0)),""))</f>
        <v/>
      </c>
      <c r="Y141" s="58" t="str">
        <f aca="false">IF('STUDENT SCREENING'!X141="","",IFERROR(INDEX('SCORING MASTER'!$D$9:$D$11,MATCH('STUDENT SCREENING'!X141,'SCORING MASTER'!$C$9:$C$11,0)),""))</f>
        <v/>
      </c>
      <c r="Z141" s="58" t="str">
        <f aca="false">IF('STUDENT SCREENING'!Y141="","",IFERROR(INDEX('SCORING MASTER'!$D$13:$D$15,MATCH('STUDENT SCREENING'!Y141,'SCORING MASTER'!$C$13:$C$15,0)),""))</f>
        <v/>
      </c>
      <c r="AA141" s="58" t="str">
        <f aca="false">IF('STUDENT SCREENING'!Z141="","",IFERROR(INDEX('SCORING MASTER'!$D$17:$D$19,MATCH('STUDENT SCREENING'!Z141,'SCORING MASTER'!$C$17:$C$19,0)),""))</f>
        <v/>
      </c>
      <c r="AB141" s="58" t="str">
        <f aca="false">IF('STUDENT SCREENING'!AA141="","",IFERROR(INDEX('SCORING MASTER'!$D$21:$D$23,MATCH('STUDENT SCREENING'!AA141,'SCORING MASTER'!$C$21:$C$23,0)),""))</f>
        <v/>
      </c>
      <c r="AC141" s="58" t="str">
        <f aca="false">IF('STUDENT SCREENING'!AB141="","",IFERROR(INDEX('SCORING MASTER'!$D$25:$D$27,MATCH('STUDENT SCREENING'!AB141,'SCORING MASTER'!$C$25:$C$27,0)),""))</f>
        <v/>
      </c>
      <c r="AD141" s="58" t="str">
        <f aca="false">IF('STUDENT SCREENING'!AC141="","",IFERROR(INDEX('SCORING MASTER'!$D$29:$D$31,MATCH('STUDENT SCREENING'!AC141,'SCORING MASTER'!$C$29:$C$31,0)),""))</f>
        <v/>
      </c>
      <c r="AE141" s="58" t="str">
        <f aca="false">IF('STUDENT SCREENING'!AD141="","",IFERROR(INDEX('SCORING MASTER'!$D$33:$D$35,MATCH('STUDENT SCREENING'!AD141,'SCORING MASTER'!$C$33:$C$35,0)),""))</f>
        <v/>
      </c>
      <c r="AF141" s="58" t="str">
        <f aca="false">IF('STUDENT SCREENING'!AE141="","",IFERROR(INDEX('SCORING MASTER'!$D$37:$D$39,MATCH('STUDENT SCREENING'!AE141,'SCORING MASTER'!$C$37:$C$39,0)),""))</f>
        <v/>
      </c>
      <c r="AG141" s="58" t="str">
        <f aca="false">IF('STUDENT SCREENING'!AF141="","",IFERROR(INDEX('SCORING MASTER'!$D$41:$D$43,MATCH('STUDENT SCREENING'!AF141,'SCORING MASTER'!$C$41:$C$43,0)),""))</f>
        <v/>
      </c>
      <c r="AH141" s="58" t="str">
        <f aca="false">IF('STUDENT SCREENING'!AG141="","",IFERROR(INDEX('SCORING MASTER'!$D$45:$D$47,MATCH('STUDENT SCREENING'!AG141,'SCORING MASTER'!$C$45:$C$47,0)),""))</f>
        <v/>
      </c>
      <c r="AI141" s="58" t="str">
        <f aca="false">IF('STUDENT SCREENING'!AH141="","",IFERROR(INDEX('SCORING MASTER'!$D$49:$D$52,MATCH('STUDENT SCREENING'!AH141,'SCORING MASTER'!$C$49:$C$52,0)),""))</f>
        <v/>
      </c>
      <c r="AJ141" s="58" t="str">
        <f aca="false">IF('STUDENT SCREENING'!AI141="","",IFERROR(INDEX('SCORING MASTER'!$D$54:$D$57,MATCH('STUDENT SCREENING'!AI141,'SCORING MASTER'!$C$54:$C$57,0)),""))</f>
        <v/>
      </c>
      <c r="AK141" s="58" t="str">
        <f aca="false">IF('STUDENT SCREENING'!AJ141="","",IFERROR(INDEX('SCORING MASTER'!$D$59:$D$60,MATCH('STUDENT SCREENING'!AJ141,'SCORING MASTER'!$C$59:$C$60,0)),""))</f>
        <v/>
      </c>
      <c r="AL141" s="58" t="str">
        <f aca="false">IF('STUDENT SCREENING'!AK141="","",IFERROR(INDEX('SCORING MASTER'!$D$62:$D$63,MATCH('STUDENT SCREENING'!AK141,'SCORING MASTER'!$C$62:$C$63,0)),""))</f>
        <v/>
      </c>
      <c r="AM141" s="58" t="str">
        <f aca="false">IF('STUDENT SCREENING'!AL141="","",IFERROR(INDEX('SCORING MASTER'!$D$65:$D$66,MATCH('STUDENT SCREENING'!AL141,'SCORING MASTER'!$C$65:$C$66,0)),""))</f>
        <v/>
      </c>
      <c r="AN141" s="58" t="str">
        <f aca="false">IF('STUDENT SCREENING'!AM141="","",IFERROR(INDEX('SCORING MASTER'!$D$68:$D$69,MATCH('STUDENT SCREENING'!AM141,'SCORING MASTER'!$C$68:$C$69,0)),""))</f>
        <v/>
      </c>
      <c r="AO141" s="58" t="str">
        <f aca="false">IF('STUDENT SCREENING'!AN141="","",IFERROR(INDEX('SCORING MASTER'!$D$71:$D$72,MATCH('STUDENT SCREENING'!AN141,'SCORING MASTER'!$C$71:$C$72,0)),""))</f>
        <v/>
      </c>
      <c r="AP141" s="58" t="str">
        <f aca="false">IF('STUDENT SCREENING'!AO141="","",IFERROR(INDEX('SCORING MASTER'!$D$74:$D$75,MATCH('STUDENT SCREENING'!AO141,'SCORING MASTER'!$C$74:$C$75,0)),""))</f>
        <v/>
      </c>
      <c r="AQ141" s="58" t="str">
        <f aca="false">IF('STUDENT SCREENING'!AP141="","",IFERROR(INDEX('SCORING MASTER'!$D$77:$D$78,MATCH('STUDENT SCREENING'!AP141,'SCORING MASTER'!$C$77:$C$78,0)),""))</f>
        <v/>
      </c>
      <c r="AR141" s="58" t="str">
        <f aca="false">IF('STUDENT SCREENING'!AQ141="","",IFERROR(INDEX('SCORING MASTER'!$D$80:$D$82,MATCH('STUDENT SCREENING'!AQ141,'SCORING MASTER'!$C$80:$C$82,0)),""))</f>
        <v/>
      </c>
      <c r="AS141" s="58" t="str">
        <f aca="false">IF('STUDENT SCREENING'!AR141="","",IFERROR(INDEX('SCORING MASTER'!$D$84:$D$86,MATCH('STUDENT SCREENING'!AR141,'SCORING MASTER'!$C$84:$C$86,0)),""))</f>
        <v/>
      </c>
      <c r="AT141" s="58" t="str">
        <f aca="false">IF('STUDENT SCREENING'!AS141="","",IFERROR(INDEX('SCORING MASTER'!$D$88:$D$90,MATCH('STUDENT SCREENING'!AS141,'SCORING MASTER'!$C$88:$C$90,0)),""))</f>
        <v/>
      </c>
      <c r="AU141" s="58" t="str">
        <f aca="false">IF('STUDENT SCREENING'!AT141="","",IFERROR(INDEX('SCORING MASTER'!$D$92:$D$93,MATCH('STUDENT SCREENING'!AT141,'SCORING MASTER'!$C$92:$C$93,0)),""))</f>
        <v/>
      </c>
      <c r="AV141" s="58" t="str">
        <f aca="false">IF('STUDENT SCREENING'!AU141="","",IFERROR(INDEX('SCORING MASTER'!$D$95:$D$96,MATCH('STUDENT SCREENING'!AU141,'SCORING MASTER'!$C$95:$C$96,0)),""))</f>
        <v/>
      </c>
      <c r="AW141" s="58" t="str">
        <f aca="false">IF('STUDENT SCREENING'!AV141="","",IFERROR(INDEX('SCORING MASTER'!$D$98:$D$99,MATCH('STUDENT SCREENING'!AV141,'SCORING MASTER'!$C$98:$C$99,0)),""))</f>
        <v/>
      </c>
      <c r="AX141" s="58" t="str">
        <f aca="false">IF('STUDENT SCREENING'!AW141="","",IFERROR(INDEX('SCORING MASTER'!$D$101:$D$102,MATCH('STUDENT SCREENING'!AW141,'SCORING MASTER'!$C$101:$C$102,0)),""))</f>
        <v/>
      </c>
      <c r="AY141" s="58" t="str">
        <f aca="false">IF('STUDENT SCREENING'!AX141="","",IFERROR(INDEX('SCORING MASTER'!$D$104:$D$105,MATCH('STUDENT SCREENING'!AX141,'SCORING MASTER'!$C$104:$C$105,0)),""))</f>
        <v/>
      </c>
      <c r="AZ141" s="58" t="str">
        <f aca="false">IF('STUDENT SCREENING'!AY141="","",IFERROR(INDEX('SCORING MASTER'!$D$107:$D$108,MATCH('STUDENT SCREENING'!AY141,'SCORING MASTER'!$C$107:$C$108,0)),""))</f>
        <v/>
      </c>
      <c r="BA141" s="58" t="str">
        <f aca="false">IF('STUDENT SCREENING'!AZ141="","",IFERROR(INDEX('SCORING MASTER'!$D$110:$D$111,MATCH('STUDENT SCREENING'!AZ141,'SCORING MASTER'!$C$110:$C$111,0)),""))</f>
        <v/>
      </c>
      <c r="BB141" s="58" t="str">
        <f aca="false">IF('STUDENT SCREENING'!BA141="","",IFERROR(INDEX('SCORING MASTER'!$D$113:$D$115,MATCH('STUDENT SCREENING'!BA141,'SCORING MASTER'!$C$113:$C$115,0)),""))</f>
        <v/>
      </c>
      <c r="BC141" s="58" t="str">
        <f aca="false">IF('STUDENT SCREENING'!BB141="","",IFERROR(INDEX('SCORING MASTER'!$D$117:$D$119,MATCH('STUDENT SCREENING'!BB141,'SCORING MASTER'!$C$117:$C$119,0)),""))</f>
        <v/>
      </c>
      <c r="BD141" s="58" t="str">
        <f aca="false">IF('STUDENT SCREENING'!BC141="","",IFERROR(INDEX('SCORING MASTER'!$D$121:$D$123,MATCH('STUDENT SCREENING'!BC141,'SCORING MASTER'!$C$121:$C$123,0)),""))</f>
        <v/>
      </c>
      <c r="BE141" s="58" t="str">
        <f aca="false">IF('STUDENT SCREENING'!BD141="","",IFERROR(INDEX('SCORING MASTER'!$D$125:$D$126,MATCH('STUDENT SCREENING'!BD141,'SCORING MASTER'!$C$125:$C$126,0)),""))</f>
        <v/>
      </c>
      <c r="BF141" s="58" t="str">
        <f aca="false">IF('STUDENT SCREENING'!BE141="","",IFERROR(INDEX('SCORING MASTER'!$D$128:$D$129,MATCH('STUDENT SCREENING'!BE141,'SCORING MASTER'!$C$128:$C$129,0)),""))</f>
        <v/>
      </c>
      <c r="BG141" s="58" t="str">
        <f aca="false">IF('STUDENT SCREENING'!BP141="","",IFERROR(MATCH('STUDENT SCREENING'!BP141,{"Red - High Risk","Orange - Moderate Risk","Yellow - Mild Risk","Light Green - Mild Watch","Green - Healthy"},0)-1,""))</f>
        <v/>
      </c>
      <c r="BH141" s="58" t="str">
        <f aca="false">IF('STUDENT SCREENING'!BQ141="","",IF('STUDENT SCREENING'!BQ141="Yes",1,0))</f>
        <v/>
      </c>
      <c r="BI141" s="58" t="str">
        <f aca="false">IF('STUDENT SCREENING'!BR141="","",IF('STUDENT SCREENING'!BR141="Yes",1,0))</f>
        <v/>
      </c>
    </row>
    <row r="142" customFormat="false" ht="15" hidden="false" customHeight="false" outlineLevel="0" collapsed="false">
      <c r="A142" s="57" t="str">
        <f aca="false">'STUDENT SCREENING'!A142</f>
        <v/>
      </c>
      <c r="B142" s="57" t="n">
        <f aca="false">'STUDENT SCREENING'!C142</f>
        <v>0</v>
      </c>
      <c r="C142" s="57" t="n">
        <f aca="false">'STUDENT SCREENING'!D142</f>
        <v>0</v>
      </c>
      <c r="D142" s="57" t="n">
        <f aca="false">'STUDENT SCREENING'!E142</f>
        <v>0</v>
      </c>
      <c r="E142" s="57" t="n">
        <f aca="false">'STUDENT SCREENING'!F142</f>
        <v>0</v>
      </c>
      <c r="F142" s="57" t="n">
        <f aca="false">'STUDENT SCREENING'!K142</f>
        <v>0</v>
      </c>
      <c r="G142" s="57" t="n">
        <f aca="false">'STUDENT SCREENING'!J142</f>
        <v>0</v>
      </c>
      <c r="H142" s="57" t="str">
        <f aca="false">IF('STUDENT SCREENING'!K142="","",IFERROR(MATCH('STUDENT SCREENING'!K142,Adm_Gender,0),""))</f>
        <v/>
      </c>
      <c r="I142" s="57" t="n">
        <f aca="false">'STUDENT SCREENING'!Q142</f>
        <v>0</v>
      </c>
      <c r="J142" s="57" t="n">
        <f aca="false">'STUDENT SCREENING'!R142</f>
        <v>0</v>
      </c>
      <c r="K142" s="57" t="str">
        <f aca="false">'STUDENT SCREENING'!S142</f>
        <v/>
      </c>
      <c r="L142" s="57" t="n">
        <f aca="false">'STUDENT SCREENING'!U142</f>
        <v>0</v>
      </c>
      <c r="M142" s="57" t="n">
        <f aca="false">'STUDENT SCREENING'!V142</f>
        <v>0</v>
      </c>
      <c r="N142" s="57" t="str">
        <f aca="false">'STUDENT SCREENING'!BF142</f>
        <v/>
      </c>
      <c r="O142" s="57" t="str">
        <f aca="false">'STUDENT SCREENING'!BG142</f>
        <v/>
      </c>
      <c r="P142" s="57" t="str">
        <f aca="false">'STUDENT SCREENING'!BH142</f>
        <v/>
      </c>
      <c r="Q142" s="57" t="str">
        <f aca="false">'STUDENT SCREENING'!BI142</f>
        <v/>
      </c>
      <c r="R142" s="57" t="str">
        <f aca="false">'STUDENT SCREENING'!BJ142</f>
        <v/>
      </c>
      <c r="S142" s="57" t="str">
        <f aca="false">'STUDENT SCREENING'!BK142</f>
        <v/>
      </c>
      <c r="T142" s="57" t="str">
        <f aca="false">'STUDENT SCREENING'!BL142</f>
        <v/>
      </c>
      <c r="U142" s="57" t="str">
        <f aca="false">'STUDENT SCREENING'!BM142</f>
        <v/>
      </c>
      <c r="V142" s="57" t="str">
        <f aca="false">'STUDENT SCREENING'!BN142</f>
        <v/>
      </c>
      <c r="W142" s="57" t="str">
        <f aca="false">'STUDENT SCREENING'!BO142</f>
        <v/>
      </c>
      <c r="X142" s="57" t="str">
        <f aca="false">IF('STUDENT SCREENING'!W142="","",IFERROR(INDEX('SCORING MASTER'!$D$5:$D$7,MATCH('STUDENT SCREENING'!W142,'SCORING MASTER'!$C$5:$C$7,0)),""))</f>
        <v/>
      </c>
      <c r="Y142" s="57" t="str">
        <f aca="false">IF('STUDENT SCREENING'!X142="","",IFERROR(INDEX('SCORING MASTER'!$D$9:$D$11,MATCH('STUDENT SCREENING'!X142,'SCORING MASTER'!$C$9:$C$11,0)),""))</f>
        <v/>
      </c>
      <c r="Z142" s="57" t="str">
        <f aca="false">IF('STUDENT SCREENING'!Y142="","",IFERROR(INDEX('SCORING MASTER'!$D$13:$D$15,MATCH('STUDENT SCREENING'!Y142,'SCORING MASTER'!$C$13:$C$15,0)),""))</f>
        <v/>
      </c>
      <c r="AA142" s="57" t="str">
        <f aca="false">IF('STUDENT SCREENING'!Z142="","",IFERROR(INDEX('SCORING MASTER'!$D$17:$D$19,MATCH('STUDENT SCREENING'!Z142,'SCORING MASTER'!$C$17:$C$19,0)),""))</f>
        <v/>
      </c>
      <c r="AB142" s="57" t="str">
        <f aca="false">IF('STUDENT SCREENING'!AA142="","",IFERROR(INDEX('SCORING MASTER'!$D$21:$D$23,MATCH('STUDENT SCREENING'!AA142,'SCORING MASTER'!$C$21:$C$23,0)),""))</f>
        <v/>
      </c>
      <c r="AC142" s="57" t="str">
        <f aca="false">IF('STUDENT SCREENING'!AB142="","",IFERROR(INDEX('SCORING MASTER'!$D$25:$D$27,MATCH('STUDENT SCREENING'!AB142,'SCORING MASTER'!$C$25:$C$27,0)),""))</f>
        <v/>
      </c>
      <c r="AD142" s="57" t="str">
        <f aca="false">IF('STUDENT SCREENING'!AC142="","",IFERROR(INDEX('SCORING MASTER'!$D$29:$D$31,MATCH('STUDENT SCREENING'!AC142,'SCORING MASTER'!$C$29:$C$31,0)),""))</f>
        <v/>
      </c>
      <c r="AE142" s="57" t="str">
        <f aca="false">IF('STUDENT SCREENING'!AD142="","",IFERROR(INDEX('SCORING MASTER'!$D$33:$D$35,MATCH('STUDENT SCREENING'!AD142,'SCORING MASTER'!$C$33:$C$35,0)),""))</f>
        <v/>
      </c>
      <c r="AF142" s="57" t="str">
        <f aca="false">IF('STUDENT SCREENING'!AE142="","",IFERROR(INDEX('SCORING MASTER'!$D$37:$D$39,MATCH('STUDENT SCREENING'!AE142,'SCORING MASTER'!$C$37:$C$39,0)),""))</f>
        <v/>
      </c>
      <c r="AG142" s="57" t="str">
        <f aca="false">IF('STUDENT SCREENING'!AF142="","",IFERROR(INDEX('SCORING MASTER'!$D$41:$D$43,MATCH('STUDENT SCREENING'!AF142,'SCORING MASTER'!$C$41:$C$43,0)),""))</f>
        <v/>
      </c>
      <c r="AH142" s="57" t="str">
        <f aca="false">IF('STUDENT SCREENING'!AG142="","",IFERROR(INDEX('SCORING MASTER'!$D$45:$D$47,MATCH('STUDENT SCREENING'!AG142,'SCORING MASTER'!$C$45:$C$47,0)),""))</f>
        <v/>
      </c>
      <c r="AI142" s="57" t="str">
        <f aca="false">IF('STUDENT SCREENING'!AH142="","",IFERROR(INDEX('SCORING MASTER'!$D$49:$D$52,MATCH('STUDENT SCREENING'!AH142,'SCORING MASTER'!$C$49:$C$52,0)),""))</f>
        <v/>
      </c>
      <c r="AJ142" s="57" t="str">
        <f aca="false">IF('STUDENT SCREENING'!AI142="","",IFERROR(INDEX('SCORING MASTER'!$D$54:$D$57,MATCH('STUDENT SCREENING'!AI142,'SCORING MASTER'!$C$54:$C$57,0)),""))</f>
        <v/>
      </c>
      <c r="AK142" s="57" t="str">
        <f aca="false">IF('STUDENT SCREENING'!AJ142="","",IFERROR(INDEX('SCORING MASTER'!$D$59:$D$60,MATCH('STUDENT SCREENING'!AJ142,'SCORING MASTER'!$C$59:$C$60,0)),""))</f>
        <v/>
      </c>
      <c r="AL142" s="57" t="str">
        <f aca="false">IF('STUDENT SCREENING'!AK142="","",IFERROR(INDEX('SCORING MASTER'!$D$62:$D$63,MATCH('STUDENT SCREENING'!AK142,'SCORING MASTER'!$C$62:$C$63,0)),""))</f>
        <v/>
      </c>
      <c r="AM142" s="57" t="str">
        <f aca="false">IF('STUDENT SCREENING'!AL142="","",IFERROR(INDEX('SCORING MASTER'!$D$65:$D$66,MATCH('STUDENT SCREENING'!AL142,'SCORING MASTER'!$C$65:$C$66,0)),""))</f>
        <v/>
      </c>
      <c r="AN142" s="57" t="str">
        <f aca="false">IF('STUDENT SCREENING'!AM142="","",IFERROR(INDEX('SCORING MASTER'!$D$68:$D$69,MATCH('STUDENT SCREENING'!AM142,'SCORING MASTER'!$C$68:$C$69,0)),""))</f>
        <v/>
      </c>
      <c r="AO142" s="57" t="str">
        <f aca="false">IF('STUDENT SCREENING'!AN142="","",IFERROR(INDEX('SCORING MASTER'!$D$71:$D$72,MATCH('STUDENT SCREENING'!AN142,'SCORING MASTER'!$C$71:$C$72,0)),""))</f>
        <v/>
      </c>
      <c r="AP142" s="57" t="str">
        <f aca="false">IF('STUDENT SCREENING'!AO142="","",IFERROR(INDEX('SCORING MASTER'!$D$74:$D$75,MATCH('STUDENT SCREENING'!AO142,'SCORING MASTER'!$C$74:$C$75,0)),""))</f>
        <v/>
      </c>
      <c r="AQ142" s="57" t="str">
        <f aca="false">IF('STUDENT SCREENING'!AP142="","",IFERROR(INDEX('SCORING MASTER'!$D$77:$D$78,MATCH('STUDENT SCREENING'!AP142,'SCORING MASTER'!$C$77:$C$78,0)),""))</f>
        <v/>
      </c>
      <c r="AR142" s="57" t="str">
        <f aca="false">IF('STUDENT SCREENING'!AQ142="","",IFERROR(INDEX('SCORING MASTER'!$D$80:$D$82,MATCH('STUDENT SCREENING'!AQ142,'SCORING MASTER'!$C$80:$C$82,0)),""))</f>
        <v/>
      </c>
      <c r="AS142" s="57" t="str">
        <f aca="false">IF('STUDENT SCREENING'!AR142="","",IFERROR(INDEX('SCORING MASTER'!$D$84:$D$86,MATCH('STUDENT SCREENING'!AR142,'SCORING MASTER'!$C$84:$C$86,0)),""))</f>
        <v/>
      </c>
      <c r="AT142" s="57" t="str">
        <f aca="false">IF('STUDENT SCREENING'!AS142="","",IFERROR(INDEX('SCORING MASTER'!$D$88:$D$90,MATCH('STUDENT SCREENING'!AS142,'SCORING MASTER'!$C$88:$C$90,0)),""))</f>
        <v/>
      </c>
      <c r="AU142" s="57" t="str">
        <f aca="false">IF('STUDENT SCREENING'!AT142="","",IFERROR(INDEX('SCORING MASTER'!$D$92:$D$93,MATCH('STUDENT SCREENING'!AT142,'SCORING MASTER'!$C$92:$C$93,0)),""))</f>
        <v/>
      </c>
      <c r="AV142" s="57" t="str">
        <f aca="false">IF('STUDENT SCREENING'!AU142="","",IFERROR(INDEX('SCORING MASTER'!$D$95:$D$96,MATCH('STUDENT SCREENING'!AU142,'SCORING MASTER'!$C$95:$C$96,0)),""))</f>
        <v/>
      </c>
      <c r="AW142" s="57" t="str">
        <f aca="false">IF('STUDENT SCREENING'!AV142="","",IFERROR(INDEX('SCORING MASTER'!$D$98:$D$99,MATCH('STUDENT SCREENING'!AV142,'SCORING MASTER'!$C$98:$C$99,0)),""))</f>
        <v/>
      </c>
      <c r="AX142" s="57" t="str">
        <f aca="false">IF('STUDENT SCREENING'!AW142="","",IFERROR(INDEX('SCORING MASTER'!$D$101:$D$102,MATCH('STUDENT SCREENING'!AW142,'SCORING MASTER'!$C$101:$C$102,0)),""))</f>
        <v/>
      </c>
      <c r="AY142" s="57" t="str">
        <f aca="false">IF('STUDENT SCREENING'!AX142="","",IFERROR(INDEX('SCORING MASTER'!$D$104:$D$105,MATCH('STUDENT SCREENING'!AX142,'SCORING MASTER'!$C$104:$C$105,0)),""))</f>
        <v/>
      </c>
      <c r="AZ142" s="57" t="str">
        <f aca="false">IF('STUDENT SCREENING'!AY142="","",IFERROR(INDEX('SCORING MASTER'!$D$107:$D$108,MATCH('STUDENT SCREENING'!AY142,'SCORING MASTER'!$C$107:$C$108,0)),""))</f>
        <v/>
      </c>
      <c r="BA142" s="57" t="str">
        <f aca="false">IF('STUDENT SCREENING'!AZ142="","",IFERROR(INDEX('SCORING MASTER'!$D$110:$D$111,MATCH('STUDENT SCREENING'!AZ142,'SCORING MASTER'!$C$110:$C$111,0)),""))</f>
        <v/>
      </c>
      <c r="BB142" s="57" t="str">
        <f aca="false">IF('STUDENT SCREENING'!BA142="","",IFERROR(INDEX('SCORING MASTER'!$D$113:$D$115,MATCH('STUDENT SCREENING'!BA142,'SCORING MASTER'!$C$113:$C$115,0)),""))</f>
        <v/>
      </c>
      <c r="BC142" s="57" t="str">
        <f aca="false">IF('STUDENT SCREENING'!BB142="","",IFERROR(INDEX('SCORING MASTER'!$D$117:$D$119,MATCH('STUDENT SCREENING'!BB142,'SCORING MASTER'!$C$117:$C$119,0)),""))</f>
        <v/>
      </c>
      <c r="BD142" s="57" t="str">
        <f aca="false">IF('STUDENT SCREENING'!BC142="","",IFERROR(INDEX('SCORING MASTER'!$D$121:$D$123,MATCH('STUDENT SCREENING'!BC142,'SCORING MASTER'!$C$121:$C$123,0)),""))</f>
        <v/>
      </c>
      <c r="BE142" s="57" t="str">
        <f aca="false">IF('STUDENT SCREENING'!BD142="","",IFERROR(INDEX('SCORING MASTER'!$D$125:$D$126,MATCH('STUDENT SCREENING'!BD142,'SCORING MASTER'!$C$125:$C$126,0)),""))</f>
        <v/>
      </c>
      <c r="BF142" s="57" t="str">
        <f aca="false">IF('STUDENT SCREENING'!BE142="","",IFERROR(INDEX('SCORING MASTER'!$D$128:$D$129,MATCH('STUDENT SCREENING'!BE142,'SCORING MASTER'!$C$128:$C$129,0)),""))</f>
        <v/>
      </c>
      <c r="BG142" s="57" t="str">
        <f aca="false">IF('STUDENT SCREENING'!BP142="","",IFERROR(MATCH('STUDENT SCREENING'!BP142,{"Red - High Risk","Orange - Moderate Risk","Yellow - Mild Risk","Light Green - Mild Watch","Green - Healthy"},0)-1,""))</f>
        <v/>
      </c>
      <c r="BH142" s="57" t="str">
        <f aca="false">IF('STUDENT SCREENING'!BQ142="","",IF('STUDENT SCREENING'!BQ142="Yes",1,0))</f>
        <v/>
      </c>
      <c r="BI142" s="57" t="str">
        <f aca="false">IF('STUDENT SCREENING'!BR142="","",IF('STUDENT SCREENING'!BR142="Yes",1,0))</f>
        <v/>
      </c>
    </row>
    <row r="143" customFormat="false" ht="15" hidden="false" customHeight="false" outlineLevel="0" collapsed="false">
      <c r="A143" s="58" t="str">
        <f aca="false">'STUDENT SCREENING'!A143</f>
        <v/>
      </c>
      <c r="B143" s="58" t="n">
        <f aca="false">'STUDENT SCREENING'!C143</f>
        <v>0</v>
      </c>
      <c r="C143" s="58" t="n">
        <f aca="false">'STUDENT SCREENING'!D143</f>
        <v>0</v>
      </c>
      <c r="D143" s="58" t="n">
        <f aca="false">'STUDENT SCREENING'!E143</f>
        <v>0</v>
      </c>
      <c r="E143" s="58" t="n">
        <f aca="false">'STUDENT SCREENING'!F143</f>
        <v>0</v>
      </c>
      <c r="F143" s="58" t="n">
        <f aca="false">'STUDENT SCREENING'!K143</f>
        <v>0</v>
      </c>
      <c r="G143" s="58" t="n">
        <f aca="false">'STUDENT SCREENING'!J143</f>
        <v>0</v>
      </c>
      <c r="H143" s="58" t="str">
        <f aca="false">IF('STUDENT SCREENING'!K143="","",IFERROR(MATCH('STUDENT SCREENING'!K143,Adm_Gender,0),""))</f>
        <v/>
      </c>
      <c r="I143" s="58" t="n">
        <f aca="false">'STUDENT SCREENING'!Q143</f>
        <v>0</v>
      </c>
      <c r="J143" s="58" t="n">
        <f aca="false">'STUDENT SCREENING'!R143</f>
        <v>0</v>
      </c>
      <c r="K143" s="58" t="str">
        <f aca="false">'STUDENT SCREENING'!S143</f>
        <v/>
      </c>
      <c r="L143" s="58" t="n">
        <f aca="false">'STUDENT SCREENING'!U143</f>
        <v>0</v>
      </c>
      <c r="M143" s="58" t="n">
        <f aca="false">'STUDENT SCREENING'!V143</f>
        <v>0</v>
      </c>
      <c r="N143" s="58" t="str">
        <f aca="false">'STUDENT SCREENING'!BF143</f>
        <v/>
      </c>
      <c r="O143" s="58" t="str">
        <f aca="false">'STUDENT SCREENING'!BG143</f>
        <v/>
      </c>
      <c r="P143" s="58" t="str">
        <f aca="false">'STUDENT SCREENING'!BH143</f>
        <v/>
      </c>
      <c r="Q143" s="58" t="str">
        <f aca="false">'STUDENT SCREENING'!BI143</f>
        <v/>
      </c>
      <c r="R143" s="58" t="str">
        <f aca="false">'STUDENT SCREENING'!BJ143</f>
        <v/>
      </c>
      <c r="S143" s="58" t="str">
        <f aca="false">'STUDENT SCREENING'!BK143</f>
        <v/>
      </c>
      <c r="T143" s="58" t="str">
        <f aca="false">'STUDENT SCREENING'!BL143</f>
        <v/>
      </c>
      <c r="U143" s="58" t="str">
        <f aca="false">'STUDENT SCREENING'!BM143</f>
        <v/>
      </c>
      <c r="V143" s="58" t="str">
        <f aca="false">'STUDENT SCREENING'!BN143</f>
        <v/>
      </c>
      <c r="W143" s="58" t="str">
        <f aca="false">'STUDENT SCREENING'!BO143</f>
        <v/>
      </c>
      <c r="X143" s="58" t="str">
        <f aca="false">IF('STUDENT SCREENING'!W143="","",IFERROR(INDEX('SCORING MASTER'!$D$5:$D$7,MATCH('STUDENT SCREENING'!W143,'SCORING MASTER'!$C$5:$C$7,0)),""))</f>
        <v/>
      </c>
      <c r="Y143" s="58" t="str">
        <f aca="false">IF('STUDENT SCREENING'!X143="","",IFERROR(INDEX('SCORING MASTER'!$D$9:$D$11,MATCH('STUDENT SCREENING'!X143,'SCORING MASTER'!$C$9:$C$11,0)),""))</f>
        <v/>
      </c>
      <c r="Z143" s="58" t="str">
        <f aca="false">IF('STUDENT SCREENING'!Y143="","",IFERROR(INDEX('SCORING MASTER'!$D$13:$D$15,MATCH('STUDENT SCREENING'!Y143,'SCORING MASTER'!$C$13:$C$15,0)),""))</f>
        <v/>
      </c>
      <c r="AA143" s="58" t="str">
        <f aca="false">IF('STUDENT SCREENING'!Z143="","",IFERROR(INDEX('SCORING MASTER'!$D$17:$D$19,MATCH('STUDENT SCREENING'!Z143,'SCORING MASTER'!$C$17:$C$19,0)),""))</f>
        <v/>
      </c>
      <c r="AB143" s="58" t="str">
        <f aca="false">IF('STUDENT SCREENING'!AA143="","",IFERROR(INDEX('SCORING MASTER'!$D$21:$D$23,MATCH('STUDENT SCREENING'!AA143,'SCORING MASTER'!$C$21:$C$23,0)),""))</f>
        <v/>
      </c>
      <c r="AC143" s="58" t="str">
        <f aca="false">IF('STUDENT SCREENING'!AB143="","",IFERROR(INDEX('SCORING MASTER'!$D$25:$D$27,MATCH('STUDENT SCREENING'!AB143,'SCORING MASTER'!$C$25:$C$27,0)),""))</f>
        <v/>
      </c>
      <c r="AD143" s="58" t="str">
        <f aca="false">IF('STUDENT SCREENING'!AC143="","",IFERROR(INDEX('SCORING MASTER'!$D$29:$D$31,MATCH('STUDENT SCREENING'!AC143,'SCORING MASTER'!$C$29:$C$31,0)),""))</f>
        <v/>
      </c>
      <c r="AE143" s="58" t="str">
        <f aca="false">IF('STUDENT SCREENING'!AD143="","",IFERROR(INDEX('SCORING MASTER'!$D$33:$D$35,MATCH('STUDENT SCREENING'!AD143,'SCORING MASTER'!$C$33:$C$35,0)),""))</f>
        <v/>
      </c>
      <c r="AF143" s="58" t="str">
        <f aca="false">IF('STUDENT SCREENING'!AE143="","",IFERROR(INDEX('SCORING MASTER'!$D$37:$D$39,MATCH('STUDENT SCREENING'!AE143,'SCORING MASTER'!$C$37:$C$39,0)),""))</f>
        <v/>
      </c>
      <c r="AG143" s="58" t="str">
        <f aca="false">IF('STUDENT SCREENING'!AF143="","",IFERROR(INDEX('SCORING MASTER'!$D$41:$D$43,MATCH('STUDENT SCREENING'!AF143,'SCORING MASTER'!$C$41:$C$43,0)),""))</f>
        <v/>
      </c>
      <c r="AH143" s="58" t="str">
        <f aca="false">IF('STUDENT SCREENING'!AG143="","",IFERROR(INDEX('SCORING MASTER'!$D$45:$D$47,MATCH('STUDENT SCREENING'!AG143,'SCORING MASTER'!$C$45:$C$47,0)),""))</f>
        <v/>
      </c>
      <c r="AI143" s="58" t="str">
        <f aca="false">IF('STUDENT SCREENING'!AH143="","",IFERROR(INDEX('SCORING MASTER'!$D$49:$D$52,MATCH('STUDENT SCREENING'!AH143,'SCORING MASTER'!$C$49:$C$52,0)),""))</f>
        <v/>
      </c>
      <c r="AJ143" s="58" t="str">
        <f aca="false">IF('STUDENT SCREENING'!AI143="","",IFERROR(INDEX('SCORING MASTER'!$D$54:$D$57,MATCH('STUDENT SCREENING'!AI143,'SCORING MASTER'!$C$54:$C$57,0)),""))</f>
        <v/>
      </c>
      <c r="AK143" s="58" t="str">
        <f aca="false">IF('STUDENT SCREENING'!AJ143="","",IFERROR(INDEX('SCORING MASTER'!$D$59:$D$60,MATCH('STUDENT SCREENING'!AJ143,'SCORING MASTER'!$C$59:$C$60,0)),""))</f>
        <v/>
      </c>
      <c r="AL143" s="58" t="str">
        <f aca="false">IF('STUDENT SCREENING'!AK143="","",IFERROR(INDEX('SCORING MASTER'!$D$62:$D$63,MATCH('STUDENT SCREENING'!AK143,'SCORING MASTER'!$C$62:$C$63,0)),""))</f>
        <v/>
      </c>
      <c r="AM143" s="58" t="str">
        <f aca="false">IF('STUDENT SCREENING'!AL143="","",IFERROR(INDEX('SCORING MASTER'!$D$65:$D$66,MATCH('STUDENT SCREENING'!AL143,'SCORING MASTER'!$C$65:$C$66,0)),""))</f>
        <v/>
      </c>
      <c r="AN143" s="58" t="str">
        <f aca="false">IF('STUDENT SCREENING'!AM143="","",IFERROR(INDEX('SCORING MASTER'!$D$68:$D$69,MATCH('STUDENT SCREENING'!AM143,'SCORING MASTER'!$C$68:$C$69,0)),""))</f>
        <v/>
      </c>
      <c r="AO143" s="58" t="str">
        <f aca="false">IF('STUDENT SCREENING'!AN143="","",IFERROR(INDEX('SCORING MASTER'!$D$71:$D$72,MATCH('STUDENT SCREENING'!AN143,'SCORING MASTER'!$C$71:$C$72,0)),""))</f>
        <v/>
      </c>
      <c r="AP143" s="58" t="str">
        <f aca="false">IF('STUDENT SCREENING'!AO143="","",IFERROR(INDEX('SCORING MASTER'!$D$74:$D$75,MATCH('STUDENT SCREENING'!AO143,'SCORING MASTER'!$C$74:$C$75,0)),""))</f>
        <v/>
      </c>
      <c r="AQ143" s="58" t="str">
        <f aca="false">IF('STUDENT SCREENING'!AP143="","",IFERROR(INDEX('SCORING MASTER'!$D$77:$D$78,MATCH('STUDENT SCREENING'!AP143,'SCORING MASTER'!$C$77:$C$78,0)),""))</f>
        <v/>
      </c>
      <c r="AR143" s="58" t="str">
        <f aca="false">IF('STUDENT SCREENING'!AQ143="","",IFERROR(INDEX('SCORING MASTER'!$D$80:$D$82,MATCH('STUDENT SCREENING'!AQ143,'SCORING MASTER'!$C$80:$C$82,0)),""))</f>
        <v/>
      </c>
      <c r="AS143" s="58" t="str">
        <f aca="false">IF('STUDENT SCREENING'!AR143="","",IFERROR(INDEX('SCORING MASTER'!$D$84:$D$86,MATCH('STUDENT SCREENING'!AR143,'SCORING MASTER'!$C$84:$C$86,0)),""))</f>
        <v/>
      </c>
      <c r="AT143" s="58" t="str">
        <f aca="false">IF('STUDENT SCREENING'!AS143="","",IFERROR(INDEX('SCORING MASTER'!$D$88:$D$90,MATCH('STUDENT SCREENING'!AS143,'SCORING MASTER'!$C$88:$C$90,0)),""))</f>
        <v/>
      </c>
      <c r="AU143" s="58" t="str">
        <f aca="false">IF('STUDENT SCREENING'!AT143="","",IFERROR(INDEX('SCORING MASTER'!$D$92:$D$93,MATCH('STUDENT SCREENING'!AT143,'SCORING MASTER'!$C$92:$C$93,0)),""))</f>
        <v/>
      </c>
      <c r="AV143" s="58" t="str">
        <f aca="false">IF('STUDENT SCREENING'!AU143="","",IFERROR(INDEX('SCORING MASTER'!$D$95:$D$96,MATCH('STUDENT SCREENING'!AU143,'SCORING MASTER'!$C$95:$C$96,0)),""))</f>
        <v/>
      </c>
      <c r="AW143" s="58" t="str">
        <f aca="false">IF('STUDENT SCREENING'!AV143="","",IFERROR(INDEX('SCORING MASTER'!$D$98:$D$99,MATCH('STUDENT SCREENING'!AV143,'SCORING MASTER'!$C$98:$C$99,0)),""))</f>
        <v/>
      </c>
      <c r="AX143" s="58" t="str">
        <f aca="false">IF('STUDENT SCREENING'!AW143="","",IFERROR(INDEX('SCORING MASTER'!$D$101:$D$102,MATCH('STUDENT SCREENING'!AW143,'SCORING MASTER'!$C$101:$C$102,0)),""))</f>
        <v/>
      </c>
      <c r="AY143" s="58" t="str">
        <f aca="false">IF('STUDENT SCREENING'!AX143="","",IFERROR(INDEX('SCORING MASTER'!$D$104:$D$105,MATCH('STUDENT SCREENING'!AX143,'SCORING MASTER'!$C$104:$C$105,0)),""))</f>
        <v/>
      </c>
      <c r="AZ143" s="58" t="str">
        <f aca="false">IF('STUDENT SCREENING'!AY143="","",IFERROR(INDEX('SCORING MASTER'!$D$107:$D$108,MATCH('STUDENT SCREENING'!AY143,'SCORING MASTER'!$C$107:$C$108,0)),""))</f>
        <v/>
      </c>
      <c r="BA143" s="58" t="str">
        <f aca="false">IF('STUDENT SCREENING'!AZ143="","",IFERROR(INDEX('SCORING MASTER'!$D$110:$D$111,MATCH('STUDENT SCREENING'!AZ143,'SCORING MASTER'!$C$110:$C$111,0)),""))</f>
        <v/>
      </c>
      <c r="BB143" s="58" t="str">
        <f aca="false">IF('STUDENT SCREENING'!BA143="","",IFERROR(INDEX('SCORING MASTER'!$D$113:$D$115,MATCH('STUDENT SCREENING'!BA143,'SCORING MASTER'!$C$113:$C$115,0)),""))</f>
        <v/>
      </c>
      <c r="BC143" s="58" t="str">
        <f aca="false">IF('STUDENT SCREENING'!BB143="","",IFERROR(INDEX('SCORING MASTER'!$D$117:$D$119,MATCH('STUDENT SCREENING'!BB143,'SCORING MASTER'!$C$117:$C$119,0)),""))</f>
        <v/>
      </c>
      <c r="BD143" s="58" t="str">
        <f aca="false">IF('STUDENT SCREENING'!BC143="","",IFERROR(INDEX('SCORING MASTER'!$D$121:$D$123,MATCH('STUDENT SCREENING'!BC143,'SCORING MASTER'!$C$121:$C$123,0)),""))</f>
        <v/>
      </c>
      <c r="BE143" s="58" t="str">
        <f aca="false">IF('STUDENT SCREENING'!BD143="","",IFERROR(INDEX('SCORING MASTER'!$D$125:$D$126,MATCH('STUDENT SCREENING'!BD143,'SCORING MASTER'!$C$125:$C$126,0)),""))</f>
        <v/>
      </c>
      <c r="BF143" s="58" t="str">
        <f aca="false">IF('STUDENT SCREENING'!BE143="","",IFERROR(INDEX('SCORING MASTER'!$D$128:$D$129,MATCH('STUDENT SCREENING'!BE143,'SCORING MASTER'!$C$128:$C$129,0)),""))</f>
        <v/>
      </c>
      <c r="BG143" s="58" t="str">
        <f aca="false">IF('STUDENT SCREENING'!BP143="","",IFERROR(MATCH('STUDENT SCREENING'!BP143,{"Red - High Risk","Orange - Moderate Risk","Yellow - Mild Risk","Light Green - Mild Watch","Green - Healthy"},0)-1,""))</f>
        <v/>
      </c>
      <c r="BH143" s="58" t="str">
        <f aca="false">IF('STUDENT SCREENING'!BQ143="","",IF('STUDENT SCREENING'!BQ143="Yes",1,0))</f>
        <v/>
      </c>
      <c r="BI143" s="58" t="str">
        <f aca="false">IF('STUDENT SCREENING'!BR143="","",IF('STUDENT SCREENING'!BR143="Yes",1,0))</f>
        <v/>
      </c>
    </row>
    <row r="144" customFormat="false" ht="15" hidden="false" customHeight="false" outlineLevel="0" collapsed="false">
      <c r="A144" s="57" t="str">
        <f aca="false">'STUDENT SCREENING'!A144</f>
        <v/>
      </c>
      <c r="B144" s="57" t="n">
        <f aca="false">'STUDENT SCREENING'!C144</f>
        <v>0</v>
      </c>
      <c r="C144" s="57" t="n">
        <f aca="false">'STUDENT SCREENING'!D144</f>
        <v>0</v>
      </c>
      <c r="D144" s="57" t="n">
        <f aca="false">'STUDENT SCREENING'!E144</f>
        <v>0</v>
      </c>
      <c r="E144" s="57" t="n">
        <f aca="false">'STUDENT SCREENING'!F144</f>
        <v>0</v>
      </c>
      <c r="F144" s="57" t="n">
        <f aca="false">'STUDENT SCREENING'!K144</f>
        <v>0</v>
      </c>
      <c r="G144" s="57" t="n">
        <f aca="false">'STUDENT SCREENING'!J144</f>
        <v>0</v>
      </c>
      <c r="H144" s="57" t="str">
        <f aca="false">IF('STUDENT SCREENING'!K144="","",IFERROR(MATCH('STUDENT SCREENING'!K144,Adm_Gender,0),""))</f>
        <v/>
      </c>
      <c r="I144" s="57" t="n">
        <f aca="false">'STUDENT SCREENING'!Q144</f>
        <v>0</v>
      </c>
      <c r="J144" s="57" t="n">
        <f aca="false">'STUDENT SCREENING'!R144</f>
        <v>0</v>
      </c>
      <c r="K144" s="57" t="str">
        <f aca="false">'STUDENT SCREENING'!S144</f>
        <v/>
      </c>
      <c r="L144" s="57" t="n">
        <f aca="false">'STUDENT SCREENING'!U144</f>
        <v>0</v>
      </c>
      <c r="M144" s="57" t="n">
        <f aca="false">'STUDENT SCREENING'!V144</f>
        <v>0</v>
      </c>
      <c r="N144" s="57" t="str">
        <f aca="false">'STUDENT SCREENING'!BF144</f>
        <v/>
      </c>
      <c r="O144" s="57" t="str">
        <f aca="false">'STUDENT SCREENING'!BG144</f>
        <v/>
      </c>
      <c r="P144" s="57" t="str">
        <f aca="false">'STUDENT SCREENING'!BH144</f>
        <v/>
      </c>
      <c r="Q144" s="57" t="str">
        <f aca="false">'STUDENT SCREENING'!BI144</f>
        <v/>
      </c>
      <c r="R144" s="57" t="str">
        <f aca="false">'STUDENT SCREENING'!BJ144</f>
        <v/>
      </c>
      <c r="S144" s="57" t="str">
        <f aca="false">'STUDENT SCREENING'!BK144</f>
        <v/>
      </c>
      <c r="T144" s="57" t="str">
        <f aca="false">'STUDENT SCREENING'!BL144</f>
        <v/>
      </c>
      <c r="U144" s="57" t="str">
        <f aca="false">'STUDENT SCREENING'!BM144</f>
        <v/>
      </c>
      <c r="V144" s="57" t="str">
        <f aca="false">'STUDENT SCREENING'!BN144</f>
        <v/>
      </c>
      <c r="W144" s="57" t="str">
        <f aca="false">'STUDENT SCREENING'!BO144</f>
        <v/>
      </c>
      <c r="X144" s="57" t="str">
        <f aca="false">IF('STUDENT SCREENING'!W144="","",IFERROR(INDEX('SCORING MASTER'!$D$5:$D$7,MATCH('STUDENT SCREENING'!W144,'SCORING MASTER'!$C$5:$C$7,0)),""))</f>
        <v/>
      </c>
      <c r="Y144" s="57" t="str">
        <f aca="false">IF('STUDENT SCREENING'!X144="","",IFERROR(INDEX('SCORING MASTER'!$D$9:$D$11,MATCH('STUDENT SCREENING'!X144,'SCORING MASTER'!$C$9:$C$11,0)),""))</f>
        <v/>
      </c>
      <c r="Z144" s="57" t="str">
        <f aca="false">IF('STUDENT SCREENING'!Y144="","",IFERROR(INDEX('SCORING MASTER'!$D$13:$D$15,MATCH('STUDENT SCREENING'!Y144,'SCORING MASTER'!$C$13:$C$15,0)),""))</f>
        <v/>
      </c>
      <c r="AA144" s="57" t="str">
        <f aca="false">IF('STUDENT SCREENING'!Z144="","",IFERROR(INDEX('SCORING MASTER'!$D$17:$D$19,MATCH('STUDENT SCREENING'!Z144,'SCORING MASTER'!$C$17:$C$19,0)),""))</f>
        <v/>
      </c>
      <c r="AB144" s="57" t="str">
        <f aca="false">IF('STUDENT SCREENING'!AA144="","",IFERROR(INDEX('SCORING MASTER'!$D$21:$D$23,MATCH('STUDENT SCREENING'!AA144,'SCORING MASTER'!$C$21:$C$23,0)),""))</f>
        <v/>
      </c>
      <c r="AC144" s="57" t="str">
        <f aca="false">IF('STUDENT SCREENING'!AB144="","",IFERROR(INDEX('SCORING MASTER'!$D$25:$D$27,MATCH('STUDENT SCREENING'!AB144,'SCORING MASTER'!$C$25:$C$27,0)),""))</f>
        <v/>
      </c>
      <c r="AD144" s="57" t="str">
        <f aca="false">IF('STUDENT SCREENING'!AC144="","",IFERROR(INDEX('SCORING MASTER'!$D$29:$D$31,MATCH('STUDENT SCREENING'!AC144,'SCORING MASTER'!$C$29:$C$31,0)),""))</f>
        <v/>
      </c>
      <c r="AE144" s="57" t="str">
        <f aca="false">IF('STUDENT SCREENING'!AD144="","",IFERROR(INDEX('SCORING MASTER'!$D$33:$D$35,MATCH('STUDENT SCREENING'!AD144,'SCORING MASTER'!$C$33:$C$35,0)),""))</f>
        <v/>
      </c>
      <c r="AF144" s="57" t="str">
        <f aca="false">IF('STUDENT SCREENING'!AE144="","",IFERROR(INDEX('SCORING MASTER'!$D$37:$D$39,MATCH('STUDENT SCREENING'!AE144,'SCORING MASTER'!$C$37:$C$39,0)),""))</f>
        <v/>
      </c>
      <c r="AG144" s="57" t="str">
        <f aca="false">IF('STUDENT SCREENING'!AF144="","",IFERROR(INDEX('SCORING MASTER'!$D$41:$D$43,MATCH('STUDENT SCREENING'!AF144,'SCORING MASTER'!$C$41:$C$43,0)),""))</f>
        <v/>
      </c>
      <c r="AH144" s="57" t="str">
        <f aca="false">IF('STUDENT SCREENING'!AG144="","",IFERROR(INDEX('SCORING MASTER'!$D$45:$D$47,MATCH('STUDENT SCREENING'!AG144,'SCORING MASTER'!$C$45:$C$47,0)),""))</f>
        <v/>
      </c>
      <c r="AI144" s="57" t="str">
        <f aca="false">IF('STUDENT SCREENING'!AH144="","",IFERROR(INDEX('SCORING MASTER'!$D$49:$D$52,MATCH('STUDENT SCREENING'!AH144,'SCORING MASTER'!$C$49:$C$52,0)),""))</f>
        <v/>
      </c>
      <c r="AJ144" s="57" t="str">
        <f aca="false">IF('STUDENT SCREENING'!AI144="","",IFERROR(INDEX('SCORING MASTER'!$D$54:$D$57,MATCH('STUDENT SCREENING'!AI144,'SCORING MASTER'!$C$54:$C$57,0)),""))</f>
        <v/>
      </c>
      <c r="AK144" s="57" t="str">
        <f aca="false">IF('STUDENT SCREENING'!AJ144="","",IFERROR(INDEX('SCORING MASTER'!$D$59:$D$60,MATCH('STUDENT SCREENING'!AJ144,'SCORING MASTER'!$C$59:$C$60,0)),""))</f>
        <v/>
      </c>
      <c r="AL144" s="57" t="str">
        <f aca="false">IF('STUDENT SCREENING'!AK144="","",IFERROR(INDEX('SCORING MASTER'!$D$62:$D$63,MATCH('STUDENT SCREENING'!AK144,'SCORING MASTER'!$C$62:$C$63,0)),""))</f>
        <v/>
      </c>
      <c r="AM144" s="57" t="str">
        <f aca="false">IF('STUDENT SCREENING'!AL144="","",IFERROR(INDEX('SCORING MASTER'!$D$65:$D$66,MATCH('STUDENT SCREENING'!AL144,'SCORING MASTER'!$C$65:$C$66,0)),""))</f>
        <v/>
      </c>
      <c r="AN144" s="57" t="str">
        <f aca="false">IF('STUDENT SCREENING'!AM144="","",IFERROR(INDEX('SCORING MASTER'!$D$68:$D$69,MATCH('STUDENT SCREENING'!AM144,'SCORING MASTER'!$C$68:$C$69,0)),""))</f>
        <v/>
      </c>
      <c r="AO144" s="57" t="str">
        <f aca="false">IF('STUDENT SCREENING'!AN144="","",IFERROR(INDEX('SCORING MASTER'!$D$71:$D$72,MATCH('STUDENT SCREENING'!AN144,'SCORING MASTER'!$C$71:$C$72,0)),""))</f>
        <v/>
      </c>
      <c r="AP144" s="57" t="str">
        <f aca="false">IF('STUDENT SCREENING'!AO144="","",IFERROR(INDEX('SCORING MASTER'!$D$74:$D$75,MATCH('STUDENT SCREENING'!AO144,'SCORING MASTER'!$C$74:$C$75,0)),""))</f>
        <v/>
      </c>
      <c r="AQ144" s="57" t="str">
        <f aca="false">IF('STUDENT SCREENING'!AP144="","",IFERROR(INDEX('SCORING MASTER'!$D$77:$D$78,MATCH('STUDENT SCREENING'!AP144,'SCORING MASTER'!$C$77:$C$78,0)),""))</f>
        <v/>
      </c>
      <c r="AR144" s="57" t="str">
        <f aca="false">IF('STUDENT SCREENING'!AQ144="","",IFERROR(INDEX('SCORING MASTER'!$D$80:$D$82,MATCH('STUDENT SCREENING'!AQ144,'SCORING MASTER'!$C$80:$C$82,0)),""))</f>
        <v/>
      </c>
      <c r="AS144" s="57" t="str">
        <f aca="false">IF('STUDENT SCREENING'!AR144="","",IFERROR(INDEX('SCORING MASTER'!$D$84:$D$86,MATCH('STUDENT SCREENING'!AR144,'SCORING MASTER'!$C$84:$C$86,0)),""))</f>
        <v/>
      </c>
      <c r="AT144" s="57" t="str">
        <f aca="false">IF('STUDENT SCREENING'!AS144="","",IFERROR(INDEX('SCORING MASTER'!$D$88:$D$90,MATCH('STUDENT SCREENING'!AS144,'SCORING MASTER'!$C$88:$C$90,0)),""))</f>
        <v/>
      </c>
      <c r="AU144" s="57" t="str">
        <f aca="false">IF('STUDENT SCREENING'!AT144="","",IFERROR(INDEX('SCORING MASTER'!$D$92:$D$93,MATCH('STUDENT SCREENING'!AT144,'SCORING MASTER'!$C$92:$C$93,0)),""))</f>
        <v/>
      </c>
      <c r="AV144" s="57" t="str">
        <f aca="false">IF('STUDENT SCREENING'!AU144="","",IFERROR(INDEX('SCORING MASTER'!$D$95:$D$96,MATCH('STUDENT SCREENING'!AU144,'SCORING MASTER'!$C$95:$C$96,0)),""))</f>
        <v/>
      </c>
      <c r="AW144" s="57" t="str">
        <f aca="false">IF('STUDENT SCREENING'!AV144="","",IFERROR(INDEX('SCORING MASTER'!$D$98:$D$99,MATCH('STUDENT SCREENING'!AV144,'SCORING MASTER'!$C$98:$C$99,0)),""))</f>
        <v/>
      </c>
      <c r="AX144" s="57" t="str">
        <f aca="false">IF('STUDENT SCREENING'!AW144="","",IFERROR(INDEX('SCORING MASTER'!$D$101:$D$102,MATCH('STUDENT SCREENING'!AW144,'SCORING MASTER'!$C$101:$C$102,0)),""))</f>
        <v/>
      </c>
      <c r="AY144" s="57" t="str">
        <f aca="false">IF('STUDENT SCREENING'!AX144="","",IFERROR(INDEX('SCORING MASTER'!$D$104:$D$105,MATCH('STUDENT SCREENING'!AX144,'SCORING MASTER'!$C$104:$C$105,0)),""))</f>
        <v/>
      </c>
      <c r="AZ144" s="57" t="str">
        <f aca="false">IF('STUDENT SCREENING'!AY144="","",IFERROR(INDEX('SCORING MASTER'!$D$107:$D$108,MATCH('STUDENT SCREENING'!AY144,'SCORING MASTER'!$C$107:$C$108,0)),""))</f>
        <v/>
      </c>
      <c r="BA144" s="57" t="str">
        <f aca="false">IF('STUDENT SCREENING'!AZ144="","",IFERROR(INDEX('SCORING MASTER'!$D$110:$D$111,MATCH('STUDENT SCREENING'!AZ144,'SCORING MASTER'!$C$110:$C$111,0)),""))</f>
        <v/>
      </c>
      <c r="BB144" s="57" t="str">
        <f aca="false">IF('STUDENT SCREENING'!BA144="","",IFERROR(INDEX('SCORING MASTER'!$D$113:$D$115,MATCH('STUDENT SCREENING'!BA144,'SCORING MASTER'!$C$113:$C$115,0)),""))</f>
        <v/>
      </c>
      <c r="BC144" s="57" t="str">
        <f aca="false">IF('STUDENT SCREENING'!BB144="","",IFERROR(INDEX('SCORING MASTER'!$D$117:$D$119,MATCH('STUDENT SCREENING'!BB144,'SCORING MASTER'!$C$117:$C$119,0)),""))</f>
        <v/>
      </c>
      <c r="BD144" s="57" t="str">
        <f aca="false">IF('STUDENT SCREENING'!BC144="","",IFERROR(INDEX('SCORING MASTER'!$D$121:$D$123,MATCH('STUDENT SCREENING'!BC144,'SCORING MASTER'!$C$121:$C$123,0)),""))</f>
        <v/>
      </c>
      <c r="BE144" s="57" t="str">
        <f aca="false">IF('STUDENT SCREENING'!BD144="","",IFERROR(INDEX('SCORING MASTER'!$D$125:$D$126,MATCH('STUDENT SCREENING'!BD144,'SCORING MASTER'!$C$125:$C$126,0)),""))</f>
        <v/>
      </c>
      <c r="BF144" s="57" t="str">
        <f aca="false">IF('STUDENT SCREENING'!BE144="","",IFERROR(INDEX('SCORING MASTER'!$D$128:$D$129,MATCH('STUDENT SCREENING'!BE144,'SCORING MASTER'!$C$128:$C$129,0)),""))</f>
        <v/>
      </c>
      <c r="BG144" s="57" t="str">
        <f aca="false">IF('STUDENT SCREENING'!BP144="","",IFERROR(MATCH('STUDENT SCREENING'!BP144,{"Red - High Risk","Orange - Moderate Risk","Yellow - Mild Risk","Light Green - Mild Watch","Green - Healthy"},0)-1,""))</f>
        <v/>
      </c>
      <c r="BH144" s="57" t="str">
        <f aca="false">IF('STUDENT SCREENING'!BQ144="","",IF('STUDENT SCREENING'!BQ144="Yes",1,0))</f>
        <v/>
      </c>
      <c r="BI144" s="57" t="str">
        <f aca="false">IF('STUDENT SCREENING'!BR144="","",IF('STUDENT SCREENING'!BR144="Yes",1,0))</f>
        <v/>
      </c>
    </row>
    <row r="145" customFormat="false" ht="15" hidden="false" customHeight="false" outlineLevel="0" collapsed="false">
      <c r="A145" s="58" t="str">
        <f aca="false">'STUDENT SCREENING'!A145</f>
        <v/>
      </c>
      <c r="B145" s="58" t="n">
        <f aca="false">'STUDENT SCREENING'!C145</f>
        <v>0</v>
      </c>
      <c r="C145" s="58" t="n">
        <f aca="false">'STUDENT SCREENING'!D145</f>
        <v>0</v>
      </c>
      <c r="D145" s="58" t="n">
        <f aca="false">'STUDENT SCREENING'!E145</f>
        <v>0</v>
      </c>
      <c r="E145" s="58" t="n">
        <f aca="false">'STUDENT SCREENING'!F145</f>
        <v>0</v>
      </c>
      <c r="F145" s="58" t="n">
        <f aca="false">'STUDENT SCREENING'!K145</f>
        <v>0</v>
      </c>
      <c r="G145" s="58" t="n">
        <f aca="false">'STUDENT SCREENING'!J145</f>
        <v>0</v>
      </c>
      <c r="H145" s="58" t="str">
        <f aca="false">IF('STUDENT SCREENING'!K145="","",IFERROR(MATCH('STUDENT SCREENING'!K145,Adm_Gender,0),""))</f>
        <v/>
      </c>
      <c r="I145" s="58" t="n">
        <f aca="false">'STUDENT SCREENING'!Q145</f>
        <v>0</v>
      </c>
      <c r="J145" s="58" t="n">
        <f aca="false">'STUDENT SCREENING'!R145</f>
        <v>0</v>
      </c>
      <c r="K145" s="58" t="str">
        <f aca="false">'STUDENT SCREENING'!S145</f>
        <v/>
      </c>
      <c r="L145" s="58" t="n">
        <f aca="false">'STUDENT SCREENING'!U145</f>
        <v>0</v>
      </c>
      <c r="M145" s="58" t="n">
        <f aca="false">'STUDENT SCREENING'!V145</f>
        <v>0</v>
      </c>
      <c r="N145" s="58" t="str">
        <f aca="false">'STUDENT SCREENING'!BF145</f>
        <v/>
      </c>
      <c r="O145" s="58" t="str">
        <f aca="false">'STUDENT SCREENING'!BG145</f>
        <v/>
      </c>
      <c r="P145" s="58" t="str">
        <f aca="false">'STUDENT SCREENING'!BH145</f>
        <v/>
      </c>
      <c r="Q145" s="58" t="str">
        <f aca="false">'STUDENT SCREENING'!BI145</f>
        <v/>
      </c>
      <c r="R145" s="58" t="str">
        <f aca="false">'STUDENT SCREENING'!BJ145</f>
        <v/>
      </c>
      <c r="S145" s="58" t="str">
        <f aca="false">'STUDENT SCREENING'!BK145</f>
        <v/>
      </c>
      <c r="T145" s="58" t="str">
        <f aca="false">'STUDENT SCREENING'!BL145</f>
        <v/>
      </c>
      <c r="U145" s="58" t="str">
        <f aca="false">'STUDENT SCREENING'!BM145</f>
        <v/>
      </c>
      <c r="V145" s="58" t="str">
        <f aca="false">'STUDENT SCREENING'!BN145</f>
        <v/>
      </c>
      <c r="W145" s="58" t="str">
        <f aca="false">'STUDENT SCREENING'!BO145</f>
        <v/>
      </c>
      <c r="X145" s="58" t="str">
        <f aca="false">IF('STUDENT SCREENING'!W145="","",IFERROR(INDEX('SCORING MASTER'!$D$5:$D$7,MATCH('STUDENT SCREENING'!W145,'SCORING MASTER'!$C$5:$C$7,0)),""))</f>
        <v/>
      </c>
      <c r="Y145" s="58" t="str">
        <f aca="false">IF('STUDENT SCREENING'!X145="","",IFERROR(INDEX('SCORING MASTER'!$D$9:$D$11,MATCH('STUDENT SCREENING'!X145,'SCORING MASTER'!$C$9:$C$11,0)),""))</f>
        <v/>
      </c>
      <c r="Z145" s="58" t="str">
        <f aca="false">IF('STUDENT SCREENING'!Y145="","",IFERROR(INDEX('SCORING MASTER'!$D$13:$D$15,MATCH('STUDENT SCREENING'!Y145,'SCORING MASTER'!$C$13:$C$15,0)),""))</f>
        <v/>
      </c>
      <c r="AA145" s="58" t="str">
        <f aca="false">IF('STUDENT SCREENING'!Z145="","",IFERROR(INDEX('SCORING MASTER'!$D$17:$D$19,MATCH('STUDENT SCREENING'!Z145,'SCORING MASTER'!$C$17:$C$19,0)),""))</f>
        <v/>
      </c>
      <c r="AB145" s="58" t="str">
        <f aca="false">IF('STUDENT SCREENING'!AA145="","",IFERROR(INDEX('SCORING MASTER'!$D$21:$D$23,MATCH('STUDENT SCREENING'!AA145,'SCORING MASTER'!$C$21:$C$23,0)),""))</f>
        <v/>
      </c>
      <c r="AC145" s="58" t="str">
        <f aca="false">IF('STUDENT SCREENING'!AB145="","",IFERROR(INDEX('SCORING MASTER'!$D$25:$D$27,MATCH('STUDENT SCREENING'!AB145,'SCORING MASTER'!$C$25:$C$27,0)),""))</f>
        <v/>
      </c>
      <c r="AD145" s="58" t="str">
        <f aca="false">IF('STUDENT SCREENING'!AC145="","",IFERROR(INDEX('SCORING MASTER'!$D$29:$D$31,MATCH('STUDENT SCREENING'!AC145,'SCORING MASTER'!$C$29:$C$31,0)),""))</f>
        <v/>
      </c>
      <c r="AE145" s="58" t="str">
        <f aca="false">IF('STUDENT SCREENING'!AD145="","",IFERROR(INDEX('SCORING MASTER'!$D$33:$D$35,MATCH('STUDENT SCREENING'!AD145,'SCORING MASTER'!$C$33:$C$35,0)),""))</f>
        <v/>
      </c>
      <c r="AF145" s="58" t="str">
        <f aca="false">IF('STUDENT SCREENING'!AE145="","",IFERROR(INDEX('SCORING MASTER'!$D$37:$D$39,MATCH('STUDENT SCREENING'!AE145,'SCORING MASTER'!$C$37:$C$39,0)),""))</f>
        <v/>
      </c>
      <c r="AG145" s="58" t="str">
        <f aca="false">IF('STUDENT SCREENING'!AF145="","",IFERROR(INDEX('SCORING MASTER'!$D$41:$D$43,MATCH('STUDENT SCREENING'!AF145,'SCORING MASTER'!$C$41:$C$43,0)),""))</f>
        <v/>
      </c>
      <c r="AH145" s="58" t="str">
        <f aca="false">IF('STUDENT SCREENING'!AG145="","",IFERROR(INDEX('SCORING MASTER'!$D$45:$D$47,MATCH('STUDENT SCREENING'!AG145,'SCORING MASTER'!$C$45:$C$47,0)),""))</f>
        <v/>
      </c>
      <c r="AI145" s="58" t="str">
        <f aca="false">IF('STUDENT SCREENING'!AH145="","",IFERROR(INDEX('SCORING MASTER'!$D$49:$D$52,MATCH('STUDENT SCREENING'!AH145,'SCORING MASTER'!$C$49:$C$52,0)),""))</f>
        <v/>
      </c>
      <c r="AJ145" s="58" t="str">
        <f aca="false">IF('STUDENT SCREENING'!AI145="","",IFERROR(INDEX('SCORING MASTER'!$D$54:$D$57,MATCH('STUDENT SCREENING'!AI145,'SCORING MASTER'!$C$54:$C$57,0)),""))</f>
        <v/>
      </c>
      <c r="AK145" s="58" t="str">
        <f aca="false">IF('STUDENT SCREENING'!AJ145="","",IFERROR(INDEX('SCORING MASTER'!$D$59:$D$60,MATCH('STUDENT SCREENING'!AJ145,'SCORING MASTER'!$C$59:$C$60,0)),""))</f>
        <v/>
      </c>
      <c r="AL145" s="58" t="str">
        <f aca="false">IF('STUDENT SCREENING'!AK145="","",IFERROR(INDEX('SCORING MASTER'!$D$62:$D$63,MATCH('STUDENT SCREENING'!AK145,'SCORING MASTER'!$C$62:$C$63,0)),""))</f>
        <v/>
      </c>
      <c r="AM145" s="58" t="str">
        <f aca="false">IF('STUDENT SCREENING'!AL145="","",IFERROR(INDEX('SCORING MASTER'!$D$65:$D$66,MATCH('STUDENT SCREENING'!AL145,'SCORING MASTER'!$C$65:$C$66,0)),""))</f>
        <v/>
      </c>
      <c r="AN145" s="58" t="str">
        <f aca="false">IF('STUDENT SCREENING'!AM145="","",IFERROR(INDEX('SCORING MASTER'!$D$68:$D$69,MATCH('STUDENT SCREENING'!AM145,'SCORING MASTER'!$C$68:$C$69,0)),""))</f>
        <v/>
      </c>
      <c r="AO145" s="58" t="str">
        <f aca="false">IF('STUDENT SCREENING'!AN145="","",IFERROR(INDEX('SCORING MASTER'!$D$71:$D$72,MATCH('STUDENT SCREENING'!AN145,'SCORING MASTER'!$C$71:$C$72,0)),""))</f>
        <v/>
      </c>
      <c r="AP145" s="58" t="str">
        <f aca="false">IF('STUDENT SCREENING'!AO145="","",IFERROR(INDEX('SCORING MASTER'!$D$74:$D$75,MATCH('STUDENT SCREENING'!AO145,'SCORING MASTER'!$C$74:$C$75,0)),""))</f>
        <v/>
      </c>
      <c r="AQ145" s="58" t="str">
        <f aca="false">IF('STUDENT SCREENING'!AP145="","",IFERROR(INDEX('SCORING MASTER'!$D$77:$D$78,MATCH('STUDENT SCREENING'!AP145,'SCORING MASTER'!$C$77:$C$78,0)),""))</f>
        <v/>
      </c>
      <c r="AR145" s="58" t="str">
        <f aca="false">IF('STUDENT SCREENING'!AQ145="","",IFERROR(INDEX('SCORING MASTER'!$D$80:$D$82,MATCH('STUDENT SCREENING'!AQ145,'SCORING MASTER'!$C$80:$C$82,0)),""))</f>
        <v/>
      </c>
      <c r="AS145" s="58" t="str">
        <f aca="false">IF('STUDENT SCREENING'!AR145="","",IFERROR(INDEX('SCORING MASTER'!$D$84:$D$86,MATCH('STUDENT SCREENING'!AR145,'SCORING MASTER'!$C$84:$C$86,0)),""))</f>
        <v/>
      </c>
      <c r="AT145" s="58" t="str">
        <f aca="false">IF('STUDENT SCREENING'!AS145="","",IFERROR(INDEX('SCORING MASTER'!$D$88:$D$90,MATCH('STUDENT SCREENING'!AS145,'SCORING MASTER'!$C$88:$C$90,0)),""))</f>
        <v/>
      </c>
      <c r="AU145" s="58" t="str">
        <f aca="false">IF('STUDENT SCREENING'!AT145="","",IFERROR(INDEX('SCORING MASTER'!$D$92:$D$93,MATCH('STUDENT SCREENING'!AT145,'SCORING MASTER'!$C$92:$C$93,0)),""))</f>
        <v/>
      </c>
      <c r="AV145" s="58" t="str">
        <f aca="false">IF('STUDENT SCREENING'!AU145="","",IFERROR(INDEX('SCORING MASTER'!$D$95:$D$96,MATCH('STUDENT SCREENING'!AU145,'SCORING MASTER'!$C$95:$C$96,0)),""))</f>
        <v/>
      </c>
      <c r="AW145" s="58" t="str">
        <f aca="false">IF('STUDENT SCREENING'!AV145="","",IFERROR(INDEX('SCORING MASTER'!$D$98:$D$99,MATCH('STUDENT SCREENING'!AV145,'SCORING MASTER'!$C$98:$C$99,0)),""))</f>
        <v/>
      </c>
      <c r="AX145" s="58" t="str">
        <f aca="false">IF('STUDENT SCREENING'!AW145="","",IFERROR(INDEX('SCORING MASTER'!$D$101:$D$102,MATCH('STUDENT SCREENING'!AW145,'SCORING MASTER'!$C$101:$C$102,0)),""))</f>
        <v/>
      </c>
      <c r="AY145" s="58" t="str">
        <f aca="false">IF('STUDENT SCREENING'!AX145="","",IFERROR(INDEX('SCORING MASTER'!$D$104:$D$105,MATCH('STUDENT SCREENING'!AX145,'SCORING MASTER'!$C$104:$C$105,0)),""))</f>
        <v/>
      </c>
      <c r="AZ145" s="58" t="str">
        <f aca="false">IF('STUDENT SCREENING'!AY145="","",IFERROR(INDEX('SCORING MASTER'!$D$107:$D$108,MATCH('STUDENT SCREENING'!AY145,'SCORING MASTER'!$C$107:$C$108,0)),""))</f>
        <v/>
      </c>
      <c r="BA145" s="58" t="str">
        <f aca="false">IF('STUDENT SCREENING'!AZ145="","",IFERROR(INDEX('SCORING MASTER'!$D$110:$D$111,MATCH('STUDENT SCREENING'!AZ145,'SCORING MASTER'!$C$110:$C$111,0)),""))</f>
        <v/>
      </c>
      <c r="BB145" s="58" t="str">
        <f aca="false">IF('STUDENT SCREENING'!BA145="","",IFERROR(INDEX('SCORING MASTER'!$D$113:$D$115,MATCH('STUDENT SCREENING'!BA145,'SCORING MASTER'!$C$113:$C$115,0)),""))</f>
        <v/>
      </c>
      <c r="BC145" s="58" t="str">
        <f aca="false">IF('STUDENT SCREENING'!BB145="","",IFERROR(INDEX('SCORING MASTER'!$D$117:$D$119,MATCH('STUDENT SCREENING'!BB145,'SCORING MASTER'!$C$117:$C$119,0)),""))</f>
        <v/>
      </c>
      <c r="BD145" s="58" t="str">
        <f aca="false">IF('STUDENT SCREENING'!BC145="","",IFERROR(INDEX('SCORING MASTER'!$D$121:$D$123,MATCH('STUDENT SCREENING'!BC145,'SCORING MASTER'!$C$121:$C$123,0)),""))</f>
        <v/>
      </c>
      <c r="BE145" s="58" t="str">
        <f aca="false">IF('STUDENT SCREENING'!BD145="","",IFERROR(INDEX('SCORING MASTER'!$D$125:$D$126,MATCH('STUDENT SCREENING'!BD145,'SCORING MASTER'!$C$125:$C$126,0)),""))</f>
        <v/>
      </c>
      <c r="BF145" s="58" t="str">
        <f aca="false">IF('STUDENT SCREENING'!BE145="","",IFERROR(INDEX('SCORING MASTER'!$D$128:$D$129,MATCH('STUDENT SCREENING'!BE145,'SCORING MASTER'!$C$128:$C$129,0)),""))</f>
        <v/>
      </c>
      <c r="BG145" s="58" t="str">
        <f aca="false">IF('STUDENT SCREENING'!BP145="","",IFERROR(MATCH('STUDENT SCREENING'!BP145,{"Red - High Risk","Orange - Moderate Risk","Yellow - Mild Risk","Light Green - Mild Watch","Green - Healthy"},0)-1,""))</f>
        <v/>
      </c>
      <c r="BH145" s="58" t="str">
        <f aca="false">IF('STUDENT SCREENING'!BQ145="","",IF('STUDENT SCREENING'!BQ145="Yes",1,0))</f>
        <v/>
      </c>
      <c r="BI145" s="58" t="str">
        <f aca="false">IF('STUDENT SCREENING'!BR145="","",IF('STUDENT SCREENING'!BR145="Yes",1,0))</f>
        <v/>
      </c>
    </row>
    <row r="146" customFormat="false" ht="15" hidden="false" customHeight="false" outlineLevel="0" collapsed="false">
      <c r="A146" s="57" t="str">
        <f aca="false">'STUDENT SCREENING'!A146</f>
        <v/>
      </c>
      <c r="B146" s="57" t="n">
        <f aca="false">'STUDENT SCREENING'!C146</f>
        <v>0</v>
      </c>
      <c r="C146" s="57" t="n">
        <f aca="false">'STUDENT SCREENING'!D146</f>
        <v>0</v>
      </c>
      <c r="D146" s="57" t="n">
        <f aca="false">'STUDENT SCREENING'!E146</f>
        <v>0</v>
      </c>
      <c r="E146" s="57" t="n">
        <f aca="false">'STUDENT SCREENING'!F146</f>
        <v>0</v>
      </c>
      <c r="F146" s="57" t="n">
        <f aca="false">'STUDENT SCREENING'!K146</f>
        <v>0</v>
      </c>
      <c r="G146" s="57" t="n">
        <f aca="false">'STUDENT SCREENING'!J146</f>
        <v>0</v>
      </c>
      <c r="H146" s="57" t="str">
        <f aca="false">IF('STUDENT SCREENING'!K146="","",IFERROR(MATCH('STUDENT SCREENING'!K146,Adm_Gender,0),""))</f>
        <v/>
      </c>
      <c r="I146" s="57" t="n">
        <f aca="false">'STUDENT SCREENING'!Q146</f>
        <v>0</v>
      </c>
      <c r="J146" s="57" t="n">
        <f aca="false">'STUDENT SCREENING'!R146</f>
        <v>0</v>
      </c>
      <c r="K146" s="57" t="str">
        <f aca="false">'STUDENT SCREENING'!S146</f>
        <v/>
      </c>
      <c r="L146" s="57" t="n">
        <f aca="false">'STUDENT SCREENING'!U146</f>
        <v>0</v>
      </c>
      <c r="M146" s="57" t="n">
        <f aca="false">'STUDENT SCREENING'!V146</f>
        <v>0</v>
      </c>
      <c r="N146" s="57" t="str">
        <f aca="false">'STUDENT SCREENING'!BF146</f>
        <v/>
      </c>
      <c r="O146" s="57" t="str">
        <f aca="false">'STUDENT SCREENING'!BG146</f>
        <v/>
      </c>
      <c r="P146" s="57" t="str">
        <f aca="false">'STUDENT SCREENING'!BH146</f>
        <v/>
      </c>
      <c r="Q146" s="57" t="str">
        <f aca="false">'STUDENT SCREENING'!BI146</f>
        <v/>
      </c>
      <c r="R146" s="57" t="str">
        <f aca="false">'STUDENT SCREENING'!BJ146</f>
        <v/>
      </c>
      <c r="S146" s="57" t="str">
        <f aca="false">'STUDENT SCREENING'!BK146</f>
        <v/>
      </c>
      <c r="T146" s="57" t="str">
        <f aca="false">'STUDENT SCREENING'!BL146</f>
        <v/>
      </c>
      <c r="U146" s="57" t="str">
        <f aca="false">'STUDENT SCREENING'!BM146</f>
        <v/>
      </c>
      <c r="V146" s="57" t="str">
        <f aca="false">'STUDENT SCREENING'!BN146</f>
        <v/>
      </c>
      <c r="W146" s="57" t="str">
        <f aca="false">'STUDENT SCREENING'!BO146</f>
        <v/>
      </c>
      <c r="X146" s="57" t="str">
        <f aca="false">IF('STUDENT SCREENING'!W146="","",IFERROR(INDEX('SCORING MASTER'!$D$5:$D$7,MATCH('STUDENT SCREENING'!W146,'SCORING MASTER'!$C$5:$C$7,0)),""))</f>
        <v/>
      </c>
      <c r="Y146" s="57" t="str">
        <f aca="false">IF('STUDENT SCREENING'!X146="","",IFERROR(INDEX('SCORING MASTER'!$D$9:$D$11,MATCH('STUDENT SCREENING'!X146,'SCORING MASTER'!$C$9:$C$11,0)),""))</f>
        <v/>
      </c>
      <c r="Z146" s="57" t="str">
        <f aca="false">IF('STUDENT SCREENING'!Y146="","",IFERROR(INDEX('SCORING MASTER'!$D$13:$D$15,MATCH('STUDENT SCREENING'!Y146,'SCORING MASTER'!$C$13:$C$15,0)),""))</f>
        <v/>
      </c>
      <c r="AA146" s="57" t="str">
        <f aca="false">IF('STUDENT SCREENING'!Z146="","",IFERROR(INDEX('SCORING MASTER'!$D$17:$D$19,MATCH('STUDENT SCREENING'!Z146,'SCORING MASTER'!$C$17:$C$19,0)),""))</f>
        <v/>
      </c>
      <c r="AB146" s="57" t="str">
        <f aca="false">IF('STUDENT SCREENING'!AA146="","",IFERROR(INDEX('SCORING MASTER'!$D$21:$D$23,MATCH('STUDENT SCREENING'!AA146,'SCORING MASTER'!$C$21:$C$23,0)),""))</f>
        <v/>
      </c>
      <c r="AC146" s="57" t="str">
        <f aca="false">IF('STUDENT SCREENING'!AB146="","",IFERROR(INDEX('SCORING MASTER'!$D$25:$D$27,MATCH('STUDENT SCREENING'!AB146,'SCORING MASTER'!$C$25:$C$27,0)),""))</f>
        <v/>
      </c>
      <c r="AD146" s="57" t="str">
        <f aca="false">IF('STUDENT SCREENING'!AC146="","",IFERROR(INDEX('SCORING MASTER'!$D$29:$D$31,MATCH('STUDENT SCREENING'!AC146,'SCORING MASTER'!$C$29:$C$31,0)),""))</f>
        <v/>
      </c>
      <c r="AE146" s="57" t="str">
        <f aca="false">IF('STUDENT SCREENING'!AD146="","",IFERROR(INDEX('SCORING MASTER'!$D$33:$D$35,MATCH('STUDENT SCREENING'!AD146,'SCORING MASTER'!$C$33:$C$35,0)),""))</f>
        <v/>
      </c>
      <c r="AF146" s="57" t="str">
        <f aca="false">IF('STUDENT SCREENING'!AE146="","",IFERROR(INDEX('SCORING MASTER'!$D$37:$D$39,MATCH('STUDENT SCREENING'!AE146,'SCORING MASTER'!$C$37:$C$39,0)),""))</f>
        <v/>
      </c>
      <c r="AG146" s="57" t="str">
        <f aca="false">IF('STUDENT SCREENING'!AF146="","",IFERROR(INDEX('SCORING MASTER'!$D$41:$D$43,MATCH('STUDENT SCREENING'!AF146,'SCORING MASTER'!$C$41:$C$43,0)),""))</f>
        <v/>
      </c>
      <c r="AH146" s="57" t="str">
        <f aca="false">IF('STUDENT SCREENING'!AG146="","",IFERROR(INDEX('SCORING MASTER'!$D$45:$D$47,MATCH('STUDENT SCREENING'!AG146,'SCORING MASTER'!$C$45:$C$47,0)),""))</f>
        <v/>
      </c>
      <c r="AI146" s="57" t="str">
        <f aca="false">IF('STUDENT SCREENING'!AH146="","",IFERROR(INDEX('SCORING MASTER'!$D$49:$D$52,MATCH('STUDENT SCREENING'!AH146,'SCORING MASTER'!$C$49:$C$52,0)),""))</f>
        <v/>
      </c>
      <c r="AJ146" s="57" t="str">
        <f aca="false">IF('STUDENT SCREENING'!AI146="","",IFERROR(INDEX('SCORING MASTER'!$D$54:$D$57,MATCH('STUDENT SCREENING'!AI146,'SCORING MASTER'!$C$54:$C$57,0)),""))</f>
        <v/>
      </c>
      <c r="AK146" s="57" t="str">
        <f aca="false">IF('STUDENT SCREENING'!AJ146="","",IFERROR(INDEX('SCORING MASTER'!$D$59:$D$60,MATCH('STUDENT SCREENING'!AJ146,'SCORING MASTER'!$C$59:$C$60,0)),""))</f>
        <v/>
      </c>
      <c r="AL146" s="57" t="str">
        <f aca="false">IF('STUDENT SCREENING'!AK146="","",IFERROR(INDEX('SCORING MASTER'!$D$62:$D$63,MATCH('STUDENT SCREENING'!AK146,'SCORING MASTER'!$C$62:$C$63,0)),""))</f>
        <v/>
      </c>
      <c r="AM146" s="57" t="str">
        <f aca="false">IF('STUDENT SCREENING'!AL146="","",IFERROR(INDEX('SCORING MASTER'!$D$65:$D$66,MATCH('STUDENT SCREENING'!AL146,'SCORING MASTER'!$C$65:$C$66,0)),""))</f>
        <v/>
      </c>
      <c r="AN146" s="57" t="str">
        <f aca="false">IF('STUDENT SCREENING'!AM146="","",IFERROR(INDEX('SCORING MASTER'!$D$68:$D$69,MATCH('STUDENT SCREENING'!AM146,'SCORING MASTER'!$C$68:$C$69,0)),""))</f>
        <v/>
      </c>
      <c r="AO146" s="57" t="str">
        <f aca="false">IF('STUDENT SCREENING'!AN146="","",IFERROR(INDEX('SCORING MASTER'!$D$71:$D$72,MATCH('STUDENT SCREENING'!AN146,'SCORING MASTER'!$C$71:$C$72,0)),""))</f>
        <v/>
      </c>
      <c r="AP146" s="57" t="str">
        <f aca="false">IF('STUDENT SCREENING'!AO146="","",IFERROR(INDEX('SCORING MASTER'!$D$74:$D$75,MATCH('STUDENT SCREENING'!AO146,'SCORING MASTER'!$C$74:$C$75,0)),""))</f>
        <v/>
      </c>
      <c r="AQ146" s="57" t="str">
        <f aca="false">IF('STUDENT SCREENING'!AP146="","",IFERROR(INDEX('SCORING MASTER'!$D$77:$D$78,MATCH('STUDENT SCREENING'!AP146,'SCORING MASTER'!$C$77:$C$78,0)),""))</f>
        <v/>
      </c>
      <c r="AR146" s="57" t="str">
        <f aca="false">IF('STUDENT SCREENING'!AQ146="","",IFERROR(INDEX('SCORING MASTER'!$D$80:$D$82,MATCH('STUDENT SCREENING'!AQ146,'SCORING MASTER'!$C$80:$C$82,0)),""))</f>
        <v/>
      </c>
      <c r="AS146" s="57" t="str">
        <f aca="false">IF('STUDENT SCREENING'!AR146="","",IFERROR(INDEX('SCORING MASTER'!$D$84:$D$86,MATCH('STUDENT SCREENING'!AR146,'SCORING MASTER'!$C$84:$C$86,0)),""))</f>
        <v/>
      </c>
      <c r="AT146" s="57" t="str">
        <f aca="false">IF('STUDENT SCREENING'!AS146="","",IFERROR(INDEX('SCORING MASTER'!$D$88:$D$90,MATCH('STUDENT SCREENING'!AS146,'SCORING MASTER'!$C$88:$C$90,0)),""))</f>
        <v/>
      </c>
      <c r="AU146" s="57" t="str">
        <f aca="false">IF('STUDENT SCREENING'!AT146="","",IFERROR(INDEX('SCORING MASTER'!$D$92:$D$93,MATCH('STUDENT SCREENING'!AT146,'SCORING MASTER'!$C$92:$C$93,0)),""))</f>
        <v/>
      </c>
      <c r="AV146" s="57" t="str">
        <f aca="false">IF('STUDENT SCREENING'!AU146="","",IFERROR(INDEX('SCORING MASTER'!$D$95:$D$96,MATCH('STUDENT SCREENING'!AU146,'SCORING MASTER'!$C$95:$C$96,0)),""))</f>
        <v/>
      </c>
      <c r="AW146" s="57" t="str">
        <f aca="false">IF('STUDENT SCREENING'!AV146="","",IFERROR(INDEX('SCORING MASTER'!$D$98:$D$99,MATCH('STUDENT SCREENING'!AV146,'SCORING MASTER'!$C$98:$C$99,0)),""))</f>
        <v/>
      </c>
      <c r="AX146" s="57" t="str">
        <f aca="false">IF('STUDENT SCREENING'!AW146="","",IFERROR(INDEX('SCORING MASTER'!$D$101:$D$102,MATCH('STUDENT SCREENING'!AW146,'SCORING MASTER'!$C$101:$C$102,0)),""))</f>
        <v/>
      </c>
      <c r="AY146" s="57" t="str">
        <f aca="false">IF('STUDENT SCREENING'!AX146="","",IFERROR(INDEX('SCORING MASTER'!$D$104:$D$105,MATCH('STUDENT SCREENING'!AX146,'SCORING MASTER'!$C$104:$C$105,0)),""))</f>
        <v/>
      </c>
      <c r="AZ146" s="57" t="str">
        <f aca="false">IF('STUDENT SCREENING'!AY146="","",IFERROR(INDEX('SCORING MASTER'!$D$107:$D$108,MATCH('STUDENT SCREENING'!AY146,'SCORING MASTER'!$C$107:$C$108,0)),""))</f>
        <v/>
      </c>
      <c r="BA146" s="57" t="str">
        <f aca="false">IF('STUDENT SCREENING'!AZ146="","",IFERROR(INDEX('SCORING MASTER'!$D$110:$D$111,MATCH('STUDENT SCREENING'!AZ146,'SCORING MASTER'!$C$110:$C$111,0)),""))</f>
        <v/>
      </c>
      <c r="BB146" s="57" t="str">
        <f aca="false">IF('STUDENT SCREENING'!BA146="","",IFERROR(INDEX('SCORING MASTER'!$D$113:$D$115,MATCH('STUDENT SCREENING'!BA146,'SCORING MASTER'!$C$113:$C$115,0)),""))</f>
        <v/>
      </c>
      <c r="BC146" s="57" t="str">
        <f aca="false">IF('STUDENT SCREENING'!BB146="","",IFERROR(INDEX('SCORING MASTER'!$D$117:$D$119,MATCH('STUDENT SCREENING'!BB146,'SCORING MASTER'!$C$117:$C$119,0)),""))</f>
        <v/>
      </c>
      <c r="BD146" s="57" t="str">
        <f aca="false">IF('STUDENT SCREENING'!BC146="","",IFERROR(INDEX('SCORING MASTER'!$D$121:$D$123,MATCH('STUDENT SCREENING'!BC146,'SCORING MASTER'!$C$121:$C$123,0)),""))</f>
        <v/>
      </c>
      <c r="BE146" s="57" t="str">
        <f aca="false">IF('STUDENT SCREENING'!BD146="","",IFERROR(INDEX('SCORING MASTER'!$D$125:$D$126,MATCH('STUDENT SCREENING'!BD146,'SCORING MASTER'!$C$125:$C$126,0)),""))</f>
        <v/>
      </c>
      <c r="BF146" s="57" t="str">
        <f aca="false">IF('STUDENT SCREENING'!BE146="","",IFERROR(INDEX('SCORING MASTER'!$D$128:$D$129,MATCH('STUDENT SCREENING'!BE146,'SCORING MASTER'!$C$128:$C$129,0)),""))</f>
        <v/>
      </c>
      <c r="BG146" s="57" t="str">
        <f aca="false">IF('STUDENT SCREENING'!BP146="","",IFERROR(MATCH('STUDENT SCREENING'!BP146,{"Red - High Risk","Orange - Moderate Risk","Yellow - Mild Risk","Light Green - Mild Watch","Green - Healthy"},0)-1,""))</f>
        <v/>
      </c>
      <c r="BH146" s="57" t="str">
        <f aca="false">IF('STUDENT SCREENING'!BQ146="","",IF('STUDENT SCREENING'!BQ146="Yes",1,0))</f>
        <v/>
      </c>
      <c r="BI146" s="57" t="str">
        <f aca="false">IF('STUDENT SCREENING'!BR146="","",IF('STUDENT SCREENING'!BR146="Yes",1,0))</f>
        <v/>
      </c>
    </row>
    <row r="147" customFormat="false" ht="15" hidden="false" customHeight="false" outlineLevel="0" collapsed="false">
      <c r="A147" s="58" t="str">
        <f aca="false">'STUDENT SCREENING'!A147</f>
        <v/>
      </c>
      <c r="B147" s="58" t="n">
        <f aca="false">'STUDENT SCREENING'!C147</f>
        <v>0</v>
      </c>
      <c r="C147" s="58" t="n">
        <f aca="false">'STUDENT SCREENING'!D147</f>
        <v>0</v>
      </c>
      <c r="D147" s="58" t="n">
        <f aca="false">'STUDENT SCREENING'!E147</f>
        <v>0</v>
      </c>
      <c r="E147" s="58" t="n">
        <f aca="false">'STUDENT SCREENING'!F147</f>
        <v>0</v>
      </c>
      <c r="F147" s="58" t="n">
        <f aca="false">'STUDENT SCREENING'!K147</f>
        <v>0</v>
      </c>
      <c r="G147" s="58" t="n">
        <f aca="false">'STUDENT SCREENING'!J147</f>
        <v>0</v>
      </c>
      <c r="H147" s="58" t="str">
        <f aca="false">IF('STUDENT SCREENING'!K147="","",IFERROR(MATCH('STUDENT SCREENING'!K147,Adm_Gender,0),""))</f>
        <v/>
      </c>
      <c r="I147" s="58" t="n">
        <f aca="false">'STUDENT SCREENING'!Q147</f>
        <v>0</v>
      </c>
      <c r="J147" s="58" t="n">
        <f aca="false">'STUDENT SCREENING'!R147</f>
        <v>0</v>
      </c>
      <c r="K147" s="58" t="str">
        <f aca="false">'STUDENT SCREENING'!S147</f>
        <v/>
      </c>
      <c r="L147" s="58" t="n">
        <f aca="false">'STUDENT SCREENING'!U147</f>
        <v>0</v>
      </c>
      <c r="M147" s="58" t="n">
        <f aca="false">'STUDENT SCREENING'!V147</f>
        <v>0</v>
      </c>
      <c r="N147" s="58" t="str">
        <f aca="false">'STUDENT SCREENING'!BF147</f>
        <v/>
      </c>
      <c r="O147" s="58" t="str">
        <f aca="false">'STUDENT SCREENING'!BG147</f>
        <v/>
      </c>
      <c r="P147" s="58" t="str">
        <f aca="false">'STUDENT SCREENING'!BH147</f>
        <v/>
      </c>
      <c r="Q147" s="58" t="str">
        <f aca="false">'STUDENT SCREENING'!BI147</f>
        <v/>
      </c>
      <c r="R147" s="58" t="str">
        <f aca="false">'STUDENT SCREENING'!BJ147</f>
        <v/>
      </c>
      <c r="S147" s="58" t="str">
        <f aca="false">'STUDENT SCREENING'!BK147</f>
        <v/>
      </c>
      <c r="T147" s="58" t="str">
        <f aca="false">'STUDENT SCREENING'!BL147</f>
        <v/>
      </c>
      <c r="U147" s="58" t="str">
        <f aca="false">'STUDENT SCREENING'!BM147</f>
        <v/>
      </c>
      <c r="V147" s="58" t="str">
        <f aca="false">'STUDENT SCREENING'!BN147</f>
        <v/>
      </c>
      <c r="W147" s="58" t="str">
        <f aca="false">'STUDENT SCREENING'!BO147</f>
        <v/>
      </c>
      <c r="X147" s="58" t="str">
        <f aca="false">IF('STUDENT SCREENING'!W147="","",IFERROR(INDEX('SCORING MASTER'!$D$5:$D$7,MATCH('STUDENT SCREENING'!W147,'SCORING MASTER'!$C$5:$C$7,0)),""))</f>
        <v/>
      </c>
      <c r="Y147" s="58" t="str">
        <f aca="false">IF('STUDENT SCREENING'!X147="","",IFERROR(INDEX('SCORING MASTER'!$D$9:$D$11,MATCH('STUDENT SCREENING'!X147,'SCORING MASTER'!$C$9:$C$11,0)),""))</f>
        <v/>
      </c>
      <c r="Z147" s="58" t="str">
        <f aca="false">IF('STUDENT SCREENING'!Y147="","",IFERROR(INDEX('SCORING MASTER'!$D$13:$D$15,MATCH('STUDENT SCREENING'!Y147,'SCORING MASTER'!$C$13:$C$15,0)),""))</f>
        <v/>
      </c>
      <c r="AA147" s="58" t="str">
        <f aca="false">IF('STUDENT SCREENING'!Z147="","",IFERROR(INDEX('SCORING MASTER'!$D$17:$D$19,MATCH('STUDENT SCREENING'!Z147,'SCORING MASTER'!$C$17:$C$19,0)),""))</f>
        <v/>
      </c>
      <c r="AB147" s="58" t="str">
        <f aca="false">IF('STUDENT SCREENING'!AA147="","",IFERROR(INDEX('SCORING MASTER'!$D$21:$D$23,MATCH('STUDENT SCREENING'!AA147,'SCORING MASTER'!$C$21:$C$23,0)),""))</f>
        <v/>
      </c>
      <c r="AC147" s="58" t="str">
        <f aca="false">IF('STUDENT SCREENING'!AB147="","",IFERROR(INDEX('SCORING MASTER'!$D$25:$D$27,MATCH('STUDENT SCREENING'!AB147,'SCORING MASTER'!$C$25:$C$27,0)),""))</f>
        <v/>
      </c>
      <c r="AD147" s="58" t="str">
        <f aca="false">IF('STUDENT SCREENING'!AC147="","",IFERROR(INDEX('SCORING MASTER'!$D$29:$D$31,MATCH('STUDENT SCREENING'!AC147,'SCORING MASTER'!$C$29:$C$31,0)),""))</f>
        <v/>
      </c>
      <c r="AE147" s="58" t="str">
        <f aca="false">IF('STUDENT SCREENING'!AD147="","",IFERROR(INDEX('SCORING MASTER'!$D$33:$D$35,MATCH('STUDENT SCREENING'!AD147,'SCORING MASTER'!$C$33:$C$35,0)),""))</f>
        <v/>
      </c>
      <c r="AF147" s="58" t="str">
        <f aca="false">IF('STUDENT SCREENING'!AE147="","",IFERROR(INDEX('SCORING MASTER'!$D$37:$D$39,MATCH('STUDENT SCREENING'!AE147,'SCORING MASTER'!$C$37:$C$39,0)),""))</f>
        <v/>
      </c>
      <c r="AG147" s="58" t="str">
        <f aca="false">IF('STUDENT SCREENING'!AF147="","",IFERROR(INDEX('SCORING MASTER'!$D$41:$D$43,MATCH('STUDENT SCREENING'!AF147,'SCORING MASTER'!$C$41:$C$43,0)),""))</f>
        <v/>
      </c>
      <c r="AH147" s="58" t="str">
        <f aca="false">IF('STUDENT SCREENING'!AG147="","",IFERROR(INDEX('SCORING MASTER'!$D$45:$D$47,MATCH('STUDENT SCREENING'!AG147,'SCORING MASTER'!$C$45:$C$47,0)),""))</f>
        <v/>
      </c>
      <c r="AI147" s="58" t="str">
        <f aca="false">IF('STUDENT SCREENING'!AH147="","",IFERROR(INDEX('SCORING MASTER'!$D$49:$D$52,MATCH('STUDENT SCREENING'!AH147,'SCORING MASTER'!$C$49:$C$52,0)),""))</f>
        <v/>
      </c>
      <c r="AJ147" s="58" t="str">
        <f aca="false">IF('STUDENT SCREENING'!AI147="","",IFERROR(INDEX('SCORING MASTER'!$D$54:$D$57,MATCH('STUDENT SCREENING'!AI147,'SCORING MASTER'!$C$54:$C$57,0)),""))</f>
        <v/>
      </c>
      <c r="AK147" s="58" t="str">
        <f aca="false">IF('STUDENT SCREENING'!AJ147="","",IFERROR(INDEX('SCORING MASTER'!$D$59:$D$60,MATCH('STUDENT SCREENING'!AJ147,'SCORING MASTER'!$C$59:$C$60,0)),""))</f>
        <v/>
      </c>
      <c r="AL147" s="58" t="str">
        <f aca="false">IF('STUDENT SCREENING'!AK147="","",IFERROR(INDEX('SCORING MASTER'!$D$62:$D$63,MATCH('STUDENT SCREENING'!AK147,'SCORING MASTER'!$C$62:$C$63,0)),""))</f>
        <v/>
      </c>
      <c r="AM147" s="58" t="str">
        <f aca="false">IF('STUDENT SCREENING'!AL147="","",IFERROR(INDEX('SCORING MASTER'!$D$65:$D$66,MATCH('STUDENT SCREENING'!AL147,'SCORING MASTER'!$C$65:$C$66,0)),""))</f>
        <v/>
      </c>
      <c r="AN147" s="58" t="str">
        <f aca="false">IF('STUDENT SCREENING'!AM147="","",IFERROR(INDEX('SCORING MASTER'!$D$68:$D$69,MATCH('STUDENT SCREENING'!AM147,'SCORING MASTER'!$C$68:$C$69,0)),""))</f>
        <v/>
      </c>
      <c r="AO147" s="58" t="str">
        <f aca="false">IF('STUDENT SCREENING'!AN147="","",IFERROR(INDEX('SCORING MASTER'!$D$71:$D$72,MATCH('STUDENT SCREENING'!AN147,'SCORING MASTER'!$C$71:$C$72,0)),""))</f>
        <v/>
      </c>
      <c r="AP147" s="58" t="str">
        <f aca="false">IF('STUDENT SCREENING'!AO147="","",IFERROR(INDEX('SCORING MASTER'!$D$74:$D$75,MATCH('STUDENT SCREENING'!AO147,'SCORING MASTER'!$C$74:$C$75,0)),""))</f>
        <v/>
      </c>
      <c r="AQ147" s="58" t="str">
        <f aca="false">IF('STUDENT SCREENING'!AP147="","",IFERROR(INDEX('SCORING MASTER'!$D$77:$D$78,MATCH('STUDENT SCREENING'!AP147,'SCORING MASTER'!$C$77:$C$78,0)),""))</f>
        <v/>
      </c>
      <c r="AR147" s="58" t="str">
        <f aca="false">IF('STUDENT SCREENING'!AQ147="","",IFERROR(INDEX('SCORING MASTER'!$D$80:$D$82,MATCH('STUDENT SCREENING'!AQ147,'SCORING MASTER'!$C$80:$C$82,0)),""))</f>
        <v/>
      </c>
      <c r="AS147" s="58" t="str">
        <f aca="false">IF('STUDENT SCREENING'!AR147="","",IFERROR(INDEX('SCORING MASTER'!$D$84:$D$86,MATCH('STUDENT SCREENING'!AR147,'SCORING MASTER'!$C$84:$C$86,0)),""))</f>
        <v/>
      </c>
      <c r="AT147" s="58" t="str">
        <f aca="false">IF('STUDENT SCREENING'!AS147="","",IFERROR(INDEX('SCORING MASTER'!$D$88:$D$90,MATCH('STUDENT SCREENING'!AS147,'SCORING MASTER'!$C$88:$C$90,0)),""))</f>
        <v/>
      </c>
      <c r="AU147" s="58" t="str">
        <f aca="false">IF('STUDENT SCREENING'!AT147="","",IFERROR(INDEX('SCORING MASTER'!$D$92:$D$93,MATCH('STUDENT SCREENING'!AT147,'SCORING MASTER'!$C$92:$C$93,0)),""))</f>
        <v/>
      </c>
      <c r="AV147" s="58" t="str">
        <f aca="false">IF('STUDENT SCREENING'!AU147="","",IFERROR(INDEX('SCORING MASTER'!$D$95:$D$96,MATCH('STUDENT SCREENING'!AU147,'SCORING MASTER'!$C$95:$C$96,0)),""))</f>
        <v/>
      </c>
      <c r="AW147" s="58" t="str">
        <f aca="false">IF('STUDENT SCREENING'!AV147="","",IFERROR(INDEX('SCORING MASTER'!$D$98:$D$99,MATCH('STUDENT SCREENING'!AV147,'SCORING MASTER'!$C$98:$C$99,0)),""))</f>
        <v/>
      </c>
      <c r="AX147" s="58" t="str">
        <f aca="false">IF('STUDENT SCREENING'!AW147="","",IFERROR(INDEX('SCORING MASTER'!$D$101:$D$102,MATCH('STUDENT SCREENING'!AW147,'SCORING MASTER'!$C$101:$C$102,0)),""))</f>
        <v/>
      </c>
      <c r="AY147" s="58" t="str">
        <f aca="false">IF('STUDENT SCREENING'!AX147="","",IFERROR(INDEX('SCORING MASTER'!$D$104:$D$105,MATCH('STUDENT SCREENING'!AX147,'SCORING MASTER'!$C$104:$C$105,0)),""))</f>
        <v/>
      </c>
      <c r="AZ147" s="58" t="str">
        <f aca="false">IF('STUDENT SCREENING'!AY147="","",IFERROR(INDEX('SCORING MASTER'!$D$107:$D$108,MATCH('STUDENT SCREENING'!AY147,'SCORING MASTER'!$C$107:$C$108,0)),""))</f>
        <v/>
      </c>
      <c r="BA147" s="58" t="str">
        <f aca="false">IF('STUDENT SCREENING'!AZ147="","",IFERROR(INDEX('SCORING MASTER'!$D$110:$D$111,MATCH('STUDENT SCREENING'!AZ147,'SCORING MASTER'!$C$110:$C$111,0)),""))</f>
        <v/>
      </c>
      <c r="BB147" s="58" t="str">
        <f aca="false">IF('STUDENT SCREENING'!BA147="","",IFERROR(INDEX('SCORING MASTER'!$D$113:$D$115,MATCH('STUDENT SCREENING'!BA147,'SCORING MASTER'!$C$113:$C$115,0)),""))</f>
        <v/>
      </c>
      <c r="BC147" s="58" t="str">
        <f aca="false">IF('STUDENT SCREENING'!BB147="","",IFERROR(INDEX('SCORING MASTER'!$D$117:$D$119,MATCH('STUDENT SCREENING'!BB147,'SCORING MASTER'!$C$117:$C$119,0)),""))</f>
        <v/>
      </c>
      <c r="BD147" s="58" t="str">
        <f aca="false">IF('STUDENT SCREENING'!BC147="","",IFERROR(INDEX('SCORING MASTER'!$D$121:$D$123,MATCH('STUDENT SCREENING'!BC147,'SCORING MASTER'!$C$121:$C$123,0)),""))</f>
        <v/>
      </c>
      <c r="BE147" s="58" t="str">
        <f aca="false">IF('STUDENT SCREENING'!BD147="","",IFERROR(INDEX('SCORING MASTER'!$D$125:$D$126,MATCH('STUDENT SCREENING'!BD147,'SCORING MASTER'!$C$125:$C$126,0)),""))</f>
        <v/>
      </c>
      <c r="BF147" s="58" t="str">
        <f aca="false">IF('STUDENT SCREENING'!BE147="","",IFERROR(INDEX('SCORING MASTER'!$D$128:$D$129,MATCH('STUDENT SCREENING'!BE147,'SCORING MASTER'!$C$128:$C$129,0)),""))</f>
        <v/>
      </c>
      <c r="BG147" s="58" t="str">
        <f aca="false">IF('STUDENT SCREENING'!BP147="","",IFERROR(MATCH('STUDENT SCREENING'!BP147,{"Red - High Risk","Orange - Moderate Risk","Yellow - Mild Risk","Light Green - Mild Watch","Green - Healthy"},0)-1,""))</f>
        <v/>
      </c>
      <c r="BH147" s="58" t="str">
        <f aca="false">IF('STUDENT SCREENING'!BQ147="","",IF('STUDENT SCREENING'!BQ147="Yes",1,0))</f>
        <v/>
      </c>
      <c r="BI147" s="58" t="str">
        <f aca="false">IF('STUDENT SCREENING'!BR147="","",IF('STUDENT SCREENING'!BR147="Yes",1,0))</f>
        <v/>
      </c>
    </row>
    <row r="148" customFormat="false" ht="15" hidden="false" customHeight="false" outlineLevel="0" collapsed="false">
      <c r="A148" s="57" t="str">
        <f aca="false">'STUDENT SCREENING'!A148</f>
        <v/>
      </c>
      <c r="B148" s="57" t="n">
        <f aca="false">'STUDENT SCREENING'!C148</f>
        <v>0</v>
      </c>
      <c r="C148" s="57" t="n">
        <f aca="false">'STUDENT SCREENING'!D148</f>
        <v>0</v>
      </c>
      <c r="D148" s="57" t="n">
        <f aca="false">'STUDENT SCREENING'!E148</f>
        <v>0</v>
      </c>
      <c r="E148" s="57" t="n">
        <f aca="false">'STUDENT SCREENING'!F148</f>
        <v>0</v>
      </c>
      <c r="F148" s="57" t="n">
        <f aca="false">'STUDENT SCREENING'!K148</f>
        <v>0</v>
      </c>
      <c r="G148" s="57" t="n">
        <f aca="false">'STUDENT SCREENING'!J148</f>
        <v>0</v>
      </c>
      <c r="H148" s="57" t="str">
        <f aca="false">IF('STUDENT SCREENING'!K148="","",IFERROR(MATCH('STUDENT SCREENING'!K148,Adm_Gender,0),""))</f>
        <v/>
      </c>
      <c r="I148" s="57" t="n">
        <f aca="false">'STUDENT SCREENING'!Q148</f>
        <v>0</v>
      </c>
      <c r="J148" s="57" t="n">
        <f aca="false">'STUDENT SCREENING'!R148</f>
        <v>0</v>
      </c>
      <c r="K148" s="57" t="str">
        <f aca="false">'STUDENT SCREENING'!S148</f>
        <v/>
      </c>
      <c r="L148" s="57" t="n">
        <f aca="false">'STUDENT SCREENING'!U148</f>
        <v>0</v>
      </c>
      <c r="M148" s="57" t="n">
        <f aca="false">'STUDENT SCREENING'!V148</f>
        <v>0</v>
      </c>
      <c r="N148" s="57" t="str">
        <f aca="false">'STUDENT SCREENING'!BF148</f>
        <v/>
      </c>
      <c r="O148" s="57" t="str">
        <f aca="false">'STUDENT SCREENING'!BG148</f>
        <v/>
      </c>
      <c r="P148" s="57" t="str">
        <f aca="false">'STUDENT SCREENING'!BH148</f>
        <v/>
      </c>
      <c r="Q148" s="57" t="str">
        <f aca="false">'STUDENT SCREENING'!BI148</f>
        <v/>
      </c>
      <c r="R148" s="57" t="str">
        <f aca="false">'STUDENT SCREENING'!BJ148</f>
        <v/>
      </c>
      <c r="S148" s="57" t="str">
        <f aca="false">'STUDENT SCREENING'!BK148</f>
        <v/>
      </c>
      <c r="T148" s="57" t="str">
        <f aca="false">'STUDENT SCREENING'!BL148</f>
        <v/>
      </c>
      <c r="U148" s="57" t="str">
        <f aca="false">'STUDENT SCREENING'!BM148</f>
        <v/>
      </c>
      <c r="V148" s="57" t="str">
        <f aca="false">'STUDENT SCREENING'!BN148</f>
        <v/>
      </c>
      <c r="W148" s="57" t="str">
        <f aca="false">'STUDENT SCREENING'!BO148</f>
        <v/>
      </c>
      <c r="X148" s="57" t="str">
        <f aca="false">IF('STUDENT SCREENING'!W148="","",IFERROR(INDEX('SCORING MASTER'!$D$5:$D$7,MATCH('STUDENT SCREENING'!W148,'SCORING MASTER'!$C$5:$C$7,0)),""))</f>
        <v/>
      </c>
      <c r="Y148" s="57" t="str">
        <f aca="false">IF('STUDENT SCREENING'!X148="","",IFERROR(INDEX('SCORING MASTER'!$D$9:$D$11,MATCH('STUDENT SCREENING'!X148,'SCORING MASTER'!$C$9:$C$11,0)),""))</f>
        <v/>
      </c>
      <c r="Z148" s="57" t="str">
        <f aca="false">IF('STUDENT SCREENING'!Y148="","",IFERROR(INDEX('SCORING MASTER'!$D$13:$D$15,MATCH('STUDENT SCREENING'!Y148,'SCORING MASTER'!$C$13:$C$15,0)),""))</f>
        <v/>
      </c>
      <c r="AA148" s="57" t="str">
        <f aca="false">IF('STUDENT SCREENING'!Z148="","",IFERROR(INDEX('SCORING MASTER'!$D$17:$D$19,MATCH('STUDENT SCREENING'!Z148,'SCORING MASTER'!$C$17:$C$19,0)),""))</f>
        <v/>
      </c>
      <c r="AB148" s="57" t="str">
        <f aca="false">IF('STUDENT SCREENING'!AA148="","",IFERROR(INDEX('SCORING MASTER'!$D$21:$D$23,MATCH('STUDENT SCREENING'!AA148,'SCORING MASTER'!$C$21:$C$23,0)),""))</f>
        <v/>
      </c>
      <c r="AC148" s="57" t="str">
        <f aca="false">IF('STUDENT SCREENING'!AB148="","",IFERROR(INDEX('SCORING MASTER'!$D$25:$D$27,MATCH('STUDENT SCREENING'!AB148,'SCORING MASTER'!$C$25:$C$27,0)),""))</f>
        <v/>
      </c>
      <c r="AD148" s="57" t="str">
        <f aca="false">IF('STUDENT SCREENING'!AC148="","",IFERROR(INDEX('SCORING MASTER'!$D$29:$D$31,MATCH('STUDENT SCREENING'!AC148,'SCORING MASTER'!$C$29:$C$31,0)),""))</f>
        <v/>
      </c>
      <c r="AE148" s="57" t="str">
        <f aca="false">IF('STUDENT SCREENING'!AD148="","",IFERROR(INDEX('SCORING MASTER'!$D$33:$D$35,MATCH('STUDENT SCREENING'!AD148,'SCORING MASTER'!$C$33:$C$35,0)),""))</f>
        <v/>
      </c>
      <c r="AF148" s="57" t="str">
        <f aca="false">IF('STUDENT SCREENING'!AE148="","",IFERROR(INDEX('SCORING MASTER'!$D$37:$D$39,MATCH('STUDENT SCREENING'!AE148,'SCORING MASTER'!$C$37:$C$39,0)),""))</f>
        <v/>
      </c>
      <c r="AG148" s="57" t="str">
        <f aca="false">IF('STUDENT SCREENING'!AF148="","",IFERROR(INDEX('SCORING MASTER'!$D$41:$D$43,MATCH('STUDENT SCREENING'!AF148,'SCORING MASTER'!$C$41:$C$43,0)),""))</f>
        <v/>
      </c>
      <c r="AH148" s="57" t="str">
        <f aca="false">IF('STUDENT SCREENING'!AG148="","",IFERROR(INDEX('SCORING MASTER'!$D$45:$D$47,MATCH('STUDENT SCREENING'!AG148,'SCORING MASTER'!$C$45:$C$47,0)),""))</f>
        <v/>
      </c>
      <c r="AI148" s="57" t="str">
        <f aca="false">IF('STUDENT SCREENING'!AH148="","",IFERROR(INDEX('SCORING MASTER'!$D$49:$D$52,MATCH('STUDENT SCREENING'!AH148,'SCORING MASTER'!$C$49:$C$52,0)),""))</f>
        <v/>
      </c>
      <c r="AJ148" s="57" t="str">
        <f aca="false">IF('STUDENT SCREENING'!AI148="","",IFERROR(INDEX('SCORING MASTER'!$D$54:$D$57,MATCH('STUDENT SCREENING'!AI148,'SCORING MASTER'!$C$54:$C$57,0)),""))</f>
        <v/>
      </c>
      <c r="AK148" s="57" t="str">
        <f aca="false">IF('STUDENT SCREENING'!AJ148="","",IFERROR(INDEX('SCORING MASTER'!$D$59:$D$60,MATCH('STUDENT SCREENING'!AJ148,'SCORING MASTER'!$C$59:$C$60,0)),""))</f>
        <v/>
      </c>
      <c r="AL148" s="57" t="str">
        <f aca="false">IF('STUDENT SCREENING'!AK148="","",IFERROR(INDEX('SCORING MASTER'!$D$62:$D$63,MATCH('STUDENT SCREENING'!AK148,'SCORING MASTER'!$C$62:$C$63,0)),""))</f>
        <v/>
      </c>
      <c r="AM148" s="57" t="str">
        <f aca="false">IF('STUDENT SCREENING'!AL148="","",IFERROR(INDEX('SCORING MASTER'!$D$65:$D$66,MATCH('STUDENT SCREENING'!AL148,'SCORING MASTER'!$C$65:$C$66,0)),""))</f>
        <v/>
      </c>
      <c r="AN148" s="57" t="str">
        <f aca="false">IF('STUDENT SCREENING'!AM148="","",IFERROR(INDEX('SCORING MASTER'!$D$68:$D$69,MATCH('STUDENT SCREENING'!AM148,'SCORING MASTER'!$C$68:$C$69,0)),""))</f>
        <v/>
      </c>
      <c r="AO148" s="57" t="str">
        <f aca="false">IF('STUDENT SCREENING'!AN148="","",IFERROR(INDEX('SCORING MASTER'!$D$71:$D$72,MATCH('STUDENT SCREENING'!AN148,'SCORING MASTER'!$C$71:$C$72,0)),""))</f>
        <v/>
      </c>
      <c r="AP148" s="57" t="str">
        <f aca="false">IF('STUDENT SCREENING'!AO148="","",IFERROR(INDEX('SCORING MASTER'!$D$74:$D$75,MATCH('STUDENT SCREENING'!AO148,'SCORING MASTER'!$C$74:$C$75,0)),""))</f>
        <v/>
      </c>
      <c r="AQ148" s="57" t="str">
        <f aca="false">IF('STUDENT SCREENING'!AP148="","",IFERROR(INDEX('SCORING MASTER'!$D$77:$D$78,MATCH('STUDENT SCREENING'!AP148,'SCORING MASTER'!$C$77:$C$78,0)),""))</f>
        <v/>
      </c>
      <c r="AR148" s="57" t="str">
        <f aca="false">IF('STUDENT SCREENING'!AQ148="","",IFERROR(INDEX('SCORING MASTER'!$D$80:$D$82,MATCH('STUDENT SCREENING'!AQ148,'SCORING MASTER'!$C$80:$C$82,0)),""))</f>
        <v/>
      </c>
      <c r="AS148" s="57" t="str">
        <f aca="false">IF('STUDENT SCREENING'!AR148="","",IFERROR(INDEX('SCORING MASTER'!$D$84:$D$86,MATCH('STUDENT SCREENING'!AR148,'SCORING MASTER'!$C$84:$C$86,0)),""))</f>
        <v/>
      </c>
      <c r="AT148" s="57" t="str">
        <f aca="false">IF('STUDENT SCREENING'!AS148="","",IFERROR(INDEX('SCORING MASTER'!$D$88:$D$90,MATCH('STUDENT SCREENING'!AS148,'SCORING MASTER'!$C$88:$C$90,0)),""))</f>
        <v/>
      </c>
      <c r="AU148" s="57" t="str">
        <f aca="false">IF('STUDENT SCREENING'!AT148="","",IFERROR(INDEX('SCORING MASTER'!$D$92:$D$93,MATCH('STUDENT SCREENING'!AT148,'SCORING MASTER'!$C$92:$C$93,0)),""))</f>
        <v/>
      </c>
      <c r="AV148" s="57" t="str">
        <f aca="false">IF('STUDENT SCREENING'!AU148="","",IFERROR(INDEX('SCORING MASTER'!$D$95:$D$96,MATCH('STUDENT SCREENING'!AU148,'SCORING MASTER'!$C$95:$C$96,0)),""))</f>
        <v/>
      </c>
      <c r="AW148" s="57" t="str">
        <f aca="false">IF('STUDENT SCREENING'!AV148="","",IFERROR(INDEX('SCORING MASTER'!$D$98:$D$99,MATCH('STUDENT SCREENING'!AV148,'SCORING MASTER'!$C$98:$C$99,0)),""))</f>
        <v/>
      </c>
      <c r="AX148" s="57" t="str">
        <f aca="false">IF('STUDENT SCREENING'!AW148="","",IFERROR(INDEX('SCORING MASTER'!$D$101:$D$102,MATCH('STUDENT SCREENING'!AW148,'SCORING MASTER'!$C$101:$C$102,0)),""))</f>
        <v/>
      </c>
      <c r="AY148" s="57" t="str">
        <f aca="false">IF('STUDENT SCREENING'!AX148="","",IFERROR(INDEX('SCORING MASTER'!$D$104:$D$105,MATCH('STUDENT SCREENING'!AX148,'SCORING MASTER'!$C$104:$C$105,0)),""))</f>
        <v/>
      </c>
      <c r="AZ148" s="57" t="str">
        <f aca="false">IF('STUDENT SCREENING'!AY148="","",IFERROR(INDEX('SCORING MASTER'!$D$107:$D$108,MATCH('STUDENT SCREENING'!AY148,'SCORING MASTER'!$C$107:$C$108,0)),""))</f>
        <v/>
      </c>
      <c r="BA148" s="57" t="str">
        <f aca="false">IF('STUDENT SCREENING'!AZ148="","",IFERROR(INDEX('SCORING MASTER'!$D$110:$D$111,MATCH('STUDENT SCREENING'!AZ148,'SCORING MASTER'!$C$110:$C$111,0)),""))</f>
        <v/>
      </c>
      <c r="BB148" s="57" t="str">
        <f aca="false">IF('STUDENT SCREENING'!BA148="","",IFERROR(INDEX('SCORING MASTER'!$D$113:$D$115,MATCH('STUDENT SCREENING'!BA148,'SCORING MASTER'!$C$113:$C$115,0)),""))</f>
        <v/>
      </c>
      <c r="BC148" s="57" t="str">
        <f aca="false">IF('STUDENT SCREENING'!BB148="","",IFERROR(INDEX('SCORING MASTER'!$D$117:$D$119,MATCH('STUDENT SCREENING'!BB148,'SCORING MASTER'!$C$117:$C$119,0)),""))</f>
        <v/>
      </c>
      <c r="BD148" s="57" t="str">
        <f aca="false">IF('STUDENT SCREENING'!BC148="","",IFERROR(INDEX('SCORING MASTER'!$D$121:$D$123,MATCH('STUDENT SCREENING'!BC148,'SCORING MASTER'!$C$121:$C$123,0)),""))</f>
        <v/>
      </c>
      <c r="BE148" s="57" t="str">
        <f aca="false">IF('STUDENT SCREENING'!BD148="","",IFERROR(INDEX('SCORING MASTER'!$D$125:$D$126,MATCH('STUDENT SCREENING'!BD148,'SCORING MASTER'!$C$125:$C$126,0)),""))</f>
        <v/>
      </c>
      <c r="BF148" s="57" t="str">
        <f aca="false">IF('STUDENT SCREENING'!BE148="","",IFERROR(INDEX('SCORING MASTER'!$D$128:$D$129,MATCH('STUDENT SCREENING'!BE148,'SCORING MASTER'!$C$128:$C$129,0)),""))</f>
        <v/>
      </c>
      <c r="BG148" s="57" t="str">
        <f aca="false">IF('STUDENT SCREENING'!BP148="","",IFERROR(MATCH('STUDENT SCREENING'!BP148,{"Red - High Risk","Orange - Moderate Risk","Yellow - Mild Risk","Light Green - Mild Watch","Green - Healthy"},0)-1,""))</f>
        <v/>
      </c>
      <c r="BH148" s="57" t="str">
        <f aca="false">IF('STUDENT SCREENING'!BQ148="","",IF('STUDENT SCREENING'!BQ148="Yes",1,0))</f>
        <v/>
      </c>
      <c r="BI148" s="57" t="str">
        <f aca="false">IF('STUDENT SCREENING'!BR148="","",IF('STUDENT SCREENING'!BR148="Yes",1,0))</f>
        <v/>
      </c>
    </row>
    <row r="149" customFormat="false" ht="15" hidden="false" customHeight="false" outlineLevel="0" collapsed="false">
      <c r="A149" s="58" t="str">
        <f aca="false">'STUDENT SCREENING'!A149</f>
        <v/>
      </c>
      <c r="B149" s="58" t="n">
        <f aca="false">'STUDENT SCREENING'!C149</f>
        <v>0</v>
      </c>
      <c r="C149" s="58" t="n">
        <f aca="false">'STUDENT SCREENING'!D149</f>
        <v>0</v>
      </c>
      <c r="D149" s="58" t="n">
        <f aca="false">'STUDENT SCREENING'!E149</f>
        <v>0</v>
      </c>
      <c r="E149" s="58" t="n">
        <f aca="false">'STUDENT SCREENING'!F149</f>
        <v>0</v>
      </c>
      <c r="F149" s="58" t="n">
        <f aca="false">'STUDENT SCREENING'!K149</f>
        <v>0</v>
      </c>
      <c r="G149" s="58" t="n">
        <f aca="false">'STUDENT SCREENING'!J149</f>
        <v>0</v>
      </c>
      <c r="H149" s="58" t="str">
        <f aca="false">IF('STUDENT SCREENING'!K149="","",IFERROR(MATCH('STUDENT SCREENING'!K149,Adm_Gender,0),""))</f>
        <v/>
      </c>
      <c r="I149" s="58" t="n">
        <f aca="false">'STUDENT SCREENING'!Q149</f>
        <v>0</v>
      </c>
      <c r="J149" s="58" t="n">
        <f aca="false">'STUDENT SCREENING'!R149</f>
        <v>0</v>
      </c>
      <c r="K149" s="58" t="str">
        <f aca="false">'STUDENT SCREENING'!S149</f>
        <v/>
      </c>
      <c r="L149" s="58" t="n">
        <f aca="false">'STUDENT SCREENING'!U149</f>
        <v>0</v>
      </c>
      <c r="M149" s="58" t="n">
        <f aca="false">'STUDENT SCREENING'!V149</f>
        <v>0</v>
      </c>
      <c r="N149" s="58" t="str">
        <f aca="false">'STUDENT SCREENING'!BF149</f>
        <v/>
      </c>
      <c r="O149" s="58" t="str">
        <f aca="false">'STUDENT SCREENING'!BG149</f>
        <v/>
      </c>
      <c r="P149" s="58" t="str">
        <f aca="false">'STUDENT SCREENING'!BH149</f>
        <v/>
      </c>
      <c r="Q149" s="58" t="str">
        <f aca="false">'STUDENT SCREENING'!BI149</f>
        <v/>
      </c>
      <c r="R149" s="58" t="str">
        <f aca="false">'STUDENT SCREENING'!BJ149</f>
        <v/>
      </c>
      <c r="S149" s="58" t="str">
        <f aca="false">'STUDENT SCREENING'!BK149</f>
        <v/>
      </c>
      <c r="T149" s="58" t="str">
        <f aca="false">'STUDENT SCREENING'!BL149</f>
        <v/>
      </c>
      <c r="U149" s="58" t="str">
        <f aca="false">'STUDENT SCREENING'!BM149</f>
        <v/>
      </c>
      <c r="V149" s="58" t="str">
        <f aca="false">'STUDENT SCREENING'!BN149</f>
        <v/>
      </c>
      <c r="W149" s="58" t="str">
        <f aca="false">'STUDENT SCREENING'!BO149</f>
        <v/>
      </c>
      <c r="X149" s="58" t="str">
        <f aca="false">IF('STUDENT SCREENING'!W149="","",IFERROR(INDEX('SCORING MASTER'!$D$5:$D$7,MATCH('STUDENT SCREENING'!W149,'SCORING MASTER'!$C$5:$C$7,0)),""))</f>
        <v/>
      </c>
      <c r="Y149" s="58" t="str">
        <f aca="false">IF('STUDENT SCREENING'!X149="","",IFERROR(INDEX('SCORING MASTER'!$D$9:$D$11,MATCH('STUDENT SCREENING'!X149,'SCORING MASTER'!$C$9:$C$11,0)),""))</f>
        <v/>
      </c>
      <c r="Z149" s="58" t="str">
        <f aca="false">IF('STUDENT SCREENING'!Y149="","",IFERROR(INDEX('SCORING MASTER'!$D$13:$D$15,MATCH('STUDENT SCREENING'!Y149,'SCORING MASTER'!$C$13:$C$15,0)),""))</f>
        <v/>
      </c>
      <c r="AA149" s="58" t="str">
        <f aca="false">IF('STUDENT SCREENING'!Z149="","",IFERROR(INDEX('SCORING MASTER'!$D$17:$D$19,MATCH('STUDENT SCREENING'!Z149,'SCORING MASTER'!$C$17:$C$19,0)),""))</f>
        <v/>
      </c>
      <c r="AB149" s="58" t="str">
        <f aca="false">IF('STUDENT SCREENING'!AA149="","",IFERROR(INDEX('SCORING MASTER'!$D$21:$D$23,MATCH('STUDENT SCREENING'!AA149,'SCORING MASTER'!$C$21:$C$23,0)),""))</f>
        <v/>
      </c>
      <c r="AC149" s="58" t="str">
        <f aca="false">IF('STUDENT SCREENING'!AB149="","",IFERROR(INDEX('SCORING MASTER'!$D$25:$D$27,MATCH('STUDENT SCREENING'!AB149,'SCORING MASTER'!$C$25:$C$27,0)),""))</f>
        <v/>
      </c>
      <c r="AD149" s="58" t="str">
        <f aca="false">IF('STUDENT SCREENING'!AC149="","",IFERROR(INDEX('SCORING MASTER'!$D$29:$D$31,MATCH('STUDENT SCREENING'!AC149,'SCORING MASTER'!$C$29:$C$31,0)),""))</f>
        <v/>
      </c>
      <c r="AE149" s="58" t="str">
        <f aca="false">IF('STUDENT SCREENING'!AD149="","",IFERROR(INDEX('SCORING MASTER'!$D$33:$D$35,MATCH('STUDENT SCREENING'!AD149,'SCORING MASTER'!$C$33:$C$35,0)),""))</f>
        <v/>
      </c>
      <c r="AF149" s="58" t="str">
        <f aca="false">IF('STUDENT SCREENING'!AE149="","",IFERROR(INDEX('SCORING MASTER'!$D$37:$D$39,MATCH('STUDENT SCREENING'!AE149,'SCORING MASTER'!$C$37:$C$39,0)),""))</f>
        <v/>
      </c>
      <c r="AG149" s="58" t="str">
        <f aca="false">IF('STUDENT SCREENING'!AF149="","",IFERROR(INDEX('SCORING MASTER'!$D$41:$D$43,MATCH('STUDENT SCREENING'!AF149,'SCORING MASTER'!$C$41:$C$43,0)),""))</f>
        <v/>
      </c>
      <c r="AH149" s="58" t="str">
        <f aca="false">IF('STUDENT SCREENING'!AG149="","",IFERROR(INDEX('SCORING MASTER'!$D$45:$D$47,MATCH('STUDENT SCREENING'!AG149,'SCORING MASTER'!$C$45:$C$47,0)),""))</f>
        <v/>
      </c>
      <c r="AI149" s="58" t="str">
        <f aca="false">IF('STUDENT SCREENING'!AH149="","",IFERROR(INDEX('SCORING MASTER'!$D$49:$D$52,MATCH('STUDENT SCREENING'!AH149,'SCORING MASTER'!$C$49:$C$52,0)),""))</f>
        <v/>
      </c>
      <c r="AJ149" s="58" t="str">
        <f aca="false">IF('STUDENT SCREENING'!AI149="","",IFERROR(INDEX('SCORING MASTER'!$D$54:$D$57,MATCH('STUDENT SCREENING'!AI149,'SCORING MASTER'!$C$54:$C$57,0)),""))</f>
        <v/>
      </c>
      <c r="AK149" s="58" t="str">
        <f aca="false">IF('STUDENT SCREENING'!AJ149="","",IFERROR(INDEX('SCORING MASTER'!$D$59:$D$60,MATCH('STUDENT SCREENING'!AJ149,'SCORING MASTER'!$C$59:$C$60,0)),""))</f>
        <v/>
      </c>
      <c r="AL149" s="58" t="str">
        <f aca="false">IF('STUDENT SCREENING'!AK149="","",IFERROR(INDEX('SCORING MASTER'!$D$62:$D$63,MATCH('STUDENT SCREENING'!AK149,'SCORING MASTER'!$C$62:$C$63,0)),""))</f>
        <v/>
      </c>
      <c r="AM149" s="58" t="str">
        <f aca="false">IF('STUDENT SCREENING'!AL149="","",IFERROR(INDEX('SCORING MASTER'!$D$65:$D$66,MATCH('STUDENT SCREENING'!AL149,'SCORING MASTER'!$C$65:$C$66,0)),""))</f>
        <v/>
      </c>
      <c r="AN149" s="58" t="str">
        <f aca="false">IF('STUDENT SCREENING'!AM149="","",IFERROR(INDEX('SCORING MASTER'!$D$68:$D$69,MATCH('STUDENT SCREENING'!AM149,'SCORING MASTER'!$C$68:$C$69,0)),""))</f>
        <v/>
      </c>
      <c r="AO149" s="58" t="str">
        <f aca="false">IF('STUDENT SCREENING'!AN149="","",IFERROR(INDEX('SCORING MASTER'!$D$71:$D$72,MATCH('STUDENT SCREENING'!AN149,'SCORING MASTER'!$C$71:$C$72,0)),""))</f>
        <v/>
      </c>
      <c r="AP149" s="58" t="str">
        <f aca="false">IF('STUDENT SCREENING'!AO149="","",IFERROR(INDEX('SCORING MASTER'!$D$74:$D$75,MATCH('STUDENT SCREENING'!AO149,'SCORING MASTER'!$C$74:$C$75,0)),""))</f>
        <v/>
      </c>
      <c r="AQ149" s="58" t="str">
        <f aca="false">IF('STUDENT SCREENING'!AP149="","",IFERROR(INDEX('SCORING MASTER'!$D$77:$D$78,MATCH('STUDENT SCREENING'!AP149,'SCORING MASTER'!$C$77:$C$78,0)),""))</f>
        <v/>
      </c>
      <c r="AR149" s="58" t="str">
        <f aca="false">IF('STUDENT SCREENING'!AQ149="","",IFERROR(INDEX('SCORING MASTER'!$D$80:$D$82,MATCH('STUDENT SCREENING'!AQ149,'SCORING MASTER'!$C$80:$C$82,0)),""))</f>
        <v/>
      </c>
      <c r="AS149" s="58" t="str">
        <f aca="false">IF('STUDENT SCREENING'!AR149="","",IFERROR(INDEX('SCORING MASTER'!$D$84:$D$86,MATCH('STUDENT SCREENING'!AR149,'SCORING MASTER'!$C$84:$C$86,0)),""))</f>
        <v/>
      </c>
      <c r="AT149" s="58" t="str">
        <f aca="false">IF('STUDENT SCREENING'!AS149="","",IFERROR(INDEX('SCORING MASTER'!$D$88:$D$90,MATCH('STUDENT SCREENING'!AS149,'SCORING MASTER'!$C$88:$C$90,0)),""))</f>
        <v/>
      </c>
      <c r="AU149" s="58" t="str">
        <f aca="false">IF('STUDENT SCREENING'!AT149="","",IFERROR(INDEX('SCORING MASTER'!$D$92:$D$93,MATCH('STUDENT SCREENING'!AT149,'SCORING MASTER'!$C$92:$C$93,0)),""))</f>
        <v/>
      </c>
      <c r="AV149" s="58" t="str">
        <f aca="false">IF('STUDENT SCREENING'!AU149="","",IFERROR(INDEX('SCORING MASTER'!$D$95:$D$96,MATCH('STUDENT SCREENING'!AU149,'SCORING MASTER'!$C$95:$C$96,0)),""))</f>
        <v/>
      </c>
      <c r="AW149" s="58" t="str">
        <f aca="false">IF('STUDENT SCREENING'!AV149="","",IFERROR(INDEX('SCORING MASTER'!$D$98:$D$99,MATCH('STUDENT SCREENING'!AV149,'SCORING MASTER'!$C$98:$C$99,0)),""))</f>
        <v/>
      </c>
      <c r="AX149" s="58" t="str">
        <f aca="false">IF('STUDENT SCREENING'!AW149="","",IFERROR(INDEX('SCORING MASTER'!$D$101:$D$102,MATCH('STUDENT SCREENING'!AW149,'SCORING MASTER'!$C$101:$C$102,0)),""))</f>
        <v/>
      </c>
      <c r="AY149" s="58" t="str">
        <f aca="false">IF('STUDENT SCREENING'!AX149="","",IFERROR(INDEX('SCORING MASTER'!$D$104:$D$105,MATCH('STUDENT SCREENING'!AX149,'SCORING MASTER'!$C$104:$C$105,0)),""))</f>
        <v/>
      </c>
      <c r="AZ149" s="58" t="str">
        <f aca="false">IF('STUDENT SCREENING'!AY149="","",IFERROR(INDEX('SCORING MASTER'!$D$107:$D$108,MATCH('STUDENT SCREENING'!AY149,'SCORING MASTER'!$C$107:$C$108,0)),""))</f>
        <v/>
      </c>
      <c r="BA149" s="58" t="str">
        <f aca="false">IF('STUDENT SCREENING'!AZ149="","",IFERROR(INDEX('SCORING MASTER'!$D$110:$D$111,MATCH('STUDENT SCREENING'!AZ149,'SCORING MASTER'!$C$110:$C$111,0)),""))</f>
        <v/>
      </c>
      <c r="BB149" s="58" t="str">
        <f aca="false">IF('STUDENT SCREENING'!BA149="","",IFERROR(INDEX('SCORING MASTER'!$D$113:$D$115,MATCH('STUDENT SCREENING'!BA149,'SCORING MASTER'!$C$113:$C$115,0)),""))</f>
        <v/>
      </c>
      <c r="BC149" s="58" t="str">
        <f aca="false">IF('STUDENT SCREENING'!BB149="","",IFERROR(INDEX('SCORING MASTER'!$D$117:$D$119,MATCH('STUDENT SCREENING'!BB149,'SCORING MASTER'!$C$117:$C$119,0)),""))</f>
        <v/>
      </c>
      <c r="BD149" s="58" t="str">
        <f aca="false">IF('STUDENT SCREENING'!BC149="","",IFERROR(INDEX('SCORING MASTER'!$D$121:$D$123,MATCH('STUDENT SCREENING'!BC149,'SCORING MASTER'!$C$121:$C$123,0)),""))</f>
        <v/>
      </c>
      <c r="BE149" s="58" t="str">
        <f aca="false">IF('STUDENT SCREENING'!BD149="","",IFERROR(INDEX('SCORING MASTER'!$D$125:$D$126,MATCH('STUDENT SCREENING'!BD149,'SCORING MASTER'!$C$125:$C$126,0)),""))</f>
        <v/>
      </c>
      <c r="BF149" s="58" t="str">
        <f aca="false">IF('STUDENT SCREENING'!BE149="","",IFERROR(INDEX('SCORING MASTER'!$D$128:$D$129,MATCH('STUDENT SCREENING'!BE149,'SCORING MASTER'!$C$128:$C$129,0)),""))</f>
        <v/>
      </c>
      <c r="BG149" s="58" t="str">
        <f aca="false">IF('STUDENT SCREENING'!BP149="","",IFERROR(MATCH('STUDENT SCREENING'!BP149,{"Red - High Risk","Orange - Moderate Risk","Yellow - Mild Risk","Light Green - Mild Watch","Green - Healthy"},0)-1,""))</f>
        <v/>
      </c>
      <c r="BH149" s="58" t="str">
        <f aca="false">IF('STUDENT SCREENING'!BQ149="","",IF('STUDENT SCREENING'!BQ149="Yes",1,0))</f>
        <v/>
      </c>
      <c r="BI149" s="58" t="str">
        <f aca="false">IF('STUDENT SCREENING'!BR149="","",IF('STUDENT SCREENING'!BR149="Yes",1,0))</f>
        <v/>
      </c>
    </row>
    <row r="150" customFormat="false" ht="15" hidden="false" customHeight="false" outlineLevel="0" collapsed="false">
      <c r="A150" s="57" t="str">
        <f aca="false">'STUDENT SCREENING'!A150</f>
        <v/>
      </c>
      <c r="B150" s="57" t="n">
        <f aca="false">'STUDENT SCREENING'!C150</f>
        <v>0</v>
      </c>
      <c r="C150" s="57" t="n">
        <f aca="false">'STUDENT SCREENING'!D150</f>
        <v>0</v>
      </c>
      <c r="D150" s="57" t="n">
        <f aca="false">'STUDENT SCREENING'!E150</f>
        <v>0</v>
      </c>
      <c r="E150" s="57" t="n">
        <f aca="false">'STUDENT SCREENING'!F150</f>
        <v>0</v>
      </c>
      <c r="F150" s="57" t="n">
        <f aca="false">'STUDENT SCREENING'!K150</f>
        <v>0</v>
      </c>
      <c r="G150" s="57" t="n">
        <f aca="false">'STUDENT SCREENING'!J150</f>
        <v>0</v>
      </c>
      <c r="H150" s="57" t="str">
        <f aca="false">IF('STUDENT SCREENING'!K150="","",IFERROR(MATCH('STUDENT SCREENING'!K150,Adm_Gender,0),""))</f>
        <v/>
      </c>
      <c r="I150" s="57" t="n">
        <f aca="false">'STUDENT SCREENING'!Q150</f>
        <v>0</v>
      </c>
      <c r="J150" s="57" t="n">
        <f aca="false">'STUDENT SCREENING'!R150</f>
        <v>0</v>
      </c>
      <c r="K150" s="57" t="str">
        <f aca="false">'STUDENT SCREENING'!S150</f>
        <v/>
      </c>
      <c r="L150" s="57" t="n">
        <f aca="false">'STUDENT SCREENING'!U150</f>
        <v>0</v>
      </c>
      <c r="M150" s="57" t="n">
        <f aca="false">'STUDENT SCREENING'!V150</f>
        <v>0</v>
      </c>
      <c r="N150" s="57" t="str">
        <f aca="false">'STUDENT SCREENING'!BF150</f>
        <v/>
      </c>
      <c r="O150" s="57" t="str">
        <f aca="false">'STUDENT SCREENING'!BG150</f>
        <v/>
      </c>
      <c r="P150" s="57" t="str">
        <f aca="false">'STUDENT SCREENING'!BH150</f>
        <v/>
      </c>
      <c r="Q150" s="57" t="str">
        <f aca="false">'STUDENT SCREENING'!BI150</f>
        <v/>
      </c>
      <c r="R150" s="57" t="str">
        <f aca="false">'STUDENT SCREENING'!BJ150</f>
        <v/>
      </c>
      <c r="S150" s="57" t="str">
        <f aca="false">'STUDENT SCREENING'!BK150</f>
        <v/>
      </c>
      <c r="T150" s="57" t="str">
        <f aca="false">'STUDENT SCREENING'!BL150</f>
        <v/>
      </c>
      <c r="U150" s="57" t="str">
        <f aca="false">'STUDENT SCREENING'!BM150</f>
        <v/>
      </c>
      <c r="V150" s="57" t="str">
        <f aca="false">'STUDENT SCREENING'!BN150</f>
        <v/>
      </c>
      <c r="W150" s="57" t="str">
        <f aca="false">'STUDENT SCREENING'!BO150</f>
        <v/>
      </c>
      <c r="X150" s="57" t="str">
        <f aca="false">IF('STUDENT SCREENING'!W150="","",IFERROR(INDEX('SCORING MASTER'!$D$5:$D$7,MATCH('STUDENT SCREENING'!W150,'SCORING MASTER'!$C$5:$C$7,0)),""))</f>
        <v/>
      </c>
      <c r="Y150" s="57" t="str">
        <f aca="false">IF('STUDENT SCREENING'!X150="","",IFERROR(INDEX('SCORING MASTER'!$D$9:$D$11,MATCH('STUDENT SCREENING'!X150,'SCORING MASTER'!$C$9:$C$11,0)),""))</f>
        <v/>
      </c>
      <c r="Z150" s="57" t="str">
        <f aca="false">IF('STUDENT SCREENING'!Y150="","",IFERROR(INDEX('SCORING MASTER'!$D$13:$D$15,MATCH('STUDENT SCREENING'!Y150,'SCORING MASTER'!$C$13:$C$15,0)),""))</f>
        <v/>
      </c>
      <c r="AA150" s="57" t="str">
        <f aca="false">IF('STUDENT SCREENING'!Z150="","",IFERROR(INDEX('SCORING MASTER'!$D$17:$D$19,MATCH('STUDENT SCREENING'!Z150,'SCORING MASTER'!$C$17:$C$19,0)),""))</f>
        <v/>
      </c>
      <c r="AB150" s="57" t="str">
        <f aca="false">IF('STUDENT SCREENING'!AA150="","",IFERROR(INDEX('SCORING MASTER'!$D$21:$D$23,MATCH('STUDENT SCREENING'!AA150,'SCORING MASTER'!$C$21:$C$23,0)),""))</f>
        <v/>
      </c>
      <c r="AC150" s="57" t="str">
        <f aca="false">IF('STUDENT SCREENING'!AB150="","",IFERROR(INDEX('SCORING MASTER'!$D$25:$D$27,MATCH('STUDENT SCREENING'!AB150,'SCORING MASTER'!$C$25:$C$27,0)),""))</f>
        <v/>
      </c>
      <c r="AD150" s="57" t="str">
        <f aca="false">IF('STUDENT SCREENING'!AC150="","",IFERROR(INDEX('SCORING MASTER'!$D$29:$D$31,MATCH('STUDENT SCREENING'!AC150,'SCORING MASTER'!$C$29:$C$31,0)),""))</f>
        <v/>
      </c>
      <c r="AE150" s="57" t="str">
        <f aca="false">IF('STUDENT SCREENING'!AD150="","",IFERROR(INDEX('SCORING MASTER'!$D$33:$D$35,MATCH('STUDENT SCREENING'!AD150,'SCORING MASTER'!$C$33:$C$35,0)),""))</f>
        <v/>
      </c>
      <c r="AF150" s="57" t="str">
        <f aca="false">IF('STUDENT SCREENING'!AE150="","",IFERROR(INDEX('SCORING MASTER'!$D$37:$D$39,MATCH('STUDENT SCREENING'!AE150,'SCORING MASTER'!$C$37:$C$39,0)),""))</f>
        <v/>
      </c>
      <c r="AG150" s="57" t="str">
        <f aca="false">IF('STUDENT SCREENING'!AF150="","",IFERROR(INDEX('SCORING MASTER'!$D$41:$D$43,MATCH('STUDENT SCREENING'!AF150,'SCORING MASTER'!$C$41:$C$43,0)),""))</f>
        <v/>
      </c>
      <c r="AH150" s="57" t="str">
        <f aca="false">IF('STUDENT SCREENING'!AG150="","",IFERROR(INDEX('SCORING MASTER'!$D$45:$D$47,MATCH('STUDENT SCREENING'!AG150,'SCORING MASTER'!$C$45:$C$47,0)),""))</f>
        <v/>
      </c>
      <c r="AI150" s="57" t="str">
        <f aca="false">IF('STUDENT SCREENING'!AH150="","",IFERROR(INDEX('SCORING MASTER'!$D$49:$D$52,MATCH('STUDENT SCREENING'!AH150,'SCORING MASTER'!$C$49:$C$52,0)),""))</f>
        <v/>
      </c>
      <c r="AJ150" s="57" t="str">
        <f aca="false">IF('STUDENT SCREENING'!AI150="","",IFERROR(INDEX('SCORING MASTER'!$D$54:$D$57,MATCH('STUDENT SCREENING'!AI150,'SCORING MASTER'!$C$54:$C$57,0)),""))</f>
        <v/>
      </c>
      <c r="AK150" s="57" t="str">
        <f aca="false">IF('STUDENT SCREENING'!AJ150="","",IFERROR(INDEX('SCORING MASTER'!$D$59:$D$60,MATCH('STUDENT SCREENING'!AJ150,'SCORING MASTER'!$C$59:$C$60,0)),""))</f>
        <v/>
      </c>
      <c r="AL150" s="57" t="str">
        <f aca="false">IF('STUDENT SCREENING'!AK150="","",IFERROR(INDEX('SCORING MASTER'!$D$62:$D$63,MATCH('STUDENT SCREENING'!AK150,'SCORING MASTER'!$C$62:$C$63,0)),""))</f>
        <v/>
      </c>
      <c r="AM150" s="57" t="str">
        <f aca="false">IF('STUDENT SCREENING'!AL150="","",IFERROR(INDEX('SCORING MASTER'!$D$65:$D$66,MATCH('STUDENT SCREENING'!AL150,'SCORING MASTER'!$C$65:$C$66,0)),""))</f>
        <v/>
      </c>
      <c r="AN150" s="57" t="str">
        <f aca="false">IF('STUDENT SCREENING'!AM150="","",IFERROR(INDEX('SCORING MASTER'!$D$68:$D$69,MATCH('STUDENT SCREENING'!AM150,'SCORING MASTER'!$C$68:$C$69,0)),""))</f>
        <v/>
      </c>
      <c r="AO150" s="57" t="str">
        <f aca="false">IF('STUDENT SCREENING'!AN150="","",IFERROR(INDEX('SCORING MASTER'!$D$71:$D$72,MATCH('STUDENT SCREENING'!AN150,'SCORING MASTER'!$C$71:$C$72,0)),""))</f>
        <v/>
      </c>
      <c r="AP150" s="57" t="str">
        <f aca="false">IF('STUDENT SCREENING'!AO150="","",IFERROR(INDEX('SCORING MASTER'!$D$74:$D$75,MATCH('STUDENT SCREENING'!AO150,'SCORING MASTER'!$C$74:$C$75,0)),""))</f>
        <v/>
      </c>
      <c r="AQ150" s="57" t="str">
        <f aca="false">IF('STUDENT SCREENING'!AP150="","",IFERROR(INDEX('SCORING MASTER'!$D$77:$D$78,MATCH('STUDENT SCREENING'!AP150,'SCORING MASTER'!$C$77:$C$78,0)),""))</f>
        <v/>
      </c>
      <c r="AR150" s="57" t="str">
        <f aca="false">IF('STUDENT SCREENING'!AQ150="","",IFERROR(INDEX('SCORING MASTER'!$D$80:$D$82,MATCH('STUDENT SCREENING'!AQ150,'SCORING MASTER'!$C$80:$C$82,0)),""))</f>
        <v/>
      </c>
      <c r="AS150" s="57" t="str">
        <f aca="false">IF('STUDENT SCREENING'!AR150="","",IFERROR(INDEX('SCORING MASTER'!$D$84:$D$86,MATCH('STUDENT SCREENING'!AR150,'SCORING MASTER'!$C$84:$C$86,0)),""))</f>
        <v/>
      </c>
      <c r="AT150" s="57" t="str">
        <f aca="false">IF('STUDENT SCREENING'!AS150="","",IFERROR(INDEX('SCORING MASTER'!$D$88:$D$90,MATCH('STUDENT SCREENING'!AS150,'SCORING MASTER'!$C$88:$C$90,0)),""))</f>
        <v/>
      </c>
      <c r="AU150" s="57" t="str">
        <f aca="false">IF('STUDENT SCREENING'!AT150="","",IFERROR(INDEX('SCORING MASTER'!$D$92:$D$93,MATCH('STUDENT SCREENING'!AT150,'SCORING MASTER'!$C$92:$C$93,0)),""))</f>
        <v/>
      </c>
      <c r="AV150" s="57" t="str">
        <f aca="false">IF('STUDENT SCREENING'!AU150="","",IFERROR(INDEX('SCORING MASTER'!$D$95:$D$96,MATCH('STUDENT SCREENING'!AU150,'SCORING MASTER'!$C$95:$C$96,0)),""))</f>
        <v/>
      </c>
      <c r="AW150" s="57" t="str">
        <f aca="false">IF('STUDENT SCREENING'!AV150="","",IFERROR(INDEX('SCORING MASTER'!$D$98:$D$99,MATCH('STUDENT SCREENING'!AV150,'SCORING MASTER'!$C$98:$C$99,0)),""))</f>
        <v/>
      </c>
      <c r="AX150" s="57" t="str">
        <f aca="false">IF('STUDENT SCREENING'!AW150="","",IFERROR(INDEX('SCORING MASTER'!$D$101:$D$102,MATCH('STUDENT SCREENING'!AW150,'SCORING MASTER'!$C$101:$C$102,0)),""))</f>
        <v/>
      </c>
      <c r="AY150" s="57" t="str">
        <f aca="false">IF('STUDENT SCREENING'!AX150="","",IFERROR(INDEX('SCORING MASTER'!$D$104:$D$105,MATCH('STUDENT SCREENING'!AX150,'SCORING MASTER'!$C$104:$C$105,0)),""))</f>
        <v/>
      </c>
      <c r="AZ150" s="57" t="str">
        <f aca="false">IF('STUDENT SCREENING'!AY150="","",IFERROR(INDEX('SCORING MASTER'!$D$107:$D$108,MATCH('STUDENT SCREENING'!AY150,'SCORING MASTER'!$C$107:$C$108,0)),""))</f>
        <v/>
      </c>
      <c r="BA150" s="57" t="str">
        <f aca="false">IF('STUDENT SCREENING'!AZ150="","",IFERROR(INDEX('SCORING MASTER'!$D$110:$D$111,MATCH('STUDENT SCREENING'!AZ150,'SCORING MASTER'!$C$110:$C$111,0)),""))</f>
        <v/>
      </c>
      <c r="BB150" s="57" t="str">
        <f aca="false">IF('STUDENT SCREENING'!BA150="","",IFERROR(INDEX('SCORING MASTER'!$D$113:$D$115,MATCH('STUDENT SCREENING'!BA150,'SCORING MASTER'!$C$113:$C$115,0)),""))</f>
        <v/>
      </c>
      <c r="BC150" s="57" t="str">
        <f aca="false">IF('STUDENT SCREENING'!BB150="","",IFERROR(INDEX('SCORING MASTER'!$D$117:$D$119,MATCH('STUDENT SCREENING'!BB150,'SCORING MASTER'!$C$117:$C$119,0)),""))</f>
        <v/>
      </c>
      <c r="BD150" s="57" t="str">
        <f aca="false">IF('STUDENT SCREENING'!BC150="","",IFERROR(INDEX('SCORING MASTER'!$D$121:$D$123,MATCH('STUDENT SCREENING'!BC150,'SCORING MASTER'!$C$121:$C$123,0)),""))</f>
        <v/>
      </c>
      <c r="BE150" s="57" t="str">
        <f aca="false">IF('STUDENT SCREENING'!BD150="","",IFERROR(INDEX('SCORING MASTER'!$D$125:$D$126,MATCH('STUDENT SCREENING'!BD150,'SCORING MASTER'!$C$125:$C$126,0)),""))</f>
        <v/>
      </c>
      <c r="BF150" s="57" t="str">
        <f aca="false">IF('STUDENT SCREENING'!BE150="","",IFERROR(INDEX('SCORING MASTER'!$D$128:$D$129,MATCH('STUDENT SCREENING'!BE150,'SCORING MASTER'!$C$128:$C$129,0)),""))</f>
        <v/>
      </c>
      <c r="BG150" s="57" t="str">
        <f aca="false">IF('STUDENT SCREENING'!BP150="","",IFERROR(MATCH('STUDENT SCREENING'!BP150,{"Red - High Risk","Orange - Moderate Risk","Yellow - Mild Risk","Light Green - Mild Watch","Green - Healthy"},0)-1,""))</f>
        <v/>
      </c>
      <c r="BH150" s="57" t="str">
        <f aca="false">IF('STUDENT SCREENING'!BQ150="","",IF('STUDENT SCREENING'!BQ150="Yes",1,0))</f>
        <v/>
      </c>
      <c r="BI150" s="57" t="str">
        <f aca="false">IF('STUDENT SCREENING'!BR150="","",IF('STUDENT SCREENING'!BR150="Yes",1,0))</f>
        <v/>
      </c>
    </row>
    <row r="151" customFormat="false" ht="15" hidden="false" customHeight="false" outlineLevel="0" collapsed="false">
      <c r="A151" s="58" t="str">
        <f aca="false">'STUDENT SCREENING'!A151</f>
        <v/>
      </c>
      <c r="B151" s="58" t="n">
        <f aca="false">'STUDENT SCREENING'!C151</f>
        <v>0</v>
      </c>
      <c r="C151" s="58" t="n">
        <f aca="false">'STUDENT SCREENING'!D151</f>
        <v>0</v>
      </c>
      <c r="D151" s="58" t="n">
        <f aca="false">'STUDENT SCREENING'!E151</f>
        <v>0</v>
      </c>
      <c r="E151" s="58" t="n">
        <f aca="false">'STUDENT SCREENING'!F151</f>
        <v>0</v>
      </c>
      <c r="F151" s="58" t="n">
        <f aca="false">'STUDENT SCREENING'!K151</f>
        <v>0</v>
      </c>
      <c r="G151" s="58" t="n">
        <f aca="false">'STUDENT SCREENING'!J151</f>
        <v>0</v>
      </c>
      <c r="H151" s="58" t="str">
        <f aca="false">IF('STUDENT SCREENING'!K151="","",IFERROR(MATCH('STUDENT SCREENING'!K151,Adm_Gender,0),""))</f>
        <v/>
      </c>
      <c r="I151" s="58" t="n">
        <f aca="false">'STUDENT SCREENING'!Q151</f>
        <v>0</v>
      </c>
      <c r="J151" s="58" t="n">
        <f aca="false">'STUDENT SCREENING'!R151</f>
        <v>0</v>
      </c>
      <c r="K151" s="58" t="str">
        <f aca="false">'STUDENT SCREENING'!S151</f>
        <v/>
      </c>
      <c r="L151" s="58" t="n">
        <f aca="false">'STUDENT SCREENING'!U151</f>
        <v>0</v>
      </c>
      <c r="M151" s="58" t="n">
        <f aca="false">'STUDENT SCREENING'!V151</f>
        <v>0</v>
      </c>
      <c r="N151" s="58" t="str">
        <f aca="false">'STUDENT SCREENING'!BF151</f>
        <v/>
      </c>
      <c r="O151" s="58" t="str">
        <f aca="false">'STUDENT SCREENING'!BG151</f>
        <v/>
      </c>
      <c r="P151" s="58" t="str">
        <f aca="false">'STUDENT SCREENING'!BH151</f>
        <v/>
      </c>
      <c r="Q151" s="58" t="str">
        <f aca="false">'STUDENT SCREENING'!BI151</f>
        <v/>
      </c>
      <c r="R151" s="58" t="str">
        <f aca="false">'STUDENT SCREENING'!BJ151</f>
        <v/>
      </c>
      <c r="S151" s="58" t="str">
        <f aca="false">'STUDENT SCREENING'!BK151</f>
        <v/>
      </c>
      <c r="T151" s="58" t="str">
        <f aca="false">'STUDENT SCREENING'!BL151</f>
        <v/>
      </c>
      <c r="U151" s="58" t="str">
        <f aca="false">'STUDENT SCREENING'!BM151</f>
        <v/>
      </c>
      <c r="V151" s="58" t="str">
        <f aca="false">'STUDENT SCREENING'!BN151</f>
        <v/>
      </c>
      <c r="W151" s="58" t="str">
        <f aca="false">'STUDENT SCREENING'!BO151</f>
        <v/>
      </c>
      <c r="X151" s="58" t="str">
        <f aca="false">IF('STUDENT SCREENING'!W151="","",IFERROR(INDEX('SCORING MASTER'!$D$5:$D$7,MATCH('STUDENT SCREENING'!W151,'SCORING MASTER'!$C$5:$C$7,0)),""))</f>
        <v/>
      </c>
      <c r="Y151" s="58" t="str">
        <f aca="false">IF('STUDENT SCREENING'!X151="","",IFERROR(INDEX('SCORING MASTER'!$D$9:$D$11,MATCH('STUDENT SCREENING'!X151,'SCORING MASTER'!$C$9:$C$11,0)),""))</f>
        <v/>
      </c>
      <c r="Z151" s="58" t="str">
        <f aca="false">IF('STUDENT SCREENING'!Y151="","",IFERROR(INDEX('SCORING MASTER'!$D$13:$D$15,MATCH('STUDENT SCREENING'!Y151,'SCORING MASTER'!$C$13:$C$15,0)),""))</f>
        <v/>
      </c>
      <c r="AA151" s="58" t="str">
        <f aca="false">IF('STUDENT SCREENING'!Z151="","",IFERROR(INDEX('SCORING MASTER'!$D$17:$D$19,MATCH('STUDENT SCREENING'!Z151,'SCORING MASTER'!$C$17:$C$19,0)),""))</f>
        <v/>
      </c>
      <c r="AB151" s="58" t="str">
        <f aca="false">IF('STUDENT SCREENING'!AA151="","",IFERROR(INDEX('SCORING MASTER'!$D$21:$D$23,MATCH('STUDENT SCREENING'!AA151,'SCORING MASTER'!$C$21:$C$23,0)),""))</f>
        <v/>
      </c>
      <c r="AC151" s="58" t="str">
        <f aca="false">IF('STUDENT SCREENING'!AB151="","",IFERROR(INDEX('SCORING MASTER'!$D$25:$D$27,MATCH('STUDENT SCREENING'!AB151,'SCORING MASTER'!$C$25:$C$27,0)),""))</f>
        <v/>
      </c>
      <c r="AD151" s="58" t="str">
        <f aca="false">IF('STUDENT SCREENING'!AC151="","",IFERROR(INDEX('SCORING MASTER'!$D$29:$D$31,MATCH('STUDENT SCREENING'!AC151,'SCORING MASTER'!$C$29:$C$31,0)),""))</f>
        <v/>
      </c>
      <c r="AE151" s="58" t="str">
        <f aca="false">IF('STUDENT SCREENING'!AD151="","",IFERROR(INDEX('SCORING MASTER'!$D$33:$D$35,MATCH('STUDENT SCREENING'!AD151,'SCORING MASTER'!$C$33:$C$35,0)),""))</f>
        <v/>
      </c>
      <c r="AF151" s="58" t="str">
        <f aca="false">IF('STUDENT SCREENING'!AE151="","",IFERROR(INDEX('SCORING MASTER'!$D$37:$D$39,MATCH('STUDENT SCREENING'!AE151,'SCORING MASTER'!$C$37:$C$39,0)),""))</f>
        <v/>
      </c>
      <c r="AG151" s="58" t="str">
        <f aca="false">IF('STUDENT SCREENING'!AF151="","",IFERROR(INDEX('SCORING MASTER'!$D$41:$D$43,MATCH('STUDENT SCREENING'!AF151,'SCORING MASTER'!$C$41:$C$43,0)),""))</f>
        <v/>
      </c>
      <c r="AH151" s="58" t="str">
        <f aca="false">IF('STUDENT SCREENING'!AG151="","",IFERROR(INDEX('SCORING MASTER'!$D$45:$D$47,MATCH('STUDENT SCREENING'!AG151,'SCORING MASTER'!$C$45:$C$47,0)),""))</f>
        <v/>
      </c>
      <c r="AI151" s="58" t="str">
        <f aca="false">IF('STUDENT SCREENING'!AH151="","",IFERROR(INDEX('SCORING MASTER'!$D$49:$D$52,MATCH('STUDENT SCREENING'!AH151,'SCORING MASTER'!$C$49:$C$52,0)),""))</f>
        <v/>
      </c>
      <c r="AJ151" s="58" t="str">
        <f aca="false">IF('STUDENT SCREENING'!AI151="","",IFERROR(INDEX('SCORING MASTER'!$D$54:$D$57,MATCH('STUDENT SCREENING'!AI151,'SCORING MASTER'!$C$54:$C$57,0)),""))</f>
        <v/>
      </c>
      <c r="AK151" s="58" t="str">
        <f aca="false">IF('STUDENT SCREENING'!AJ151="","",IFERROR(INDEX('SCORING MASTER'!$D$59:$D$60,MATCH('STUDENT SCREENING'!AJ151,'SCORING MASTER'!$C$59:$C$60,0)),""))</f>
        <v/>
      </c>
      <c r="AL151" s="58" t="str">
        <f aca="false">IF('STUDENT SCREENING'!AK151="","",IFERROR(INDEX('SCORING MASTER'!$D$62:$D$63,MATCH('STUDENT SCREENING'!AK151,'SCORING MASTER'!$C$62:$C$63,0)),""))</f>
        <v/>
      </c>
      <c r="AM151" s="58" t="str">
        <f aca="false">IF('STUDENT SCREENING'!AL151="","",IFERROR(INDEX('SCORING MASTER'!$D$65:$D$66,MATCH('STUDENT SCREENING'!AL151,'SCORING MASTER'!$C$65:$C$66,0)),""))</f>
        <v/>
      </c>
      <c r="AN151" s="58" t="str">
        <f aca="false">IF('STUDENT SCREENING'!AM151="","",IFERROR(INDEX('SCORING MASTER'!$D$68:$D$69,MATCH('STUDENT SCREENING'!AM151,'SCORING MASTER'!$C$68:$C$69,0)),""))</f>
        <v/>
      </c>
      <c r="AO151" s="58" t="str">
        <f aca="false">IF('STUDENT SCREENING'!AN151="","",IFERROR(INDEX('SCORING MASTER'!$D$71:$D$72,MATCH('STUDENT SCREENING'!AN151,'SCORING MASTER'!$C$71:$C$72,0)),""))</f>
        <v/>
      </c>
      <c r="AP151" s="58" t="str">
        <f aca="false">IF('STUDENT SCREENING'!AO151="","",IFERROR(INDEX('SCORING MASTER'!$D$74:$D$75,MATCH('STUDENT SCREENING'!AO151,'SCORING MASTER'!$C$74:$C$75,0)),""))</f>
        <v/>
      </c>
      <c r="AQ151" s="58" t="str">
        <f aca="false">IF('STUDENT SCREENING'!AP151="","",IFERROR(INDEX('SCORING MASTER'!$D$77:$D$78,MATCH('STUDENT SCREENING'!AP151,'SCORING MASTER'!$C$77:$C$78,0)),""))</f>
        <v/>
      </c>
      <c r="AR151" s="58" t="str">
        <f aca="false">IF('STUDENT SCREENING'!AQ151="","",IFERROR(INDEX('SCORING MASTER'!$D$80:$D$82,MATCH('STUDENT SCREENING'!AQ151,'SCORING MASTER'!$C$80:$C$82,0)),""))</f>
        <v/>
      </c>
      <c r="AS151" s="58" t="str">
        <f aca="false">IF('STUDENT SCREENING'!AR151="","",IFERROR(INDEX('SCORING MASTER'!$D$84:$D$86,MATCH('STUDENT SCREENING'!AR151,'SCORING MASTER'!$C$84:$C$86,0)),""))</f>
        <v/>
      </c>
      <c r="AT151" s="58" t="str">
        <f aca="false">IF('STUDENT SCREENING'!AS151="","",IFERROR(INDEX('SCORING MASTER'!$D$88:$D$90,MATCH('STUDENT SCREENING'!AS151,'SCORING MASTER'!$C$88:$C$90,0)),""))</f>
        <v/>
      </c>
      <c r="AU151" s="58" t="str">
        <f aca="false">IF('STUDENT SCREENING'!AT151="","",IFERROR(INDEX('SCORING MASTER'!$D$92:$D$93,MATCH('STUDENT SCREENING'!AT151,'SCORING MASTER'!$C$92:$C$93,0)),""))</f>
        <v/>
      </c>
      <c r="AV151" s="58" t="str">
        <f aca="false">IF('STUDENT SCREENING'!AU151="","",IFERROR(INDEX('SCORING MASTER'!$D$95:$D$96,MATCH('STUDENT SCREENING'!AU151,'SCORING MASTER'!$C$95:$C$96,0)),""))</f>
        <v/>
      </c>
      <c r="AW151" s="58" t="str">
        <f aca="false">IF('STUDENT SCREENING'!AV151="","",IFERROR(INDEX('SCORING MASTER'!$D$98:$D$99,MATCH('STUDENT SCREENING'!AV151,'SCORING MASTER'!$C$98:$C$99,0)),""))</f>
        <v/>
      </c>
      <c r="AX151" s="58" t="str">
        <f aca="false">IF('STUDENT SCREENING'!AW151="","",IFERROR(INDEX('SCORING MASTER'!$D$101:$D$102,MATCH('STUDENT SCREENING'!AW151,'SCORING MASTER'!$C$101:$C$102,0)),""))</f>
        <v/>
      </c>
      <c r="AY151" s="58" t="str">
        <f aca="false">IF('STUDENT SCREENING'!AX151="","",IFERROR(INDEX('SCORING MASTER'!$D$104:$D$105,MATCH('STUDENT SCREENING'!AX151,'SCORING MASTER'!$C$104:$C$105,0)),""))</f>
        <v/>
      </c>
      <c r="AZ151" s="58" t="str">
        <f aca="false">IF('STUDENT SCREENING'!AY151="","",IFERROR(INDEX('SCORING MASTER'!$D$107:$D$108,MATCH('STUDENT SCREENING'!AY151,'SCORING MASTER'!$C$107:$C$108,0)),""))</f>
        <v/>
      </c>
      <c r="BA151" s="58" t="str">
        <f aca="false">IF('STUDENT SCREENING'!AZ151="","",IFERROR(INDEX('SCORING MASTER'!$D$110:$D$111,MATCH('STUDENT SCREENING'!AZ151,'SCORING MASTER'!$C$110:$C$111,0)),""))</f>
        <v/>
      </c>
      <c r="BB151" s="58" t="str">
        <f aca="false">IF('STUDENT SCREENING'!BA151="","",IFERROR(INDEX('SCORING MASTER'!$D$113:$D$115,MATCH('STUDENT SCREENING'!BA151,'SCORING MASTER'!$C$113:$C$115,0)),""))</f>
        <v/>
      </c>
      <c r="BC151" s="58" t="str">
        <f aca="false">IF('STUDENT SCREENING'!BB151="","",IFERROR(INDEX('SCORING MASTER'!$D$117:$D$119,MATCH('STUDENT SCREENING'!BB151,'SCORING MASTER'!$C$117:$C$119,0)),""))</f>
        <v/>
      </c>
      <c r="BD151" s="58" t="str">
        <f aca="false">IF('STUDENT SCREENING'!BC151="","",IFERROR(INDEX('SCORING MASTER'!$D$121:$D$123,MATCH('STUDENT SCREENING'!BC151,'SCORING MASTER'!$C$121:$C$123,0)),""))</f>
        <v/>
      </c>
      <c r="BE151" s="58" t="str">
        <f aca="false">IF('STUDENT SCREENING'!BD151="","",IFERROR(INDEX('SCORING MASTER'!$D$125:$D$126,MATCH('STUDENT SCREENING'!BD151,'SCORING MASTER'!$C$125:$C$126,0)),""))</f>
        <v/>
      </c>
      <c r="BF151" s="58" t="str">
        <f aca="false">IF('STUDENT SCREENING'!BE151="","",IFERROR(INDEX('SCORING MASTER'!$D$128:$D$129,MATCH('STUDENT SCREENING'!BE151,'SCORING MASTER'!$C$128:$C$129,0)),""))</f>
        <v/>
      </c>
      <c r="BG151" s="58" t="str">
        <f aca="false">IF('STUDENT SCREENING'!BP151="","",IFERROR(MATCH('STUDENT SCREENING'!BP151,{"Red - High Risk","Orange - Moderate Risk","Yellow - Mild Risk","Light Green - Mild Watch","Green - Healthy"},0)-1,""))</f>
        <v/>
      </c>
      <c r="BH151" s="58" t="str">
        <f aca="false">IF('STUDENT SCREENING'!BQ151="","",IF('STUDENT SCREENING'!BQ151="Yes",1,0))</f>
        <v/>
      </c>
      <c r="BI151" s="58" t="str">
        <f aca="false">IF('STUDENT SCREENING'!BR151="","",IF('STUDENT SCREENING'!BR151="Yes",1,0))</f>
        <v/>
      </c>
    </row>
    <row r="152" customFormat="false" ht="15" hidden="false" customHeight="false" outlineLevel="0" collapsed="false">
      <c r="A152" s="57" t="str">
        <f aca="false">'STUDENT SCREENING'!A152</f>
        <v/>
      </c>
      <c r="B152" s="57" t="n">
        <f aca="false">'STUDENT SCREENING'!C152</f>
        <v>0</v>
      </c>
      <c r="C152" s="57" t="n">
        <f aca="false">'STUDENT SCREENING'!D152</f>
        <v>0</v>
      </c>
      <c r="D152" s="57" t="n">
        <f aca="false">'STUDENT SCREENING'!E152</f>
        <v>0</v>
      </c>
      <c r="E152" s="57" t="n">
        <f aca="false">'STUDENT SCREENING'!F152</f>
        <v>0</v>
      </c>
      <c r="F152" s="57" t="n">
        <f aca="false">'STUDENT SCREENING'!K152</f>
        <v>0</v>
      </c>
      <c r="G152" s="57" t="n">
        <f aca="false">'STUDENT SCREENING'!J152</f>
        <v>0</v>
      </c>
      <c r="H152" s="57" t="str">
        <f aca="false">IF('STUDENT SCREENING'!K152="","",IFERROR(MATCH('STUDENT SCREENING'!K152,Adm_Gender,0),""))</f>
        <v/>
      </c>
      <c r="I152" s="57" t="n">
        <f aca="false">'STUDENT SCREENING'!Q152</f>
        <v>0</v>
      </c>
      <c r="J152" s="57" t="n">
        <f aca="false">'STUDENT SCREENING'!R152</f>
        <v>0</v>
      </c>
      <c r="K152" s="57" t="str">
        <f aca="false">'STUDENT SCREENING'!S152</f>
        <v/>
      </c>
      <c r="L152" s="57" t="n">
        <f aca="false">'STUDENT SCREENING'!U152</f>
        <v>0</v>
      </c>
      <c r="M152" s="57" t="n">
        <f aca="false">'STUDENT SCREENING'!V152</f>
        <v>0</v>
      </c>
      <c r="N152" s="57" t="str">
        <f aca="false">'STUDENT SCREENING'!BF152</f>
        <v/>
      </c>
      <c r="O152" s="57" t="str">
        <f aca="false">'STUDENT SCREENING'!BG152</f>
        <v/>
      </c>
      <c r="P152" s="57" t="str">
        <f aca="false">'STUDENT SCREENING'!BH152</f>
        <v/>
      </c>
      <c r="Q152" s="57" t="str">
        <f aca="false">'STUDENT SCREENING'!BI152</f>
        <v/>
      </c>
      <c r="R152" s="57" t="str">
        <f aca="false">'STUDENT SCREENING'!BJ152</f>
        <v/>
      </c>
      <c r="S152" s="57" t="str">
        <f aca="false">'STUDENT SCREENING'!BK152</f>
        <v/>
      </c>
      <c r="T152" s="57" t="str">
        <f aca="false">'STUDENT SCREENING'!BL152</f>
        <v/>
      </c>
      <c r="U152" s="57" t="str">
        <f aca="false">'STUDENT SCREENING'!BM152</f>
        <v/>
      </c>
      <c r="V152" s="57" t="str">
        <f aca="false">'STUDENT SCREENING'!BN152</f>
        <v/>
      </c>
      <c r="W152" s="57" t="str">
        <f aca="false">'STUDENT SCREENING'!BO152</f>
        <v/>
      </c>
      <c r="X152" s="57" t="str">
        <f aca="false">IF('STUDENT SCREENING'!W152="","",IFERROR(INDEX('SCORING MASTER'!$D$5:$D$7,MATCH('STUDENT SCREENING'!W152,'SCORING MASTER'!$C$5:$C$7,0)),""))</f>
        <v/>
      </c>
      <c r="Y152" s="57" t="str">
        <f aca="false">IF('STUDENT SCREENING'!X152="","",IFERROR(INDEX('SCORING MASTER'!$D$9:$D$11,MATCH('STUDENT SCREENING'!X152,'SCORING MASTER'!$C$9:$C$11,0)),""))</f>
        <v/>
      </c>
      <c r="Z152" s="57" t="str">
        <f aca="false">IF('STUDENT SCREENING'!Y152="","",IFERROR(INDEX('SCORING MASTER'!$D$13:$D$15,MATCH('STUDENT SCREENING'!Y152,'SCORING MASTER'!$C$13:$C$15,0)),""))</f>
        <v/>
      </c>
      <c r="AA152" s="57" t="str">
        <f aca="false">IF('STUDENT SCREENING'!Z152="","",IFERROR(INDEX('SCORING MASTER'!$D$17:$D$19,MATCH('STUDENT SCREENING'!Z152,'SCORING MASTER'!$C$17:$C$19,0)),""))</f>
        <v/>
      </c>
      <c r="AB152" s="57" t="str">
        <f aca="false">IF('STUDENT SCREENING'!AA152="","",IFERROR(INDEX('SCORING MASTER'!$D$21:$D$23,MATCH('STUDENT SCREENING'!AA152,'SCORING MASTER'!$C$21:$C$23,0)),""))</f>
        <v/>
      </c>
      <c r="AC152" s="57" t="str">
        <f aca="false">IF('STUDENT SCREENING'!AB152="","",IFERROR(INDEX('SCORING MASTER'!$D$25:$D$27,MATCH('STUDENT SCREENING'!AB152,'SCORING MASTER'!$C$25:$C$27,0)),""))</f>
        <v/>
      </c>
      <c r="AD152" s="57" t="str">
        <f aca="false">IF('STUDENT SCREENING'!AC152="","",IFERROR(INDEX('SCORING MASTER'!$D$29:$D$31,MATCH('STUDENT SCREENING'!AC152,'SCORING MASTER'!$C$29:$C$31,0)),""))</f>
        <v/>
      </c>
      <c r="AE152" s="57" t="str">
        <f aca="false">IF('STUDENT SCREENING'!AD152="","",IFERROR(INDEX('SCORING MASTER'!$D$33:$D$35,MATCH('STUDENT SCREENING'!AD152,'SCORING MASTER'!$C$33:$C$35,0)),""))</f>
        <v/>
      </c>
      <c r="AF152" s="57" t="str">
        <f aca="false">IF('STUDENT SCREENING'!AE152="","",IFERROR(INDEX('SCORING MASTER'!$D$37:$D$39,MATCH('STUDENT SCREENING'!AE152,'SCORING MASTER'!$C$37:$C$39,0)),""))</f>
        <v/>
      </c>
      <c r="AG152" s="57" t="str">
        <f aca="false">IF('STUDENT SCREENING'!AF152="","",IFERROR(INDEX('SCORING MASTER'!$D$41:$D$43,MATCH('STUDENT SCREENING'!AF152,'SCORING MASTER'!$C$41:$C$43,0)),""))</f>
        <v/>
      </c>
      <c r="AH152" s="57" t="str">
        <f aca="false">IF('STUDENT SCREENING'!AG152="","",IFERROR(INDEX('SCORING MASTER'!$D$45:$D$47,MATCH('STUDENT SCREENING'!AG152,'SCORING MASTER'!$C$45:$C$47,0)),""))</f>
        <v/>
      </c>
      <c r="AI152" s="57" t="str">
        <f aca="false">IF('STUDENT SCREENING'!AH152="","",IFERROR(INDEX('SCORING MASTER'!$D$49:$D$52,MATCH('STUDENT SCREENING'!AH152,'SCORING MASTER'!$C$49:$C$52,0)),""))</f>
        <v/>
      </c>
      <c r="AJ152" s="57" t="str">
        <f aca="false">IF('STUDENT SCREENING'!AI152="","",IFERROR(INDEX('SCORING MASTER'!$D$54:$D$57,MATCH('STUDENT SCREENING'!AI152,'SCORING MASTER'!$C$54:$C$57,0)),""))</f>
        <v/>
      </c>
      <c r="AK152" s="57" t="str">
        <f aca="false">IF('STUDENT SCREENING'!AJ152="","",IFERROR(INDEX('SCORING MASTER'!$D$59:$D$60,MATCH('STUDENT SCREENING'!AJ152,'SCORING MASTER'!$C$59:$C$60,0)),""))</f>
        <v/>
      </c>
      <c r="AL152" s="57" t="str">
        <f aca="false">IF('STUDENT SCREENING'!AK152="","",IFERROR(INDEX('SCORING MASTER'!$D$62:$D$63,MATCH('STUDENT SCREENING'!AK152,'SCORING MASTER'!$C$62:$C$63,0)),""))</f>
        <v/>
      </c>
      <c r="AM152" s="57" t="str">
        <f aca="false">IF('STUDENT SCREENING'!AL152="","",IFERROR(INDEX('SCORING MASTER'!$D$65:$D$66,MATCH('STUDENT SCREENING'!AL152,'SCORING MASTER'!$C$65:$C$66,0)),""))</f>
        <v/>
      </c>
      <c r="AN152" s="57" t="str">
        <f aca="false">IF('STUDENT SCREENING'!AM152="","",IFERROR(INDEX('SCORING MASTER'!$D$68:$D$69,MATCH('STUDENT SCREENING'!AM152,'SCORING MASTER'!$C$68:$C$69,0)),""))</f>
        <v/>
      </c>
      <c r="AO152" s="57" t="str">
        <f aca="false">IF('STUDENT SCREENING'!AN152="","",IFERROR(INDEX('SCORING MASTER'!$D$71:$D$72,MATCH('STUDENT SCREENING'!AN152,'SCORING MASTER'!$C$71:$C$72,0)),""))</f>
        <v/>
      </c>
      <c r="AP152" s="57" t="str">
        <f aca="false">IF('STUDENT SCREENING'!AO152="","",IFERROR(INDEX('SCORING MASTER'!$D$74:$D$75,MATCH('STUDENT SCREENING'!AO152,'SCORING MASTER'!$C$74:$C$75,0)),""))</f>
        <v/>
      </c>
      <c r="AQ152" s="57" t="str">
        <f aca="false">IF('STUDENT SCREENING'!AP152="","",IFERROR(INDEX('SCORING MASTER'!$D$77:$D$78,MATCH('STUDENT SCREENING'!AP152,'SCORING MASTER'!$C$77:$C$78,0)),""))</f>
        <v/>
      </c>
      <c r="AR152" s="57" t="str">
        <f aca="false">IF('STUDENT SCREENING'!AQ152="","",IFERROR(INDEX('SCORING MASTER'!$D$80:$D$82,MATCH('STUDENT SCREENING'!AQ152,'SCORING MASTER'!$C$80:$C$82,0)),""))</f>
        <v/>
      </c>
      <c r="AS152" s="57" t="str">
        <f aca="false">IF('STUDENT SCREENING'!AR152="","",IFERROR(INDEX('SCORING MASTER'!$D$84:$D$86,MATCH('STUDENT SCREENING'!AR152,'SCORING MASTER'!$C$84:$C$86,0)),""))</f>
        <v/>
      </c>
      <c r="AT152" s="57" t="str">
        <f aca="false">IF('STUDENT SCREENING'!AS152="","",IFERROR(INDEX('SCORING MASTER'!$D$88:$D$90,MATCH('STUDENT SCREENING'!AS152,'SCORING MASTER'!$C$88:$C$90,0)),""))</f>
        <v/>
      </c>
      <c r="AU152" s="57" t="str">
        <f aca="false">IF('STUDENT SCREENING'!AT152="","",IFERROR(INDEX('SCORING MASTER'!$D$92:$D$93,MATCH('STUDENT SCREENING'!AT152,'SCORING MASTER'!$C$92:$C$93,0)),""))</f>
        <v/>
      </c>
      <c r="AV152" s="57" t="str">
        <f aca="false">IF('STUDENT SCREENING'!AU152="","",IFERROR(INDEX('SCORING MASTER'!$D$95:$D$96,MATCH('STUDENT SCREENING'!AU152,'SCORING MASTER'!$C$95:$C$96,0)),""))</f>
        <v/>
      </c>
      <c r="AW152" s="57" t="str">
        <f aca="false">IF('STUDENT SCREENING'!AV152="","",IFERROR(INDEX('SCORING MASTER'!$D$98:$D$99,MATCH('STUDENT SCREENING'!AV152,'SCORING MASTER'!$C$98:$C$99,0)),""))</f>
        <v/>
      </c>
      <c r="AX152" s="57" t="str">
        <f aca="false">IF('STUDENT SCREENING'!AW152="","",IFERROR(INDEX('SCORING MASTER'!$D$101:$D$102,MATCH('STUDENT SCREENING'!AW152,'SCORING MASTER'!$C$101:$C$102,0)),""))</f>
        <v/>
      </c>
      <c r="AY152" s="57" t="str">
        <f aca="false">IF('STUDENT SCREENING'!AX152="","",IFERROR(INDEX('SCORING MASTER'!$D$104:$D$105,MATCH('STUDENT SCREENING'!AX152,'SCORING MASTER'!$C$104:$C$105,0)),""))</f>
        <v/>
      </c>
      <c r="AZ152" s="57" t="str">
        <f aca="false">IF('STUDENT SCREENING'!AY152="","",IFERROR(INDEX('SCORING MASTER'!$D$107:$D$108,MATCH('STUDENT SCREENING'!AY152,'SCORING MASTER'!$C$107:$C$108,0)),""))</f>
        <v/>
      </c>
      <c r="BA152" s="57" t="str">
        <f aca="false">IF('STUDENT SCREENING'!AZ152="","",IFERROR(INDEX('SCORING MASTER'!$D$110:$D$111,MATCH('STUDENT SCREENING'!AZ152,'SCORING MASTER'!$C$110:$C$111,0)),""))</f>
        <v/>
      </c>
      <c r="BB152" s="57" t="str">
        <f aca="false">IF('STUDENT SCREENING'!BA152="","",IFERROR(INDEX('SCORING MASTER'!$D$113:$D$115,MATCH('STUDENT SCREENING'!BA152,'SCORING MASTER'!$C$113:$C$115,0)),""))</f>
        <v/>
      </c>
      <c r="BC152" s="57" t="str">
        <f aca="false">IF('STUDENT SCREENING'!BB152="","",IFERROR(INDEX('SCORING MASTER'!$D$117:$D$119,MATCH('STUDENT SCREENING'!BB152,'SCORING MASTER'!$C$117:$C$119,0)),""))</f>
        <v/>
      </c>
      <c r="BD152" s="57" t="str">
        <f aca="false">IF('STUDENT SCREENING'!BC152="","",IFERROR(INDEX('SCORING MASTER'!$D$121:$D$123,MATCH('STUDENT SCREENING'!BC152,'SCORING MASTER'!$C$121:$C$123,0)),""))</f>
        <v/>
      </c>
      <c r="BE152" s="57" t="str">
        <f aca="false">IF('STUDENT SCREENING'!BD152="","",IFERROR(INDEX('SCORING MASTER'!$D$125:$D$126,MATCH('STUDENT SCREENING'!BD152,'SCORING MASTER'!$C$125:$C$126,0)),""))</f>
        <v/>
      </c>
      <c r="BF152" s="57" t="str">
        <f aca="false">IF('STUDENT SCREENING'!BE152="","",IFERROR(INDEX('SCORING MASTER'!$D$128:$D$129,MATCH('STUDENT SCREENING'!BE152,'SCORING MASTER'!$C$128:$C$129,0)),""))</f>
        <v/>
      </c>
      <c r="BG152" s="57" t="str">
        <f aca="false">IF('STUDENT SCREENING'!BP152="","",IFERROR(MATCH('STUDENT SCREENING'!BP152,{"Red - High Risk","Orange - Moderate Risk","Yellow - Mild Risk","Light Green - Mild Watch","Green - Healthy"},0)-1,""))</f>
        <v/>
      </c>
      <c r="BH152" s="57" t="str">
        <f aca="false">IF('STUDENT SCREENING'!BQ152="","",IF('STUDENT SCREENING'!BQ152="Yes",1,0))</f>
        <v/>
      </c>
      <c r="BI152" s="57" t="str">
        <f aca="false">IF('STUDENT SCREENING'!BR152="","",IF('STUDENT SCREENING'!BR152="Yes",1,0))</f>
        <v/>
      </c>
    </row>
    <row r="153" customFormat="false" ht="15" hidden="false" customHeight="false" outlineLevel="0" collapsed="false">
      <c r="A153" s="58" t="str">
        <f aca="false">'STUDENT SCREENING'!A153</f>
        <v/>
      </c>
      <c r="B153" s="58" t="n">
        <f aca="false">'STUDENT SCREENING'!C153</f>
        <v>0</v>
      </c>
      <c r="C153" s="58" t="n">
        <f aca="false">'STUDENT SCREENING'!D153</f>
        <v>0</v>
      </c>
      <c r="D153" s="58" t="n">
        <f aca="false">'STUDENT SCREENING'!E153</f>
        <v>0</v>
      </c>
      <c r="E153" s="58" t="n">
        <f aca="false">'STUDENT SCREENING'!F153</f>
        <v>0</v>
      </c>
      <c r="F153" s="58" t="n">
        <f aca="false">'STUDENT SCREENING'!K153</f>
        <v>0</v>
      </c>
      <c r="G153" s="58" t="n">
        <f aca="false">'STUDENT SCREENING'!J153</f>
        <v>0</v>
      </c>
      <c r="H153" s="58" t="str">
        <f aca="false">IF('STUDENT SCREENING'!K153="","",IFERROR(MATCH('STUDENT SCREENING'!K153,Adm_Gender,0),""))</f>
        <v/>
      </c>
      <c r="I153" s="58" t="n">
        <f aca="false">'STUDENT SCREENING'!Q153</f>
        <v>0</v>
      </c>
      <c r="J153" s="58" t="n">
        <f aca="false">'STUDENT SCREENING'!R153</f>
        <v>0</v>
      </c>
      <c r="K153" s="58" t="str">
        <f aca="false">'STUDENT SCREENING'!S153</f>
        <v/>
      </c>
      <c r="L153" s="58" t="n">
        <f aca="false">'STUDENT SCREENING'!U153</f>
        <v>0</v>
      </c>
      <c r="M153" s="58" t="n">
        <f aca="false">'STUDENT SCREENING'!V153</f>
        <v>0</v>
      </c>
      <c r="N153" s="58" t="str">
        <f aca="false">'STUDENT SCREENING'!BF153</f>
        <v/>
      </c>
      <c r="O153" s="58" t="str">
        <f aca="false">'STUDENT SCREENING'!BG153</f>
        <v/>
      </c>
      <c r="P153" s="58" t="str">
        <f aca="false">'STUDENT SCREENING'!BH153</f>
        <v/>
      </c>
      <c r="Q153" s="58" t="str">
        <f aca="false">'STUDENT SCREENING'!BI153</f>
        <v/>
      </c>
      <c r="R153" s="58" t="str">
        <f aca="false">'STUDENT SCREENING'!BJ153</f>
        <v/>
      </c>
      <c r="S153" s="58" t="str">
        <f aca="false">'STUDENT SCREENING'!BK153</f>
        <v/>
      </c>
      <c r="T153" s="58" t="str">
        <f aca="false">'STUDENT SCREENING'!BL153</f>
        <v/>
      </c>
      <c r="U153" s="58" t="str">
        <f aca="false">'STUDENT SCREENING'!BM153</f>
        <v/>
      </c>
      <c r="V153" s="58" t="str">
        <f aca="false">'STUDENT SCREENING'!BN153</f>
        <v/>
      </c>
      <c r="W153" s="58" t="str">
        <f aca="false">'STUDENT SCREENING'!BO153</f>
        <v/>
      </c>
      <c r="X153" s="58" t="str">
        <f aca="false">IF('STUDENT SCREENING'!W153="","",IFERROR(INDEX('SCORING MASTER'!$D$5:$D$7,MATCH('STUDENT SCREENING'!W153,'SCORING MASTER'!$C$5:$C$7,0)),""))</f>
        <v/>
      </c>
      <c r="Y153" s="58" t="str">
        <f aca="false">IF('STUDENT SCREENING'!X153="","",IFERROR(INDEX('SCORING MASTER'!$D$9:$D$11,MATCH('STUDENT SCREENING'!X153,'SCORING MASTER'!$C$9:$C$11,0)),""))</f>
        <v/>
      </c>
      <c r="Z153" s="58" t="str">
        <f aca="false">IF('STUDENT SCREENING'!Y153="","",IFERROR(INDEX('SCORING MASTER'!$D$13:$D$15,MATCH('STUDENT SCREENING'!Y153,'SCORING MASTER'!$C$13:$C$15,0)),""))</f>
        <v/>
      </c>
      <c r="AA153" s="58" t="str">
        <f aca="false">IF('STUDENT SCREENING'!Z153="","",IFERROR(INDEX('SCORING MASTER'!$D$17:$D$19,MATCH('STUDENT SCREENING'!Z153,'SCORING MASTER'!$C$17:$C$19,0)),""))</f>
        <v/>
      </c>
      <c r="AB153" s="58" t="str">
        <f aca="false">IF('STUDENT SCREENING'!AA153="","",IFERROR(INDEX('SCORING MASTER'!$D$21:$D$23,MATCH('STUDENT SCREENING'!AA153,'SCORING MASTER'!$C$21:$C$23,0)),""))</f>
        <v/>
      </c>
      <c r="AC153" s="58" t="str">
        <f aca="false">IF('STUDENT SCREENING'!AB153="","",IFERROR(INDEX('SCORING MASTER'!$D$25:$D$27,MATCH('STUDENT SCREENING'!AB153,'SCORING MASTER'!$C$25:$C$27,0)),""))</f>
        <v/>
      </c>
      <c r="AD153" s="58" t="str">
        <f aca="false">IF('STUDENT SCREENING'!AC153="","",IFERROR(INDEX('SCORING MASTER'!$D$29:$D$31,MATCH('STUDENT SCREENING'!AC153,'SCORING MASTER'!$C$29:$C$31,0)),""))</f>
        <v/>
      </c>
      <c r="AE153" s="58" t="str">
        <f aca="false">IF('STUDENT SCREENING'!AD153="","",IFERROR(INDEX('SCORING MASTER'!$D$33:$D$35,MATCH('STUDENT SCREENING'!AD153,'SCORING MASTER'!$C$33:$C$35,0)),""))</f>
        <v/>
      </c>
      <c r="AF153" s="58" t="str">
        <f aca="false">IF('STUDENT SCREENING'!AE153="","",IFERROR(INDEX('SCORING MASTER'!$D$37:$D$39,MATCH('STUDENT SCREENING'!AE153,'SCORING MASTER'!$C$37:$C$39,0)),""))</f>
        <v/>
      </c>
      <c r="AG153" s="58" t="str">
        <f aca="false">IF('STUDENT SCREENING'!AF153="","",IFERROR(INDEX('SCORING MASTER'!$D$41:$D$43,MATCH('STUDENT SCREENING'!AF153,'SCORING MASTER'!$C$41:$C$43,0)),""))</f>
        <v/>
      </c>
      <c r="AH153" s="58" t="str">
        <f aca="false">IF('STUDENT SCREENING'!AG153="","",IFERROR(INDEX('SCORING MASTER'!$D$45:$D$47,MATCH('STUDENT SCREENING'!AG153,'SCORING MASTER'!$C$45:$C$47,0)),""))</f>
        <v/>
      </c>
      <c r="AI153" s="58" t="str">
        <f aca="false">IF('STUDENT SCREENING'!AH153="","",IFERROR(INDEX('SCORING MASTER'!$D$49:$D$52,MATCH('STUDENT SCREENING'!AH153,'SCORING MASTER'!$C$49:$C$52,0)),""))</f>
        <v/>
      </c>
      <c r="AJ153" s="58" t="str">
        <f aca="false">IF('STUDENT SCREENING'!AI153="","",IFERROR(INDEX('SCORING MASTER'!$D$54:$D$57,MATCH('STUDENT SCREENING'!AI153,'SCORING MASTER'!$C$54:$C$57,0)),""))</f>
        <v/>
      </c>
      <c r="AK153" s="58" t="str">
        <f aca="false">IF('STUDENT SCREENING'!AJ153="","",IFERROR(INDEX('SCORING MASTER'!$D$59:$D$60,MATCH('STUDENT SCREENING'!AJ153,'SCORING MASTER'!$C$59:$C$60,0)),""))</f>
        <v/>
      </c>
      <c r="AL153" s="58" t="str">
        <f aca="false">IF('STUDENT SCREENING'!AK153="","",IFERROR(INDEX('SCORING MASTER'!$D$62:$D$63,MATCH('STUDENT SCREENING'!AK153,'SCORING MASTER'!$C$62:$C$63,0)),""))</f>
        <v/>
      </c>
      <c r="AM153" s="58" t="str">
        <f aca="false">IF('STUDENT SCREENING'!AL153="","",IFERROR(INDEX('SCORING MASTER'!$D$65:$D$66,MATCH('STUDENT SCREENING'!AL153,'SCORING MASTER'!$C$65:$C$66,0)),""))</f>
        <v/>
      </c>
      <c r="AN153" s="58" t="str">
        <f aca="false">IF('STUDENT SCREENING'!AM153="","",IFERROR(INDEX('SCORING MASTER'!$D$68:$D$69,MATCH('STUDENT SCREENING'!AM153,'SCORING MASTER'!$C$68:$C$69,0)),""))</f>
        <v/>
      </c>
      <c r="AO153" s="58" t="str">
        <f aca="false">IF('STUDENT SCREENING'!AN153="","",IFERROR(INDEX('SCORING MASTER'!$D$71:$D$72,MATCH('STUDENT SCREENING'!AN153,'SCORING MASTER'!$C$71:$C$72,0)),""))</f>
        <v/>
      </c>
      <c r="AP153" s="58" t="str">
        <f aca="false">IF('STUDENT SCREENING'!AO153="","",IFERROR(INDEX('SCORING MASTER'!$D$74:$D$75,MATCH('STUDENT SCREENING'!AO153,'SCORING MASTER'!$C$74:$C$75,0)),""))</f>
        <v/>
      </c>
      <c r="AQ153" s="58" t="str">
        <f aca="false">IF('STUDENT SCREENING'!AP153="","",IFERROR(INDEX('SCORING MASTER'!$D$77:$D$78,MATCH('STUDENT SCREENING'!AP153,'SCORING MASTER'!$C$77:$C$78,0)),""))</f>
        <v/>
      </c>
      <c r="AR153" s="58" t="str">
        <f aca="false">IF('STUDENT SCREENING'!AQ153="","",IFERROR(INDEX('SCORING MASTER'!$D$80:$D$82,MATCH('STUDENT SCREENING'!AQ153,'SCORING MASTER'!$C$80:$C$82,0)),""))</f>
        <v/>
      </c>
      <c r="AS153" s="58" t="str">
        <f aca="false">IF('STUDENT SCREENING'!AR153="","",IFERROR(INDEX('SCORING MASTER'!$D$84:$D$86,MATCH('STUDENT SCREENING'!AR153,'SCORING MASTER'!$C$84:$C$86,0)),""))</f>
        <v/>
      </c>
      <c r="AT153" s="58" t="str">
        <f aca="false">IF('STUDENT SCREENING'!AS153="","",IFERROR(INDEX('SCORING MASTER'!$D$88:$D$90,MATCH('STUDENT SCREENING'!AS153,'SCORING MASTER'!$C$88:$C$90,0)),""))</f>
        <v/>
      </c>
      <c r="AU153" s="58" t="str">
        <f aca="false">IF('STUDENT SCREENING'!AT153="","",IFERROR(INDEX('SCORING MASTER'!$D$92:$D$93,MATCH('STUDENT SCREENING'!AT153,'SCORING MASTER'!$C$92:$C$93,0)),""))</f>
        <v/>
      </c>
      <c r="AV153" s="58" t="str">
        <f aca="false">IF('STUDENT SCREENING'!AU153="","",IFERROR(INDEX('SCORING MASTER'!$D$95:$D$96,MATCH('STUDENT SCREENING'!AU153,'SCORING MASTER'!$C$95:$C$96,0)),""))</f>
        <v/>
      </c>
      <c r="AW153" s="58" t="str">
        <f aca="false">IF('STUDENT SCREENING'!AV153="","",IFERROR(INDEX('SCORING MASTER'!$D$98:$D$99,MATCH('STUDENT SCREENING'!AV153,'SCORING MASTER'!$C$98:$C$99,0)),""))</f>
        <v/>
      </c>
      <c r="AX153" s="58" t="str">
        <f aca="false">IF('STUDENT SCREENING'!AW153="","",IFERROR(INDEX('SCORING MASTER'!$D$101:$D$102,MATCH('STUDENT SCREENING'!AW153,'SCORING MASTER'!$C$101:$C$102,0)),""))</f>
        <v/>
      </c>
      <c r="AY153" s="58" t="str">
        <f aca="false">IF('STUDENT SCREENING'!AX153="","",IFERROR(INDEX('SCORING MASTER'!$D$104:$D$105,MATCH('STUDENT SCREENING'!AX153,'SCORING MASTER'!$C$104:$C$105,0)),""))</f>
        <v/>
      </c>
      <c r="AZ153" s="58" t="str">
        <f aca="false">IF('STUDENT SCREENING'!AY153="","",IFERROR(INDEX('SCORING MASTER'!$D$107:$D$108,MATCH('STUDENT SCREENING'!AY153,'SCORING MASTER'!$C$107:$C$108,0)),""))</f>
        <v/>
      </c>
      <c r="BA153" s="58" t="str">
        <f aca="false">IF('STUDENT SCREENING'!AZ153="","",IFERROR(INDEX('SCORING MASTER'!$D$110:$D$111,MATCH('STUDENT SCREENING'!AZ153,'SCORING MASTER'!$C$110:$C$111,0)),""))</f>
        <v/>
      </c>
      <c r="BB153" s="58" t="str">
        <f aca="false">IF('STUDENT SCREENING'!BA153="","",IFERROR(INDEX('SCORING MASTER'!$D$113:$D$115,MATCH('STUDENT SCREENING'!BA153,'SCORING MASTER'!$C$113:$C$115,0)),""))</f>
        <v/>
      </c>
      <c r="BC153" s="58" t="str">
        <f aca="false">IF('STUDENT SCREENING'!BB153="","",IFERROR(INDEX('SCORING MASTER'!$D$117:$D$119,MATCH('STUDENT SCREENING'!BB153,'SCORING MASTER'!$C$117:$C$119,0)),""))</f>
        <v/>
      </c>
      <c r="BD153" s="58" t="str">
        <f aca="false">IF('STUDENT SCREENING'!BC153="","",IFERROR(INDEX('SCORING MASTER'!$D$121:$D$123,MATCH('STUDENT SCREENING'!BC153,'SCORING MASTER'!$C$121:$C$123,0)),""))</f>
        <v/>
      </c>
      <c r="BE153" s="58" t="str">
        <f aca="false">IF('STUDENT SCREENING'!BD153="","",IFERROR(INDEX('SCORING MASTER'!$D$125:$D$126,MATCH('STUDENT SCREENING'!BD153,'SCORING MASTER'!$C$125:$C$126,0)),""))</f>
        <v/>
      </c>
      <c r="BF153" s="58" t="str">
        <f aca="false">IF('STUDENT SCREENING'!BE153="","",IFERROR(INDEX('SCORING MASTER'!$D$128:$D$129,MATCH('STUDENT SCREENING'!BE153,'SCORING MASTER'!$C$128:$C$129,0)),""))</f>
        <v/>
      </c>
      <c r="BG153" s="58" t="str">
        <f aca="false">IF('STUDENT SCREENING'!BP153="","",IFERROR(MATCH('STUDENT SCREENING'!BP153,{"Red - High Risk","Orange - Moderate Risk","Yellow - Mild Risk","Light Green - Mild Watch","Green - Healthy"},0)-1,""))</f>
        <v/>
      </c>
      <c r="BH153" s="58" t="str">
        <f aca="false">IF('STUDENT SCREENING'!BQ153="","",IF('STUDENT SCREENING'!BQ153="Yes",1,0))</f>
        <v/>
      </c>
      <c r="BI153" s="58" t="str">
        <f aca="false">IF('STUDENT SCREENING'!BR153="","",IF('STUDENT SCREENING'!BR153="Yes",1,0))</f>
        <v/>
      </c>
    </row>
    <row r="154" customFormat="false" ht="15" hidden="false" customHeight="false" outlineLevel="0" collapsed="false">
      <c r="A154" s="57" t="str">
        <f aca="false">'STUDENT SCREENING'!A154</f>
        <v/>
      </c>
      <c r="B154" s="57" t="n">
        <f aca="false">'STUDENT SCREENING'!C154</f>
        <v>0</v>
      </c>
      <c r="C154" s="57" t="n">
        <f aca="false">'STUDENT SCREENING'!D154</f>
        <v>0</v>
      </c>
      <c r="D154" s="57" t="n">
        <f aca="false">'STUDENT SCREENING'!E154</f>
        <v>0</v>
      </c>
      <c r="E154" s="57" t="n">
        <f aca="false">'STUDENT SCREENING'!F154</f>
        <v>0</v>
      </c>
      <c r="F154" s="57" t="n">
        <f aca="false">'STUDENT SCREENING'!K154</f>
        <v>0</v>
      </c>
      <c r="G154" s="57" t="n">
        <f aca="false">'STUDENT SCREENING'!J154</f>
        <v>0</v>
      </c>
      <c r="H154" s="57" t="str">
        <f aca="false">IF('STUDENT SCREENING'!K154="","",IFERROR(MATCH('STUDENT SCREENING'!K154,Adm_Gender,0),""))</f>
        <v/>
      </c>
      <c r="I154" s="57" t="n">
        <f aca="false">'STUDENT SCREENING'!Q154</f>
        <v>0</v>
      </c>
      <c r="J154" s="57" t="n">
        <f aca="false">'STUDENT SCREENING'!R154</f>
        <v>0</v>
      </c>
      <c r="K154" s="57" t="str">
        <f aca="false">'STUDENT SCREENING'!S154</f>
        <v/>
      </c>
      <c r="L154" s="57" t="n">
        <f aca="false">'STUDENT SCREENING'!U154</f>
        <v>0</v>
      </c>
      <c r="M154" s="57" t="n">
        <f aca="false">'STUDENT SCREENING'!V154</f>
        <v>0</v>
      </c>
      <c r="N154" s="57" t="str">
        <f aca="false">'STUDENT SCREENING'!BF154</f>
        <v/>
      </c>
      <c r="O154" s="57" t="str">
        <f aca="false">'STUDENT SCREENING'!BG154</f>
        <v/>
      </c>
      <c r="P154" s="57" t="str">
        <f aca="false">'STUDENT SCREENING'!BH154</f>
        <v/>
      </c>
      <c r="Q154" s="57" t="str">
        <f aca="false">'STUDENT SCREENING'!BI154</f>
        <v/>
      </c>
      <c r="R154" s="57" t="str">
        <f aca="false">'STUDENT SCREENING'!BJ154</f>
        <v/>
      </c>
      <c r="S154" s="57" t="str">
        <f aca="false">'STUDENT SCREENING'!BK154</f>
        <v/>
      </c>
      <c r="T154" s="57" t="str">
        <f aca="false">'STUDENT SCREENING'!BL154</f>
        <v/>
      </c>
      <c r="U154" s="57" t="str">
        <f aca="false">'STUDENT SCREENING'!BM154</f>
        <v/>
      </c>
      <c r="V154" s="57" t="str">
        <f aca="false">'STUDENT SCREENING'!BN154</f>
        <v/>
      </c>
      <c r="W154" s="57" t="str">
        <f aca="false">'STUDENT SCREENING'!BO154</f>
        <v/>
      </c>
      <c r="X154" s="57" t="str">
        <f aca="false">IF('STUDENT SCREENING'!W154="","",IFERROR(INDEX('SCORING MASTER'!$D$5:$D$7,MATCH('STUDENT SCREENING'!W154,'SCORING MASTER'!$C$5:$C$7,0)),""))</f>
        <v/>
      </c>
      <c r="Y154" s="57" t="str">
        <f aca="false">IF('STUDENT SCREENING'!X154="","",IFERROR(INDEX('SCORING MASTER'!$D$9:$D$11,MATCH('STUDENT SCREENING'!X154,'SCORING MASTER'!$C$9:$C$11,0)),""))</f>
        <v/>
      </c>
      <c r="Z154" s="57" t="str">
        <f aca="false">IF('STUDENT SCREENING'!Y154="","",IFERROR(INDEX('SCORING MASTER'!$D$13:$D$15,MATCH('STUDENT SCREENING'!Y154,'SCORING MASTER'!$C$13:$C$15,0)),""))</f>
        <v/>
      </c>
      <c r="AA154" s="57" t="str">
        <f aca="false">IF('STUDENT SCREENING'!Z154="","",IFERROR(INDEX('SCORING MASTER'!$D$17:$D$19,MATCH('STUDENT SCREENING'!Z154,'SCORING MASTER'!$C$17:$C$19,0)),""))</f>
        <v/>
      </c>
      <c r="AB154" s="57" t="str">
        <f aca="false">IF('STUDENT SCREENING'!AA154="","",IFERROR(INDEX('SCORING MASTER'!$D$21:$D$23,MATCH('STUDENT SCREENING'!AA154,'SCORING MASTER'!$C$21:$C$23,0)),""))</f>
        <v/>
      </c>
      <c r="AC154" s="57" t="str">
        <f aca="false">IF('STUDENT SCREENING'!AB154="","",IFERROR(INDEX('SCORING MASTER'!$D$25:$D$27,MATCH('STUDENT SCREENING'!AB154,'SCORING MASTER'!$C$25:$C$27,0)),""))</f>
        <v/>
      </c>
      <c r="AD154" s="57" t="str">
        <f aca="false">IF('STUDENT SCREENING'!AC154="","",IFERROR(INDEX('SCORING MASTER'!$D$29:$D$31,MATCH('STUDENT SCREENING'!AC154,'SCORING MASTER'!$C$29:$C$31,0)),""))</f>
        <v/>
      </c>
      <c r="AE154" s="57" t="str">
        <f aca="false">IF('STUDENT SCREENING'!AD154="","",IFERROR(INDEX('SCORING MASTER'!$D$33:$D$35,MATCH('STUDENT SCREENING'!AD154,'SCORING MASTER'!$C$33:$C$35,0)),""))</f>
        <v/>
      </c>
      <c r="AF154" s="57" t="str">
        <f aca="false">IF('STUDENT SCREENING'!AE154="","",IFERROR(INDEX('SCORING MASTER'!$D$37:$D$39,MATCH('STUDENT SCREENING'!AE154,'SCORING MASTER'!$C$37:$C$39,0)),""))</f>
        <v/>
      </c>
      <c r="AG154" s="57" t="str">
        <f aca="false">IF('STUDENT SCREENING'!AF154="","",IFERROR(INDEX('SCORING MASTER'!$D$41:$D$43,MATCH('STUDENT SCREENING'!AF154,'SCORING MASTER'!$C$41:$C$43,0)),""))</f>
        <v/>
      </c>
      <c r="AH154" s="57" t="str">
        <f aca="false">IF('STUDENT SCREENING'!AG154="","",IFERROR(INDEX('SCORING MASTER'!$D$45:$D$47,MATCH('STUDENT SCREENING'!AG154,'SCORING MASTER'!$C$45:$C$47,0)),""))</f>
        <v/>
      </c>
      <c r="AI154" s="57" t="str">
        <f aca="false">IF('STUDENT SCREENING'!AH154="","",IFERROR(INDEX('SCORING MASTER'!$D$49:$D$52,MATCH('STUDENT SCREENING'!AH154,'SCORING MASTER'!$C$49:$C$52,0)),""))</f>
        <v/>
      </c>
      <c r="AJ154" s="57" t="str">
        <f aca="false">IF('STUDENT SCREENING'!AI154="","",IFERROR(INDEX('SCORING MASTER'!$D$54:$D$57,MATCH('STUDENT SCREENING'!AI154,'SCORING MASTER'!$C$54:$C$57,0)),""))</f>
        <v/>
      </c>
      <c r="AK154" s="57" t="str">
        <f aca="false">IF('STUDENT SCREENING'!AJ154="","",IFERROR(INDEX('SCORING MASTER'!$D$59:$D$60,MATCH('STUDENT SCREENING'!AJ154,'SCORING MASTER'!$C$59:$C$60,0)),""))</f>
        <v/>
      </c>
      <c r="AL154" s="57" t="str">
        <f aca="false">IF('STUDENT SCREENING'!AK154="","",IFERROR(INDEX('SCORING MASTER'!$D$62:$D$63,MATCH('STUDENT SCREENING'!AK154,'SCORING MASTER'!$C$62:$C$63,0)),""))</f>
        <v/>
      </c>
      <c r="AM154" s="57" t="str">
        <f aca="false">IF('STUDENT SCREENING'!AL154="","",IFERROR(INDEX('SCORING MASTER'!$D$65:$D$66,MATCH('STUDENT SCREENING'!AL154,'SCORING MASTER'!$C$65:$C$66,0)),""))</f>
        <v/>
      </c>
      <c r="AN154" s="57" t="str">
        <f aca="false">IF('STUDENT SCREENING'!AM154="","",IFERROR(INDEX('SCORING MASTER'!$D$68:$D$69,MATCH('STUDENT SCREENING'!AM154,'SCORING MASTER'!$C$68:$C$69,0)),""))</f>
        <v/>
      </c>
      <c r="AO154" s="57" t="str">
        <f aca="false">IF('STUDENT SCREENING'!AN154="","",IFERROR(INDEX('SCORING MASTER'!$D$71:$D$72,MATCH('STUDENT SCREENING'!AN154,'SCORING MASTER'!$C$71:$C$72,0)),""))</f>
        <v/>
      </c>
      <c r="AP154" s="57" t="str">
        <f aca="false">IF('STUDENT SCREENING'!AO154="","",IFERROR(INDEX('SCORING MASTER'!$D$74:$D$75,MATCH('STUDENT SCREENING'!AO154,'SCORING MASTER'!$C$74:$C$75,0)),""))</f>
        <v/>
      </c>
      <c r="AQ154" s="57" t="str">
        <f aca="false">IF('STUDENT SCREENING'!AP154="","",IFERROR(INDEX('SCORING MASTER'!$D$77:$D$78,MATCH('STUDENT SCREENING'!AP154,'SCORING MASTER'!$C$77:$C$78,0)),""))</f>
        <v/>
      </c>
      <c r="AR154" s="57" t="str">
        <f aca="false">IF('STUDENT SCREENING'!AQ154="","",IFERROR(INDEX('SCORING MASTER'!$D$80:$D$82,MATCH('STUDENT SCREENING'!AQ154,'SCORING MASTER'!$C$80:$C$82,0)),""))</f>
        <v/>
      </c>
      <c r="AS154" s="57" t="str">
        <f aca="false">IF('STUDENT SCREENING'!AR154="","",IFERROR(INDEX('SCORING MASTER'!$D$84:$D$86,MATCH('STUDENT SCREENING'!AR154,'SCORING MASTER'!$C$84:$C$86,0)),""))</f>
        <v/>
      </c>
      <c r="AT154" s="57" t="str">
        <f aca="false">IF('STUDENT SCREENING'!AS154="","",IFERROR(INDEX('SCORING MASTER'!$D$88:$D$90,MATCH('STUDENT SCREENING'!AS154,'SCORING MASTER'!$C$88:$C$90,0)),""))</f>
        <v/>
      </c>
      <c r="AU154" s="57" t="str">
        <f aca="false">IF('STUDENT SCREENING'!AT154="","",IFERROR(INDEX('SCORING MASTER'!$D$92:$D$93,MATCH('STUDENT SCREENING'!AT154,'SCORING MASTER'!$C$92:$C$93,0)),""))</f>
        <v/>
      </c>
      <c r="AV154" s="57" t="str">
        <f aca="false">IF('STUDENT SCREENING'!AU154="","",IFERROR(INDEX('SCORING MASTER'!$D$95:$D$96,MATCH('STUDENT SCREENING'!AU154,'SCORING MASTER'!$C$95:$C$96,0)),""))</f>
        <v/>
      </c>
      <c r="AW154" s="57" t="str">
        <f aca="false">IF('STUDENT SCREENING'!AV154="","",IFERROR(INDEX('SCORING MASTER'!$D$98:$D$99,MATCH('STUDENT SCREENING'!AV154,'SCORING MASTER'!$C$98:$C$99,0)),""))</f>
        <v/>
      </c>
      <c r="AX154" s="57" t="str">
        <f aca="false">IF('STUDENT SCREENING'!AW154="","",IFERROR(INDEX('SCORING MASTER'!$D$101:$D$102,MATCH('STUDENT SCREENING'!AW154,'SCORING MASTER'!$C$101:$C$102,0)),""))</f>
        <v/>
      </c>
      <c r="AY154" s="57" t="str">
        <f aca="false">IF('STUDENT SCREENING'!AX154="","",IFERROR(INDEX('SCORING MASTER'!$D$104:$D$105,MATCH('STUDENT SCREENING'!AX154,'SCORING MASTER'!$C$104:$C$105,0)),""))</f>
        <v/>
      </c>
      <c r="AZ154" s="57" t="str">
        <f aca="false">IF('STUDENT SCREENING'!AY154="","",IFERROR(INDEX('SCORING MASTER'!$D$107:$D$108,MATCH('STUDENT SCREENING'!AY154,'SCORING MASTER'!$C$107:$C$108,0)),""))</f>
        <v/>
      </c>
      <c r="BA154" s="57" t="str">
        <f aca="false">IF('STUDENT SCREENING'!AZ154="","",IFERROR(INDEX('SCORING MASTER'!$D$110:$D$111,MATCH('STUDENT SCREENING'!AZ154,'SCORING MASTER'!$C$110:$C$111,0)),""))</f>
        <v/>
      </c>
      <c r="BB154" s="57" t="str">
        <f aca="false">IF('STUDENT SCREENING'!BA154="","",IFERROR(INDEX('SCORING MASTER'!$D$113:$D$115,MATCH('STUDENT SCREENING'!BA154,'SCORING MASTER'!$C$113:$C$115,0)),""))</f>
        <v/>
      </c>
      <c r="BC154" s="57" t="str">
        <f aca="false">IF('STUDENT SCREENING'!BB154="","",IFERROR(INDEX('SCORING MASTER'!$D$117:$D$119,MATCH('STUDENT SCREENING'!BB154,'SCORING MASTER'!$C$117:$C$119,0)),""))</f>
        <v/>
      </c>
      <c r="BD154" s="57" t="str">
        <f aca="false">IF('STUDENT SCREENING'!BC154="","",IFERROR(INDEX('SCORING MASTER'!$D$121:$D$123,MATCH('STUDENT SCREENING'!BC154,'SCORING MASTER'!$C$121:$C$123,0)),""))</f>
        <v/>
      </c>
      <c r="BE154" s="57" t="str">
        <f aca="false">IF('STUDENT SCREENING'!BD154="","",IFERROR(INDEX('SCORING MASTER'!$D$125:$D$126,MATCH('STUDENT SCREENING'!BD154,'SCORING MASTER'!$C$125:$C$126,0)),""))</f>
        <v/>
      </c>
      <c r="BF154" s="57" t="str">
        <f aca="false">IF('STUDENT SCREENING'!BE154="","",IFERROR(INDEX('SCORING MASTER'!$D$128:$D$129,MATCH('STUDENT SCREENING'!BE154,'SCORING MASTER'!$C$128:$C$129,0)),""))</f>
        <v/>
      </c>
      <c r="BG154" s="57" t="str">
        <f aca="false">IF('STUDENT SCREENING'!BP154="","",IFERROR(MATCH('STUDENT SCREENING'!BP154,{"Red - High Risk","Orange - Moderate Risk","Yellow - Mild Risk","Light Green - Mild Watch","Green - Healthy"},0)-1,""))</f>
        <v/>
      </c>
      <c r="BH154" s="57" t="str">
        <f aca="false">IF('STUDENT SCREENING'!BQ154="","",IF('STUDENT SCREENING'!BQ154="Yes",1,0))</f>
        <v/>
      </c>
      <c r="BI154" s="57" t="str">
        <f aca="false">IF('STUDENT SCREENING'!BR154="","",IF('STUDENT SCREENING'!BR154="Yes",1,0))</f>
        <v/>
      </c>
    </row>
    <row r="155" customFormat="false" ht="15" hidden="false" customHeight="false" outlineLevel="0" collapsed="false">
      <c r="A155" s="58" t="str">
        <f aca="false">'STUDENT SCREENING'!A155</f>
        <v/>
      </c>
      <c r="B155" s="58" t="n">
        <f aca="false">'STUDENT SCREENING'!C155</f>
        <v>0</v>
      </c>
      <c r="C155" s="58" t="n">
        <f aca="false">'STUDENT SCREENING'!D155</f>
        <v>0</v>
      </c>
      <c r="D155" s="58" t="n">
        <f aca="false">'STUDENT SCREENING'!E155</f>
        <v>0</v>
      </c>
      <c r="E155" s="58" t="n">
        <f aca="false">'STUDENT SCREENING'!F155</f>
        <v>0</v>
      </c>
      <c r="F155" s="58" t="n">
        <f aca="false">'STUDENT SCREENING'!K155</f>
        <v>0</v>
      </c>
      <c r="G155" s="58" t="n">
        <f aca="false">'STUDENT SCREENING'!J155</f>
        <v>0</v>
      </c>
      <c r="H155" s="58" t="str">
        <f aca="false">IF('STUDENT SCREENING'!K155="","",IFERROR(MATCH('STUDENT SCREENING'!K155,Adm_Gender,0),""))</f>
        <v/>
      </c>
      <c r="I155" s="58" t="n">
        <f aca="false">'STUDENT SCREENING'!Q155</f>
        <v>0</v>
      </c>
      <c r="J155" s="58" t="n">
        <f aca="false">'STUDENT SCREENING'!R155</f>
        <v>0</v>
      </c>
      <c r="K155" s="58" t="str">
        <f aca="false">'STUDENT SCREENING'!S155</f>
        <v/>
      </c>
      <c r="L155" s="58" t="n">
        <f aca="false">'STUDENT SCREENING'!U155</f>
        <v>0</v>
      </c>
      <c r="M155" s="58" t="n">
        <f aca="false">'STUDENT SCREENING'!V155</f>
        <v>0</v>
      </c>
      <c r="N155" s="58" t="str">
        <f aca="false">'STUDENT SCREENING'!BF155</f>
        <v/>
      </c>
      <c r="O155" s="58" t="str">
        <f aca="false">'STUDENT SCREENING'!BG155</f>
        <v/>
      </c>
      <c r="P155" s="58" t="str">
        <f aca="false">'STUDENT SCREENING'!BH155</f>
        <v/>
      </c>
      <c r="Q155" s="58" t="str">
        <f aca="false">'STUDENT SCREENING'!BI155</f>
        <v/>
      </c>
      <c r="R155" s="58" t="str">
        <f aca="false">'STUDENT SCREENING'!BJ155</f>
        <v/>
      </c>
      <c r="S155" s="58" t="str">
        <f aca="false">'STUDENT SCREENING'!BK155</f>
        <v/>
      </c>
      <c r="T155" s="58" t="str">
        <f aca="false">'STUDENT SCREENING'!BL155</f>
        <v/>
      </c>
      <c r="U155" s="58" t="str">
        <f aca="false">'STUDENT SCREENING'!BM155</f>
        <v/>
      </c>
      <c r="V155" s="58" t="str">
        <f aca="false">'STUDENT SCREENING'!BN155</f>
        <v/>
      </c>
      <c r="W155" s="58" t="str">
        <f aca="false">'STUDENT SCREENING'!BO155</f>
        <v/>
      </c>
      <c r="X155" s="58" t="str">
        <f aca="false">IF('STUDENT SCREENING'!W155="","",IFERROR(INDEX('SCORING MASTER'!$D$5:$D$7,MATCH('STUDENT SCREENING'!W155,'SCORING MASTER'!$C$5:$C$7,0)),""))</f>
        <v/>
      </c>
      <c r="Y155" s="58" t="str">
        <f aca="false">IF('STUDENT SCREENING'!X155="","",IFERROR(INDEX('SCORING MASTER'!$D$9:$D$11,MATCH('STUDENT SCREENING'!X155,'SCORING MASTER'!$C$9:$C$11,0)),""))</f>
        <v/>
      </c>
      <c r="Z155" s="58" t="str">
        <f aca="false">IF('STUDENT SCREENING'!Y155="","",IFERROR(INDEX('SCORING MASTER'!$D$13:$D$15,MATCH('STUDENT SCREENING'!Y155,'SCORING MASTER'!$C$13:$C$15,0)),""))</f>
        <v/>
      </c>
      <c r="AA155" s="58" t="str">
        <f aca="false">IF('STUDENT SCREENING'!Z155="","",IFERROR(INDEX('SCORING MASTER'!$D$17:$D$19,MATCH('STUDENT SCREENING'!Z155,'SCORING MASTER'!$C$17:$C$19,0)),""))</f>
        <v/>
      </c>
      <c r="AB155" s="58" t="str">
        <f aca="false">IF('STUDENT SCREENING'!AA155="","",IFERROR(INDEX('SCORING MASTER'!$D$21:$D$23,MATCH('STUDENT SCREENING'!AA155,'SCORING MASTER'!$C$21:$C$23,0)),""))</f>
        <v/>
      </c>
      <c r="AC155" s="58" t="str">
        <f aca="false">IF('STUDENT SCREENING'!AB155="","",IFERROR(INDEX('SCORING MASTER'!$D$25:$D$27,MATCH('STUDENT SCREENING'!AB155,'SCORING MASTER'!$C$25:$C$27,0)),""))</f>
        <v/>
      </c>
      <c r="AD155" s="58" t="str">
        <f aca="false">IF('STUDENT SCREENING'!AC155="","",IFERROR(INDEX('SCORING MASTER'!$D$29:$D$31,MATCH('STUDENT SCREENING'!AC155,'SCORING MASTER'!$C$29:$C$31,0)),""))</f>
        <v/>
      </c>
      <c r="AE155" s="58" t="str">
        <f aca="false">IF('STUDENT SCREENING'!AD155="","",IFERROR(INDEX('SCORING MASTER'!$D$33:$D$35,MATCH('STUDENT SCREENING'!AD155,'SCORING MASTER'!$C$33:$C$35,0)),""))</f>
        <v/>
      </c>
      <c r="AF155" s="58" t="str">
        <f aca="false">IF('STUDENT SCREENING'!AE155="","",IFERROR(INDEX('SCORING MASTER'!$D$37:$D$39,MATCH('STUDENT SCREENING'!AE155,'SCORING MASTER'!$C$37:$C$39,0)),""))</f>
        <v/>
      </c>
      <c r="AG155" s="58" t="str">
        <f aca="false">IF('STUDENT SCREENING'!AF155="","",IFERROR(INDEX('SCORING MASTER'!$D$41:$D$43,MATCH('STUDENT SCREENING'!AF155,'SCORING MASTER'!$C$41:$C$43,0)),""))</f>
        <v/>
      </c>
      <c r="AH155" s="58" t="str">
        <f aca="false">IF('STUDENT SCREENING'!AG155="","",IFERROR(INDEX('SCORING MASTER'!$D$45:$D$47,MATCH('STUDENT SCREENING'!AG155,'SCORING MASTER'!$C$45:$C$47,0)),""))</f>
        <v/>
      </c>
      <c r="AI155" s="58" t="str">
        <f aca="false">IF('STUDENT SCREENING'!AH155="","",IFERROR(INDEX('SCORING MASTER'!$D$49:$D$52,MATCH('STUDENT SCREENING'!AH155,'SCORING MASTER'!$C$49:$C$52,0)),""))</f>
        <v/>
      </c>
      <c r="AJ155" s="58" t="str">
        <f aca="false">IF('STUDENT SCREENING'!AI155="","",IFERROR(INDEX('SCORING MASTER'!$D$54:$D$57,MATCH('STUDENT SCREENING'!AI155,'SCORING MASTER'!$C$54:$C$57,0)),""))</f>
        <v/>
      </c>
      <c r="AK155" s="58" t="str">
        <f aca="false">IF('STUDENT SCREENING'!AJ155="","",IFERROR(INDEX('SCORING MASTER'!$D$59:$D$60,MATCH('STUDENT SCREENING'!AJ155,'SCORING MASTER'!$C$59:$C$60,0)),""))</f>
        <v/>
      </c>
      <c r="AL155" s="58" t="str">
        <f aca="false">IF('STUDENT SCREENING'!AK155="","",IFERROR(INDEX('SCORING MASTER'!$D$62:$D$63,MATCH('STUDENT SCREENING'!AK155,'SCORING MASTER'!$C$62:$C$63,0)),""))</f>
        <v/>
      </c>
      <c r="AM155" s="58" t="str">
        <f aca="false">IF('STUDENT SCREENING'!AL155="","",IFERROR(INDEX('SCORING MASTER'!$D$65:$D$66,MATCH('STUDENT SCREENING'!AL155,'SCORING MASTER'!$C$65:$C$66,0)),""))</f>
        <v/>
      </c>
      <c r="AN155" s="58" t="str">
        <f aca="false">IF('STUDENT SCREENING'!AM155="","",IFERROR(INDEX('SCORING MASTER'!$D$68:$D$69,MATCH('STUDENT SCREENING'!AM155,'SCORING MASTER'!$C$68:$C$69,0)),""))</f>
        <v/>
      </c>
      <c r="AO155" s="58" t="str">
        <f aca="false">IF('STUDENT SCREENING'!AN155="","",IFERROR(INDEX('SCORING MASTER'!$D$71:$D$72,MATCH('STUDENT SCREENING'!AN155,'SCORING MASTER'!$C$71:$C$72,0)),""))</f>
        <v/>
      </c>
      <c r="AP155" s="58" t="str">
        <f aca="false">IF('STUDENT SCREENING'!AO155="","",IFERROR(INDEX('SCORING MASTER'!$D$74:$D$75,MATCH('STUDENT SCREENING'!AO155,'SCORING MASTER'!$C$74:$C$75,0)),""))</f>
        <v/>
      </c>
      <c r="AQ155" s="58" t="str">
        <f aca="false">IF('STUDENT SCREENING'!AP155="","",IFERROR(INDEX('SCORING MASTER'!$D$77:$D$78,MATCH('STUDENT SCREENING'!AP155,'SCORING MASTER'!$C$77:$C$78,0)),""))</f>
        <v/>
      </c>
      <c r="AR155" s="58" t="str">
        <f aca="false">IF('STUDENT SCREENING'!AQ155="","",IFERROR(INDEX('SCORING MASTER'!$D$80:$D$82,MATCH('STUDENT SCREENING'!AQ155,'SCORING MASTER'!$C$80:$C$82,0)),""))</f>
        <v/>
      </c>
      <c r="AS155" s="58" t="str">
        <f aca="false">IF('STUDENT SCREENING'!AR155="","",IFERROR(INDEX('SCORING MASTER'!$D$84:$D$86,MATCH('STUDENT SCREENING'!AR155,'SCORING MASTER'!$C$84:$C$86,0)),""))</f>
        <v/>
      </c>
      <c r="AT155" s="58" t="str">
        <f aca="false">IF('STUDENT SCREENING'!AS155="","",IFERROR(INDEX('SCORING MASTER'!$D$88:$D$90,MATCH('STUDENT SCREENING'!AS155,'SCORING MASTER'!$C$88:$C$90,0)),""))</f>
        <v/>
      </c>
      <c r="AU155" s="58" t="str">
        <f aca="false">IF('STUDENT SCREENING'!AT155="","",IFERROR(INDEX('SCORING MASTER'!$D$92:$D$93,MATCH('STUDENT SCREENING'!AT155,'SCORING MASTER'!$C$92:$C$93,0)),""))</f>
        <v/>
      </c>
      <c r="AV155" s="58" t="str">
        <f aca="false">IF('STUDENT SCREENING'!AU155="","",IFERROR(INDEX('SCORING MASTER'!$D$95:$D$96,MATCH('STUDENT SCREENING'!AU155,'SCORING MASTER'!$C$95:$C$96,0)),""))</f>
        <v/>
      </c>
      <c r="AW155" s="58" t="str">
        <f aca="false">IF('STUDENT SCREENING'!AV155="","",IFERROR(INDEX('SCORING MASTER'!$D$98:$D$99,MATCH('STUDENT SCREENING'!AV155,'SCORING MASTER'!$C$98:$C$99,0)),""))</f>
        <v/>
      </c>
      <c r="AX155" s="58" t="str">
        <f aca="false">IF('STUDENT SCREENING'!AW155="","",IFERROR(INDEX('SCORING MASTER'!$D$101:$D$102,MATCH('STUDENT SCREENING'!AW155,'SCORING MASTER'!$C$101:$C$102,0)),""))</f>
        <v/>
      </c>
      <c r="AY155" s="58" t="str">
        <f aca="false">IF('STUDENT SCREENING'!AX155="","",IFERROR(INDEX('SCORING MASTER'!$D$104:$D$105,MATCH('STUDENT SCREENING'!AX155,'SCORING MASTER'!$C$104:$C$105,0)),""))</f>
        <v/>
      </c>
      <c r="AZ155" s="58" t="str">
        <f aca="false">IF('STUDENT SCREENING'!AY155="","",IFERROR(INDEX('SCORING MASTER'!$D$107:$D$108,MATCH('STUDENT SCREENING'!AY155,'SCORING MASTER'!$C$107:$C$108,0)),""))</f>
        <v/>
      </c>
      <c r="BA155" s="58" t="str">
        <f aca="false">IF('STUDENT SCREENING'!AZ155="","",IFERROR(INDEX('SCORING MASTER'!$D$110:$D$111,MATCH('STUDENT SCREENING'!AZ155,'SCORING MASTER'!$C$110:$C$111,0)),""))</f>
        <v/>
      </c>
      <c r="BB155" s="58" t="str">
        <f aca="false">IF('STUDENT SCREENING'!BA155="","",IFERROR(INDEX('SCORING MASTER'!$D$113:$D$115,MATCH('STUDENT SCREENING'!BA155,'SCORING MASTER'!$C$113:$C$115,0)),""))</f>
        <v/>
      </c>
      <c r="BC155" s="58" t="str">
        <f aca="false">IF('STUDENT SCREENING'!BB155="","",IFERROR(INDEX('SCORING MASTER'!$D$117:$D$119,MATCH('STUDENT SCREENING'!BB155,'SCORING MASTER'!$C$117:$C$119,0)),""))</f>
        <v/>
      </c>
      <c r="BD155" s="58" t="str">
        <f aca="false">IF('STUDENT SCREENING'!BC155="","",IFERROR(INDEX('SCORING MASTER'!$D$121:$D$123,MATCH('STUDENT SCREENING'!BC155,'SCORING MASTER'!$C$121:$C$123,0)),""))</f>
        <v/>
      </c>
      <c r="BE155" s="58" t="str">
        <f aca="false">IF('STUDENT SCREENING'!BD155="","",IFERROR(INDEX('SCORING MASTER'!$D$125:$D$126,MATCH('STUDENT SCREENING'!BD155,'SCORING MASTER'!$C$125:$C$126,0)),""))</f>
        <v/>
      </c>
      <c r="BF155" s="58" t="str">
        <f aca="false">IF('STUDENT SCREENING'!BE155="","",IFERROR(INDEX('SCORING MASTER'!$D$128:$D$129,MATCH('STUDENT SCREENING'!BE155,'SCORING MASTER'!$C$128:$C$129,0)),""))</f>
        <v/>
      </c>
      <c r="BG155" s="58" t="str">
        <f aca="false">IF('STUDENT SCREENING'!BP155="","",IFERROR(MATCH('STUDENT SCREENING'!BP155,{"Red - High Risk","Orange - Moderate Risk","Yellow - Mild Risk","Light Green - Mild Watch","Green - Healthy"},0)-1,""))</f>
        <v/>
      </c>
      <c r="BH155" s="58" t="str">
        <f aca="false">IF('STUDENT SCREENING'!BQ155="","",IF('STUDENT SCREENING'!BQ155="Yes",1,0))</f>
        <v/>
      </c>
      <c r="BI155" s="58" t="str">
        <f aca="false">IF('STUDENT SCREENING'!BR155="","",IF('STUDENT SCREENING'!BR155="Yes",1,0))</f>
        <v/>
      </c>
    </row>
    <row r="156" customFormat="false" ht="15" hidden="false" customHeight="false" outlineLevel="0" collapsed="false">
      <c r="A156" s="57" t="str">
        <f aca="false">'STUDENT SCREENING'!A156</f>
        <v/>
      </c>
      <c r="B156" s="57" t="n">
        <f aca="false">'STUDENT SCREENING'!C156</f>
        <v>0</v>
      </c>
      <c r="C156" s="57" t="n">
        <f aca="false">'STUDENT SCREENING'!D156</f>
        <v>0</v>
      </c>
      <c r="D156" s="57" t="n">
        <f aca="false">'STUDENT SCREENING'!E156</f>
        <v>0</v>
      </c>
      <c r="E156" s="57" t="n">
        <f aca="false">'STUDENT SCREENING'!F156</f>
        <v>0</v>
      </c>
      <c r="F156" s="57" t="n">
        <f aca="false">'STUDENT SCREENING'!K156</f>
        <v>0</v>
      </c>
      <c r="G156" s="57" t="n">
        <f aca="false">'STUDENT SCREENING'!J156</f>
        <v>0</v>
      </c>
      <c r="H156" s="57" t="str">
        <f aca="false">IF('STUDENT SCREENING'!K156="","",IFERROR(MATCH('STUDENT SCREENING'!K156,Adm_Gender,0),""))</f>
        <v/>
      </c>
      <c r="I156" s="57" t="n">
        <f aca="false">'STUDENT SCREENING'!Q156</f>
        <v>0</v>
      </c>
      <c r="J156" s="57" t="n">
        <f aca="false">'STUDENT SCREENING'!R156</f>
        <v>0</v>
      </c>
      <c r="K156" s="57" t="str">
        <f aca="false">'STUDENT SCREENING'!S156</f>
        <v/>
      </c>
      <c r="L156" s="57" t="n">
        <f aca="false">'STUDENT SCREENING'!U156</f>
        <v>0</v>
      </c>
      <c r="M156" s="57" t="n">
        <f aca="false">'STUDENT SCREENING'!V156</f>
        <v>0</v>
      </c>
      <c r="N156" s="57" t="str">
        <f aca="false">'STUDENT SCREENING'!BF156</f>
        <v/>
      </c>
      <c r="O156" s="57" t="str">
        <f aca="false">'STUDENT SCREENING'!BG156</f>
        <v/>
      </c>
      <c r="P156" s="57" t="str">
        <f aca="false">'STUDENT SCREENING'!BH156</f>
        <v/>
      </c>
      <c r="Q156" s="57" t="str">
        <f aca="false">'STUDENT SCREENING'!BI156</f>
        <v/>
      </c>
      <c r="R156" s="57" t="str">
        <f aca="false">'STUDENT SCREENING'!BJ156</f>
        <v/>
      </c>
      <c r="S156" s="57" t="str">
        <f aca="false">'STUDENT SCREENING'!BK156</f>
        <v/>
      </c>
      <c r="T156" s="57" t="str">
        <f aca="false">'STUDENT SCREENING'!BL156</f>
        <v/>
      </c>
      <c r="U156" s="57" t="str">
        <f aca="false">'STUDENT SCREENING'!BM156</f>
        <v/>
      </c>
      <c r="V156" s="57" t="str">
        <f aca="false">'STUDENT SCREENING'!BN156</f>
        <v/>
      </c>
      <c r="W156" s="57" t="str">
        <f aca="false">'STUDENT SCREENING'!BO156</f>
        <v/>
      </c>
      <c r="X156" s="57" t="str">
        <f aca="false">IF('STUDENT SCREENING'!W156="","",IFERROR(INDEX('SCORING MASTER'!$D$5:$D$7,MATCH('STUDENT SCREENING'!W156,'SCORING MASTER'!$C$5:$C$7,0)),""))</f>
        <v/>
      </c>
      <c r="Y156" s="57" t="str">
        <f aca="false">IF('STUDENT SCREENING'!X156="","",IFERROR(INDEX('SCORING MASTER'!$D$9:$D$11,MATCH('STUDENT SCREENING'!X156,'SCORING MASTER'!$C$9:$C$11,0)),""))</f>
        <v/>
      </c>
      <c r="Z156" s="57" t="str">
        <f aca="false">IF('STUDENT SCREENING'!Y156="","",IFERROR(INDEX('SCORING MASTER'!$D$13:$D$15,MATCH('STUDENT SCREENING'!Y156,'SCORING MASTER'!$C$13:$C$15,0)),""))</f>
        <v/>
      </c>
      <c r="AA156" s="57" t="str">
        <f aca="false">IF('STUDENT SCREENING'!Z156="","",IFERROR(INDEX('SCORING MASTER'!$D$17:$D$19,MATCH('STUDENT SCREENING'!Z156,'SCORING MASTER'!$C$17:$C$19,0)),""))</f>
        <v/>
      </c>
      <c r="AB156" s="57" t="str">
        <f aca="false">IF('STUDENT SCREENING'!AA156="","",IFERROR(INDEX('SCORING MASTER'!$D$21:$D$23,MATCH('STUDENT SCREENING'!AA156,'SCORING MASTER'!$C$21:$C$23,0)),""))</f>
        <v/>
      </c>
      <c r="AC156" s="57" t="str">
        <f aca="false">IF('STUDENT SCREENING'!AB156="","",IFERROR(INDEX('SCORING MASTER'!$D$25:$D$27,MATCH('STUDENT SCREENING'!AB156,'SCORING MASTER'!$C$25:$C$27,0)),""))</f>
        <v/>
      </c>
      <c r="AD156" s="57" t="str">
        <f aca="false">IF('STUDENT SCREENING'!AC156="","",IFERROR(INDEX('SCORING MASTER'!$D$29:$D$31,MATCH('STUDENT SCREENING'!AC156,'SCORING MASTER'!$C$29:$C$31,0)),""))</f>
        <v/>
      </c>
      <c r="AE156" s="57" t="str">
        <f aca="false">IF('STUDENT SCREENING'!AD156="","",IFERROR(INDEX('SCORING MASTER'!$D$33:$D$35,MATCH('STUDENT SCREENING'!AD156,'SCORING MASTER'!$C$33:$C$35,0)),""))</f>
        <v/>
      </c>
      <c r="AF156" s="57" t="str">
        <f aca="false">IF('STUDENT SCREENING'!AE156="","",IFERROR(INDEX('SCORING MASTER'!$D$37:$D$39,MATCH('STUDENT SCREENING'!AE156,'SCORING MASTER'!$C$37:$C$39,0)),""))</f>
        <v/>
      </c>
      <c r="AG156" s="57" t="str">
        <f aca="false">IF('STUDENT SCREENING'!AF156="","",IFERROR(INDEX('SCORING MASTER'!$D$41:$D$43,MATCH('STUDENT SCREENING'!AF156,'SCORING MASTER'!$C$41:$C$43,0)),""))</f>
        <v/>
      </c>
      <c r="AH156" s="57" t="str">
        <f aca="false">IF('STUDENT SCREENING'!AG156="","",IFERROR(INDEX('SCORING MASTER'!$D$45:$D$47,MATCH('STUDENT SCREENING'!AG156,'SCORING MASTER'!$C$45:$C$47,0)),""))</f>
        <v/>
      </c>
      <c r="AI156" s="57" t="str">
        <f aca="false">IF('STUDENT SCREENING'!AH156="","",IFERROR(INDEX('SCORING MASTER'!$D$49:$D$52,MATCH('STUDENT SCREENING'!AH156,'SCORING MASTER'!$C$49:$C$52,0)),""))</f>
        <v/>
      </c>
      <c r="AJ156" s="57" t="str">
        <f aca="false">IF('STUDENT SCREENING'!AI156="","",IFERROR(INDEX('SCORING MASTER'!$D$54:$D$57,MATCH('STUDENT SCREENING'!AI156,'SCORING MASTER'!$C$54:$C$57,0)),""))</f>
        <v/>
      </c>
      <c r="AK156" s="57" t="str">
        <f aca="false">IF('STUDENT SCREENING'!AJ156="","",IFERROR(INDEX('SCORING MASTER'!$D$59:$D$60,MATCH('STUDENT SCREENING'!AJ156,'SCORING MASTER'!$C$59:$C$60,0)),""))</f>
        <v/>
      </c>
      <c r="AL156" s="57" t="str">
        <f aca="false">IF('STUDENT SCREENING'!AK156="","",IFERROR(INDEX('SCORING MASTER'!$D$62:$D$63,MATCH('STUDENT SCREENING'!AK156,'SCORING MASTER'!$C$62:$C$63,0)),""))</f>
        <v/>
      </c>
      <c r="AM156" s="57" t="str">
        <f aca="false">IF('STUDENT SCREENING'!AL156="","",IFERROR(INDEX('SCORING MASTER'!$D$65:$D$66,MATCH('STUDENT SCREENING'!AL156,'SCORING MASTER'!$C$65:$C$66,0)),""))</f>
        <v/>
      </c>
      <c r="AN156" s="57" t="str">
        <f aca="false">IF('STUDENT SCREENING'!AM156="","",IFERROR(INDEX('SCORING MASTER'!$D$68:$D$69,MATCH('STUDENT SCREENING'!AM156,'SCORING MASTER'!$C$68:$C$69,0)),""))</f>
        <v/>
      </c>
      <c r="AO156" s="57" t="str">
        <f aca="false">IF('STUDENT SCREENING'!AN156="","",IFERROR(INDEX('SCORING MASTER'!$D$71:$D$72,MATCH('STUDENT SCREENING'!AN156,'SCORING MASTER'!$C$71:$C$72,0)),""))</f>
        <v/>
      </c>
      <c r="AP156" s="57" t="str">
        <f aca="false">IF('STUDENT SCREENING'!AO156="","",IFERROR(INDEX('SCORING MASTER'!$D$74:$D$75,MATCH('STUDENT SCREENING'!AO156,'SCORING MASTER'!$C$74:$C$75,0)),""))</f>
        <v/>
      </c>
      <c r="AQ156" s="57" t="str">
        <f aca="false">IF('STUDENT SCREENING'!AP156="","",IFERROR(INDEX('SCORING MASTER'!$D$77:$D$78,MATCH('STUDENT SCREENING'!AP156,'SCORING MASTER'!$C$77:$C$78,0)),""))</f>
        <v/>
      </c>
      <c r="AR156" s="57" t="str">
        <f aca="false">IF('STUDENT SCREENING'!AQ156="","",IFERROR(INDEX('SCORING MASTER'!$D$80:$D$82,MATCH('STUDENT SCREENING'!AQ156,'SCORING MASTER'!$C$80:$C$82,0)),""))</f>
        <v/>
      </c>
      <c r="AS156" s="57" t="str">
        <f aca="false">IF('STUDENT SCREENING'!AR156="","",IFERROR(INDEX('SCORING MASTER'!$D$84:$D$86,MATCH('STUDENT SCREENING'!AR156,'SCORING MASTER'!$C$84:$C$86,0)),""))</f>
        <v/>
      </c>
      <c r="AT156" s="57" t="str">
        <f aca="false">IF('STUDENT SCREENING'!AS156="","",IFERROR(INDEX('SCORING MASTER'!$D$88:$D$90,MATCH('STUDENT SCREENING'!AS156,'SCORING MASTER'!$C$88:$C$90,0)),""))</f>
        <v/>
      </c>
      <c r="AU156" s="57" t="str">
        <f aca="false">IF('STUDENT SCREENING'!AT156="","",IFERROR(INDEX('SCORING MASTER'!$D$92:$D$93,MATCH('STUDENT SCREENING'!AT156,'SCORING MASTER'!$C$92:$C$93,0)),""))</f>
        <v/>
      </c>
      <c r="AV156" s="57" t="str">
        <f aca="false">IF('STUDENT SCREENING'!AU156="","",IFERROR(INDEX('SCORING MASTER'!$D$95:$D$96,MATCH('STUDENT SCREENING'!AU156,'SCORING MASTER'!$C$95:$C$96,0)),""))</f>
        <v/>
      </c>
      <c r="AW156" s="57" t="str">
        <f aca="false">IF('STUDENT SCREENING'!AV156="","",IFERROR(INDEX('SCORING MASTER'!$D$98:$D$99,MATCH('STUDENT SCREENING'!AV156,'SCORING MASTER'!$C$98:$C$99,0)),""))</f>
        <v/>
      </c>
      <c r="AX156" s="57" t="str">
        <f aca="false">IF('STUDENT SCREENING'!AW156="","",IFERROR(INDEX('SCORING MASTER'!$D$101:$D$102,MATCH('STUDENT SCREENING'!AW156,'SCORING MASTER'!$C$101:$C$102,0)),""))</f>
        <v/>
      </c>
      <c r="AY156" s="57" t="str">
        <f aca="false">IF('STUDENT SCREENING'!AX156="","",IFERROR(INDEX('SCORING MASTER'!$D$104:$D$105,MATCH('STUDENT SCREENING'!AX156,'SCORING MASTER'!$C$104:$C$105,0)),""))</f>
        <v/>
      </c>
      <c r="AZ156" s="57" t="str">
        <f aca="false">IF('STUDENT SCREENING'!AY156="","",IFERROR(INDEX('SCORING MASTER'!$D$107:$D$108,MATCH('STUDENT SCREENING'!AY156,'SCORING MASTER'!$C$107:$C$108,0)),""))</f>
        <v/>
      </c>
      <c r="BA156" s="57" t="str">
        <f aca="false">IF('STUDENT SCREENING'!AZ156="","",IFERROR(INDEX('SCORING MASTER'!$D$110:$D$111,MATCH('STUDENT SCREENING'!AZ156,'SCORING MASTER'!$C$110:$C$111,0)),""))</f>
        <v/>
      </c>
      <c r="BB156" s="57" t="str">
        <f aca="false">IF('STUDENT SCREENING'!BA156="","",IFERROR(INDEX('SCORING MASTER'!$D$113:$D$115,MATCH('STUDENT SCREENING'!BA156,'SCORING MASTER'!$C$113:$C$115,0)),""))</f>
        <v/>
      </c>
      <c r="BC156" s="57" t="str">
        <f aca="false">IF('STUDENT SCREENING'!BB156="","",IFERROR(INDEX('SCORING MASTER'!$D$117:$D$119,MATCH('STUDENT SCREENING'!BB156,'SCORING MASTER'!$C$117:$C$119,0)),""))</f>
        <v/>
      </c>
      <c r="BD156" s="57" t="str">
        <f aca="false">IF('STUDENT SCREENING'!BC156="","",IFERROR(INDEX('SCORING MASTER'!$D$121:$D$123,MATCH('STUDENT SCREENING'!BC156,'SCORING MASTER'!$C$121:$C$123,0)),""))</f>
        <v/>
      </c>
      <c r="BE156" s="57" t="str">
        <f aca="false">IF('STUDENT SCREENING'!BD156="","",IFERROR(INDEX('SCORING MASTER'!$D$125:$D$126,MATCH('STUDENT SCREENING'!BD156,'SCORING MASTER'!$C$125:$C$126,0)),""))</f>
        <v/>
      </c>
      <c r="BF156" s="57" t="str">
        <f aca="false">IF('STUDENT SCREENING'!BE156="","",IFERROR(INDEX('SCORING MASTER'!$D$128:$D$129,MATCH('STUDENT SCREENING'!BE156,'SCORING MASTER'!$C$128:$C$129,0)),""))</f>
        <v/>
      </c>
      <c r="BG156" s="57" t="str">
        <f aca="false">IF('STUDENT SCREENING'!BP156="","",IFERROR(MATCH('STUDENT SCREENING'!BP156,{"Red - High Risk","Orange - Moderate Risk","Yellow - Mild Risk","Light Green - Mild Watch","Green - Healthy"},0)-1,""))</f>
        <v/>
      </c>
      <c r="BH156" s="57" t="str">
        <f aca="false">IF('STUDENT SCREENING'!BQ156="","",IF('STUDENT SCREENING'!BQ156="Yes",1,0))</f>
        <v/>
      </c>
      <c r="BI156" s="57" t="str">
        <f aca="false">IF('STUDENT SCREENING'!BR156="","",IF('STUDENT SCREENING'!BR156="Yes",1,0))</f>
        <v/>
      </c>
    </row>
    <row r="157" customFormat="false" ht="15" hidden="false" customHeight="false" outlineLevel="0" collapsed="false">
      <c r="A157" s="58" t="str">
        <f aca="false">'STUDENT SCREENING'!A157</f>
        <v/>
      </c>
      <c r="B157" s="58" t="n">
        <f aca="false">'STUDENT SCREENING'!C157</f>
        <v>0</v>
      </c>
      <c r="C157" s="58" t="n">
        <f aca="false">'STUDENT SCREENING'!D157</f>
        <v>0</v>
      </c>
      <c r="D157" s="58" t="n">
        <f aca="false">'STUDENT SCREENING'!E157</f>
        <v>0</v>
      </c>
      <c r="E157" s="58" t="n">
        <f aca="false">'STUDENT SCREENING'!F157</f>
        <v>0</v>
      </c>
      <c r="F157" s="58" t="n">
        <f aca="false">'STUDENT SCREENING'!K157</f>
        <v>0</v>
      </c>
      <c r="G157" s="58" t="n">
        <f aca="false">'STUDENT SCREENING'!J157</f>
        <v>0</v>
      </c>
      <c r="H157" s="58" t="str">
        <f aca="false">IF('STUDENT SCREENING'!K157="","",IFERROR(MATCH('STUDENT SCREENING'!K157,Adm_Gender,0),""))</f>
        <v/>
      </c>
      <c r="I157" s="58" t="n">
        <f aca="false">'STUDENT SCREENING'!Q157</f>
        <v>0</v>
      </c>
      <c r="J157" s="58" t="n">
        <f aca="false">'STUDENT SCREENING'!R157</f>
        <v>0</v>
      </c>
      <c r="K157" s="58" t="str">
        <f aca="false">'STUDENT SCREENING'!S157</f>
        <v/>
      </c>
      <c r="L157" s="58" t="n">
        <f aca="false">'STUDENT SCREENING'!U157</f>
        <v>0</v>
      </c>
      <c r="M157" s="58" t="n">
        <f aca="false">'STUDENT SCREENING'!V157</f>
        <v>0</v>
      </c>
      <c r="N157" s="58" t="str">
        <f aca="false">'STUDENT SCREENING'!BF157</f>
        <v/>
      </c>
      <c r="O157" s="58" t="str">
        <f aca="false">'STUDENT SCREENING'!BG157</f>
        <v/>
      </c>
      <c r="P157" s="58" t="str">
        <f aca="false">'STUDENT SCREENING'!BH157</f>
        <v/>
      </c>
      <c r="Q157" s="58" t="str">
        <f aca="false">'STUDENT SCREENING'!BI157</f>
        <v/>
      </c>
      <c r="R157" s="58" t="str">
        <f aca="false">'STUDENT SCREENING'!BJ157</f>
        <v/>
      </c>
      <c r="S157" s="58" t="str">
        <f aca="false">'STUDENT SCREENING'!BK157</f>
        <v/>
      </c>
      <c r="T157" s="58" t="str">
        <f aca="false">'STUDENT SCREENING'!BL157</f>
        <v/>
      </c>
      <c r="U157" s="58" t="str">
        <f aca="false">'STUDENT SCREENING'!BM157</f>
        <v/>
      </c>
      <c r="V157" s="58" t="str">
        <f aca="false">'STUDENT SCREENING'!BN157</f>
        <v/>
      </c>
      <c r="W157" s="58" t="str">
        <f aca="false">'STUDENT SCREENING'!BO157</f>
        <v/>
      </c>
      <c r="X157" s="58" t="str">
        <f aca="false">IF('STUDENT SCREENING'!W157="","",IFERROR(INDEX('SCORING MASTER'!$D$5:$D$7,MATCH('STUDENT SCREENING'!W157,'SCORING MASTER'!$C$5:$C$7,0)),""))</f>
        <v/>
      </c>
      <c r="Y157" s="58" t="str">
        <f aca="false">IF('STUDENT SCREENING'!X157="","",IFERROR(INDEX('SCORING MASTER'!$D$9:$D$11,MATCH('STUDENT SCREENING'!X157,'SCORING MASTER'!$C$9:$C$11,0)),""))</f>
        <v/>
      </c>
      <c r="Z157" s="58" t="str">
        <f aca="false">IF('STUDENT SCREENING'!Y157="","",IFERROR(INDEX('SCORING MASTER'!$D$13:$D$15,MATCH('STUDENT SCREENING'!Y157,'SCORING MASTER'!$C$13:$C$15,0)),""))</f>
        <v/>
      </c>
      <c r="AA157" s="58" t="str">
        <f aca="false">IF('STUDENT SCREENING'!Z157="","",IFERROR(INDEX('SCORING MASTER'!$D$17:$D$19,MATCH('STUDENT SCREENING'!Z157,'SCORING MASTER'!$C$17:$C$19,0)),""))</f>
        <v/>
      </c>
      <c r="AB157" s="58" t="str">
        <f aca="false">IF('STUDENT SCREENING'!AA157="","",IFERROR(INDEX('SCORING MASTER'!$D$21:$D$23,MATCH('STUDENT SCREENING'!AA157,'SCORING MASTER'!$C$21:$C$23,0)),""))</f>
        <v/>
      </c>
      <c r="AC157" s="58" t="str">
        <f aca="false">IF('STUDENT SCREENING'!AB157="","",IFERROR(INDEX('SCORING MASTER'!$D$25:$D$27,MATCH('STUDENT SCREENING'!AB157,'SCORING MASTER'!$C$25:$C$27,0)),""))</f>
        <v/>
      </c>
      <c r="AD157" s="58" t="str">
        <f aca="false">IF('STUDENT SCREENING'!AC157="","",IFERROR(INDEX('SCORING MASTER'!$D$29:$D$31,MATCH('STUDENT SCREENING'!AC157,'SCORING MASTER'!$C$29:$C$31,0)),""))</f>
        <v/>
      </c>
      <c r="AE157" s="58" t="str">
        <f aca="false">IF('STUDENT SCREENING'!AD157="","",IFERROR(INDEX('SCORING MASTER'!$D$33:$D$35,MATCH('STUDENT SCREENING'!AD157,'SCORING MASTER'!$C$33:$C$35,0)),""))</f>
        <v/>
      </c>
      <c r="AF157" s="58" t="str">
        <f aca="false">IF('STUDENT SCREENING'!AE157="","",IFERROR(INDEX('SCORING MASTER'!$D$37:$D$39,MATCH('STUDENT SCREENING'!AE157,'SCORING MASTER'!$C$37:$C$39,0)),""))</f>
        <v/>
      </c>
      <c r="AG157" s="58" t="str">
        <f aca="false">IF('STUDENT SCREENING'!AF157="","",IFERROR(INDEX('SCORING MASTER'!$D$41:$D$43,MATCH('STUDENT SCREENING'!AF157,'SCORING MASTER'!$C$41:$C$43,0)),""))</f>
        <v/>
      </c>
      <c r="AH157" s="58" t="str">
        <f aca="false">IF('STUDENT SCREENING'!AG157="","",IFERROR(INDEX('SCORING MASTER'!$D$45:$D$47,MATCH('STUDENT SCREENING'!AG157,'SCORING MASTER'!$C$45:$C$47,0)),""))</f>
        <v/>
      </c>
      <c r="AI157" s="58" t="str">
        <f aca="false">IF('STUDENT SCREENING'!AH157="","",IFERROR(INDEX('SCORING MASTER'!$D$49:$D$52,MATCH('STUDENT SCREENING'!AH157,'SCORING MASTER'!$C$49:$C$52,0)),""))</f>
        <v/>
      </c>
      <c r="AJ157" s="58" t="str">
        <f aca="false">IF('STUDENT SCREENING'!AI157="","",IFERROR(INDEX('SCORING MASTER'!$D$54:$D$57,MATCH('STUDENT SCREENING'!AI157,'SCORING MASTER'!$C$54:$C$57,0)),""))</f>
        <v/>
      </c>
      <c r="AK157" s="58" t="str">
        <f aca="false">IF('STUDENT SCREENING'!AJ157="","",IFERROR(INDEX('SCORING MASTER'!$D$59:$D$60,MATCH('STUDENT SCREENING'!AJ157,'SCORING MASTER'!$C$59:$C$60,0)),""))</f>
        <v/>
      </c>
      <c r="AL157" s="58" t="str">
        <f aca="false">IF('STUDENT SCREENING'!AK157="","",IFERROR(INDEX('SCORING MASTER'!$D$62:$D$63,MATCH('STUDENT SCREENING'!AK157,'SCORING MASTER'!$C$62:$C$63,0)),""))</f>
        <v/>
      </c>
      <c r="AM157" s="58" t="str">
        <f aca="false">IF('STUDENT SCREENING'!AL157="","",IFERROR(INDEX('SCORING MASTER'!$D$65:$D$66,MATCH('STUDENT SCREENING'!AL157,'SCORING MASTER'!$C$65:$C$66,0)),""))</f>
        <v/>
      </c>
      <c r="AN157" s="58" t="str">
        <f aca="false">IF('STUDENT SCREENING'!AM157="","",IFERROR(INDEX('SCORING MASTER'!$D$68:$D$69,MATCH('STUDENT SCREENING'!AM157,'SCORING MASTER'!$C$68:$C$69,0)),""))</f>
        <v/>
      </c>
      <c r="AO157" s="58" t="str">
        <f aca="false">IF('STUDENT SCREENING'!AN157="","",IFERROR(INDEX('SCORING MASTER'!$D$71:$D$72,MATCH('STUDENT SCREENING'!AN157,'SCORING MASTER'!$C$71:$C$72,0)),""))</f>
        <v/>
      </c>
      <c r="AP157" s="58" t="str">
        <f aca="false">IF('STUDENT SCREENING'!AO157="","",IFERROR(INDEX('SCORING MASTER'!$D$74:$D$75,MATCH('STUDENT SCREENING'!AO157,'SCORING MASTER'!$C$74:$C$75,0)),""))</f>
        <v/>
      </c>
      <c r="AQ157" s="58" t="str">
        <f aca="false">IF('STUDENT SCREENING'!AP157="","",IFERROR(INDEX('SCORING MASTER'!$D$77:$D$78,MATCH('STUDENT SCREENING'!AP157,'SCORING MASTER'!$C$77:$C$78,0)),""))</f>
        <v/>
      </c>
      <c r="AR157" s="58" t="str">
        <f aca="false">IF('STUDENT SCREENING'!AQ157="","",IFERROR(INDEX('SCORING MASTER'!$D$80:$D$82,MATCH('STUDENT SCREENING'!AQ157,'SCORING MASTER'!$C$80:$C$82,0)),""))</f>
        <v/>
      </c>
      <c r="AS157" s="58" t="str">
        <f aca="false">IF('STUDENT SCREENING'!AR157="","",IFERROR(INDEX('SCORING MASTER'!$D$84:$D$86,MATCH('STUDENT SCREENING'!AR157,'SCORING MASTER'!$C$84:$C$86,0)),""))</f>
        <v/>
      </c>
      <c r="AT157" s="58" t="str">
        <f aca="false">IF('STUDENT SCREENING'!AS157="","",IFERROR(INDEX('SCORING MASTER'!$D$88:$D$90,MATCH('STUDENT SCREENING'!AS157,'SCORING MASTER'!$C$88:$C$90,0)),""))</f>
        <v/>
      </c>
      <c r="AU157" s="58" t="str">
        <f aca="false">IF('STUDENT SCREENING'!AT157="","",IFERROR(INDEX('SCORING MASTER'!$D$92:$D$93,MATCH('STUDENT SCREENING'!AT157,'SCORING MASTER'!$C$92:$C$93,0)),""))</f>
        <v/>
      </c>
      <c r="AV157" s="58" t="str">
        <f aca="false">IF('STUDENT SCREENING'!AU157="","",IFERROR(INDEX('SCORING MASTER'!$D$95:$D$96,MATCH('STUDENT SCREENING'!AU157,'SCORING MASTER'!$C$95:$C$96,0)),""))</f>
        <v/>
      </c>
      <c r="AW157" s="58" t="str">
        <f aca="false">IF('STUDENT SCREENING'!AV157="","",IFERROR(INDEX('SCORING MASTER'!$D$98:$D$99,MATCH('STUDENT SCREENING'!AV157,'SCORING MASTER'!$C$98:$C$99,0)),""))</f>
        <v/>
      </c>
      <c r="AX157" s="58" t="str">
        <f aca="false">IF('STUDENT SCREENING'!AW157="","",IFERROR(INDEX('SCORING MASTER'!$D$101:$D$102,MATCH('STUDENT SCREENING'!AW157,'SCORING MASTER'!$C$101:$C$102,0)),""))</f>
        <v/>
      </c>
      <c r="AY157" s="58" t="str">
        <f aca="false">IF('STUDENT SCREENING'!AX157="","",IFERROR(INDEX('SCORING MASTER'!$D$104:$D$105,MATCH('STUDENT SCREENING'!AX157,'SCORING MASTER'!$C$104:$C$105,0)),""))</f>
        <v/>
      </c>
      <c r="AZ157" s="58" t="str">
        <f aca="false">IF('STUDENT SCREENING'!AY157="","",IFERROR(INDEX('SCORING MASTER'!$D$107:$D$108,MATCH('STUDENT SCREENING'!AY157,'SCORING MASTER'!$C$107:$C$108,0)),""))</f>
        <v/>
      </c>
      <c r="BA157" s="58" t="str">
        <f aca="false">IF('STUDENT SCREENING'!AZ157="","",IFERROR(INDEX('SCORING MASTER'!$D$110:$D$111,MATCH('STUDENT SCREENING'!AZ157,'SCORING MASTER'!$C$110:$C$111,0)),""))</f>
        <v/>
      </c>
      <c r="BB157" s="58" t="str">
        <f aca="false">IF('STUDENT SCREENING'!BA157="","",IFERROR(INDEX('SCORING MASTER'!$D$113:$D$115,MATCH('STUDENT SCREENING'!BA157,'SCORING MASTER'!$C$113:$C$115,0)),""))</f>
        <v/>
      </c>
      <c r="BC157" s="58" t="str">
        <f aca="false">IF('STUDENT SCREENING'!BB157="","",IFERROR(INDEX('SCORING MASTER'!$D$117:$D$119,MATCH('STUDENT SCREENING'!BB157,'SCORING MASTER'!$C$117:$C$119,0)),""))</f>
        <v/>
      </c>
      <c r="BD157" s="58" t="str">
        <f aca="false">IF('STUDENT SCREENING'!BC157="","",IFERROR(INDEX('SCORING MASTER'!$D$121:$D$123,MATCH('STUDENT SCREENING'!BC157,'SCORING MASTER'!$C$121:$C$123,0)),""))</f>
        <v/>
      </c>
      <c r="BE157" s="58" t="str">
        <f aca="false">IF('STUDENT SCREENING'!BD157="","",IFERROR(INDEX('SCORING MASTER'!$D$125:$D$126,MATCH('STUDENT SCREENING'!BD157,'SCORING MASTER'!$C$125:$C$126,0)),""))</f>
        <v/>
      </c>
      <c r="BF157" s="58" t="str">
        <f aca="false">IF('STUDENT SCREENING'!BE157="","",IFERROR(INDEX('SCORING MASTER'!$D$128:$D$129,MATCH('STUDENT SCREENING'!BE157,'SCORING MASTER'!$C$128:$C$129,0)),""))</f>
        <v/>
      </c>
      <c r="BG157" s="58" t="str">
        <f aca="false">IF('STUDENT SCREENING'!BP157="","",IFERROR(MATCH('STUDENT SCREENING'!BP157,{"Red - High Risk","Orange - Moderate Risk","Yellow - Mild Risk","Light Green - Mild Watch","Green - Healthy"},0)-1,""))</f>
        <v/>
      </c>
      <c r="BH157" s="58" t="str">
        <f aca="false">IF('STUDENT SCREENING'!BQ157="","",IF('STUDENT SCREENING'!BQ157="Yes",1,0))</f>
        <v/>
      </c>
      <c r="BI157" s="58" t="str">
        <f aca="false">IF('STUDENT SCREENING'!BR157="","",IF('STUDENT SCREENING'!BR157="Yes",1,0))</f>
        <v/>
      </c>
    </row>
    <row r="158" customFormat="false" ht="15" hidden="false" customHeight="false" outlineLevel="0" collapsed="false">
      <c r="A158" s="57" t="str">
        <f aca="false">'STUDENT SCREENING'!A158</f>
        <v/>
      </c>
      <c r="B158" s="57" t="n">
        <f aca="false">'STUDENT SCREENING'!C158</f>
        <v>0</v>
      </c>
      <c r="C158" s="57" t="n">
        <f aca="false">'STUDENT SCREENING'!D158</f>
        <v>0</v>
      </c>
      <c r="D158" s="57" t="n">
        <f aca="false">'STUDENT SCREENING'!E158</f>
        <v>0</v>
      </c>
      <c r="E158" s="57" t="n">
        <f aca="false">'STUDENT SCREENING'!F158</f>
        <v>0</v>
      </c>
      <c r="F158" s="57" t="n">
        <f aca="false">'STUDENT SCREENING'!K158</f>
        <v>0</v>
      </c>
      <c r="G158" s="57" t="n">
        <f aca="false">'STUDENT SCREENING'!J158</f>
        <v>0</v>
      </c>
      <c r="H158" s="57" t="str">
        <f aca="false">IF('STUDENT SCREENING'!K158="","",IFERROR(MATCH('STUDENT SCREENING'!K158,Adm_Gender,0),""))</f>
        <v/>
      </c>
      <c r="I158" s="57" t="n">
        <f aca="false">'STUDENT SCREENING'!Q158</f>
        <v>0</v>
      </c>
      <c r="J158" s="57" t="n">
        <f aca="false">'STUDENT SCREENING'!R158</f>
        <v>0</v>
      </c>
      <c r="K158" s="57" t="str">
        <f aca="false">'STUDENT SCREENING'!S158</f>
        <v/>
      </c>
      <c r="L158" s="57" t="n">
        <f aca="false">'STUDENT SCREENING'!U158</f>
        <v>0</v>
      </c>
      <c r="M158" s="57" t="n">
        <f aca="false">'STUDENT SCREENING'!V158</f>
        <v>0</v>
      </c>
      <c r="N158" s="57" t="str">
        <f aca="false">'STUDENT SCREENING'!BF158</f>
        <v/>
      </c>
      <c r="O158" s="57" t="str">
        <f aca="false">'STUDENT SCREENING'!BG158</f>
        <v/>
      </c>
      <c r="P158" s="57" t="str">
        <f aca="false">'STUDENT SCREENING'!BH158</f>
        <v/>
      </c>
      <c r="Q158" s="57" t="str">
        <f aca="false">'STUDENT SCREENING'!BI158</f>
        <v/>
      </c>
      <c r="R158" s="57" t="str">
        <f aca="false">'STUDENT SCREENING'!BJ158</f>
        <v/>
      </c>
      <c r="S158" s="57" t="str">
        <f aca="false">'STUDENT SCREENING'!BK158</f>
        <v/>
      </c>
      <c r="T158" s="57" t="str">
        <f aca="false">'STUDENT SCREENING'!BL158</f>
        <v/>
      </c>
      <c r="U158" s="57" t="str">
        <f aca="false">'STUDENT SCREENING'!BM158</f>
        <v/>
      </c>
      <c r="V158" s="57" t="str">
        <f aca="false">'STUDENT SCREENING'!BN158</f>
        <v/>
      </c>
      <c r="W158" s="57" t="str">
        <f aca="false">'STUDENT SCREENING'!BO158</f>
        <v/>
      </c>
      <c r="X158" s="57" t="str">
        <f aca="false">IF('STUDENT SCREENING'!W158="","",IFERROR(INDEX('SCORING MASTER'!$D$5:$D$7,MATCH('STUDENT SCREENING'!W158,'SCORING MASTER'!$C$5:$C$7,0)),""))</f>
        <v/>
      </c>
      <c r="Y158" s="57" t="str">
        <f aca="false">IF('STUDENT SCREENING'!X158="","",IFERROR(INDEX('SCORING MASTER'!$D$9:$D$11,MATCH('STUDENT SCREENING'!X158,'SCORING MASTER'!$C$9:$C$11,0)),""))</f>
        <v/>
      </c>
      <c r="Z158" s="57" t="str">
        <f aca="false">IF('STUDENT SCREENING'!Y158="","",IFERROR(INDEX('SCORING MASTER'!$D$13:$D$15,MATCH('STUDENT SCREENING'!Y158,'SCORING MASTER'!$C$13:$C$15,0)),""))</f>
        <v/>
      </c>
      <c r="AA158" s="57" t="str">
        <f aca="false">IF('STUDENT SCREENING'!Z158="","",IFERROR(INDEX('SCORING MASTER'!$D$17:$D$19,MATCH('STUDENT SCREENING'!Z158,'SCORING MASTER'!$C$17:$C$19,0)),""))</f>
        <v/>
      </c>
      <c r="AB158" s="57" t="str">
        <f aca="false">IF('STUDENT SCREENING'!AA158="","",IFERROR(INDEX('SCORING MASTER'!$D$21:$D$23,MATCH('STUDENT SCREENING'!AA158,'SCORING MASTER'!$C$21:$C$23,0)),""))</f>
        <v/>
      </c>
      <c r="AC158" s="57" t="str">
        <f aca="false">IF('STUDENT SCREENING'!AB158="","",IFERROR(INDEX('SCORING MASTER'!$D$25:$D$27,MATCH('STUDENT SCREENING'!AB158,'SCORING MASTER'!$C$25:$C$27,0)),""))</f>
        <v/>
      </c>
      <c r="AD158" s="57" t="str">
        <f aca="false">IF('STUDENT SCREENING'!AC158="","",IFERROR(INDEX('SCORING MASTER'!$D$29:$D$31,MATCH('STUDENT SCREENING'!AC158,'SCORING MASTER'!$C$29:$C$31,0)),""))</f>
        <v/>
      </c>
      <c r="AE158" s="57" t="str">
        <f aca="false">IF('STUDENT SCREENING'!AD158="","",IFERROR(INDEX('SCORING MASTER'!$D$33:$D$35,MATCH('STUDENT SCREENING'!AD158,'SCORING MASTER'!$C$33:$C$35,0)),""))</f>
        <v/>
      </c>
      <c r="AF158" s="57" t="str">
        <f aca="false">IF('STUDENT SCREENING'!AE158="","",IFERROR(INDEX('SCORING MASTER'!$D$37:$D$39,MATCH('STUDENT SCREENING'!AE158,'SCORING MASTER'!$C$37:$C$39,0)),""))</f>
        <v/>
      </c>
      <c r="AG158" s="57" t="str">
        <f aca="false">IF('STUDENT SCREENING'!AF158="","",IFERROR(INDEX('SCORING MASTER'!$D$41:$D$43,MATCH('STUDENT SCREENING'!AF158,'SCORING MASTER'!$C$41:$C$43,0)),""))</f>
        <v/>
      </c>
      <c r="AH158" s="57" t="str">
        <f aca="false">IF('STUDENT SCREENING'!AG158="","",IFERROR(INDEX('SCORING MASTER'!$D$45:$D$47,MATCH('STUDENT SCREENING'!AG158,'SCORING MASTER'!$C$45:$C$47,0)),""))</f>
        <v/>
      </c>
      <c r="AI158" s="57" t="str">
        <f aca="false">IF('STUDENT SCREENING'!AH158="","",IFERROR(INDEX('SCORING MASTER'!$D$49:$D$52,MATCH('STUDENT SCREENING'!AH158,'SCORING MASTER'!$C$49:$C$52,0)),""))</f>
        <v/>
      </c>
      <c r="AJ158" s="57" t="str">
        <f aca="false">IF('STUDENT SCREENING'!AI158="","",IFERROR(INDEX('SCORING MASTER'!$D$54:$D$57,MATCH('STUDENT SCREENING'!AI158,'SCORING MASTER'!$C$54:$C$57,0)),""))</f>
        <v/>
      </c>
      <c r="AK158" s="57" t="str">
        <f aca="false">IF('STUDENT SCREENING'!AJ158="","",IFERROR(INDEX('SCORING MASTER'!$D$59:$D$60,MATCH('STUDENT SCREENING'!AJ158,'SCORING MASTER'!$C$59:$C$60,0)),""))</f>
        <v/>
      </c>
      <c r="AL158" s="57" t="str">
        <f aca="false">IF('STUDENT SCREENING'!AK158="","",IFERROR(INDEX('SCORING MASTER'!$D$62:$D$63,MATCH('STUDENT SCREENING'!AK158,'SCORING MASTER'!$C$62:$C$63,0)),""))</f>
        <v/>
      </c>
      <c r="AM158" s="57" t="str">
        <f aca="false">IF('STUDENT SCREENING'!AL158="","",IFERROR(INDEX('SCORING MASTER'!$D$65:$D$66,MATCH('STUDENT SCREENING'!AL158,'SCORING MASTER'!$C$65:$C$66,0)),""))</f>
        <v/>
      </c>
      <c r="AN158" s="57" t="str">
        <f aca="false">IF('STUDENT SCREENING'!AM158="","",IFERROR(INDEX('SCORING MASTER'!$D$68:$D$69,MATCH('STUDENT SCREENING'!AM158,'SCORING MASTER'!$C$68:$C$69,0)),""))</f>
        <v/>
      </c>
      <c r="AO158" s="57" t="str">
        <f aca="false">IF('STUDENT SCREENING'!AN158="","",IFERROR(INDEX('SCORING MASTER'!$D$71:$D$72,MATCH('STUDENT SCREENING'!AN158,'SCORING MASTER'!$C$71:$C$72,0)),""))</f>
        <v/>
      </c>
      <c r="AP158" s="57" t="str">
        <f aca="false">IF('STUDENT SCREENING'!AO158="","",IFERROR(INDEX('SCORING MASTER'!$D$74:$D$75,MATCH('STUDENT SCREENING'!AO158,'SCORING MASTER'!$C$74:$C$75,0)),""))</f>
        <v/>
      </c>
      <c r="AQ158" s="57" t="str">
        <f aca="false">IF('STUDENT SCREENING'!AP158="","",IFERROR(INDEX('SCORING MASTER'!$D$77:$D$78,MATCH('STUDENT SCREENING'!AP158,'SCORING MASTER'!$C$77:$C$78,0)),""))</f>
        <v/>
      </c>
      <c r="AR158" s="57" t="str">
        <f aca="false">IF('STUDENT SCREENING'!AQ158="","",IFERROR(INDEX('SCORING MASTER'!$D$80:$D$82,MATCH('STUDENT SCREENING'!AQ158,'SCORING MASTER'!$C$80:$C$82,0)),""))</f>
        <v/>
      </c>
      <c r="AS158" s="57" t="str">
        <f aca="false">IF('STUDENT SCREENING'!AR158="","",IFERROR(INDEX('SCORING MASTER'!$D$84:$D$86,MATCH('STUDENT SCREENING'!AR158,'SCORING MASTER'!$C$84:$C$86,0)),""))</f>
        <v/>
      </c>
      <c r="AT158" s="57" t="str">
        <f aca="false">IF('STUDENT SCREENING'!AS158="","",IFERROR(INDEX('SCORING MASTER'!$D$88:$D$90,MATCH('STUDENT SCREENING'!AS158,'SCORING MASTER'!$C$88:$C$90,0)),""))</f>
        <v/>
      </c>
      <c r="AU158" s="57" t="str">
        <f aca="false">IF('STUDENT SCREENING'!AT158="","",IFERROR(INDEX('SCORING MASTER'!$D$92:$D$93,MATCH('STUDENT SCREENING'!AT158,'SCORING MASTER'!$C$92:$C$93,0)),""))</f>
        <v/>
      </c>
      <c r="AV158" s="57" t="str">
        <f aca="false">IF('STUDENT SCREENING'!AU158="","",IFERROR(INDEX('SCORING MASTER'!$D$95:$D$96,MATCH('STUDENT SCREENING'!AU158,'SCORING MASTER'!$C$95:$C$96,0)),""))</f>
        <v/>
      </c>
      <c r="AW158" s="57" t="str">
        <f aca="false">IF('STUDENT SCREENING'!AV158="","",IFERROR(INDEX('SCORING MASTER'!$D$98:$D$99,MATCH('STUDENT SCREENING'!AV158,'SCORING MASTER'!$C$98:$C$99,0)),""))</f>
        <v/>
      </c>
      <c r="AX158" s="57" t="str">
        <f aca="false">IF('STUDENT SCREENING'!AW158="","",IFERROR(INDEX('SCORING MASTER'!$D$101:$D$102,MATCH('STUDENT SCREENING'!AW158,'SCORING MASTER'!$C$101:$C$102,0)),""))</f>
        <v/>
      </c>
      <c r="AY158" s="57" t="str">
        <f aca="false">IF('STUDENT SCREENING'!AX158="","",IFERROR(INDEX('SCORING MASTER'!$D$104:$D$105,MATCH('STUDENT SCREENING'!AX158,'SCORING MASTER'!$C$104:$C$105,0)),""))</f>
        <v/>
      </c>
      <c r="AZ158" s="57" t="str">
        <f aca="false">IF('STUDENT SCREENING'!AY158="","",IFERROR(INDEX('SCORING MASTER'!$D$107:$D$108,MATCH('STUDENT SCREENING'!AY158,'SCORING MASTER'!$C$107:$C$108,0)),""))</f>
        <v/>
      </c>
      <c r="BA158" s="57" t="str">
        <f aca="false">IF('STUDENT SCREENING'!AZ158="","",IFERROR(INDEX('SCORING MASTER'!$D$110:$D$111,MATCH('STUDENT SCREENING'!AZ158,'SCORING MASTER'!$C$110:$C$111,0)),""))</f>
        <v/>
      </c>
      <c r="BB158" s="57" t="str">
        <f aca="false">IF('STUDENT SCREENING'!BA158="","",IFERROR(INDEX('SCORING MASTER'!$D$113:$D$115,MATCH('STUDENT SCREENING'!BA158,'SCORING MASTER'!$C$113:$C$115,0)),""))</f>
        <v/>
      </c>
      <c r="BC158" s="57" t="str">
        <f aca="false">IF('STUDENT SCREENING'!BB158="","",IFERROR(INDEX('SCORING MASTER'!$D$117:$D$119,MATCH('STUDENT SCREENING'!BB158,'SCORING MASTER'!$C$117:$C$119,0)),""))</f>
        <v/>
      </c>
      <c r="BD158" s="57" t="str">
        <f aca="false">IF('STUDENT SCREENING'!BC158="","",IFERROR(INDEX('SCORING MASTER'!$D$121:$D$123,MATCH('STUDENT SCREENING'!BC158,'SCORING MASTER'!$C$121:$C$123,0)),""))</f>
        <v/>
      </c>
      <c r="BE158" s="57" t="str">
        <f aca="false">IF('STUDENT SCREENING'!BD158="","",IFERROR(INDEX('SCORING MASTER'!$D$125:$D$126,MATCH('STUDENT SCREENING'!BD158,'SCORING MASTER'!$C$125:$C$126,0)),""))</f>
        <v/>
      </c>
      <c r="BF158" s="57" t="str">
        <f aca="false">IF('STUDENT SCREENING'!BE158="","",IFERROR(INDEX('SCORING MASTER'!$D$128:$D$129,MATCH('STUDENT SCREENING'!BE158,'SCORING MASTER'!$C$128:$C$129,0)),""))</f>
        <v/>
      </c>
      <c r="BG158" s="57" t="str">
        <f aca="false">IF('STUDENT SCREENING'!BP158="","",IFERROR(MATCH('STUDENT SCREENING'!BP158,{"Red - High Risk","Orange - Moderate Risk","Yellow - Mild Risk","Light Green - Mild Watch","Green - Healthy"},0)-1,""))</f>
        <v/>
      </c>
      <c r="BH158" s="57" t="str">
        <f aca="false">IF('STUDENT SCREENING'!BQ158="","",IF('STUDENT SCREENING'!BQ158="Yes",1,0))</f>
        <v/>
      </c>
      <c r="BI158" s="57" t="str">
        <f aca="false">IF('STUDENT SCREENING'!BR158="","",IF('STUDENT SCREENING'!BR158="Yes",1,0))</f>
        <v/>
      </c>
    </row>
    <row r="159" customFormat="false" ht="15" hidden="false" customHeight="false" outlineLevel="0" collapsed="false">
      <c r="A159" s="58" t="str">
        <f aca="false">'STUDENT SCREENING'!A159</f>
        <v/>
      </c>
      <c r="B159" s="58" t="n">
        <f aca="false">'STUDENT SCREENING'!C159</f>
        <v>0</v>
      </c>
      <c r="C159" s="58" t="n">
        <f aca="false">'STUDENT SCREENING'!D159</f>
        <v>0</v>
      </c>
      <c r="D159" s="58" t="n">
        <f aca="false">'STUDENT SCREENING'!E159</f>
        <v>0</v>
      </c>
      <c r="E159" s="58" t="n">
        <f aca="false">'STUDENT SCREENING'!F159</f>
        <v>0</v>
      </c>
      <c r="F159" s="58" t="n">
        <f aca="false">'STUDENT SCREENING'!K159</f>
        <v>0</v>
      </c>
      <c r="G159" s="58" t="n">
        <f aca="false">'STUDENT SCREENING'!J159</f>
        <v>0</v>
      </c>
      <c r="H159" s="58" t="str">
        <f aca="false">IF('STUDENT SCREENING'!K159="","",IFERROR(MATCH('STUDENT SCREENING'!K159,Adm_Gender,0),""))</f>
        <v/>
      </c>
      <c r="I159" s="58" t="n">
        <f aca="false">'STUDENT SCREENING'!Q159</f>
        <v>0</v>
      </c>
      <c r="J159" s="58" t="n">
        <f aca="false">'STUDENT SCREENING'!R159</f>
        <v>0</v>
      </c>
      <c r="K159" s="58" t="str">
        <f aca="false">'STUDENT SCREENING'!S159</f>
        <v/>
      </c>
      <c r="L159" s="58" t="n">
        <f aca="false">'STUDENT SCREENING'!U159</f>
        <v>0</v>
      </c>
      <c r="M159" s="58" t="n">
        <f aca="false">'STUDENT SCREENING'!V159</f>
        <v>0</v>
      </c>
      <c r="N159" s="58" t="str">
        <f aca="false">'STUDENT SCREENING'!BF159</f>
        <v/>
      </c>
      <c r="O159" s="58" t="str">
        <f aca="false">'STUDENT SCREENING'!BG159</f>
        <v/>
      </c>
      <c r="P159" s="58" t="str">
        <f aca="false">'STUDENT SCREENING'!BH159</f>
        <v/>
      </c>
      <c r="Q159" s="58" t="str">
        <f aca="false">'STUDENT SCREENING'!BI159</f>
        <v/>
      </c>
      <c r="R159" s="58" t="str">
        <f aca="false">'STUDENT SCREENING'!BJ159</f>
        <v/>
      </c>
      <c r="S159" s="58" t="str">
        <f aca="false">'STUDENT SCREENING'!BK159</f>
        <v/>
      </c>
      <c r="T159" s="58" t="str">
        <f aca="false">'STUDENT SCREENING'!BL159</f>
        <v/>
      </c>
      <c r="U159" s="58" t="str">
        <f aca="false">'STUDENT SCREENING'!BM159</f>
        <v/>
      </c>
      <c r="V159" s="58" t="str">
        <f aca="false">'STUDENT SCREENING'!BN159</f>
        <v/>
      </c>
      <c r="W159" s="58" t="str">
        <f aca="false">'STUDENT SCREENING'!BO159</f>
        <v/>
      </c>
      <c r="X159" s="58" t="str">
        <f aca="false">IF('STUDENT SCREENING'!W159="","",IFERROR(INDEX('SCORING MASTER'!$D$5:$D$7,MATCH('STUDENT SCREENING'!W159,'SCORING MASTER'!$C$5:$C$7,0)),""))</f>
        <v/>
      </c>
      <c r="Y159" s="58" t="str">
        <f aca="false">IF('STUDENT SCREENING'!X159="","",IFERROR(INDEX('SCORING MASTER'!$D$9:$D$11,MATCH('STUDENT SCREENING'!X159,'SCORING MASTER'!$C$9:$C$11,0)),""))</f>
        <v/>
      </c>
      <c r="Z159" s="58" t="str">
        <f aca="false">IF('STUDENT SCREENING'!Y159="","",IFERROR(INDEX('SCORING MASTER'!$D$13:$D$15,MATCH('STUDENT SCREENING'!Y159,'SCORING MASTER'!$C$13:$C$15,0)),""))</f>
        <v/>
      </c>
      <c r="AA159" s="58" t="str">
        <f aca="false">IF('STUDENT SCREENING'!Z159="","",IFERROR(INDEX('SCORING MASTER'!$D$17:$D$19,MATCH('STUDENT SCREENING'!Z159,'SCORING MASTER'!$C$17:$C$19,0)),""))</f>
        <v/>
      </c>
      <c r="AB159" s="58" t="str">
        <f aca="false">IF('STUDENT SCREENING'!AA159="","",IFERROR(INDEX('SCORING MASTER'!$D$21:$D$23,MATCH('STUDENT SCREENING'!AA159,'SCORING MASTER'!$C$21:$C$23,0)),""))</f>
        <v/>
      </c>
      <c r="AC159" s="58" t="str">
        <f aca="false">IF('STUDENT SCREENING'!AB159="","",IFERROR(INDEX('SCORING MASTER'!$D$25:$D$27,MATCH('STUDENT SCREENING'!AB159,'SCORING MASTER'!$C$25:$C$27,0)),""))</f>
        <v/>
      </c>
      <c r="AD159" s="58" t="str">
        <f aca="false">IF('STUDENT SCREENING'!AC159="","",IFERROR(INDEX('SCORING MASTER'!$D$29:$D$31,MATCH('STUDENT SCREENING'!AC159,'SCORING MASTER'!$C$29:$C$31,0)),""))</f>
        <v/>
      </c>
      <c r="AE159" s="58" t="str">
        <f aca="false">IF('STUDENT SCREENING'!AD159="","",IFERROR(INDEX('SCORING MASTER'!$D$33:$D$35,MATCH('STUDENT SCREENING'!AD159,'SCORING MASTER'!$C$33:$C$35,0)),""))</f>
        <v/>
      </c>
      <c r="AF159" s="58" t="str">
        <f aca="false">IF('STUDENT SCREENING'!AE159="","",IFERROR(INDEX('SCORING MASTER'!$D$37:$D$39,MATCH('STUDENT SCREENING'!AE159,'SCORING MASTER'!$C$37:$C$39,0)),""))</f>
        <v/>
      </c>
      <c r="AG159" s="58" t="str">
        <f aca="false">IF('STUDENT SCREENING'!AF159="","",IFERROR(INDEX('SCORING MASTER'!$D$41:$D$43,MATCH('STUDENT SCREENING'!AF159,'SCORING MASTER'!$C$41:$C$43,0)),""))</f>
        <v/>
      </c>
      <c r="AH159" s="58" t="str">
        <f aca="false">IF('STUDENT SCREENING'!AG159="","",IFERROR(INDEX('SCORING MASTER'!$D$45:$D$47,MATCH('STUDENT SCREENING'!AG159,'SCORING MASTER'!$C$45:$C$47,0)),""))</f>
        <v/>
      </c>
      <c r="AI159" s="58" t="str">
        <f aca="false">IF('STUDENT SCREENING'!AH159="","",IFERROR(INDEX('SCORING MASTER'!$D$49:$D$52,MATCH('STUDENT SCREENING'!AH159,'SCORING MASTER'!$C$49:$C$52,0)),""))</f>
        <v/>
      </c>
      <c r="AJ159" s="58" t="str">
        <f aca="false">IF('STUDENT SCREENING'!AI159="","",IFERROR(INDEX('SCORING MASTER'!$D$54:$D$57,MATCH('STUDENT SCREENING'!AI159,'SCORING MASTER'!$C$54:$C$57,0)),""))</f>
        <v/>
      </c>
      <c r="AK159" s="58" t="str">
        <f aca="false">IF('STUDENT SCREENING'!AJ159="","",IFERROR(INDEX('SCORING MASTER'!$D$59:$D$60,MATCH('STUDENT SCREENING'!AJ159,'SCORING MASTER'!$C$59:$C$60,0)),""))</f>
        <v/>
      </c>
      <c r="AL159" s="58" t="str">
        <f aca="false">IF('STUDENT SCREENING'!AK159="","",IFERROR(INDEX('SCORING MASTER'!$D$62:$D$63,MATCH('STUDENT SCREENING'!AK159,'SCORING MASTER'!$C$62:$C$63,0)),""))</f>
        <v/>
      </c>
      <c r="AM159" s="58" t="str">
        <f aca="false">IF('STUDENT SCREENING'!AL159="","",IFERROR(INDEX('SCORING MASTER'!$D$65:$D$66,MATCH('STUDENT SCREENING'!AL159,'SCORING MASTER'!$C$65:$C$66,0)),""))</f>
        <v/>
      </c>
      <c r="AN159" s="58" t="str">
        <f aca="false">IF('STUDENT SCREENING'!AM159="","",IFERROR(INDEX('SCORING MASTER'!$D$68:$D$69,MATCH('STUDENT SCREENING'!AM159,'SCORING MASTER'!$C$68:$C$69,0)),""))</f>
        <v/>
      </c>
      <c r="AO159" s="58" t="str">
        <f aca="false">IF('STUDENT SCREENING'!AN159="","",IFERROR(INDEX('SCORING MASTER'!$D$71:$D$72,MATCH('STUDENT SCREENING'!AN159,'SCORING MASTER'!$C$71:$C$72,0)),""))</f>
        <v/>
      </c>
      <c r="AP159" s="58" t="str">
        <f aca="false">IF('STUDENT SCREENING'!AO159="","",IFERROR(INDEX('SCORING MASTER'!$D$74:$D$75,MATCH('STUDENT SCREENING'!AO159,'SCORING MASTER'!$C$74:$C$75,0)),""))</f>
        <v/>
      </c>
      <c r="AQ159" s="58" t="str">
        <f aca="false">IF('STUDENT SCREENING'!AP159="","",IFERROR(INDEX('SCORING MASTER'!$D$77:$D$78,MATCH('STUDENT SCREENING'!AP159,'SCORING MASTER'!$C$77:$C$78,0)),""))</f>
        <v/>
      </c>
      <c r="AR159" s="58" t="str">
        <f aca="false">IF('STUDENT SCREENING'!AQ159="","",IFERROR(INDEX('SCORING MASTER'!$D$80:$D$82,MATCH('STUDENT SCREENING'!AQ159,'SCORING MASTER'!$C$80:$C$82,0)),""))</f>
        <v/>
      </c>
      <c r="AS159" s="58" t="str">
        <f aca="false">IF('STUDENT SCREENING'!AR159="","",IFERROR(INDEX('SCORING MASTER'!$D$84:$D$86,MATCH('STUDENT SCREENING'!AR159,'SCORING MASTER'!$C$84:$C$86,0)),""))</f>
        <v/>
      </c>
      <c r="AT159" s="58" t="str">
        <f aca="false">IF('STUDENT SCREENING'!AS159="","",IFERROR(INDEX('SCORING MASTER'!$D$88:$D$90,MATCH('STUDENT SCREENING'!AS159,'SCORING MASTER'!$C$88:$C$90,0)),""))</f>
        <v/>
      </c>
      <c r="AU159" s="58" t="str">
        <f aca="false">IF('STUDENT SCREENING'!AT159="","",IFERROR(INDEX('SCORING MASTER'!$D$92:$D$93,MATCH('STUDENT SCREENING'!AT159,'SCORING MASTER'!$C$92:$C$93,0)),""))</f>
        <v/>
      </c>
      <c r="AV159" s="58" t="str">
        <f aca="false">IF('STUDENT SCREENING'!AU159="","",IFERROR(INDEX('SCORING MASTER'!$D$95:$D$96,MATCH('STUDENT SCREENING'!AU159,'SCORING MASTER'!$C$95:$C$96,0)),""))</f>
        <v/>
      </c>
      <c r="AW159" s="58" t="str">
        <f aca="false">IF('STUDENT SCREENING'!AV159="","",IFERROR(INDEX('SCORING MASTER'!$D$98:$D$99,MATCH('STUDENT SCREENING'!AV159,'SCORING MASTER'!$C$98:$C$99,0)),""))</f>
        <v/>
      </c>
      <c r="AX159" s="58" t="str">
        <f aca="false">IF('STUDENT SCREENING'!AW159="","",IFERROR(INDEX('SCORING MASTER'!$D$101:$D$102,MATCH('STUDENT SCREENING'!AW159,'SCORING MASTER'!$C$101:$C$102,0)),""))</f>
        <v/>
      </c>
      <c r="AY159" s="58" t="str">
        <f aca="false">IF('STUDENT SCREENING'!AX159="","",IFERROR(INDEX('SCORING MASTER'!$D$104:$D$105,MATCH('STUDENT SCREENING'!AX159,'SCORING MASTER'!$C$104:$C$105,0)),""))</f>
        <v/>
      </c>
      <c r="AZ159" s="58" t="str">
        <f aca="false">IF('STUDENT SCREENING'!AY159="","",IFERROR(INDEX('SCORING MASTER'!$D$107:$D$108,MATCH('STUDENT SCREENING'!AY159,'SCORING MASTER'!$C$107:$C$108,0)),""))</f>
        <v/>
      </c>
      <c r="BA159" s="58" t="str">
        <f aca="false">IF('STUDENT SCREENING'!AZ159="","",IFERROR(INDEX('SCORING MASTER'!$D$110:$D$111,MATCH('STUDENT SCREENING'!AZ159,'SCORING MASTER'!$C$110:$C$111,0)),""))</f>
        <v/>
      </c>
      <c r="BB159" s="58" t="str">
        <f aca="false">IF('STUDENT SCREENING'!BA159="","",IFERROR(INDEX('SCORING MASTER'!$D$113:$D$115,MATCH('STUDENT SCREENING'!BA159,'SCORING MASTER'!$C$113:$C$115,0)),""))</f>
        <v/>
      </c>
      <c r="BC159" s="58" t="str">
        <f aca="false">IF('STUDENT SCREENING'!BB159="","",IFERROR(INDEX('SCORING MASTER'!$D$117:$D$119,MATCH('STUDENT SCREENING'!BB159,'SCORING MASTER'!$C$117:$C$119,0)),""))</f>
        <v/>
      </c>
      <c r="BD159" s="58" t="str">
        <f aca="false">IF('STUDENT SCREENING'!BC159="","",IFERROR(INDEX('SCORING MASTER'!$D$121:$D$123,MATCH('STUDENT SCREENING'!BC159,'SCORING MASTER'!$C$121:$C$123,0)),""))</f>
        <v/>
      </c>
      <c r="BE159" s="58" t="str">
        <f aca="false">IF('STUDENT SCREENING'!BD159="","",IFERROR(INDEX('SCORING MASTER'!$D$125:$D$126,MATCH('STUDENT SCREENING'!BD159,'SCORING MASTER'!$C$125:$C$126,0)),""))</f>
        <v/>
      </c>
      <c r="BF159" s="58" t="str">
        <f aca="false">IF('STUDENT SCREENING'!BE159="","",IFERROR(INDEX('SCORING MASTER'!$D$128:$D$129,MATCH('STUDENT SCREENING'!BE159,'SCORING MASTER'!$C$128:$C$129,0)),""))</f>
        <v/>
      </c>
      <c r="BG159" s="58" t="str">
        <f aca="false">IF('STUDENT SCREENING'!BP159="","",IFERROR(MATCH('STUDENT SCREENING'!BP159,{"Red - High Risk","Orange - Moderate Risk","Yellow - Mild Risk","Light Green - Mild Watch","Green - Healthy"},0)-1,""))</f>
        <v/>
      </c>
      <c r="BH159" s="58" t="str">
        <f aca="false">IF('STUDENT SCREENING'!BQ159="","",IF('STUDENT SCREENING'!BQ159="Yes",1,0))</f>
        <v/>
      </c>
      <c r="BI159" s="58" t="str">
        <f aca="false">IF('STUDENT SCREENING'!BR159="","",IF('STUDENT SCREENING'!BR159="Yes",1,0))</f>
        <v/>
      </c>
    </row>
    <row r="160" customFormat="false" ht="15" hidden="false" customHeight="false" outlineLevel="0" collapsed="false">
      <c r="A160" s="57" t="str">
        <f aca="false">'STUDENT SCREENING'!A160</f>
        <v/>
      </c>
      <c r="B160" s="57" t="n">
        <f aca="false">'STUDENT SCREENING'!C160</f>
        <v>0</v>
      </c>
      <c r="C160" s="57" t="n">
        <f aca="false">'STUDENT SCREENING'!D160</f>
        <v>0</v>
      </c>
      <c r="D160" s="57" t="n">
        <f aca="false">'STUDENT SCREENING'!E160</f>
        <v>0</v>
      </c>
      <c r="E160" s="57" t="n">
        <f aca="false">'STUDENT SCREENING'!F160</f>
        <v>0</v>
      </c>
      <c r="F160" s="57" t="n">
        <f aca="false">'STUDENT SCREENING'!K160</f>
        <v>0</v>
      </c>
      <c r="G160" s="57" t="n">
        <f aca="false">'STUDENT SCREENING'!J160</f>
        <v>0</v>
      </c>
      <c r="H160" s="57" t="str">
        <f aca="false">IF('STUDENT SCREENING'!K160="","",IFERROR(MATCH('STUDENT SCREENING'!K160,Adm_Gender,0),""))</f>
        <v/>
      </c>
      <c r="I160" s="57" t="n">
        <f aca="false">'STUDENT SCREENING'!Q160</f>
        <v>0</v>
      </c>
      <c r="J160" s="57" t="n">
        <f aca="false">'STUDENT SCREENING'!R160</f>
        <v>0</v>
      </c>
      <c r="K160" s="57" t="str">
        <f aca="false">'STUDENT SCREENING'!S160</f>
        <v/>
      </c>
      <c r="L160" s="57" t="n">
        <f aca="false">'STUDENT SCREENING'!U160</f>
        <v>0</v>
      </c>
      <c r="M160" s="57" t="n">
        <f aca="false">'STUDENT SCREENING'!V160</f>
        <v>0</v>
      </c>
      <c r="N160" s="57" t="str">
        <f aca="false">'STUDENT SCREENING'!BF160</f>
        <v/>
      </c>
      <c r="O160" s="57" t="str">
        <f aca="false">'STUDENT SCREENING'!BG160</f>
        <v/>
      </c>
      <c r="P160" s="57" t="str">
        <f aca="false">'STUDENT SCREENING'!BH160</f>
        <v/>
      </c>
      <c r="Q160" s="57" t="str">
        <f aca="false">'STUDENT SCREENING'!BI160</f>
        <v/>
      </c>
      <c r="R160" s="57" t="str">
        <f aca="false">'STUDENT SCREENING'!BJ160</f>
        <v/>
      </c>
      <c r="S160" s="57" t="str">
        <f aca="false">'STUDENT SCREENING'!BK160</f>
        <v/>
      </c>
      <c r="T160" s="57" t="str">
        <f aca="false">'STUDENT SCREENING'!BL160</f>
        <v/>
      </c>
      <c r="U160" s="57" t="str">
        <f aca="false">'STUDENT SCREENING'!BM160</f>
        <v/>
      </c>
      <c r="V160" s="57" t="str">
        <f aca="false">'STUDENT SCREENING'!BN160</f>
        <v/>
      </c>
      <c r="W160" s="57" t="str">
        <f aca="false">'STUDENT SCREENING'!BO160</f>
        <v/>
      </c>
      <c r="X160" s="57" t="str">
        <f aca="false">IF('STUDENT SCREENING'!W160="","",IFERROR(INDEX('SCORING MASTER'!$D$5:$D$7,MATCH('STUDENT SCREENING'!W160,'SCORING MASTER'!$C$5:$C$7,0)),""))</f>
        <v/>
      </c>
      <c r="Y160" s="57" t="str">
        <f aca="false">IF('STUDENT SCREENING'!X160="","",IFERROR(INDEX('SCORING MASTER'!$D$9:$D$11,MATCH('STUDENT SCREENING'!X160,'SCORING MASTER'!$C$9:$C$11,0)),""))</f>
        <v/>
      </c>
      <c r="Z160" s="57" t="str">
        <f aca="false">IF('STUDENT SCREENING'!Y160="","",IFERROR(INDEX('SCORING MASTER'!$D$13:$D$15,MATCH('STUDENT SCREENING'!Y160,'SCORING MASTER'!$C$13:$C$15,0)),""))</f>
        <v/>
      </c>
      <c r="AA160" s="57" t="str">
        <f aca="false">IF('STUDENT SCREENING'!Z160="","",IFERROR(INDEX('SCORING MASTER'!$D$17:$D$19,MATCH('STUDENT SCREENING'!Z160,'SCORING MASTER'!$C$17:$C$19,0)),""))</f>
        <v/>
      </c>
      <c r="AB160" s="57" t="str">
        <f aca="false">IF('STUDENT SCREENING'!AA160="","",IFERROR(INDEX('SCORING MASTER'!$D$21:$D$23,MATCH('STUDENT SCREENING'!AA160,'SCORING MASTER'!$C$21:$C$23,0)),""))</f>
        <v/>
      </c>
      <c r="AC160" s="57" t="str">
        <f aca="false">IF('STUDENT SCREENING'!AB160="","",IFERROR(INDEX('SCORING MASTER'!$D$25:$D$27,MATCH('STUDENT SCREENING'!AB160,'SCORING MASTER'!$C$25:$C$27,0)),""))</f>
        <v/>
      </c>
      <c r="AD160" s="57" t="str">
        <f aca="false">IF('STUDENT SCREENING'!AC160="","",IFERROR(INDEX('SCORING MASTER'!$D$29:$D$31,MATCH('STUDENT SCREENING'!AC160,'SCORING MASTER'!$C$29:$C$31,0)),""))</f>
        <v/>
      </c>
      <c r="AE160" s="57" t="str">
        <f aca="false">IF('STUDENT SCREENING'!AD160="","",IFERROR(INDEX('SCORING MASTER'!$D$33:$D$35,MATCH('STUDENT SCREENING'!AD160,'SCORING MASTER'!$C$33:$C$35,0)),""))</f>
        <v/>
      </c>
      <c r="AF160" s="57" t="str">
        <f aca="false">IF('STUDENT SCREENING'!AE160="","",IFERROR(INDEX('SCORING MASTER'!$D$37:$D$39,MATCH('STUDENT SCREENING'!AE160,'SCORING MASTER'!$C$37:$C$39,0)),""))</f>
        <v/>
      </c>
      <c r="AG160" s="57" t="str">
        <f aca="false">IF('STUDENT SCREENING'!AF160="","",IFERROR(INDEX('SCORING MASTER'!$D$41:$D$43,MATCH('STUDENT SCREENING'!AF160,'SCORING MASTER'!$C$41:$C$43,0)),""))</f>
        <v/>
      </c>
      <c r="AH160" s="57" t="str">
        <f aca="false">IF('STUDENT SCREENING'!AG160="","",IFERROR(INDEX('SCORING MASTER'!$D$45:$D$47,MATCH('STUDENT SCREENING'!AG160,'SCORING MASTER'!$C$45:$C$47,0)),""))</f>
        <v/>
      </c>
      <c r="AI160" s="57" t="str">
        <f aca="false">IF('STUDENT SCREENING'!AH160="","",IFERROR(INDEX('SCORING MASTER'!$D$49:$D$52,MATCH('STUDENT SCREENING'!AH160,'SCORING MASTER'!$C$49:$C$52,0)),""))</f>
        <v/>
      </c>
      <c r="AJ160" s="57" t="str">
        <f aca="false">IF('STUDENT SCREENING'!AI160="","",IFERROR(INDEX('SCORING MASTER'!$D$54:$D$57,MATCH('STUDENT SCREENING'!AI160,'SCORING MASTER'!$C$54:$C$57,0)),""))</f>
        <v/>
      </c>
      <c r="AK160" s="57" t="str">
        <f aca="false">IF('STUDENT SCREENING'!AJ160="","",IFERROR(INDEX('SCORING MASTER'!$D$59:$D$60,MATCH('STUDENT SCREENING'!AJ160,'SCORING MASTER'!$C$59:$C$60,0)),""))</f>
        <v/>
      </c>
      <c r="AL160" s="57" t="str">
        <f aca="false">IF('STUDENT SCREENING'!AK160="","",IFERROR(INDEX('SCORING MASTER'!$D$62:$D$63,MATCH('STUDENT SCREENING'!AK160,'SCORING MASTER'!$C$62:$C$63,0)),""))</f>
        <v/>
      </c>
      <c r="AM160" s="57" t="str">
        <f aca="false">IF('STUDENT SCREENING'!AL160="","",IFERROR(INDEX('SCORING MASTER'!$D$65:$D$66,MATCH('STUDENT SCREENING'!AL160,'SCORING MASTER'!$C$65:$C$66,0)),""))</f>
        <v/>
      </c>
      <c r="AN160" s="57" t="str">
        <f aca="false">IF('STUDENT SCREENING'!AM160="","",IFERROR(INDEX('SCORING MASTER'!$D$68:$D$69,MATCH('STUDENT SCREENING'!AM160,'SCORING MASTER'!$C$68:$C$69,0)),""))</f>
        <v/>
      </c>
      <c r="AO160" s="57" t="str">
        <f aca="false">IF('STUDENT SCREENING'!AN160="","",IFERROR(INDEX('SCORING MASTER'!$D$71:$D$72,MATCH('STUDENT SCREENING'!AN160,'SCORING MASTER'!$C$71:$C$72,0)),""))</f>
        <v/>
      </c>
      <c r="AP160" s="57" t="str">
        <f aca="false">IF('STUDENT SCREENING'!AO160="","",IFERROR(INDEX('SCORING MASTER'!$D$74:$D$75,MATCH('STUDENT SCREENING'!AO160,'SCORING MASTER'!$C$74:$C$75,0)),""))</f>
        <v/>
      </c>
      <c r="AQ160" s="57" t="str">
        <f aca="false">IF('STUDENT SCREENING'!AP160="","",IFERROR(INDEX('SCORING MASTER'!$D$77:$D$78,MATCH('STUDENT SCREENING'!AP160,'SCORING MASTER'!$C$77:$C$78,0)),""))</f>
        <v/>
      </c>
      <c r="AR160" s="57" t="str">
        <f aca="false">IF('STUDENT SCREENING'!AQ160="","",IFERROR(INDEX('SCORING MASTER'!$D$80:$D$82,MATCH('STUDENT SCREENING'!AQ160,'SCORING MASTER'!$C$80:$C$82,0)),""))</f>
        <v/>
      </c>
      <c r="AS160" s="57" t="str">
        <f aca="false">IF('STUDENT SCREENING'!AR160="","",IFERROR(INDEX('SCORING MASTER'!$D$84:$D$86,MATCH('STUDENT SCREENING'!AR160,'SCORING MASTER'!$C$84:$C$86,0)),""))</f>
        <v/>
      </c>
      <c r="AT160" s="57" t="str">
        <f aca="false">IF('STUDENT SCREENING'!AS160="","",IFERROR(INDEX('SCORING MASTER'!$D$88:$D$90,MATCH('STUDENT SCREENING'!AS160,'SCORING MASTER'!$C$88:$C$90,0)),""))</f>
        <v/>
      </c>
      <c r="AU160" s="57" t="str">
        <f aca="false">IF('STUDENT SCREENING'!AT160="","",IFERROR(INDEX('SCORING MASTER'!$D$92:$D$93,MATCH('STUDENT SCREENING'!AT160,'SCORING MASTER'!$C$92:$C$93,0)),""))</f>
        <v/>
      </c>
      <c r="AV160" s="57" t="str">
        <f aca="false">IF('STUDENT SCREENING'!AU160="","",IFERROR(INDEX('SCORING MASTER'!$D$95:$D$96,MATCH('STUDENT SCREENING'!AU160,'SCORING MASTER'!$C$95:$C$96,0)),""))</f>
        <v/>
      </c>
      <c r="AW160" s="57" t="str">
        <f aca="false">IF('STUDENT SCREENING'!AV160="","",IFERROR(INDEX('SCORING MASTER'!$D$98:$D$99,MATCH('STUDENT SCREENING'!AV160,'SCORING MASTER'!$C$98:$C$99,0)),""))</f>
        <v/>
      </c>
      <c r="AX160" s="57" t="str">
        <f aca="false">IF('STUDENT SCREENING'!AW160="","",IFERROR(INDEX('SCORING MASTER'!$D$101:$D$102,MATCH('STUDENT SCREENING'!AW160,'SCORING MASTER'!$C$101:$C$102,0)),""))</f>
        <v/>
      </c>
      <c r="AY160" s="57" t="str">
        <f aca="false">IF('STUDENT SCREENING'!AX160="","",IFERROR(INDEX('SCORING MASTER'!$D$104:$D$105,MATCH('STUDENT SCREENING'!AX160,'SCORING MASTER'!$C$104:$C$105,0)),""))</f>
        <v/>
      </c>
      <c r="AZ160" s="57" t="str">
        <f aca="false">IF('STUDENT SCREENING'!AY160="","",IFERROR(INDEX('SCORING MASTER'!$D$107:$D$108,MATCH('STUDENT SCREENING'!AY160,'SCORING MASTER'!$C$107:$C$108,0)),""))</f>
        <v/>
      </c>
      <c r="BA160" s="57" t="str">
        <f aca="false">IF('STUDENT SCREENING'!AZ160="","",IFERROR(INDEX('SCORING MASTER'!$D$110:$D$111,MATCH('STUDENT SCREENING'!AZ160,'SCORING MASTER'!$C$110:$C$111,0)),""))</f>
        <v/>
      </c>
      <c r="BB160" s="57" t="str">
        <f aca="false">IF('STUDENT SCREENING'!BA160="","",IFERROR(INDEX('SCORING MASTER'!$D$113:$D$115,MATCH('STUDENT SCREENING'!BA160,'SCORING MASTER'!$C$113:$C$115,0)),""))</f>
        <v/>
      </c>
      <c r="BC160" s="57" t="str">
        <f aca="false">IF('STUDENT SCREENING'!BB160="","",IFERROR(INDEX('SCORING MASTER'!$D$117:$D$119,MATCH('STUDENT SCREENING'!BB160,'SCORING MASTER'!$C$117:$C$119,0)),""))</f>
        <v/>
      </c>
      <c r="BD160" s="57" t="str">
        <f aca="false">IF('STUDENT SCREENING'!BC160="","",IFERROR(INDEX('SCORING MASTER'!$D$121:$D$123,MATCH('STUDENT SCREENING'!BC160,'SCORING MASTER'!$C$121:$C$123,0)),""))</f>
        <v/>
      </c>
      <c r="BE160" s="57" t="str">
        <f aca="false">IF('STUDENT SCREENING'!BD160="","",IFERROR(INDEX('SCORING MASTER'!$D$125:$D$126,MATCH('STUDENT SCREENING'!BD160,'SCORING MASTER'!$C$125:$C$126,0)),""))</f>
        <v/>
      </c>
      <c r="BF160" s="57" t="str">
        <f aca="false">IF('STUDENT SCREENING'!BE160="","",IFERROR(INDEX('SCORING MASTER'!$D$128:$D$129,MATCH('STUDENT SCREENING'!BE160,'SCORING MASTER'!$C$128:$C$129,0)),""))</f>
        <v/>
      </c>
      <c r="BG160" s="57" t="str">
        <f aca="false">IF('STUDENT SCREENING'!BP160="","",IFERROR(MATCH('STUDENT SCREENING'!BP160,{"Red - High Risk","Orange - Moderate Risk","Yellow - Mild Risk","Light Green - Mild Watch","Green - Healthy"},0)-1,""))</f>
        <v/>
      </c>
      <c r="BH160" s="57" t="str">
        <f aca="false">IF('STUDENT SCREENING'!BQ160="","",IF('STUDENT SCREENING'!BQ160="Yes",1,0))</f>
        <v/>
      </c>
      <c r="BI160" s="57" t="str">
        <f aca="false">IF('STUDENT SCREENING'!BR160="","",IF('STUDENT SCREENING'!BR160="Yes",1,0))</f>
        <v/>
      </c>
    </row>
    <row r="161" customFormat="false" ht="15" hidden="false" customHeight="false" outlineLevel="0" collapsed="false">
      <c r="A161" s="58" t="str">
        <f aca="false">'STUDENT SCREENING'!A161</f>
        <v/>
      </c>
      <c r="B161" s="58" t="n">
        <f aca="false">'STUDENT SCREENING'!C161</f>
        <v>0</v>
      </c>
      <c r="C161" s="58" t="n">
        <f aca="false">'STUDENT SCREENING'!D161</f>
        <v>0</v>
      </c>
      <c r="D161" s="58" t="n">
        <f aca="false">'STUDENT SCREENING'!E161</f>
        <v>0</v>
      </c>
      <c r="E161" s="58" t="n">
        <f aca="false">'STUDENT SCREENING'!F161</f>
        <v>0</v>
      </c>
      <c r="F161" s="58" t="n">
        <f aca="false">'STUDENT SCREENING'!K161</f>
        <v>0</v>
      </c>
      <c r="G161" s="58" t="n">
        <f aca="false">'STUDENT SCREENING'!J161</f>
        <v>0</v>
      </c>
      <c r="H161" s="58" t="str">
        <f aca="false">IF('STUDENT SCREENING'!K161="","",IFERROR(MATCH('STUDENT SCREENING'!K161,Adm_Gender,0),""))</f>
        <v/>
      </c>
      <c r="I161" s="58" t="n">
        <f aca="false">'STUDENT SCREENING'!Q161</f>
        <v>0</v>
      </c>
      <c r="J161" s="58" t="n">
        <f aca="false">'STUDENT SCREENING'!R161</f>
        <v>0</v>
      </c>
      <c r="K161" s="58" t="str">
        <f aca="false">'STUDENT SCREENING'!S161</f>
        <v/>
      </c>
      <c r="L161" s="58" t="n">
        <f aca="false">'STUDENT SCREENING'!U161</f>
        <v>0</v>
      </c>
      <c r="M161" s="58" t="n">
        <f aca="false">'STUDENT SCREENING'!V161</f>
        <v>0</v>
      </c>
      <c r="N161" s="58" t="str">
        <f aca="false">'STUDENT SCREENING'!BF161</f>
        <v/>
      </c>
      <c r="O161" s="58" t="str">
        <f aca="false">'STUDENT SCREENING'!BG161</f>
        <v/>
      </c>
      <c r="P161" s="58" t="str">
        <f aca="false">'STUDENT SCREENING'!BH161</f>
        <v/>
      </c>
      <c r="Q161" s="58" t="str">
        <f aca="false">'STUDENT SCREENING'!BI161</f>
        <v/>
      </c>
      <c r="R161" s="58" t="str">
        <f aca="false">'STUDENT SCREENING'!BJ161</f>
        <v/>
      </c>
      <c r="S161" s="58" t="str">
        <f aca="false">'STUDENT SCREENING'!BK161</f>
        <v/>
      </c>
      <c r="T161" s="58" t="str">
        <f aca="false">'STUDENT SCREENING'!BL161</f>
        <v/>
      </c>
      <c r="U161" s="58" t="str">
        <f aca="false">'STUDENT SCREENING'!BM161</f>
        <v/>
      </c>
      <c r="V161" s="58" t="str">
        <f aca="false">'STUDENT SCREENING'!BN161</f>
        <v/>
      </c>
      <c r="W161" s="58" t="str">
        <f aca="false">'STUDENT SCREENING'!BO161</f>
        <v/>
      </c>
      <c r="X161" s="58" t="str">
        <f aca="false">IF('STUDENT SCREENING'!W161="","",IFERROR(INDEX('SCORING MASTER'!$D$5:$D$7,MATCH('STUDENT SCREENING'!W161,'SCORING MASTER'!$C$5:$C$7,0)),""))</f>
        <v/>
      </c>
      <c r="Y161" s="58" t="str">
        <f aca="false">IF('STUDENT SCREENING'!X161="","",IFERROR(INDEX('SCORING MASTER'!$D$9:$D$11,MATCH('STUDENT SCREENING'!X161,'SCORING MASTER'!$C$9:$C$11,0)),""))</f>
        <v/>
      </c>
      <c r="Z161" s="58" t="str">
        <f aca="false">IF('STUDENT SCREENING'!Y161="","",IFERROR(INDEX('SCORING MASTER'!$D$13:$D$15,MATCH('STUDENT SCREENING'!Y161,'SCORING MASTER'!$C$13:$C$15,0)),""))</f>
        <v/>
      </c>
      <c r="AA161" s="58" t="str">
        <f aca="false">IF('STUDENT SCREENING'!Z161="","",IFERROR(INDEX('SCORING MASTER'!$D$17:$D$19,MATCH('STUDENT SCREENING'!Z161,'SCORING MASTER'!$C$17:$C$19,0)),""))</f>
        <v/>
      </c>
      <c r="AB161" s="58" t="str">
        <f aca="false">IF('STUDENT SCREENING'!AA161="","",IFERROR(INDEX('SCORING MASTER'!$D$21:$D$23,MATCH('STUDENT SCREENING'!AA161,'SCORING MASTER'!$C$21:$C$23,0)),""))</f>
        <v/>
      </c>
      <c r="AC161" s="58" t="str">
        <f aca="false">IF('STUDENT SCREENING'!AB161="","",IFERROR(INDEX('SCORING MASTER'!$D$25:$D$27,MATCH('STUDENT SCREENING'!AB161,'SCORING MASTER'!$C$25:$C$27,0)),""))</f>
        <v/>
      </c>
      <c r="AD161" s="58" t="str">
        <f aca="false">IF('STUDENT SCREENING'!AC161="","",IFERROR(INDEX('SCORING MASTER'!$D$29:$D$31,MATCH('STUDENT SCREENING'!AC161,'SCORING MASTER'!$C$29:$C$31,0)),""))</f>
        <v/>
      </c>
      <c r="AE161" s="58" t="str">
        <f aca="false">IF('STUDENT SCREENING'!AD161="","",IFERROR(INDEX('SCORING MASTER'!$D$33:$D$35,MATCH('STUDENT SCREENING'!AD161,'SCORING MASTER'!$C$33:$C$35,0)),""))</f>
        <v/>
      </c>
      <c r="AF161" s="58" t="str">
        <f aca="false">IF('STUDENT SCREENING'!AE161="","",IFERROR(INDEX('SCORING MASTER'!$D$37:$D$39,MATCH('STUDENT SCREENING'!AE161,'SCORING MASTER'!$C$37:$C$39,0)),""))</f>
        <v/>
      </c>
      <c r="AG161" s="58" t="str">
        <f aca="false">IF('STUDENT SCREENING'!AF161="","",IFERROR(INDEX('SCORING MASTER'!$D$41:$D$43,MATCH('STUDENT SCREENING'!AF161,'SCORING MASTER'!$C$41:$C$43,0)),""))</f>
        <v/>
      </c>
      <c r="AH161" s="58" t="str">
        <f aca="false">IF('STUDENT SCREENING'!AG161="","",IFERROR(INDEX('SCORING MASTER'!$D$45:$D$47,MATCH('STUDENT SCREENING'!AG161,'SCORING MASTER'!$C$45:$C$47,0)),""))</f>
        <v/>
      </c>
      <c r="AI161" s="58" t="str">
        <f aca="false">IF('STUDENT SCREENING'!AH161="","",IFERROR(INDEX('SCORING MASTER'!$D$49:$D$52,MATCH('STUDENT SCREENING'!AH161,'SCORING MASTER'!$C$49:$C$52,0)),""))</f>
        <v/>
      </c>
      <c r="AJ161" s="58" t="str">
        <f aca="false">IF('STUDENT SCREENING'!AI161="","",IFERROR(INDEX('SCORING MASTER'!$D$54:$D$57,MATCH('STUDENT SCREENING'!AI161,'SCORING MASTER'!$C$54:$C$57,0)),""))</f>
        <v/>
      </c>
      <c r="AK161" s="58" t="str">
        <f aca="false">IF('STUDENT SCREENING'!AJ161="","",IFERROR(INDEX('SCORING MASTER'!$D$59:$D$60,MATCH('STUDENT SCREENING'!AJ161,'SCORING MASTER'!$C$59:$C$60,0)),""))</f>
        <v/>
      </c>
      <c r="AL161" s="58" t="str">
        <f aca="false">IF('STUDENT SCREENING'!AK161="","",IFERROR(INDEX('SCORING MASTER'!$D$62:$D$63,MATCH('STUDENT SCREENING'!AK161,'SCORING MASTER'!$C$62:$C$63,0)),""))</f>
        <v/>
      </c>
      <c r="AM161" s="58" t="str">
        <f aca="false">IF('STUDENT SCREENING'!AL161="","",IFERROR(INDEX('SCORING MASTER'!$D$65:$D$66,MATCH('STUDENT SCREENING'!AL161,'SCORING MASTER'!$C$65:$C$66,0)),""))</f>
        <v/>
      </c>
      <c r="AN161" s="58" t="str">
        <f aca="false">IF('STUDENT SCREENING'!AM161="","",IFERROR(INDEX('SCORING MASTER'!$D$68:$D$69,MATCH('STUDENT SCREENING'!AM161,'SCORING MASTER'!$C$68:$C$69,0)),""))</f>
        <v/>
      </c>
      <c r="AO161" s="58" t="str">
        <f aca="false">IF('STUDENT SCREENING'!AN161="","",IFERROR(INDEX('SCORING MASTER'!$D$71:$D$72,MATCH('STUDENT SCREENING'!AN161,'SCORING MASTER'!$C$71:$C$72,0)),""))</f>
        <v/>
      </c>
      <c r="AP161" s="58" t="str">
        <f aca="false">IF('STUDENT SCREENING'!AO161="","",IFERROR(INDEX('SCORING MASTER'!$D$74:$D$75,MATCH('STUDENT SCREENING'!AO161,'SCORING MASTER'!$C$74:$C$75,0)),""))</f>
        <v/>
      </c>
      <c r="AQ161" s="58" t="str">
        <f aca="false">IF('STUDENT SCREENING'!AP161="","",IFERROR(INDEX('SCORING MASTER'!$D$77:$D$78,MATCH('STUDENT SCREENING'!AP161,'SCORING MASTER'!$C$77:$C$78,0)),""))</f>
        <v/>
      </c>
      <c r="AR161" s="58" t="str">
        <f aca="false">IF('STUDENT SCREENING'!AQ161="","",IFERROR(INDEX('SCORING MASTER'!$D$80:$D$82,MATCH('STUDENT SCREENING'!AQ161,'SCORING MASTER'!$C$80:$C$82,0)),""))</f>
        <v/>
      </c>
      <c r="AS161" s="58" t="str">
        <f aca="false">IF('STUDENT SCREENING'!AR161="","",IFERROR(INDEX('SCORING MASTER'!$D$84:$D$86,MATCH('STUDENT SCREENING'!AR161,'SCORING MASTER'!$C$84:$C$86,0)),""))</f>
        <v/>
      </c>
      <c r="AT161" s="58" t="str">
        <f aca="false">IF('STUDENT SCREENING'!AS161="","",IFERROR(INDEX('SCORING MASTER'!$D$88:$D$90,MATCH('STUDENT SCREENING'!AS161,'SCORING MASTER'!$C$88:$C$90,0)),""))</f>
        <v/>
      </c>
      <c r="AU161" s="58" t="str">
        <f aca="false">IF('STUDENT SCREENING'!AT161="","",IFERROR(INDEX('SCORING MASTER'!$D$92:$D$93,MATCH('STUDENT SCREENING'!AT161,'SCORING MASTER'!$C$92:$C$93,0)),""))</f>
        <v/>
      </c>
      <c r="AV161" s="58" t="str">
        <f aca="false">IF('STUDENT SCREENING'!AU161="","",IFERROR(INDEX('SCORING MASTER'!$D$95:$D$96,MATCH('STUDENT SCREENING'!AU161,'SCORING MASTER'!$C$95:$C$96,0)),""))</f>
        <v/>
      </c>
      <c r="AW161" s="58" t="str">
        <f aca="false">IF('STUDENT SCREENING'!AV161="","",IFERROR(INDEX('SCORING MASTER'!$D$98:$D$99,MATCH('STUDENT SCREENING'!AV161,'SCORING MASTER'!$C$98:$C$99,0)),""))</f>
        <v/>
      </c>
      <c r="AX161" s="58" t="str">
        <f aca="false">IF('STUDENT SCREENING'!AW161="","",IFERROR(INDEX('SCORING MASTER'!$D$101:$D$102,MATCH('STUDENT SCREENING'!AW161,'SCORING MASTER'!$C$101:$C$102,0)),""))</f>
        <v/>
      </c>
      <c r="AY161" s="58" t="str">
        <f aca="false">IF('STUDENT SCREENING'!AX161="","",IFERROR(INDEX('SCORING MASTER'!$D$104:$D$105,MATCH('STUDENT SCREENING'!AX161,'SCORING MASTER'!$C$104:$C$105,0)),""))</f>
        <v/>
      </c>
      <c r="AZ161" s="58" t="str">
        <f aca="false">IF('STUDENT SCREENING'!AY161="","",IFERROR(INDEX('SCORING MASTER'!$D$107:$D$108,MATCH('STUDENT SCREENING'!AY161,'SCORING MASTER'!$C$107:$C$108,0)),""))</f>
        <v/>
      </c>
      <c r="BA161" s="58" t="str">
        <f aca="false">IF('STUDENT SCREENING'!AZ161="","",IFERROR(INDEX('SCORING MASTER'!$D$110:$D$111,MATCH('STUDENT SCREENING'!AZ161,'SCORING MASTER'!$C$110:$C$111,0)),""))</f>
        <v/>
      </c>
      <c r="BB161" s="58" t="str">
        <f aca="false">IF('STUDENT SCREENING'!BA161="","",IFERROR(INDEX('SCORING MASTER'!$D$113:$D$115,MATCH('STUDENT SCREENING'!BA161,'SCORING MASTER'!$C$113:$C$115,0)),""))</f>
        <v/>
      </c>
      <c r="BC161" s="58" t="str">
        <f aca="false">IF('STUDENT SCREENING'!BB161="","",IFERROR(INDEX('SCORING MASTER'!$D$117:$D$119,MATCH('STUDENT SCREENING'!BB161,'SCORING MASTER'!$C$117:$C$119,0)),""))</f>
        <v/>
      </c>
      <c r="BD161" s="58" t="str">
        <f aca="false">IF('STUDENT SCREENING'!BC161="","",IFERROR(INDEX('SCORING MASTER'!$D$121:$D$123,MATCH('STUDENT SCREENING'!BC161,'SCORING MASTER'!$C$121:$C$123,0)),""))</f>
        <v/>
      </c>
      <c r="BE161" s="58" t="str">
        <f aca="false">IF('STUDENT SCREENING'!BD161="","",IFERROR(INDEX('SCORING MASTER'!$D$125:$D$126,MATCH('STUDENT SCREENING'!BD161,'SCORING MASTER'!$C$125:$C$126,0)),""))</f>
        <v/>
      </c>
      <c r="BF161" s="58" t="str">
        <f aca="false">IF('STUDENT SCREENING'!BE161="","",IFERROR(INDEX('SCORING MASTER'!$D$128:$D$129,MATCH('STUDENT SCREENING'!BE161,'SCORING MASTER'!$C$128:$C$129,0)),""))</f>
        <v/>
      </c>
      <c r="BG161" s="58" t="str">
        <f aca="false">IF('STUDENT SCREENING'!BP161="","",IFERROR(MATCH('STUDENT SCREENING'!BP161,{"Red - High Risk","Orange - Moderate Risk","Yellow - Mild Risk","Light Green - Mild Watch","Green - Healthy"},0)-1,""))</f>
        <v/>
      </c>
      <c r="BH161" s="58" t="str">
        <f aca="false">IF('STUDENT SCREENING'!BQ161="","",IF('STUDENT SCREENING'!BQ161="Yes",1,0))</f>
        <v/>
      </c>
      <c r="BI161" s="58" t="str">
        <f aca="false">IF('STUDENT SCREENING'!BR161="","",IF('STUDENT SCREENING'!BR161="Yes",1,0))</f>
        <v/>
      </c>
    </row>
    <row r="162" customFormat="false" ht="15" hidden="false" customHeight="false" outlineLevel="0" collapsed="false">
      <c r="A162" s="57" t="str">
        <f aca="false">'STUDENT SCREENING'!A162</f>
        <v/>
      </c>
      <c r="B162" s="57" t="n">
        <f aca="false">'STUDENT SCREENING'!C162</f>
        <v>0</v>
      </c>
      <c r="C162" s="57" t="n">
        <f aca="false">'STUDENT SCREENING'!D162</f>
        <v>0</v>
      </c>
      <c r="D162" s="57" t="n">
        <f aca="false">'STUDENT SCREENING'!E162</f>
        <v>0</v>
      </c>
      <c r="E162" s="57" t="n">
        <f aca="false">'STUDENT SCREENING'!F162</f>
        <v>0</v>
      </c>
      <c r="F162" s="57" t="n">
        <f aca="false">'STUDENT SCREENING'!K162</f>
        <v>0</v>
      </c>
      <c r="G162" s="57" t="n">
        <f aca="false">'STUDENT SCREENING'!J162</f>
        <v>0</v>
      </c>
      <c r="H162" s="57" t="str">
        <f aca="false">IF('STUDENT SCREENING'!K162="","",IFERROR(MATCH('STUDENT SCREENING'!K162,Adm_Gender,0),""))</f>
        <v/>
      </c>
      <c r="I162" s="57" t="n">
        <f aca="false">'STUDENT SCREENING'!Q162</f>
        <v>0</v>
      </c>
      <c r="J162" s="57" t="n">
        <f aca="false">'STUDENT SCREENING'!R162</f>
        <v>0</v>
      </c>
      <c r="K162" s="57" t="str">
        <f aca="false">'STUDENT SCREENING'!S162</f>
        <v/>
      </c>
      <c r="L162" s="57" t="n">
        <f aca="false">'STUDENT SCREENING'!U162</f>
        <v>0</v>
      </c>
      <c r="M162" s="57" t="n">
        <f aca="false">'STUDENT SCREENING'!V162</f>
        <v>0</v>
      </c>
      <c r="N162" s="57" t="str">
        <f aca="false">'STUDENT SCREENING'!BF162</f>
        <v/>
      </c>
      <c r="O162" s="57" t="str">
        <f aca="false">'STUDENT SCREENING'!BG162</f>
        <v/>
      </c>
      <c r="P162" s="57" t="str">
        <f aca="false">'STUDENT SCREENING'!BH162</f>
        <v/>
      </c>
      <c r="Q162" s="57" t="str">
        <f aca="false">'STUDENT SCREENING'!BI162</f>
        <v/>
      </c>
      <c r="R162" s="57" t="str">
        <f aca="false">'STUDENT SCREENING'!BJ162</f>
        <v/>
      </c>
      <c r="S162" s="57" t="str">
        <f aca="false">'STUDENT SCREENING'!BK162</f>
        <v/>
      </c>
      <c r="T162" s="57" t="str">
        <f aca="false">'STUDENT SCREENING'!BL162</f>
        <v/>
      </c>
      <c r="U162" s="57" t="str">
        <f aca="false">'STUDENT SCREENING'!BM162</f>
        <v/>
      </c>
      <c r="V162" s="57" t="str">
        <f aca="false">'STUDENT SCREENING'!BN162</f>
        <v/>
      </c>
      <c r="W162" s="57" t="str">
        <f aca="false">'STUDENT SCREENING'!BO162</f>
        <v/>
      </c>
      <c r="X162" s="57" t="str">
        <f aca="false">IF('STUDENT SCREENING'!W162="","",IFERROR(INDEX('SCORING MASTER'!$D$5:$D$7,MATCH('STUDENT SCREENING'!W162,'SCORING MASTER'!$C$5:$C$7,0)),""))</f>
        <v/>
      </c>
      <c r="Y162" s="57" t="str">
        <f aca="false">IF('STUDENT SCREENING'!X162="","",IFERROR(INDEX('SCORING MASTER'!$D$9:$D$11,MATCH('STUDENT SCREENING'!X162,'SCORING MASTER'!$C$9:$C$11,0)),""))</f>
        <v/>
      </c>
      <c r="Z162" s="57" t="str">
        <f aca="false">IF('STUDENT SCREENING'!Y162="","",IFERROR(INDEX('SCORING MASTER'!$D$13:$D$15,MATCH('STUDENT SCREENING'!Y162,'SCORING MASTER'!$C$13:$C$15,0)),""))</f>
        <v/>
      </c>
      <c r="AA162" s="57" t="str">
        <f aca="false">IF('STUDENT SCREENING'!Z162="","",IFERROR(INDEX('SCORING MASTER'!$D$17:$D$19,MATCH('STUDENT SCREENING'!Z162,'SCORING MASTER'!$C$17:$C$19,0)),""))</f>
        <v/>
      </c>
      <c r="AB162" s="57" t="str">
        <f aca="false">IF('STUDENT SCREENING'!AA162="","",IFERROR(INDEX('SCORING MASTER'!$D$21:$D$23,MATCH('STUDENT SCREENING'!AA162,'SCORING MASTER'!$C$21:$C$23,0)),""))</f>
        <v/>
      </c>
      <c r="AC162" s="57" t="str">
        <f aca="false">IF('STUDENT SCREENING'!AB162="","",IFERROR(INDEX('SCORING MASTER'!$D$25:$D$27,MATCH('STUDENT SCREENING'!AB162,'SCORING MASTER'!$C$25:$C$27,0)),""))</f>
        <v/>
      </c>
      <c r="AD162" s="57" t="str">
        <f aca="false">IF('STUDENT SCREENING'!AC162="","",IFERROR(INDEX('SCORING MASTER'!$D$29:$D$31,MATCH('STUDENT SCREENING'!AC162,'SCORING MASTER'!$C$29:$C$31,0)),""))</f>
        <v/>
      </c>
      <c r="AE162" s="57" t="str">
        <f aca="false">IF('STUDENT SCREENING'!AD162="","",IFERROR(INDEX('SCORING MASTER'!$D$33:$D$35,MATCH('STUDENT SCREENING'!AD162,'SCORING MASTER'!$C$33:$C$35,0)),""))</f>
        <v/>
      </c>
      <c r="AF162" s="57" t="str">
        <f aca="false">IF('STUDENT SCREENING'!AE162="","",IFERROR(INDEX('SCORING MASTER'!$D$37:$D$39,MATCH('STUDENT SCREENING'!AE162,'SCORING MASTER'!$C$37:$C$39,0)),""))</f>
        <v/>
      </c>
      <c r="AG162" s="57" t="str">
        <f aca="false">IF('STUDENT SCREENING'!AF162="","",IFERROR(INDEX('SCORING MASTER'!$D$41:$D$43,MATCH('STUDENT SCREENING'!AF162,'SCORING MASTER'!$C$41:$C$43,0)),""))</f>
        <v/>
      </c>
      <c r="AH162" s="57" t="str">
        <f aca="false">IF('STUDENT SCREENING'!AG162="","",IFERROR(INDEX('SCORING MASTER'!$D$45:$D$47,MATCH('STUDENT SCREENING'!AG162,'SCORING MASTER'!$C$45:$C$47,0)),""))</f>
        <v/>
      </c>
      <c r="AI162" s="57" t="str">
        <f aca="false">IF('STUDENT SCREENING'!AH162="","",IFERROR(INDEX('SCORING MASTER'!$D$49:$D$52,MATCH('STUDENT SCREENING'!AH162,'SCORING MASTER'!$C$49:$C$52,0)),""))</f>
        <v/>
      </c>
      <c r="AJ162" s="57" t="str">
        <f aca="false">IF('STUDENT SCREENING'!AI162="","",IFERROR(INDEX('SCORING MASTER'!$D$54:$D$57,MATCH('STUDENT SCREENING'!AI162,'SCORING MASTER'!$C$54:$C$57,0)),""))</f>
        <v/>
      </c>
      <c r="AK162" s="57" t="str">
        <f aca="false">IF('STUDENT SCREENING'!AJ162="","",IFERROR(INDEX('SCORING MASTER'!$D$59:$D$60,MATCH('STUDENT SCREENING'!AJ162,'SCORING MASTER'!$C$59:$C$60,0)),""))</f>
        <v/>
      </c>
      <c r="AL162" s="57" t="str">
        <f aca="false">IF('STUDENT SCREENING'!AK162="","",IFERROR(INDEX('SCORING MASTER'!$D$62:$D$63,MATCH('STUDENT SCREENING'!AK162,'SCORING MASTER'!$C$62:$C$63,0)),""))</f>
        <v/>
      </c>
      <c r="AM162" s="57" t="str">
        <f aca="false">IF('STUDENT SCREENING'!AL162="","",IFERROR(INDEX('SCORING MASTER'!$D$65:$D$66,MATCH('STUDENT SCREENING'!AL162,'SCORING MASTER'!$C$65:$C$66,0)),""))</f>
        <v/>
      </c>
      <c r="AN162" s="57" t="str">
        <f aca="false">IF('STUDENT SCREENING'!AM162="","",IFERROR(INDEX('SCORING MASTER'!$D$68:$D$69,MATCH('STUDENT SCREENING'!AM162,'SCORING MASTER'!$C$68:$C$69,0)),""))</f>
        <v/>
      </c>
      <c r="AO162" s="57" t="str">
        <f aca="false">IF('STUDENT SCREENING'!AN162="","",IFERROR(INDEX('SCORING MASTER'!$D$71:$D$72,MATCH('STUDENT SCREENING'!AN162,'SCORING MASTER'!$C$71:$C$72,0)),""))</f>
        <v/>
      </c>
      <c r="AP162" s="57" t="str">
        <f aca="false">IF('STUDENT SCREENING'!AO162="","",IFERROR(INDEX('SCORING MASTER'!$D$74:$D$75,MATCH('STUDENT SCREENING'!AO162,'SCORING MASTER'!$C$74:$C$75,0)),""))</f>
        <v/>
      </c>
      <c r="AQ162" s="57" t="str">
        <f aca="false">IF('STUDENT SCREENING'!AP162="","",IFERROR(INDEX('SCORING MASTER'!$D$77:$D$78,MATCH('STUDENT SCREENING'!AP162,'SCORING MASTER'!$C$77:$C$78,0)),""))</f>
        <v/>
      </c>
      <c r="AR162" s="57" t="str">
        <f aca="false">IF('STUDENT SCREENING'!AQ162="","",IFERROR(INDEX('SCORING MASTER'!$D$80:$D$82,MATCH('STUDENT SCREENING'!AQ162,'SCORING MASTER'!$C$80:$C$82,0)),""))</f>
        <v/>
      </c>
      <c r="AS162" s="57" t="str">
        <f aca="false">IF('STUDENT SCREENING'!AR162="","",IFERROR(INDEX('SCORING MASTER'!$D$84:$D$86,MATCH('STUDENT SCREENING'!AR162,'SCORING MASTER'!$C$84:$C$86,0)),""))</f>
        <v/>
      </c>
      <c r="AT162" s="57" t="str">
        <f aca="false">IF('STUDENT SCREENING'!AS162="","",IFERROR(INDEX('SCORING MASTER'!$D$88:$D$90,MATCH('STUDENT SCREENING'!AS162,'SCORING MASTER'!$C$88:$C$90,0)),""))</f>
        <v/>
      </c>
      <c r="AU162" s="57" t="str">
        <f aca="false">IF('STUDENT SCREENING'!AT162="","",IFERROR(INDEX('SCORING MASTER'!$D$92:$D$93,MATCH('STUDENT SCREENING'!AT162,'SCORING MASTER'!$C$92:$C$93,0)),""))</f>
        <v/>
      </c>
      <c r="AV162" s="57" t="str">
        <f aca="false">IF('STUDENT SCREENING'!AU162="","",IFERROR(INDEX('SCORING MASTER'!$D$95:$D$96,MATCH('STUDENT SCREENING'!AU162,'SCORING MASTER'!$C$95:$C$96,0)),""))</f>
        <v/>
      </c>
      <c r="AW162" s="57" t="str">
        <f aca="false">IF('STUDENT SCREENING'!AV162="","",IFERROR(INDEX('SCORING MASTER'!$D$98:$D$99,MATCH('STUDENT SCREENING'!AV162,'SCORING MASTER'!$C$98:$C$99,0)),""))</f>
        <v/>
      </c>
      <c r="AX162" s="57" t="str">
        <f aca="false">IF('STUDENT SCREENING'!AW162="","",IFERROR(INDEX('SCORING MASTER'!$D$101:$D$102,MATCH('STUDENT SCREENING'!AW162,'SCORING MASTER'!$C$101:$C$102,0)),""))</f>
        <v/>
      </c>
      <c r="AY162" s="57" t="str">
        <f aca="false">IF('STUDENT SCREENING'!AX162="","",IFERROR(INDEX('SCORING MASTER'!$D$104:$D$105,MATCH('STUDENT SCREENING'!AX162,'SCORING MASTER'!$C$104:$C$105,0)),""))</f>
        <v/>
      </c>
      <c r="AZ162" s="57" t="str">
        <f aca="false">IF('STUDENT SCREENING'!AY162="","",IFERROR(INDEX('SCORING MASTER'!$D$107:$D$108,MATCH('STUDENT SCREENING'!AY162,'SCORING MASTER'!$C$107:$C$108,0)),""))</f>
        <v/>
      </c>
      <c r="BA162" s="57" t="str">
        <f aca="false">IF('STUDENT SCREENING'!AZ162="","",IFERROR(INDEX('SCORING MASTER'!$D$110:$D$111,MATCH('STUDENT SCREENING'!AZ162,'SCORING MASTER'!$C$110:$C$111,0)),""))</f>
        <v/>
      </c>
      <c r="BB162" s="57" t="str">
        <f aca="false">IF('STUDENT SCREENING'!BA162="","",IFERROR(INDEX('SCORING MASTER'!$D$113:$D$115,MATCH('STUDENT SCREENING'!BA162,'SCORING MASTER'!$C$113:$C$115,0)),""))</f>
        <v/>
      </c>
      <c r="BC162" s="57" t="str">
        <f aca="false">IF('STUDENT SCREENING'!BB162="","",IFERROR(INDEX('SCORING MASTER'!$D$117:$D$119,MATCH('STUDENT SCREENING'!BB162,'SCORING MASTER'!$C$117:$C$119,0)),""))</f>
        <v/>
      </c>
      <c r="BD162" s="57" t="str">
        <f aca="false">IF('STUDENT SCREENING'!BC162="","",IFERROR(INDEX('SCORING MASTER'!$D$121:$D$123,MATCH('STUDENT SCREENING'!BC162,'SCORING MASTER'!$C$121:$C$123,0)),""))</f>
        <v/>
      </c>
      <c r="BE162" s="57" t="str">
        <f aca="false">IF('STUDENT SCREENING'!BD162="","",IFERROR(INDEX('SCORING MASTER'!$D$125:$D$126,MATCH('STUDENT SCREENING'!BD162,'SCORING MASTER'!$C$125:$C$126,0)),""))</f>
        <v/>
      </c>
      <c r="BF162" s="57" t="str">
        <f aca="false">IF('STUDENT SCREENING'!BE162="","",IFERROR(INDEX('SCORING MASTER'!$D$128:$D$129,MATCH('STUDENT SCREENING'!BE162,'SCORING MASTER'!$C$128:$C$129,0)),""))</f>
        <v/>
      </c>
      <c r="BG162" s="57" t="str">
        <f aca="false">IF('STUDENT SCREENING'!BP162="","",IFERROR(MATCH('STUDENT SCREENING'!BP162,{"Red - High Risk","Orange - Moderate Risk","Yellow - Mild Risk","Light Green - Mild Watch","Green - Healthy"},0)-1,""))</f>
        <v/>
      </c>
      <c r="BH162" s="57" t="str">
        <f aca="false">IF('STUDENT SCREENING'!BQ162="","",IF('STUDENT SCREENING'!BQ162="Yes",1,0))</f>
        <v/>
      </c>
      <c r="BI162" s="57" t="str">
        <f aca="false">IF('STUDENT SCREENING'!BR162="","",IF('STUDENT SCREENING'!BR162="Yes",1,0))</f>
        <v/>
      </c>
    </row>
    <row r="163" customFormat="false" ht="15" hidden="false" customHeight="false" outlineLevel="0" collapsed="false">
      <c r="A163" s="58" t="str">
        <f aca="false">'STUDENT SCREENING'!A163</f>
        <v/>
      </c>
      <c r="B163" s="58" t="n">
        <f aca="false">'STUDENT SCREENING'!C163</f>
        <v>0</v>
      </c>
      <c r="C163" s="58" t="n">
        <f aca="false">'STUDENT SCREENING'!D163</f>
        <v>0</v>
      </c>
      <c r="D163" s="58" t="n">
        <f aca="false">'STUDENT SCREENING'!E163</f>
        <v>0</v>
      </c>
      <c r="E163" s="58" t="n">
        <f aca="false">'STUDENT SCREENING'!F163</f>
        <v>0</v>
      </c>
      <c r="F163" s="58" t="n">
        <f aca="false">'STUDENT SCREENING'!K163</f>
        <v>0</v>
      </c>
      <c r="G163" s="58" t="n">
        <f aca="false">'STUDENT SCREENING'!J163</f>
        <v>0</v>
      </c>
      <c r="H163" s="58" t="str">
        <f aca="false">IF('STUDENT SCREENING'!K163="","",IFERROR(MATCH('STUDENT SCREENING'!K163,Adm_Gender,0),""))</f>
        <v/>
      </c>
      <c r="I163" s="58" t="n">
        <f aca="false">'STUDENT SCREENING'!Q163</f>
        <v>0</v>
      </c>
      <c r="J163" s="58" t="n">
        <f aca="false">'STUDENT SCREENING'!R163</f>
        <v>0</v>
      </c>
      <c r="K163" s="58" t="str">
        <f aca="false">'STUDENT SCREENING'!S163</f>
        <v/>
      </c>
      <c r="L163" s="58" t="n">
        <f aca="false">'STUDENT SCREENING'!U163</f>
        <v>0</v>
      </c>
      <c r="M163" s="58" t="n">
        <f aca="false">'STUDENT SCREENING'!V163</f>
        <v>0</v>
      </c>
      <c r="N163" s="58" t="str">
        <f aca="false">'STUDENT SCREENING'!BF163</f>
        <v/>
      </c>
      <c r="O163" s="58" t="str">
        <f aca="false">'STUDENT SCREENING'!BG163</f>
        <v/>
      </c>
      <c r="P163" s="58" t="str">
        <f aca="false">'STUDENT SCREENING'!BH163</f>
        <v/>
      </c>
      <c r="Q163" s="58" t="str">
        <f aca="false">'STUDENT SCREENING'!BI163</f>
        <v/>
      </c>
      <c r="R163" s="58" t="str">
        <f aca="false">'STUDENT SCREENING'!BJ163</f>
        <v/>
      </c>
      <c r="S163" s="58" t="str">
        <f aca="false">'STUDENT SCREENING'!BK163</f>
        <v/>
      </c>
      <c r="T163" s="58" t="str">
        <f aca="false">'STUDENT SCREENING'!BL163</f>
        <v/>
      </c>
      <c r="U163" s="58" t="str">
        <f aca="false">'STUDENT SCREENING'!BM163</f>
        <v/>
      </c>
      <c r="V163" s="58" t="str">
        <f aca="false">'STUDENT SCREENING'!BN163</f>
        <v/>
      </c>
      <c r="W163" s="58" t="str">
        <f aca="false">'STUDENT SCREENING'!BO163</f>
        <v/>
      </c>
      <c r="X163" s="58" t="str">
        <f aca="false">IF('STUDENT SCREENING'!W163="","",IFERROR(INDEX('SCORING MASTER'!$D$5:$D$7,MATCH('STUDENT SCREENING'!W163,'SCORING MASTER'!$C$5:$C$7,0)),""))</f>
        <v/>
      </c>
      <c r="Y163" s="58" t="str">
        <f aca="false">IF('STUDENT SCREENING'!X163="","",IFERROR(INDEX('SCORING MASTER'!$D$9:$D$11,MATCH('STUDENT SCREENING'!X163,'SCORING MASTER'!$C$9:$C$11,0)),""))</f>
        <v/>
      </c>
      <c r="Z163" s="58" t="str">
        <f aca="false">IF('STUDENT SCREENING'!Y163="","",IFERROR(INDEX('SCORING MASTER'!$D$13:$D$15,MATCH('STUDENT SCREENING'!Y163,'SCORING MASTER'!$C$13:$C$15,0)),""))</f>
        <v/>
      </c>
      <c r="AA163" s="58" t="str">
        <f aca="false">IF('STUDENT SCREENING'!Z163="","",IFERROR(INDEX('SCORING MASTER'!$D$17:$D$19,MATCH('STUDENT SCREENING'!Z163,'SCORING MASTER'!$C$17:$C$19,0)),""))</f>
        <v/>
      </c>
      <c r="AB163" s="58" t="str">
        <f aca="false">IF('STUDENT SCREENING'!AA163="","",IFERROR(INDEX('SCORING MASTER'!$D$21:$D$23,MATCH('STUDENT SCREENING'!AA163,'SCORING MASTER'!$C$21:$C$23,0)),""))</f>
        <v/>
      </c>
      <c r="AC163" s="58" t="str">
        <f aca="false">IF('STUDENT SCREENING'!AB163="","",IFERROR(INDEX('SCORING MASTER'!$D$25:$D$27,MATCH('STUDENT SCREENING'!AB163,'SCORING MASTER'!$C$25:$C$27,0)),""))</f>
        <v/>
      </c>
      <c r="AD163" s="58" t="str">
        <f aca="false">IF('STUDENT SCREENING'!AC163="","",IFERROR(INDEX('SCORING MASTER'!$D$29:$D$31,MATCH('STUDENT SCREENING'!AC163,'SCORING MASTER'!$C$29:$C$31,0)),""))</f>
        <v/>
      </c>
      <c r="AE163" s="58" t="str">
        <f aca="false">IF('STUDENT SCREENING'!AD163="","",IFERROR(INDEX('SCORING MASTER'!$D$33:$D$35,MATCH('STUDENT SCREENING'!AD163,'SCORING MASTER'!$C$33:$C$35,0)),""))</f>
        <v/>
      </c>
      <c r="AF163" s="58" t="str">
        <f aca="false">IF('STUDENT SCREENING'!AE163="","",IFERROR(INDEX('SCORING MASTER'!$D$37:$D$39,MATCH('STUDENT SCREENING'!AE163,'SCORING MASTER'!$C$37:$C$39,0)),""))</f>
        <v/>
      </c>
      <c r="AG163" s="58" t="str">
        <f aca="false">IF('STUDENT SCREENING'!AF163="","",IFERROR(INDEX('SCORING MASTER'!$D$41:$D$43,MATCH('STUDENT SCREENING'!AF163,'SCORING MASTER'!$C$41:$C$43,0)),""))</f>
        <v/>
      </c>
      <c r="AH163" s="58" t="str">
        <f aca="false">IF('STUDENT SCREENING'!AG163="","",IFERROR(INDEX('SCORING MASTER'!$D$45:$D$47,MATCH('STUDENT SCREENING'!AG163,'SCORING MASTER'!$C$45:$C$47,0)),""))</f>
        <v/>
      </c>
      <c r="AI163" s="58" t="str">
        <f aca="false">IF('STUDENT SCREENING'!AH163="","",IFERROR(INDEX('SCORING MASTER'!$D$49:$D$52,MATCH('STUDENT SCREENING'!AH163,'SCORING MASTER'!$C$49:$C$52,0)),""))</f>
        <v/>
      </c>
      <c r="AJ163" s="58" t="str">
        <f aca="false">IF('STUDENT SCREENING'!AI163="","",IFERROR(INDEX('SCORING MASTER'!$D$54:$D$57,MATCH('STUDENT SCREENING'!AI163,'SCORING MASTER'!$C$54:$C$57,0)),""))</f>
        <v/>
      </c>
      <c r="AK163" s="58" t="str">
        <f aca="false">IF('STUDENT SCREENING'!AJ163="","",IFERROR(INDEX('SCORING MASTER'!$D$59:$D$60,MATCH('STUDENT SCREENING'!AJ163,'SCORING MASTER'!$C$59:$C$60,0)),""))</f>
        <v/>
      </c>
      <c r="AL163" s="58" t="str">
        <f aca="false">IF('STUDENT SCREENING'!AK163="","",IFERROR(INDEX('SCORING MASTER'!$D$62:$D$63,MATCH('STUDENT SCREENING'!AK163,'SCORING MASTER'!$C$62:$C$63,0)),""))</f>
        <v/>
      </c>
      <c r="AM163" s="58" t="str">
        <f aca="false">IF('STUDENT SCREENING'!AL163="","",IFERROR(INDEX('SCORING MASTER'!$D$65:$D$66,MATCH('STUDENT SCREENING'!AL163,'SCORING MASTER'!$C$65:$C$66,0)),""))</f>
        <v/>
      </c>
      <c r="AN163" s="58" t="str">
        <f aca="false">IF('STUDENT SCREENING'!AM163="","",IFERROR(INDEX('SCORING MASTER'!$D$68:$D$69,MATCH('STUDENT SCREENING'!AM163,'SCORING MASTER'!$C$68:$C$69,0)),""))</f>
        <v/>
      </c>
      <c r="AO163" s="58" t="str">
        <f aca="false">IF('STUDENT SCREENING'!AN163="","",IFERROR(INDEX('SCORING MASTER'!$D$71:$D$72,MATCH('STUDENT SCREENING'!AN163,'SCORING MASTER'!$C$71:$C$72,0)),""))</f>
        <v/>
      </c>
      <c r="AP163" s="58" t="str">
        <f aca="false">IF('STUDENT SCREENING'!AO163="","",IFERROR(INDEX('SCORING MASTER'!$D$74:$D$75,MATCH('STUDENT SCREENING'!AO163,'SCORING MASTER'!$C$74:$C$75,0)),""))</f>
        <v/>
      </c>
      <c r="AQ163" s="58" t="str">
        <f aca="false">IF('STUDENT SCREENING'!AP163="","",IFERROR(INDEX('SCORING MASTER'!$D$77:$D$78,MATCH('STUDENT SCREENING'!AP163,'SCORING MASTER'!$C$77:$C$78,0)),""))</f>
        <v/>
      </c>
      <c r="AR163" s="58" t="str">
        <f aca="false">IF('STUDENT SCREENING'!AQ163="","",IFERROR(INDEX('SCORING MASTER'!$D$80:$D$82,MATCH('STUDENT SCREENING'!AQ163,'SCORING MASTER'!$C$80:$C$82,0)),""))</f>
        <v/>
      </c>
      <c r="AS163" s="58" t="str">
        <f aca="false">IF('STUDENT SCREENING'!AR163="","",IFERROR(INDEX('SCORING MASTER'!$D$84:$D$86,MATCH('STUDENT SCREENING'!AR163,'SCORING MASTER'!$C$84:$C$86,0)),""))</f>
        <v/>
      </c>
      <c r="AT163" s="58" t="str">
        <f aca="false">IF('STUDENT SCREENING'!AS163="","",IFERROR(INDEX('SCORING MASTER'!$D$88:$D$90,MATCH('STUDENT SCREENING'!AS163,'SCORING MASTER'!$C$88:$C$90,0)),""))</f>
        <v/>
      </c>
      <c r="AU163" s="58" t="str">
        <f aca="false">IF('STUDENT SCREENING'!AT163="","",IFERROR(INDEX('SCORING MASTER'!$D$92:$D$93,MATCH('STUDENT SCREENING'!AT163,'SCORING MASTER'!$C$92:$C$93,0)),""))</f>
        <v/>
      </c>
      <c r="AV163" s="58" t="str">
        <f aca="false">IF('STUDENT SCREENING'!AU163="","",IFERROR(INDEX('SCORING MASTER'!$D$95:$D$96,MATCH('STUDENT SCREENING'!AU163,'SCORING MASTER'!$C$95:$C$96,0)),""))</f>
        <v/>
      </c>
      <c r="AW163" s="58" t="str">
        <f aca="false">IF('STUDENT SCREENING'!AV163="","",IFERROR(INDEX('SCORING MASTER'!$D$98:$D$99,MATCH('STUDENT SCREENING'!AV163,'SCORING MASTER'!$C$98:$C$99,0)),""))</f>
        <v/>
      </c>
      <c r="AX163" s="58" t="str">
        <f aca="false">IF('STUDENT SCREENING'!AW163="","",IFERROR(INDEX('SCORING MASTER'!$D$101:$D$102,MATCH('STUDENT SCREENING'!AW163,'SCORING MASTER'!$C$101:$C$102,0)),""))</f>
        <v/>
      </c>
      <c r="AY163" s="58" t="str">
        <f aca="false">IF('STUDENT SCREENING'!AX163="","",IFERROR(INDEX('SCORING MASTER'!$D$104:$D$105,MATCH('STUDENT SCREENING'!AX163,'SCORING MASTER'!$C$104:$C$105,0)),""))</f>
        <v/>
      </c>
      <c r="AZ163" s="58" t="str">
        <f aca="false">IF('STUDENT SCREENING'!AY163="","",IFERROR(INDEX('SCORING MASTER'!$D$107:$D$108,MATCH('STUDENT SCREENING'!AY163,'SCORING MASTER'!$C$107:$C$108,0)),""))</f>
        <v/>
      </c>
      <c r="BA163" s="58" t="str">
        <f aca="false">IF('STUDENT SCREENING'!AZ163="","",IFERROR(INDEX('SCORING MASTER'!$D$110:$D$111,MATCH('STUDENT SCREENING'!AZ163,'SCORING MASTER'!$C$110:$C$111,0)),""))</f>
        <v/>
      </c>
      <c r="BB163" s="58" t="str">
        <f aca="false">IF('STUDENT SCREENING'!BA163="","",IFERROR(INDEX('SCORING MASTER'!$D$113:$D$115,MATCH('STUDENT SCREENING'!BA163,'SCORING MASTER'!$C$113:$C$115,0)),""))</f>
        <v/>
      </c>
      <c r="BC163" s="58" t="str">
        <f aca="false">IF('STUDENT SCREENING'!BB163="","",IFERROR(INDEX('SCORING MASTER'!$D$117:$D$119,MATCH('STUDENT SCREENING'!BB163,'SCORING MASTER'!$C$117:$C$119,0)),""))</f>
        <v/>
      </c>
      <c r="BD163" s="58" t="str">
        <f aca="false">IF('STUDENT SCREENING'!BC163="","",IFERROR(INDEX('SCORING MASTER'!$D$121:$D$123,MATCH('STUDENT SCREENING'!BC163,'SCORING MASTER'!$C$121:$C$123,0)),""))</f>
        <v/>
      </c>
      <c r="BE163" s="58" t="str">
        <f aca="false">IF('STUDENT SCREENING'!BD163="","",IFERROR(INDEX('SCORING MASTER'!$D$125:$D$126,MATCH('STUDENT SCREENING'!BD163,'SCORING MASTER'!$C$125:$C$126,0)),""))</f>
        <v/>
      </c>
      <c r="BF163" s="58" t="str">
        <f aca="false">IF('STUDENT SCREENING'!BE163="","",IFERROR(INDEX('SCORING MASTER'!$D$128:$D$129,MATCH('STUDENT SCREENING'!BE163,'SCORING MASTER'!$C$128:$C$129,0)),""))</f>
        <v/>
      </c>
      <c r="BG163" s="58" t="str">
        <f aca="false">IF('STUDENT SCREENING'!BP163="","",IFERROR(MATCH('STUDENT SCREENING'!BP163,{"Red - High Risk","Orange - Moderate Risk","Yellow - Mild Risk","Light Green - Mild Watch","Green - Healthy"},0)-1,""))</f>
        <v/>
      </c>
      <c r="BH163" s="58" t="str">
        <f aca="false">IF('STUDENT SCREENING'!BQ163="","",IF('STUDENT SCREENING'!BQ163="Yes",1,0))</f>
        <v/>
      </c>
      <c r="BI163" s="58" t="str">
        <f aca="false">IF('STUDENT SCREENING'!BR163="","",IF('STUDENT SCREENING'!BR163="Yes",1,0))</f>
        <v/>
      </c>
    </row>
    <row r="164" customFormat="false" ht="15" hidden="false" customHeight="false" outlineLevel="0" collapsed="false">
      <c r="A164" s="57" t="str">
        <f aca="false">'STUDENT SCREENING'!A164</f>
        <v/>
      </c>
      <c r="B164" s="57" t="n">
        <f aca="false">'STUDENT SCREENING'!C164</f>
        <v>0</v>
      </c>
      <c r="C164" s="57" t="n">
        <f aca="false">'STUDENT SCREENING'!D164</f>
        <v>0</v>
      </c>
      <c r="D164" s="57" t="n">
        <f aca="false">'STUDENT SCREENING'!E164</f>
        <v>0</v>
      </c>
      <c r="E164" s="57" t="n">
        <f aca="false">'STUDENT SCREENING'!F164</f>
        <v>0</v>
      </c>
      <c r="F164" s="57" t="n">
        <f aca="false">'STUDENT SCREENING'!K164</f>
        <v>0</v>
      </c>
      <c r="G164" s="57" t="n">
        <f aca="false">'STUDENT SCREENING'!J164</f>
        <v>0</v>
      </c>
      <c r="H164" s="57" t="str">
        <f aca="false">IF('STUDENT SCREENING'!K164="","",IFERROR(MATCH('STUDENT SCREENING'!K164,Adm_Gender,0),""))</f>
        <v/>
      </c>
      <c r="I164" s="57" t="n">
        <f aca="false">'STUDENT SCREENING'!Q164</f>
        <v>0</v>
      </c>
      <c r="J164" s="57" t="n">
        <f aca="false">'STUDENT SCREENING'!R164</f>
        <v>0</v>
      </c>
      <c r="K164" s="57" t="str">
        <f aca="false">'STUDENT SCREENING'!S164</f>
        <v/>
      </c>
      <c r="L164" s="57" t="n">
        <f aca="false">'STUDENT SCREENING'!U164</f>
        <v>0</v>
      </c>
      <c r="M164" s="57" t="n">
        <f aca="false">'STUDENT SCREENING'!V164</f>
        <v>0</v>
      </c>
      <c r="N164" s="57" t="str">
        <f aca="false">'STUDENT SCREENING'!BF164</f>
        <v/>
      </c>
      <c r="O164" s="57" t="str">
        <f aca="false">'STUDENT SCREENING'!BG164</f>
        <v/>
      </c>
      <c r="P164" s="57" t="str">
        <f aca="false">'STUDENT SCREENING'!BH164</f>
        <v/>
      </c>
      <c r="Q164" s="57" t="str">
        <f aca="false">'STUDENT SCREENING'!BI164</f>
        <v/>
      </c>
      <c r="R164" s="57" t="str">
        <f aca="false">'STUDENT SCREENING'!BJ164</f>
        <v/>
      </c>
      <c r="S164" s="57" t="str">
        <f aca="false">'STUDENT SCREENING'!BK164</f>
        <v/>
      </c>
      <c r="T164" s="57" t="str">
        <f aca="false">'STUDENT SCREENING'!BL164</f>
        <v/>
      </c>
      <c r="U164" s="57" t="str">
        <f aca="false">'STUDENT SCREENING'!BM164</f>
        <v/>
      </c>
      <c r="V164" s="57" t="str">
        <f aca="false">'STUDENT SCREENING'!BN164</f>
        <v/>
      </c>
      <c r="W164" s="57" t="str">
        <f aca="false">'STUDENT SCREENING'!BO164</f>
        <v/>
      </c>
      <c r="X164" s="57" t="str">
        <f aca="false">IF('STUDENT SCREENING'!W164="","",IFERROR(INDEX('SCORING MASTER'!$D$5:$D$7,MATCH('STUDENT SCREENING'!W164,'SCORING MASTER'!$C$5:$C$7,0)),""))</f>
        <v/>
      </c>
      <c r="Y164" s="57" t="str">
        <f aca="false">IF('STUDENT SCREENING'!X164="","",IFERROR(INDEX('SCORING MASTER'!$D$9:$D$11,MATCH('STUDENT SCREENING'!X164,'SCORING MASTER'!$C$9:$C$11,0)),""))</f>
        <v/>
      </c>
      <c r="Z164" s="57" t="str">
        <f aca="false">IF('STUDENT SCREENING'!Y164="","",IFERROR(INDEX('SCORING MASTER'!$D$13:$D$15,MATCH('STUDENT SCREENING'!Y164,'SCORING MASTER'!$C$13:$C$15,0)),""))</f>
        <v/>
      </c>
      <c r="AA164" s="57" t="str">
        <f aca="false">IF('STUDENT SCREENING'!Z164="","",IFERROR(INDEX('SCORING MASTER'!$D$17:$D$19,MATCH('STUDENT SCREENING'!Z164,'SCORING MASTER'!$C$17:$C$19,0)),""))</f>
        <v/>
      </c>
      <c r="AB164" s="57" t="str">
        <f aca="false">IF('STUDENT SCREENING'!AA164="","",IFERROR(INDEX('SCORING MASTER'!$D$21:$D$23,MATCH('STUDENT SCREENING'!AA164,'SCORING MASTER'!$C$21:$C$23,0)),""))</f>
        <v/>
      </c>
      <c r="AC164" s="57" t="str">
        <f aca="false">IF('STUDENT SCREENING'!AB164="","",IFERROR(INDEX('SCORING MASTER'!$D$25:$D$27,MATCH('STUDENT SCREENING'!AB164,'SCORING MASTER'!$C$25:$C$27,0)),""))</f>
        <v/>
      </c>
      <c r="AD164" s="57" t="str">
        <f aca="false">IF('STUDENT SCREENING'!AC164="","",IFERROR(INDEX('SCORING MASTER'!$D$29:$D$31,MATCH('STUDENT SCREENING'!AC164,'SCORING MASTER'!$C$29:$C$31,0)),""))</f>
        <v/>
      </c>
      <c r="AE164" s="57" t="str">
        <f aca="false">IF('STUDENT SCREENING'!AD164="","",IFERROR(INDEX('SCORING MASTER'!$D$33:$D$35,MATCH('STUDENT SCREENING'!AD164,'SCORING MASTER'!$C$33:$C$35,0)),""))</f>
        <v/>
      </c>
      <c r="AF164" s="57" t="str">
        <f aca="false">IF('STUDENT SCREENING'!AE164="","",IFERROR(INDEX('SCORING MASTER'!$D$37:$D$39,MATCH('STUDENT SCREENING'!AE164,'SCORING MASTER'!$C$37:$C$39,0)),""))</f>
        <v/>
      </c>
      <c r="AG164" s="57" t="str">
        <f aca="false">IF('STUDENT SCREENING'!AF164="","",IFERROR(INDEX('SCORING MASTER'!$D$41:$D$43,MATCH('STUDENT SCREENING'!AF164,'SCORING MASTER'!$C$41:$C$43,0)),""))</f>
        <v/>
      </c>
      <c r="AH164" s="57" t="str">
        <f aca="false">IF('STUDENT SCREENING'!AG164="","",IFERROR(INDEX('SCORING MASTER'!$D$45:$D$47,MATCH('STUDENT SCREENING'!AG164,'SCORING MASTER'!$C$45:$C$47,0)),""))</f>
        <v/>
      </c>
      <c r="AI164" s="57" t="str">
        <f aca="false">IF('STUDENT SCREENING'!AH164="","",IFERROR(INDEX('SCORING MASTER'!$D$49:$D$52,MATCH('STUDENT SCREENING'!AH164,'SCORING MASTER'!$C$49:$C$52,0)),""))</f>
        <v/>
      </c>
      <c r="AJ164" s="57" t="str">
        <f aca="false">IF('STUDENT SCREENING'!AI164="","",IFERROR(INDEX('SCORING MASTER'!$D$54:$D$57,MATCH('STUDENT SCREENING'!AI164,'SCORING MASTER'!$C$54:$C$57,0)),""))</f>
        <v/>
      </c>
      <c r="AK164" s="57" t="str">
        <f aca="false">IF('STUDENT SCREENING'!AJ164="","",IFERROR(INDEX('SCORING MASTER'!$D$59:$D$60,MATCH('STUDENT SCREENING'!AJ164,'SCORING MASTER'!$C$59:$C$60,0)),""))</f>
        <v/>
      </c>
      <c r="AL164" s="57" t="str">
        <f aca="false">IF('STUDENT SCREENING'!AK164="","",IFERROR(INDEX('SCORING MASTER'!$D$62:$D$63,MATCH('STUDENT SCREENING'!AK164,'SCORING MASTER'!$C$62:$C$63,0)),""))</f>
        <v/>
      </c>
      <c r="AM164" s="57" t="str">
        <f aca="false">IF('STUDENT SCREENING'!AL164="","",IFERROR(INDEX('SCORING MASTER'!$D$65:$D$66,MATCH('STUDENT SCREENING'!AL164,'SCORING MASTER'!$C$65:$C$66,0)),""))</f>
        <v/>
      </c>
      <c r="AN164" s="57" t="str">
        <f aca="false">IF('STUDENT SCREENING'!AM164="","",IFERROR(INDEX('SCORING MASTER'!$D$68:$D$69,MATCH('STUDENT SCREENING'!AM164,'SCORING MASTER'!$C$68:$C$69,0)),""))</f>
        <v/>
      </c>
      <c r="AO164" s="57" t="str">
        <f aca="false">IF('STUDENT SCREENING'!AN164="","",IFERROR(INDEX('SCORING MASTER'!$D$71:$D$72,MATCH('STUDENT SCREENING'!AN164,'SCORING MASTER'!$C$71:$C$72,0)),""))</f>
        <v/>
      </c>
      <c r="AP164" s="57" t="str">
        <f aca="false">IF('STUDENT SCREENING'!AO164="","",IFERROR(INDEX('SCORING MASTER'!$D$74:$D$75,MATCH('STUDENT SCREENING'!AO164,'SCORING MASTER'!$C$74:$C$75,0)),""))</f>
        <v/>
      </c>
      <c r="AQ164" s="57" t="str">
        <f aca="false">IF('STUDENT SCREENING'!AP164="","",IFERROR(INDEX('SCORING MASTER'!$D$77:$D$78,MATCH('STUDENT SCREENING'!AP164,'SCORING MASTER'!$C$77:$C$78,0)),""))</f>
        <v/>
      </c>
      <c r="AR164" s="57" t="str">
        <f aca="false">IF('STUDENT SCREENING'!AQ164="","",IFERROR(INDEX('SCORING MASTER'!$D$80:$D$82,MATCH('STUDENT SCREENING'!AQ164,'SCORING MASTER'!$C$80:$C$82,0)),""))</f>
        <v/>
      </c>
      <c r="AS164" s="57" t="str">
        <f aca="false">IF('STUDENT SCREENING'!AR164="","",IFERROR(INDEX('SCORING MASTER'!$D$84:$D$86,MATCH('STUDENT SCREENING'!AR164,'SCORING MASTER'!$C$84:$C$86,0)),""))</f>
        <v/>
      </c>
      <c r="AT164" s="57" t="str">
        <f aca="false">IF('STUDENT SCREENING'!AS164="","",IFERROR(INDEX('SCORING MASTER'!$D$88:$D$90,MATCH('STUDENT SCREENING'!AS164,'SCORING MASTER'!$C$88:$C$90,0)),""))</f>
        <v/>
      </c>
      <c r="AU164" s="57" t="str">
        <f aca="false">IF('STUDENT SCREENING'!AT164="","",IFERROR(INDEX('SCORING MASTER'!$D$92:$D$93,MATCH('STUDENT SCREENING'!AT164,'SCORING MASTER'!$C$92:$C$93,0)),""))</f>
        <v/>
      </c>
      <c r="AV164" s="57" t="str">
        <f aca="false">IF('STUDENT SCREENING'!AU164="","",IFERROR(INDEX('SCORING MASTER'!$D$95:$D$96,MATCH('STUDENT SCREENING'!AU164,'SCORING MASTER'!$C$95:$C$96,0)),""))</f>
        <v/>
      </c>
      <c r="AW164" s="57" t="str">
        <f aca="false">IF('STUDENT SCREENING'!AV164="","",IFERROR(INDEX('SCORING MASTER'!$D$98:$D$99,MATCH('STUDENT SCREENING'!AV164,'SCORING MASTER'!$C$98:$C$99,0)),""))</f>
        <v/>
      </c>
      <c r="AX164" s="57" t="str">
        <f aca="false">IF('STUDENT SCREENING'!AW164="","",IFERROR(INDEX('SCORING MASTER'!$D$101:$D$102,MATCH('STUDENT SCREENING'!AW164,'SCORING MASTER'!$C$101:$C$102,0)),""))</f>
        <v/>
      </c>
      <c r="AY164" s="57" t="str">
        <f aca="false">IF('STUDENT SCREENING'!AX164="","",IFERROR(INDEX('SCORING MASTER'!$D$104:$D$105,MATCH('STUDENT SCREENING'!AX164,'SCORING MASTER'!$C$104:$C$105,0)),""))</f>
        <v/>
      </c>
      <c r="AZ164" s="57" t="str">
        <f aca="false">IF('STUDENT SCREENING'!AY164="","",IFERROR(INDEX('SCORING MASTER'!$D$107:$D$108,MATCH('STUDENT SCREENING'!AY164,'SCORING MASTER'!$C$107:$C$108,0)),""))</f>
        <v/>
      </c>
      <c r="BA164" s="57" t="str">
        <f aca="false">IF('STUDENT SCREENING'!AZ164="","",IFERROR(INDEX('SCORING MASTER'!$D$110:$D$111,MATCH('STUDENT SCREENING'!AZ164,'SCORING MASTER'!$C$110:$C$111,0)),""))</f>
        <v/>
      </c>
      <c r="BB164" s="57" t="str">
        <f aca="false">IF('STUDENT SCREENING'!BA164="","",IFERROR(INDEX('SCORING MASTER'!$D$113:$D$115,MATCH('STUDENT SCREENING'!BA164,'SCORING MASTER'!$C$113:$C$115,0)),""))</f>
        <v/>
      </c>
      <c r="BC164" s="57" t="str">
        <f aca="false">IF('STUDENT SCREENING'!BB164="","",IFERROR(INDEX('SCORING MASTER'!$D$117:$D$119,MATCH('STUDENT SCREENING'!BB164,'SCORING MASTER'!$C$117:$C$119,0)),""))</f>
        <v/>
      </c>
      <c r="BD164" s="57" t="str">
        <f aca="false">IF('STUDENT SCREENING'!BC164="","",IFERROR(INDEX('SCORING MASTER'!$D$121:$D$123,MATCH('STUDENT SCREENING'!BC164,'SCORING MASTER'!$C$121:$C$123,0)),""))</f>
        <v/>
      </c>
      <c r="BE164" s="57" t="str">
        <f aca="false">IF('STUDENT SCREENING'!BD164="","",IFERROR(INDEX('SCORING MASTER'!$D$125:$D$126,MATCH('STUDENT SCREENING'!BD164,'SCORING MASTER'!$C$125:$C$126,0)),""))</f>
        <v/>
      </c>
      <c r="BF164" s="57" t="str">
        <f aca="false">IF('STUDENT SCREENING'!BE164="","",IFERROR(INDEX('SCORING MASTER'!$D$128:$D$129,MATCH('STUDENT SCREENING'!BE164,'SCORING MASTER'!$C$128:$C$129,0)),""))</f>
        <v/>
      </c>
      <c r="BG164" s="57" t="str">
        <f aca="false">IF('STUDENT SCREENING'!BP164="","",IFERROR(MATCH('STUDENT SCREENING'!BP164,{"Red - High Risk","Orange - Moderate Risk","Yellow - Mild Risk","Light Green - Mild Watch","Green - Healthy"},0)-1,""))</f>
        <v/>
      </c>
      <c r="BH164" s="57" t="str">
        <f aca="false">IF('STUDENT SCREENING'!BQ164="","",IF('STUDENT SCREENING'!BQ164="Yes",1,0))</f>
        <v/>
      </c>
      <c r="BI164" s="57" t="str">
        <f aca="false">IF('STUDENT SCREENING'!BR164="","",IF('STUDENT SCREENING'!BR164="Yes",1,0))</f>
        <v/>
      </c>
    </row>
    <row r="165" customFormat="false" ht="15" hidden="false" customHeight="false" outlineLevel="0" collapsed="false">
      <c r="A165" s="58" t="str">
        <f aca="false">'STUDENT SCREENING'!A165</f>
        <v/>
      </c>
      <c r="B165" s="58" t="n">
        <f aca="false">'STUDENT SCREENING'!C165</f>
        <v>0</v>
      </c>
      <c r="C165" s="58" t="n">
        <f aca="false">'STUDENT SCREENING'!D165</f>
        <v>0</v>
      </c>
      <c r="D165" s="58" t="n">
        <f aca="false">'STUDENT SCREENING'!E165</f>
        <v>0</v>
      </c>
      <c r="E165" s="58" t="n">
        <f aca="false">'STUDENT SCREENING'!F165</f>
        <v>0</v>
      </c>
      <c r="F165" s="58" t="n">
        <f aca="false">'STUDENT SCREENING'!K165</f>
        <v>0</v>
      </c>
      <c r="G165" s="58" t="n">
        <f aca="false">'STUDENT SCREENING'!J165</f>
        <v>0</v>
      </c>
      <c r="H165" s="58" t="str">
        <f aca="false">IF('STUDENT SCREENING'!K165="","",IFERROR(MATCH('STUDENT SCREENING'!K165,Adm_Gender,0),""))</f>
        <v/>
      </c>
      <c r="I165" s="58" t="n">
        <f aca="false">'STUDENT SCREENING'!Q165</f>
        <v>0</v>
      </c>
      <c r="J165" s="58" t="n">
        <f aca="false">'STUDENT SCREENING'!R165</f>
        <v>0</v>
      </c>
      <c r="K165" s="58" t="str">
        <f aca="false">'STUDENT SCREENING'!S165</f>
        <v/>
      </c>
      <c r="L165" s="58" t="n">
        <f aca="false">'STUDENT SCREENING'!U165</f>
        <v>0</v>
      </c>
      <c r="M165" s="58" t="n">
        <f aca="false">'STUDENT SCREENING'!V165</f>
        <v>0</v>
      </c>
      <c r="N165" s="58" t="str">
        <f aca="false">'STUDENT SCREENING'!BF165</f>
        <v/>
      </c>
      <c r="O165" s="58" t="str">
        <f aca="false">'STUDENT SCREENING'!BG165</f>
        <v/>
      </c>
      <c r="P165" s="58" t="str">
        <f aca="false">'STUDENT SCREENING'!BH165</f>
        <v/>
      </c>
      <c r="Q165" s="58" t="str">
        <f aca="false">'STUDENT SCREENING'!BI165</f>
        <v/>
      </c>
      <c r="R165" s="58" t="str">
        <f aca="false">'STUDENT SCREENING'!BJ165</f>
        <v/>
      </c>
      <c r="S165" s="58" t="str">
        <f aca="false">'STUDENT SCREENING'!BK165</f>
        <v/>
      </c>
      <c r="T165" s="58" t="str">
        <f aca="false">'STUDENT SCREENING'!BL165</f>
        <v/>
      </c>
      <c r="U165" s="58" t="str">
        <f aca="false">'STUDENT SCREENING'!BM165</f>
        <v/>
      </c>
      <c r="V165" s="58" t="str">
        <f aca="false">'STUDENT SCREENING'!BN165</f>
        <v/>
      </c>
      <c r="W165" s="58" t="str">
        <f aca="false">'STUDENT SCREENING'!BO165</f>
        <v/>
      </c>
      <c r="X165" s="58" t="str">
        <f aca="false">IF('STUDENT SCREENING'!W165="","",IFERROR(INDEX('SCORING MASTER'!$D$5:$D$7,MATCH('STUDENT SCREENING'!W165,'SCORING MASTER'!$C$5:$C$7,0)),""))</f>
        <v/>
      </c>
      <c r="Y165" s="58" t="str">
        <f aca="false">IF('STUDENT SCREENING'!X165="","",IFERROR(INDEX('SCORING MASTER'!$D$9:$D$11,MATCH('STUDENT SCREENING'!X165,'SCORING MASTER'!$C$9:$C$11,0)),""))</f>
        <v/>
      </c>
      <c r="Z165" s="58" t="str">
        <f aca="false">IF('STUDENT SCREENING'!Y165="","",IFERROR(INDEX('SCORING MASTER'!$D$13:$D$15,MATCH('STUDENT SCREENING'!Y165,'SCORING MASTER'!$C$13:$C$15,0)),""))</f>
        <v/>
      </c>
      <c r="AA165" s="58" t="str">
        <f aca="false">IF('STUDENT SCREENING'!Z165="","",IFERROR(INDEX('SCORING MASTER'!$D$17:$D$19,MATCH('STUDENT SCREENING'!Z165,'SCORING MASTER'!$C$17:$C$19,0)),""))</f>
        <v/>
      </c>
      <c r="AB165" s="58" t="str">
        <f aca="false">IF('STUDENT SCREENING'!AA165="","",IFERROR(INDEX('SCORING MASTER'!$D$21:$D$23,MATCH('STUDENT SCREENING'!AA165,'SCORING MASTER'!$C$21:$C$23,0)),""))</f>
        <v/>
      </c>
      <c r="AC165" s="58" t="str">
        <f aca="false">IF('STUDENT SCREENING'!AB165="","",IFERROR(INDEX('SCORING MASTER'!$D$25:$D$27,MATCH('STUDENT SCREENING'!AB165,'SCORING MASTER'!$C$25:$C$27,0)),""))</f>
        <v/>
      </c>
      <c r="AD165" s="58" t="str">
        <f aca="false">IF('STUDENT SCREENING'!AC165="","",IFERROR(INDEX('SCORING MASTER'!$D$29:$D$31,MATCH('STUDENT SCREENING'!AC165,'SCORING MASTER'!$C$29:$C$31,0)),""))</f>
        <v/>
      </c>
      <c r="AE165" s="58" t="str">
        <f aca="false">IF('STUDENT SCREENING'!AD165="","",IFERROR(INDEX('SCORING MASTER'!$D$33:$D$35,MATCH('STUDENT SCREENING'!AD165,'SCORING MASTER'!$C$33:$C$35,0)),""))</f>
        <v/>
      </c>
      <c r="AF165" s="58" t="str">
        <f aca="false">IF('STUDENT SCREENING'!AE165="","",IFERROR(INDEX('SCORING MASTER'!$D$37:$D$39,MATCH('STUDENT SCREENING'!AE165,'SCORING MASTER'!$C$37:$C$39,0)),""))</f>
        <v/>
      </c>
      <c r="AG165" s="58" t="str">
        <f aca="false">IF('STUDENT SCREENING'!AF165="","",IFERROR(INDEX('SCORING MASTER'!$D$41:$D$43,MATCH('STUDENT SCREENING'!AF165,'SCORING MASTER'!$C$41:$C$43,0)),""))</f>
        <v/>
      </c>
      <c r="AH165" s="58" t="str">
        <f aca="false">IF('STUDENT SCREENING'!AG165="","",IFERROR(INDEX('SCORING MASTER'!$D$45:$D$47,MATCH('STUDENT SCREENING'!AG165,'SCORING MASTER'!$C$45:$C$47,0)),""))</f>
        <v/>
      </c>
      <c r="AI165" s="58" t="str">
        <f aca="false">IF('STUDENT SCREENING'!AH165="","",IFERROR(INDEX('SCORING MASTER'!$D$49:$D$52,MATCH('STUDENT SCREENING'!AH165,'SCORING MASTER'!$C$49:$C$52,0)),""))</f>
        <v/>
      </c>
      <c r="AJ165" s="58" t="str">
        <f aca="false">IF('STUDENT SCREENING'!AI165="","",IFERROR(INDEX('SCORING MASTER'!$D$54:$D$57,MATCH('STUDENT SCREENING'!AI165,'SCORING MASTER'!$C$54:$C$57,0)),""))</f>
        <v/>
      </c>
      <c r="AK165" s="58" t="str">
        <f aca="false">IF('STUDENT SCREENING'!AJ165="","",IFERROR(INDEX('SCORING MASTER'!$D$59:$D$60,MATCH('STUDENT SCREENING'!AJ165,'SCORING MASTER'!$C$59:$C$60,0)),""))</f>
        <v/>
      </c>
      <c r="AL165" s="58" t="str">
        <f aca="false">IF('STUDENT SCREENING'!AK165="","",IFERROR(INDEX('SCORING MASTER'!$D$62:$D$63,MATCH('STUDENT SCREENING'!AK165,'SCORING MASTER'!$C$62:$C$63,0)),""))</f>
        <v/>
      </c>
      <c r="AM165" s="58" t="str">
        <f aca="false">IF('STUDENT SCREENING'!AL165="","",IFERROR(INDEX('SCORING MASTER'!$D$65:$D$66,MATCH('STUDENT SCREENING'!AL165,'SCORING MASTER'!$C$65:$C$66,0)),""))</f>
        <v/>
      </c>
      <c r="AN165" s="58" t="str">
        <f aca="false">IF('STUDENT SCREENING'!AM165="","",IFERROR(INDEX('SCORING MASTER'!$D$68:$D$69,MATCH('STUDENT SCREENING'!AM165,'SCORING MASTER'!$C$68:$C$69,0)),""))</f>
        <v/>
      </c>
      <c r="AO165" s="58" t="str">
        <f aca="false">IF('STUDENT SCREENING'!AN165="","",IFERROR(INDEX('SCORING MASTER'!$D$71:$D$72,MATCH('STUDENT SCREENING'!AN165,'SCORING MASTER'!$C$71:$C$72,0)),""))</f>
        <v/>
      </c>
      <c r="AP165" s="58" t="str">
        <f aca="false">IF('STUDENT SCREENING'!AO165="","",IFERROR(INDEX('SCORING MASTER'!$D$74:$D$75,MATCH('STUDENT SCREENING'!AO165,'SCORING MASTER'!$C$74:$C$75,0)),""))</f>
        <v/>
      </c>
      <c r="AQ165" s="58" t="str">
        <f aca="false">IF('STUDENT SCREENING'!AP165="","",IFERROR(INDEX('SCORING MASTER'!$D$77:$D$78,MATCH('STUDENT SCREENING'!AP165,'SCORING MASTER'!$C$77:$C$78,0)),""))</f>
        <v/>
      </c>
      <c r="AR165" s="58" t="str">
        <f aca="false">IF('STUDENT SCREENING'!AQ165="","",IFERROR(INDEX('SCORING MASTER'!$D$80:$D$82,MATCH('STUDENT SCREENING'!AQ165,'SCORING MASTER'!$C$80:$C$82,0)),""))</f>
        <v/>
      </c>
      <c r="AS165" s="58" t="str">
        <f aca="false">IF('STUDENT SCREENING'!AR165="","",IFERROR(INDEX('SCORING MASTER'!$D$84:$D$86,MATCH('STUDENT SCREENING'!AR165,'SCORING MASTER'!$C$84:$C$86,0)),""))</f>
        <v/>
      </c>
      <c r="AT165" s="58" t="str">
        <f aca="false">IF('STUDENT SCREENING'!AS165="","",IFERROR(INDEX('SCORING MASTER'!$D$88:$D$90,MATCH('STUDENT SCREENING'!AS165,'SCORING MASTER'!$C$88:$C$90,0)),""))</f>
        <v/>
      </c>
      <c r="AU165" s="58" t="str">
        <f aca="false">IF('STUDENT SCREENING'!AT165="","",IFERROR(INDEX('SCORING MASTER'!$D$92:$D$93,MATCH('STUDENT SCREENING'!AT165,'SCORING MASTER'!$C$92:$C$93,0)),""))</f>
        <v/>
      </c>
      <c r="AV165" s="58" t="str">
        <f aca="false">IF('STUDENT SCREENING'!AU165="","",IFERROR(INDEX('SCORING MASTER'!$D$95:$D$96,MATCH('STUDENT SCREENING'!AU165,'SCORING MASTER'!$C$95:$C$96,0)),""))</f>
        <v/>
      </c>
      <c r="AW165" s="58" t="str">
        <f aca="false">IF('STUDENT SCREENING'!AV165="","",IFERROR(INDEX('SCORING MASTER'!$D$98:$D$99,MATCH('STUDENT SCREENING'!AV165,'SCORING MASTER'!$C$98:$C$99,0)),""))</f>
        <v/>
      </c>
      <c r="AX165" s="58" t="str">
        <f aca="false">IF('STUDENT SCREENING'!AW165="","",IFERROR(INDEX('SCORING MASTER'!$D$101:$D$102,MATCH('STUDENT SCREENING'!AW165,'SCORING MASTER'!$C$101:$C$102,0)),""))</f>
        <v/>
      </c>
      <c r="AY165" s="58" t="str">
        <f aca="false">IF('STUDENT SCREENING'!AX165="","",IFERROR(INDEX('SCORING MASTER'!$D$104:$D$105,MATCH('STUDENT SCREENING'!AX165,'SCORING MASTER'!$C$104:$C$105,0)),""))</f>
        <v/>
      </c>
      <c r="AZ165" s="58" t="str">
        <f aca="false">IF('STUDENT SCREENING'!AY165="","",IFERROR(INDEX('SCORING MASTER'!$D$107:$D$108,MATCH('STUDENT SCREENING'!AY165,'SCORING MASTER'!$C$107:$C$108,0)),""))</f>
        <v/>
      </c>
      <c r="BA165" s="58" t="str">
        <f aca="false">IF('STUDENT SCREENING'!AZ165="","",IFERROR(INDEX('SCORING MASTER'!$D$110:$D$111,MATCH('STUDENT SCREENING'!AZ165,'SCORING MASTER'!$C$110:$C$111,0)),""))</f>
        <v/>
      </c>
      <c r="BB165" s="58" t="str">
        <f aca="false">IF('STUDENT SCREENING'!BA165="","",IFERROR(INDEX('SCORING MASTER'!$D$113:$D$115,MATCH('STUDENT SCREENING'!BA165,'SCORING MASTER'!$C$113:$C$115,0)),""))</f>
        <v/>
      </c>
      <c r="BC165" s="58" t="str">
        <f aca="false">IF('STUDENT SCREENING'!BB165="","",IFERROR(INDEX('SCORING MASTER'!$D$117:$D$119,MATCH('STUDENT SCREENING'!BB165,'SCORING MASTER'!$C$117:$C$119,0)),""))</f>
        <v/>
      </c>
      <c r="BD165" s="58" t="str">
        <f aca="false">IF('STUDENT SCREENING'!BC165="","",IFERROR(INDEX('SCORING MASTER'!$D$121:$D$123,MATCH('STUDENT SCREENING'!BC165,'SCORING MASTER'!$C$121:$C$123,0)),""))</f>
        <v/>
      </c>
      <c r="BE165" s="58" t="str">
        <f aca="false">IF('STUDENT SCREENING'!BD165="","",IFERROR(INDEX('SCORING MASTER'!$D$125:$D$126,MATCH('STUDENT SCREENING'!BD165,'SCORING MASTER'!$C$125:$C$126,0)),""))</f>
        <v/>
      </c>
      <c r="BF165" s="58" t="str">
        <f aca="false">IF('STUDENT SCREENING'!BE165="","",IFERROR(INDEX('SCORING MASTER'!$D$128:$D$129,MATCH('STUDENT SCREENING'!BE165,'SCORING MASTER'!$C$128:$C$129,0)),""))</f>
        <v/>
      </c>
      <c r="BG165" s="58" t="str">
        <f aca="false">IF('STUDENT SCREENING'!BP165="","",IFERROR(MATCH('STUDENT SCREENING'!BP165,{"Red - High Risk","Orange - Moderate Risk","Yellow - Mild Risk","Light Green - Mild Watch","Green - Healthy"},0)-1,""))</f>
        <v/>
      </c>
      <c r="BH165" s="58" t="str">
        <f aca="false">IF('STUDENT SCREENING'!BQ165="","",IF('STUDENT SCREENING'!BQ165="Yes",1,0))</f>
        <v/>
      </c>
      <c r="BI165" s="58" t="str">
        <f aca="false">IF('STUDENT SCREENING'!BR165="","",IF('STUDENT SCREENING'!BR165="Yes",1,0))</f>
        <v/>
      </c>
    </row>
    <row r="166" customFormat="false" ht="15" hidden="false" customHeight="false" outlineLevel="0" collapsed="false">
      <c r="A166" s="57" t="str">
        <f aca="false">'STUDENT SCREENING'!A166</f>
        <v/>
      </c>
      <c r="B166" s="57" t="n">
        <f aca="false">'STUDENT SCREENING'!C166</f>
        <v>0</v>
      </c>
      <c r="C166" s="57" t="n">
        <f aca="false">'STUDENT SCREENING'!D166</f>
        <v>0</v>
      </c>
      <c r="D166" s="57" t="n">
        <f aca="false">'STUDENT SCREENING'!E166</f>
        <v>0</v>
      </c>
      <c r="E166" s="57" t="n">
        <f aca="false">'STUDENT SCREENING'!F166</f>
        <v>0</v>
      </c>
      <c r="F166" s="57" t="n">
        <f aca="false">'STUDENT SCREENING'!K166</f>
        <v>0</v>
      </c>
      <c r="G166" s="57" t="n">
        <f aca="false">'STUDENT SCREENING'!J166</f>
        <v>0</v>
      </c>
      <c r="H166" s="57" t="str">
        <f aca="false">IF('STUDENT SCREENING'!K166="","",IFERROR(MATCH('STUDENT SCREENING'!K166,Adm_Gender,0),""))</f>
        <v/>
      </c>
      <c r="I166" s="57" t="n">
        <f aca="false">'STUDENT SCREENING'!Q166</f>
        <v>0</v>
      </c>
      <c r="J166" s="57" t="n">
        <f aca="false">'STUDENT SCREENING'!R166</f>
        <v>0</v>
      </c>
      <c r="K166" s="57" t="str">
        <f aca="false">'STUDENT SCREENING'!S166</f>
        <v/>
      </c>
      <c r="L166" s="57" t="n">
        <f aca="false">'STUDENT SCREENING'!U166</f>
        <v>0</v>
      </c>
      <c r="M166" s="57" t="n">
        <f aca="false">'STUDENT SCREENING'!V166</f>
        <v>0</v>
      </c>
      <c r="N166" s="57" t="str">
        <f aca="false">'STUDENT SCREENING'!BF166</f>
        <v/>
      </c>
      <c r="O166" s="57" t="str">
        <f aca="false">'STUDENT SCREENING'!BG166</f>
        <v/>
      </c>
      <c r="P166" s="57" t="str">
        <f aca="false">'STUDENT SCREENING'!BH166</f>
        <v/>
      </c>
      <c r="Q166" s="57" t="str">
        <f aca="false">'STUDENT SCREENING'!BI166</f>
        <v/>
      </c>
      <c r="R166" s="57" t="str">
        <f aca="false">'STUDENT SCREENING'!BJ166</f>
        <v/>
      </c>
      <c r="S166" s="57" t="str">
        <f aca="false">'STUDENT SCREENING'!BK166</f>
        <v/>
      </c>
      <c r="T166" s="57" t="str">
        <f aca="false">'STUDENT SCREENING'!BL166</f>
        <v/>
      </c>
      <c r="U166" s="57" t="str">
        <f aca="false">'STUDENT SCREENING'!BM166</f>
        <v/>
      </c>
      <c r="V166" s="57" t="str">
        <f aca="false">'STUDENT SCREENING'!BN166</f>
        <v/>
      </c>
      <c r="W166" s="57" t="str">
        <f aca="false">'STUDENT SCREENING'!BO166</f>
        <v/>
      </c>
      <c r="X166" s="57" t="str">
        <f aca="false">IF('STUDENT SCREENING'!W166="","",IFERROR(INDEX('SCORING MASTER'!$D$5:$D$7,MATCH('STUDENT SCREENING'!W166,'SCORING MASTER'!$C$5:$C$7,0)),""))</f>
        <v/>
      </c>
      <c r="Y166" s="57" t="str">
        <f aca="false">IF('STUDENT SCREENING'!X166="","",IFERROR(INDEX('SCORING MASTER'!$D$9:$D$11,MATCH('STUDENT SCREENING'!X166,'SCORING MASTER'!$C$9:$C$11,0)),""))</f>
        <v/>
      </c>
      <c r="Z166" s="57" t="str">
        <f aca="false">IF('STUDENT SCREENING'!Y166="","",IFERROR(INDEX('SCORING MASTER'!$D$13:$D$15,MATCH('STUDENT SCREENING'!Y166,'SCORING MASTER'!$C$13:$C$15,0)),""))</f>
        <v/>
      </c>
      <c r="AA166" s="57" t="str">
        <f aca="false">IF('STUDENT SCREENING'!Z166="","",IFERROR(INDEX('SCORING MASTER'!$D$17:$D$19,MATCH('STUDENT SCREENING'!Z166,'SCORING MASTER'!$C$17:$C$19,0)),""))</f>
        <v/>
      </c>
      <c r="AB166" s="57" t="str">
        <f aca="false">IF('STUDENT SCREENING'!AA166="","",IFERROR(INDEX('SCORING MASTER'!$D$21:$D$23,MATCH('STUDENT SCREENING'!AA166,'SCORING MASTER'!$C$21:$C$23,0)),""))</f>
        <v/>
      </c>
      <c r="AC166" s="57" t="str">
        <f aca="false">IF('STUDENT SCREENING'!AB166="","",IFERROR(INDEX('SCORING MASTER'!$D$25:$D$27,MATCH('STUDENT SCREENING'!AB166,'SCORING MASTER'!$C$25:$C$27,0)),""))</f>
        <v/>
      </c>
      <c r="AD166" s="57" t="str">
        <f aca="false">IF('STUDENT SCREENING'!AC166="","",IFERROR(INDEX('SCORING MASTER'!$D$29:$D$31,MATCH('STUDENT SCREENING'!AC166,'SCORING MASTER'!$C$29:$C$31,0)),""))</f>
        <v/>
      </c>
      <c r="AE166" s="57" t="str">
        <f aca="false">IF('STUDENT SCREENING'!AD166="","",IFERROR(INDEX('SCORING MASTER'!$D$33:$D$35,MATCH('STUDENT SCREENING'!AD166,'SCORING MASTER'!$C$33:$C$35,0)),""))</f>
        <v/>
      </c>
      <c r="AF166" s="57" t="str">
        <f aca="false">IF('STUDENT SCREENING'!AE166="","",IFERROR(INDEX('SCORING MASTER'!$D$37:$D$39,MATCH('STUDENT SCREENING'!AE166,'SCORING MASTER'!$C$37:$C$39,0)),""))</f>
        <v/>
      </c>
      <c r="AG166" s="57" t="str">
        <f aca="false">IF('STUDENT SCREENING'!AF166="","",IFERROR(INDEX('SCORING MASTER'!$D$41:$D$43,MATCH('STUDENT SCREENING'!AF166,'SCORING MASTER'!$C$41:$C$43,0)),""))</f>
        <v/>
      </c>
      <c r="AH166" s="57" t="str">
        <f aca="false">IF('STUDENT SCREENING'!AG166="","",IFERROR(INDEX('SCORING MASTER'!$D$45:$D$47,MATCH('STUDENT SCREENING'!AG166,'SCORING MASTER'!$C$45:$C$47,0)),""))</f>
        <v/>
      </c>
      <c r="AI166" s="57" t="str">
        <f aca="false">IF('STUDENT SCREENING'!AH166="","",IFERROR(INDEX('SCORING MASTER'!$D$49:$D$52,MATCH('STUDENT SCREENING'!AH166,'SCORING MASTER'!$C$49:$C$52,0)),""))</f>
        <v/>
      </c>
      <c r="AJ166" s="57" t="str">
        <f aca="false">IF('STUDENT SCREENING'!AI166="","",IFERROR(INDEX('SCORING MASTER'!$D$54:$D$57,MATCH('STUDENT SCREENING'!AI166,'SCORING MASTER'!$C$54:$C$57,0)),""))</f>
        <v/>
      </c>
      <c r="AK166" s="57" t="str">
        <f aca="false">IF('STUDENT SCREENING'!AJ166="","",IFERROR(INDEX('SCORING MASTER'!$D$59:$D$60,MATCH('STUDENT SCREENING'!AJ166,'SCORING MASTER'!$C$59:$C$60,0)),""))</f>
        <v/>
      </c>
      <c r="AL166" s="57" t="str">
        <f aca="false">IF('STUDENT SCREENING'!AK166="","",IFERROR(INDEX('SCORING MASTER'!$D$62:$D$63,MATCH('STUDENT SCREENING'!AK166,'SCORING MASTER'!$C$62:$C$63,0)),""))</f>
        <v/>
      </c>
      <c r="AM166" s="57" t="str">
        <f aca="false">IF('STUDENT SCREENING'!AL166="","",IFERROR(INDEX('SCORING MASTER'!$D$65:$D$66,MATCH('STUDENT SCREENING'!AL166,'SCORING MASTER'!$C$65:$C$66,0)),""))</f>
        <v/>
      </c>
      <c r="AN166" s="57" t="str">
        <f aca="false">IF('STUDENT SCREENING'!AM166="","",IFERROR(INDEX('SCORING MASTER'!$D$68:$D$69,MATCH('STUDENT SCREENING'!AM166,'SCORING MASTER'!$C$68:$C$69,0)),""))</f>
        <v/>
      </c>
      <c r="AO166" s="57" t="str">
        <f aca="false">IF('STUDENT SCREENING'!AN166="","",IFERROR(INDEX('SCORING MASTER'!$D$71:$D$72,MATCH('STUDENT SCREENING'!AN166,'SCORING MASTER'!$C$71:$C$72,0)),""))</f>
        <v/>
      </c>
      <c r="AP166" s="57" t="str">
        <f aca="false">IF('STUDENT SCREENING'!AO166="","",IFERROR(INDEX('SCORING MASTER'!$D$74:$D$75,MATCH('STUDENT SCREENING'!AO166,'SCORING MASTER'!$C$74:$C$75,0)),""))</f>
        <v/>
      </c>
      <c r="AQ166" s="57" t="str">
        <f aca="false">IF('STUDENT SCREENING'!AP166="","",IFERROR(INDEX('SCORING MASTER'!$D$77:$D$78,MATCH('STUDENT SCREENING'!AP166,'SCORING MASTER'!$C$77:$C$78,0)),""))</f>
        <v/>
      </c>
      <c r="AR166" s="57" t="str">
        <f aca="false">IF('STUDENT SCREENING'!AQ166="","",IFERROR(INDEX('SCORING MASTER'!$D$80:$D$82,MATCH('STUDENT SCREENING'!AQ166,'SCORING MASTER'!$C$80:$C$82,0)),""))</f>
        <v/>
      </c>
      <c r="AS166" s="57" t="str">
        <f aca="false">IF('STUDENT SCREENING'!AR166="","",IFERROR(INDEX('SCORING MASTER'!$D$84:$D$86,MATCH('STUDENT SCREENING'!AR166,'SCORING MASTER'!$C$84:$C$86,0)),""))</f>
        <v/>
      </c>
      <c r="AT166" s="57" t="str">
        <f aca="false">IF('STUDENT SCREENING'!AS166="","",IFERROR(INDEX('SCORING MASTER'!$D$88:$D$90,MATCH('STUDENT SCREENING'!AS166,'SCORING MASTER'!$C$88:$C$90,0)),""))</f>
        <v/>
      </c>
      <c r="AU166" s="57" t="str">
        <f aca="false">IF('STUDENT SCREENING'!AT166="","",IFERROR(INDEX('SCORING MASTER'!$D$92:$D$93,MATCH('STUDENT SCREENING'!AT166,'SCORING MASTER'!$C$92:$C$93,0)),""))</f>
        <v/>
      </c>
      <c r="AV166" s="57" t="str">
        <f aca="false">IF('STUDENT SCREENING'!AU166="","",IFERROR(INDEX('SCORING MASTER'!$D$95:$D$96,MATCH('STUDENT SCREENING'!AU166,'SCORING MASTER'!$C$95:$C$96,0)),""))</f>
        <v/>
      </c>
      <c r="AW166" s="57" t="str">
        <f aca="false">IF('STUDENT SCREENING'!AV166="","",IFERROR(INDEX('SCORING MASTER'!$D$98:$D$99,MATCH('STUDENT SCREENING'!AV166,'SCORING MASTER'!$C$98:$C$99,0)),""))</f>
        <v/>
      </c>
      <c r="AX166" s="57" t="str">
        <f aca="false">IF('STUDENT SCREENING'!AW166="","",IFERROR(INDEX('SCORING MASTER'!$D$101:$D$102,MATCH('STUDENT SCREENING'!AW166,'SCORING MASTER'!$C$101:$C$102,0)),""))</f>
        <v/>
      </c>
      <c r="AY166" s="57" t="str">
        <f aca="false">IF('STUDENT SCREENING'!AX166="","",IFERROR(INDEX('SCORING MASTER'!$D$104:$D$105,MATCH('STUDENT SCREENING'!AX166,'SCORING MASTER'!$C$104:$C$105,0)),""))</f>
        <v/>
      </c>
      <c r="AZ166" s="57" t="str">
        <f aca="false">IF('STUDENT SCREENING'!AY166="","",IFERROR(INDEX('SCORING MASTER'!$D$107:$D$108,MATCH('STUDENT SCREENING'!AY166,'SCORING MASTER'!$C$107:$C$108,0)),""))</f>
        <v/>
      </c>
      <c r="BA166" s="57" t="str">
        <f aca="false">IF('STUDENT SCREENING'!AZ166="","",IFERROR(INDEX('SCORING MASTER'!$D$110:$D$111,MATCH('STUDENT SCREENING'!AZ166,'SCORING MASTER'!$C$110:$C$111,0)),""))</f>
        <v/>
      </c>
      <c r="BB166" s="57" t="str">
        <f aca="false">IF('STUDENT SCREENING'!BA166="","",IFERROR(INDEX('SCORING MASTER'!$D$113:$D$115,MATCH('STUDENT SCREENING'!BA166,'SCORING MASTER'!$C$113:$C$115,0)),""))</f>
        <v/>
      </c>
      <c r="BC166" s="57" t="str">
        <f aca="false">IF('STUDENT SCREENING'!BB166="","",IFERROR(INDEX('SCORING MASTER'!$D$117:$D$119,MATCH('STUDENT SCREENING'!BB166,'SCORING MASTER'!$C$117:$C$119,0)),""))</f>
        <v/>
      </c>
      <c r="BD166" s="57" t="str">
        <f aca="false">IF('STUDENT SCREENING'!BC166="","",IFERROR(INDEX('SCORING MASTER'!$D$121:$D$123,MATCH('STUDENT SCREENING'!BC166,'SCORING MASTER'!$C$121:$C$123,0)),""))</f>
        <v/>
      </c>
      <c r="BE166" s="57" t="str">
        <f aca="false">IF('STUDENT SCREENING'!BD166="","",IFERROR(INDEX('SCORING MASTER'!$D$125:$D$126,MATCH('STUDENT SCREENING'!BD166,'SCORING MASTER'!$C$125:$C$126,0)),""))</f>
        <v/>
      </c>
      <c r="BF166" s="57" t="str">
        <f aca="false">IF('STUDENT SCREENING'!BE166="","",IFERROR(INDEX('SCORING MASTER'!$D$128:$D$129,MATCH('STUDENT SCREENING'!BE166,'SCORING MASTER'!$C$128:$C$129,0)),""))</f>
        <v/>
      </c>
      <c r="BG166" s="57" t="str">
        <f aca="false">IF('STUDENT SCREENING'!BP166="","",IFERROR(MATCH('STUDENT SCREENING'!BP166,{"Red - High Risk","Orange - Moderate Risk","Yellow - Mild Risk","Light Green - Mild Watch","Green - Healthy"},0)-1,""))</f>
        <v/>
      </c>
      <c r="BH166" s="57" t="str">
        <f aca="false">IF('STUDENT SCREENING'!BQ166="","",IF('STUDENT SCREENING'!BQ166="Yes",1,0))</f>
        <v/>
      </c>
      <c r="BI166" s="57" t="str">
        <f aca="false">IF('STUDENT SCREENING'!BR166="","",IF('STUDENT SCREENING'!BR166="Yes",1,0))</f>
        <v/>
      </c>
    </row>
    <row r="167" customFormat="false" ht="15" hidden="false" customHeight="false" outlineLevel="0" collapsed="false">
      <c r="A167" s="58" t="str">
        <f aca="false">'STUDENT SCREENING'!A167</f>
        <v/>
      </c>
      <c r="B167" s="58" t="n">
        <f aca="false">'STUDENT SCREENING'!C167</f>
        <v>0</v>
      </c>
      <c r="C167" s="58" t="n">
        <f aca="false">'STUDENT SCREENING'!D167</f>
        <v>0</v>
      </c>
      <c r="D167" s="58" t="n">
        <f aca="false">'STUDENT SCREENING'!E167</f>
        <v>0</v>
      </c>
      <c r="E167" s="58" t="n">
        <f aca="false">'STUDENT SCREENING'!F167</f>
        <v>0</v>
      </c>
      <c r="F167" s="58" t="n">
        <f aca="false">'STUDENT SCREENING'!K167</f>
        <v>0</v>
      </c>
      <c r="G167" s="58" t="n">
        <f aca="false">'STUDENT SCREENING'!J167</f>
        <v>0</v>
      </c>
      <c r="H167" s="58" t="str">
        <f aca="false">IF('STUDENT SCREENING'!K167="","",IFERROR(MATCH('STUDENT SCREENING'!K167,Adm_Gender,0),""))</f>
        <v/>
      </c>
      <c r="I167" s="58" t="n">
        <f aca="false">'STUDENT SCREENING'!Q167</f>
        <v>0</v>
      </c>
      <c r="J167" s="58" t="n">
        <f aca="false">'STUDENT SCREENING'!R167</f>
        <v>0</v>
      </c>
      <c r="K167" s="58" t="str">
        <f aca="false">'STUDENT SCREENING'!S167</f>
        <v/>
      </c>
      <c r="L167" s="58" t="n">
        <f aca="false">'STUDENT SCREENING'!U167</f>
        <v>0</v>
      </c>
      <c r="M167" s="58" t="n">
        <f aca="false">'STUDENT SCREENING'!V167</f>
        <v>0</v>
      </c>
      <c r="N167" s="58" t="str">
        <f aca="false">'STUDENT SCREENING'!BF167</f>
        <v/>
      </c>
      <c r="O167" s="58" t="str">
        <f aca="false">'STUDENT SCREENING'!BG167</f>
        <v/>
      </c>
      <c r="P167" s="58" t="str">
        <f aca="false">'STUDENT SCREENING'!BH167</f>
        <v/>
      </c>
      <c r="Q167" s="58" t="str">
        <f aca="false">'STUDENT SCREENING'!BI167</f>
        <v/>
      </c>
      <c r="R167" s="58" t="str">
        <f aca="false">'STUDENT SCREENING'!BJ167</f>
        <v/>
      </c>
      <c r="S167" s="58" t="str">
        <f aca="false">'STUDENT SCREENING'!BK167</f>
        <v/>
      </c>
      <c r="T167" s="58" t="str">
        <f aca="false">'STUDENT SCREENING'!BL167</f>
        <v/>
      </c>
      <c r="U167" s="58" t="str">
        <f aca="false">'STUDENT SCREENING'!BM167</f>
        <v/>
      </c>
      <c r="V167" s="58" t="str">
        <f aca="false">'STUDENT SCREENING'!BN167</f>
        <v/>
      </c>
      <c r="W167" s="58" t="str">
        <f aca="false">'STUDENT SCREENING'!BO167</f>
        <v/>
      </c>
      <c r="X167" s="58" t="str">
        <f aca="false">IF('STUDENT SCREENING'!W167="","",IFERROR(INDEX('SCORING MASTER'!$D$5:$D$7,MATCH('STUDENT SCREENING'!W167,'SCORING MASTER'!$C$5:$C$7,0)),""))</f>
        <v/>
      </c>
      <c r="Y167" s="58" t="str">
        <f aca="false">IF('STUDENT SCREENING'!X167="","",IFERROR(INDEX('SCORING MASTER'!$D$9:$D$11,MATCH('STUDENT SCREENING'!X167,'SCORING MASTER'!$C$9:$C$11,0)),""))</f>
        <v/>
      </c>
      <c r="Z167" s="58" t="str">
        <f aca="false">IF('STUDENT SCREENING'!Y167="","",IFERROR(INDEX('SCORING MASTER'!$D$13:$D$15,MATCH('STUDENT SCREENING'!Y167,'SCORING MASTER'!$C$13:$C$15,0)),""))</f>
        <v/>
      </c>
      <c r="AA167" s="58" t="str">
        <f aca="false">IF('STUDENT SCREENING'!Z167="","",IFERROR(INDEX('SCORING MASTER'!$D$17:$D$19,MATCH('STUDENT SCREENING'!Z167,'SCORING MASTER'!$C$17:$C$19,0)),""))</f>
        <v/>
      </c>
      <c r="AB167" s="58" t="str">
        <f aca="false">IF('STUDENT SCREENING'!AA167="","",IFERROR(INDEX('SCORING MASTER'!$D$21:$D$23,MATCH('STUDENT SCREENING'!AA167,'SCORING MASTER'!$C$21:$C$23,0)),""))</f>
        <v/>
      </c>
      <c r="AC167" s="58" t="str">
        <f aca="false">IF('STUDENT SCREENING'!AB167="","",IFERROR(INDEX('SCORING MASTER'!$D$25:$D$27,MATCH('STUDENT SCREENING'!AB167,'SCORING MASTER'!$C$25:$C$27,0)),""))</f>
        <v/>
      </c>
      <c r="AD167" s="58" t="str">
        <f aca="false">IF('STUDENT SCREENING'!AC167="","",IFERROR(INDEX('SCORING MASTER'!$D$29:$D$31,MATCH('STUDENT SCREENING'!AC167,'SCORING MASTER'!$C$29:$C$31,0)),""))</f>
        <v/>
      </c>
      <c r="AE167" s="58" t="str">
        <f aca="false">IF('STUDENT SCREENING'!AD167="","",IFERROR(INDEX('SCORING MASTER'!$D$33:$D$35,MATCH('STUDENT SCREENING'!AD167,'SCORING MASTER'!$C$33:$C$35,0)),""))</f>
        <v/>
      </c>
      <c r="AF167" s="58" t="str">
        <f aca="false">IF('STUDENT SCREENING'!AE167="","",IFERROR(INDEX('SCORING MASTER'!$D$37:$D$39,MATCH('STUDENT SCREENING'!AE167,'SCORING MASTER'!$C$37:$C$39,0)),""))</f>
        <v/>
      </c>
      <c r="AG167" s="58" t="str">
        <f aca="false">IF('STUDENT SCREENING'!AF167="","",IFERROR(INDEX('SCORING MASTER'!$D$41:$D$43,MATCH('STUDENT SCREENING'!AF167,'SCORING MASTER'!$C$41:$C$43,0)),""))</f>
        <v/>
      </c>
      <c r="AH167" s="58" t="str">
        <f aca="false">IF('STUDENT SCREENING'!AG167="","",IFERROR(INDEX('SCORING MASTER'!$D$45:$D$47,MATCH('STUDENT SCREENING'!AG167,'SCORING MASTER'!$C$45:$C$47,0)),""))</f>
        <v/>
      </c>
      <c r="AI167" s="58" t="str">
        <f aca="false">IF('STUDENT SCREENING'!AH167="","",IFERROR(INDEX('SCORING MASTER'!$D$49:$D$52,MATCH('STUDENT SCREENING'!AH167,'SCORING MASTER'!$C$49:$C$52,0)),""))</f>
        <v/>
      </c>
      <c r="AJ167" s="58" t="str">
        <f aca="false">IF('STUDENT SCREENING'!AI167="","",IFERROR(INDEX('SCORING MASTER'!$D$54:$D$57,MATCH('STUDENT SCREENING'!AI167,'SCORING MASTER'!$C$54:$C$57,0)),""))</f>
        <v/>
      </c>
      <c r="AK167" s="58" t="str">
        <f aca="false">IF('STUDENT SCREENING'!AJ167="","",IFERROR(INDEX('SCORING MASTER'!$D$59:$D$60,MATCH('STUDENT SCREENING'!AJ167,'SCORING MASTER'!$C$59:$C$60,0)),""))</f>
        <v/>
      </c>
      <c r="AL167" s="58" t="str">
        <f aca="false">IF('STUDENT SCREENING'!AK167="","",IFERROR(INDEX('SCORING MASTER'!$D$62:$D$63,MATCH('STUDENT SCREENING'!AK167,'SCORING MASTER'!$C$62:$C$63,0)),""))</f>
        <v/>
      </c>
      <c r="AM167" s="58" t="str">
        <f aca="false">IF('STUDENT SCREENING'!AL167="","",IFERROR(INDEX('SCORING MASTER'!$D$65:$D$66,MATCH('STUDENT SCREENING'!AL167,'SCORING MASTER'!$C$65:$C$66,0)),""))</f>
        <v/>
      </c>
      <c r="AN167" s="58" t="str">
        <f aca="false">IF('STUDENT SCREENING'!AM167="","",IFERROR(INDEX('SCORING MASTER'!$D$68:$D$69,MATCH('STUDENT SCREENING'!AM167,'SCORING MASTER'!$C$68:$C$69,0)),""))</f>
        <v/>
      </c>
      <c r="AO167" s="58" t="str">
        <f aca="false">IF('STUDENT SCREENING'!AN167="","",IFERROR(INDEX('SCORING MASTER'!$D$71:$D$72,MATCH('STUDENT SCREENING'!AN167,'SCORING MASTER'!$C$71:$C$72,0)),""))</f>
        <v/>
      </c>
      <c r="AP167" s="58" t="str">
        <f aca="false">IF('STUDENT SCREENING'!AO167="","",IFERROR(INDEX('SCORING MASTER'!$D$74:$D$75,MATCH('STUDENT SCREENING'!AO167,'SCORING MASTER'!$C$74:$C$75,0)),""))</f>
        <v/>
      </c>
      <c r="AQ167" s="58" t="str">
        <f aca="false">IF('STUDENT SCREENING'!AP167="","",IFERROR(INDEX('SCORING MASTER'!$D$77:$D$78,MATCH('STUDENT SCREENING'!AP167,'SCORING MASTER'!$C$77:$C$78,0)),""))</f>
        <v/>
      </c>
      <c r="AR167" s="58" t="str">
        <f aca="false">IF('STUDENT SCREENING'!AQ167="","",IFERROR(INDEX('SCORING MASTER'!$D$80:$D$82,MATCH('STUDENT SCREENING'!AQ167,'SCORING MASTER'!$C$80:$C$82,0)),""))</f>
        <v/>
      </c>
      <c r="AS167" s="58" t="str">
        <f aca="false">IF('STUDENT SCREENING'!AR167="","",IFERROR(INDEX('SCORING MASTER'!$D$84:$D$86,MATCH('STUDENT SCREENING'!AR167,'SCORING MASTER'!$C$84:$C$86,0)),""))</f>
        <v/>
      </c>
      <c r="AT167" s="58" t="str">
        <f aca="false">IF('STUDENT SCREENING'!AS167="","",IFERROR(INDEX('SCORING MASTER'!$D$88:$D$90,MATCH('STUDENT SCREENING'!AS167,'SCORING MASTER'!$C$88:$C$90,0)),""))</f>
        <v/>
      </c>
      <c r="AU167" s="58" t="str">
        <f aca="false">IF('STUDENT SCREENING'!AT167="","",IFERROR(INDEX('SCORING MASTER'!$D$92:$D$93,MATCH('STUDENT SCREENING'!AT167,'SCORING MASTER'!$C$92:$C$93,0)),""))</f>
        <v/>
      </c>
      <c r="AV167" s="58" t="str">
        <f aca="false">IF('STUDENT SCREENING'!AU167="","",IFERROR(INDEX('SCORING MASTER'!$D$95:$D$96,MATCH('STUDENT SCREENING'!AU167,'SCORING MASTER'!$C$95:$C$96,0)),""))</f>
        <v/>
      </c>
      <c r="AW167" s="58" t="str">
        <f aca="false">IF('STUDENT SCREENING'!AV167="","",IFERROR(INDEX('SCORING MASTER'!$D$98:$D$99,MATCH('STUDENT SCREENING'!AV167,'SCORING MASTER'!$C$98:$C$99,0)),""))</f>
        <v/>
      </c>
      <c r="AX167" s="58" t="str">
        <f aca="false">IF('STUDENT SCREENING'!AW167="","",IFERROR(INDEX('SCORING MASTER'!$D$101:$D$102,MATCH('STUDENT SCREENING'!AW167,'SCORING MASTER'!$C$101:$C$102,0)),""))</f>
        <v/>
      </c>
      <c r="AY167" s="58" t="str">
        <f aca="false">IF('STUDENT SCREENING'!AX167="","",IFERROR(INDEX('SCORING MASTER'!$D$104:$D$105,MATCH('STUDENT SCREENING'!AX167,'SCORING MASTER'!$C$104:$C$105,0)),""))</f>
        <v/>
      </c>
      <c r="AZ167" s="58" t="str">
        <f aca="false">IF('STUDENT SCREENING'!AY167="","",IFERROR(INDEX('SCORING MASTER'!$D$107:$D$108,MATCH('STUDENT SCREENING'!AY167,'SCORING MASTER'!$C$107:$C$108,0)),""))</f>
        <v/>
      </c>
      <c r="BA167" s="58" t="str">
        <f aca="false">IF('STUDENT SCREENING'!AZ167="","",IFERROR(INDEX('SCORING MASTER'!$D$110:$D$111,MATCH('STUDENT SCREENING'!AZ167,'SCORING MASTER'!$C$110:$C$111,0)),""))</f>
        <v/>
      </c>
      <c r="BB167" s="58" t="str">
        <f aca="false">IF('STUDENT SCREENING'!BA167="","",IFERROR(INDEX('SCORING MASTER'!$D$113:$D$115,MATCH('STUDENT SCREENING'!BA167,'SCORING MASTER'!$C$113:$C$115,0)),""))</f>
        <v/>
      </c>
      <c r="BC167" s="58" t="str">
        <f aca="false">IF('STUDENT SCREENING'!BB167="","",IFERROR(INDEX('SCORING MASTER'!$D$117:$D$119,MATCH('STUDENT SCREENING'!BB167,'SCORING MASTER'!$C$117:$C$119,0)),""))</f>
        <v/>
      </c>
      <c r="BD167" s="58" t="str">
        <f aca="false">IF('STUDENT SCREENING'!BC167="","",IFERROR(INDEX('SCORING MASTER'!$D$121:$D$123,MATCH('STUDENT SCREENING'!BC167,'SCORING MASTER'!$C$121:$C$123,0)),""))</f>
        <v/>
      </c>
      <c r="BE167" s="58" t="str">
        <f aca="false">IF('STUDENT SCREENING'!BD167="","",IFERROR(INDEX('SCORING MASTER'!$D$125:$D$126,MATCH('STUDENT SCREENING'!BD167,'SCORING MASTER'!$C$125:$C$126,0)),""))</f>
        <v/>
      </c>
      <c r="BF167" s="58" t="str">
        <f aca="false">IF('STUDENT SCREENING'!BE167="","",IFERROR(INDEX('SCORING MASTER'!$D$128:$D$129,MATCH('STUDENT SCREENING'!BE167,'SCORING MASTER'!$C$128:$C$129,0)),""))</f>
        <v/>
      </c>
      <c r="BG167" s="58" t="str">
        <f aca="false">IF('STUDENT SCREENING'!BP167="","",IFERROR(MATCH('STUDENT SCREENING'!BP167,{"Red - High Risk","Orange - Moderate Risk","Yellow - Mild Risk","Light Green - Mild Watch","Green - Healthy"},0)-1,""))</f>
        <v/>
      </c>
      <c r="BH167" s="58" t="str">
        <f aca="false">IF('STUDENT SCREENING'!BQ167="","",IF('STUDENT SCREENING'!BQ167="Yes",1,0))</f>
        <v/>
      </c>
      <c r="BI167" s="58" t="str">
        <f aca="false">IF('STUDENT SCREENING'!BR167="","",IF('STUDENT SCREENING'!BR167="Yes",1,0))</f>
        <v/>
      </c>
    </row>
    <row r="168" customFormat="false" ht="15" hidden="false" customHeight="false" outlineLevel="0" collapsed="false">
      <c r="A168" s="57" t="str">
        <f aca="false">'STUDENT SCREENING'!A168</f>
        <v/>
      </c>
      <c r="B168" s="57" t="n">
        <f aca="false">'STUDENT SCREENING'!C168</f>
        <v>0</v>
      </c>
      <c r="C168" s="57" t="n">
        <f aca="false">'STUDENT SCREENING'!D168</f>
        <v>0</v>
      </c>
      <c r="D168" s="57" t="n">
        <f aca="false">'STUDENT SCREENING'!E168</f>
        <v>0</v>
      </c>
      <c r="E168" s="57" t="n">
        <f aca="false">'STUDENT SCREENING'!F168</f>
        <v>0</v>
      </c>
      <c r="F168" s="57" t="n">
        <f aca="false">'STUDENT SCREENING'!K168</f>
        <v>0</v>
      </c>
      <c r="G168" s="57" t="n">
        <f aca="false">'STUDENT SCREENING'!J168</f>
        <v>0</v>
      </c>
      <c r="H168" s="57" t="str">
        <f aca="false">IF('STUDENT SCREENING'!K168="","",IFERROR(MATCH('STUDENT SCREENING'!K168,Adm_Gender,0),""))</f>
        <v/>
      </c>
      <c r="I168" s="57" t="n">
        <f aca="false">'STUDENT SCREENING'!Q168</f>
        <v>0</v>
      </c>
      <c r="J168" s="57" t="n">
        <f aca="false">'STUDENT SCREENING'!R168</f>
        <v>0</v>
      </c>
      <c r="K168" s="57" t="str">
        <f aca="false">'STUDENT SCREENING'!S168</f>
        <v/>
      </c>
      <c r="L168" s="57" t="n">
        <f aca="false">'STUDENT SCREENING'!U168</f>
        <v>0</v>
      </c>
      <c r="M168" s="57" t="n">
        <f aca="false">'STUDENT SCREENING'!V168</f>
        <v>0</v>
      </c>
      <c r="N168" s="57" t="str">
        <f aca="false">'STUDENT SCREENING'!BF168</f>
        <v/>
      </c>
      <c r="O168" s="57" t="str">
        <f aca="false">'STUDENT SCREENING'!BG168</f>
        <v/>
      </c>
      <c r="P168" s="57" t="str">
        <f aca="false">'STUDENT SCREENING'!BH168</f>
        <v/>
      </c>
      <c r="Q168" s="57" t="str">
        <f aca="false">'STUDENT SCREENING'!BI168</f>
        <v/>
      </c>
      <c r="R168" s="57" t="str">
        <f aca="false">'STUDENT SCREENING'!BJ168</f>
        <v/>
      </c>
      <c r="S168" s="57" t="str">
        <f aca="false">'STUDENT SCREENING'!BK168</f>
        <v/>
      </c>
      <c r="T168" s="57" t="str">
        <f aca="false">'STUDENT SCREENING'!BL168</f>
        <v/>
      </c>
      <c r="U168" s="57" t="str">
        <f aca="false">'STUDENT SCREENING'!BM168</f>
        <v/>
      </c>
      <c r="V168" s="57" t="str">
        <f aca="false">'STUDENT SCREENING'!BN168</f>
        <v/>
      </c>
      <c r="W168" s="57" t="str">
        <f aca="false">'STUDENT SCREENING'!BO168</f>
        <v/>
      </c>
      <c r="X168" s="57" t="str">
        <f aca="false">IF('STUDENT SCREENING'!W168="","",IFERROR(INDEX('SCORING MASTER'!$D$5:$D$7,MATCH('STUDENT SCREENING'!W168,'SCORING MASTER'!$C$5:$C$7,0)),""))</f>
        <v/>
      </c>
      <c r="Y168" s="57" t="str">
        <f aca="false">IF('STUDENT SCREENING'!X168="","",IFERROR(INDEX('SCORING MASTER'!$D$9:$D$11,MATCH('STUDENT SCREENING'!X168,'SCORING MASTER'!$C$9:$C$11,0)),""))</f>
        <v/>
      </c>
      <c r="Z168" s="57" t="str">
        <f aca="false">IF('STUDENT SCREENING'!Y168="","",IFERROR(INDEX('SCORING MASTER'!$D$13:$D$15,MATCH('STUDENT SCREENING'!Y168,'SCORING MASTER'!$C$13:$C$15,0)),""))</f>
        <v/>
      </c>
      <c r="AA168" s="57" t="str">
        <f aca="false">IF('STUDENT SCREENING'!Z168="","",IFERROR(INDEX('SCORING MASTER'!$D$17:$D$19,MATCH('STUDENT SCREENING'!Z168,'SCORING MASTER'!$C$17:$C$19,0)),""))</f>
        <v/>
      </c>
      <c r="AB168" s="57" t="str">
        <f aca="false">IF('STUDENT SCREENING'!AA168="","",IFERROR(INDEX('SCORING MASTER'!$D$21:$D$23,MATCH('STUDENT SCREENING'!AA168,'SCORING MASTER'!$C$21:$C$23,0)),""))</f>
        <v/>
      </c>
      <c r="AC168" s="57" t="str">
        <f aca="false">IF('STUDENT SCREENING'!AB168="","",IFERROR(INDEX('SCORING MASTER'!$D$25:$D$27,MATCH('STUDENT SCREENING'!AB168,'SCORING MASTER'!$C$25:$C$27,0)),""))</f>
        <v/>
      </c>
      <c r="AD168" s="57" t="str">
        <f aca="false">IF('STUDENT SCREENING'!AC168="","",IFERROR(INDEX('SCORING MASTER'!$D$29:$D$31,MATCH('STUDENT SCREENING'!AC168,'SCORING MASTER'!$C$29:$C$31,0)),""))</f>
        <v/>
      </c>
      <c r="AE168" s="57" t="str">
        <f aca="false">IF('STUDENT SCREENING'!AD168="","",IFERROR(INDEX('SCORING MASTER'!$D$33:$D$35,MATCH('STUDENT SCREENING'!AD168,'SCORING MASTER'!$C$33:$C$35,0)),""))</f>
        <v/>
      </c>
      <c r="AF168" s="57" t="str">
        <f aca="false">IF('STUDENT SCREENING'!AE168="","",IFERROR(INDEX('SCORING MASTER'!$D$37:$D$39,MATCH('STUDENT SCREENING'!AE168,'SCORING MASTER'!$C$37:$C$39,0)),""))</f>
        <v/>
      </c>
      <c r="AG168" s="57" t="str">
        <f aca="false">IF('STUDENT SCREENING'!AF168="","",IFERROR(INDEX('SCORING MASTER'!$D$41:$D$43,MATCH('STUDENT SCREENING'!AF168,'SCORING MASTER'!$C$41:$C$43,0)),""))</f>
        <v/>
      </c>
      <c r="AH168" s="57" t="str">
        <f aca="false">IF('STUDENT SCREENING'!AG168="","",IFERROR(INDEX('SCORING MASTER'!$D$45:$D$47,MATCH('STUDENT SCREENING'!AG168,'SCORING MASTER'!$C$45:$C$47,0)),""))</f>
        <v/>
      </c>
      <c r="AI168" s="57" t="str">
        <f aca="false">IF('STUDENT SCREENING'!AH168="","",IFERROR(INDEX('SCORING MASTER'!$D$49:$D$52,MATCH('STUDENT SCREENING'!AH168,'SCORING MASTER'!$C$49:$C$52,0)),""))</f>
        <v/>
      </c>
      <c r="AJ168" s="57" t="str">
        <f aca="false">IF('STUDENT SCREENING'!AI168="","",IFERROR(INDEX('SCORING MASTER'!$D$54:$D$57,MATCH('STUDENT SCREENING'!AI168,'SCORING MASTER'!$C$54:$C$57,0)),""))</f>
        <v/>
      </c>
      <c r="AK168" s="57" t="str">
        <f aca="false">IF('STUDENT SCREENING'!AJ168="","",IFERROR(INDEX('SCORING MASTER'!$D$59:$D$60,MATCH('STUDENT SCREENING'!AJ168,'SCORING MASTER'!$C$59:$C$60,0)),""))</f>
        <v/>
      </c>
      <c r="AL168" s="57" t="str">
        <f aca="false">IF('STUDENT SCREENING'!AK168="","",IFERROR(INDEX('SCORING MASTER'!$D$62:$D$63,MATCH('STUDENT SCREENING'!AK168,'SCORING MASTER'!$C$62:$C$63,0)),""))</f>
        <v/>
      </c>
      <c r="AM168" s="57" t="str">
        <f aca="false">IF('STUDENT SCREENING'!AL168="","",IFERROR(INDEX('SCORING MASTER'!$D$65:$D$66,MATCH('STUDENT SCREENING'!AL168,'SCORING MASTER'!$C$65:$C$66,0)),""))</f>
        <v/>
      </c>
      <c r="AN168" s="57" t="str">
        <f aca="false">IF('STUDENT SCREENING'!AM168="","",IFERROR(INDEX('SCORING MASTER'!$D$68:$D$69,MATCH('STUDENT SCREENING'!AM168,'SCORING MASTER'!$C$68:$C$69,0)),""))</f>
        <v/>
      </c>
      <c r="AO168" s="57" t="str">
        <f aca="false">IF('STUDENT SCREENING'!AN168="","",IFERROR(INDEX('SCORING MASTER'!$D$71:$D$72,MATCH('STUDENT SCREENING'!AN168,'SCORING MASTER'!$C$71:$C$72,0)),""))</f>
        <v/>
      </c>
      <c r="AP168" s="57" t="str">
        <f aca="false">IF('STUDENT SCREENING'!AO168="","",IFERROR(INDEX('SCORING MASTER'!$D$74:$D$75,MATCH('STUDENT SCREENING'!AO168,'SCORING MASTER'!$C$74:$C$75,0)),""))</f>
        <v/>
      </c>
      <c r="AQ168" s="57" t="str">
        <f aca="false">IF('STUDENT SCREENING'!AP168="","",IFERROR(INDEX('SCORING MASTER'!$D$77:$D$78,MATCH('STUDENT SCREENING'!AP168,'SCORING MASTER'!$C$77:$C$78,0)),""))</f>
        <v/>
      </c>
      <c r="AR168" s="57" t="str">
        <f aca="false">IF('STUDENT SCREENING'!AQ168="","",IFERROR(INDEX('SCORING MASTER'!$D$80:$D$82,MATCH('STUDENT SCREENING'!AQ168,'SCORING MASTER'!$C$80:$C$82,0)),""))</f>
        <v/>
      </c>
      <c r="AS168" s="57" t="str">
        <f aca="false">IF('STUDENT SCREENING'!AR168="","",IFERROR(INDEX('SCORING MASTER'!$D$84:$D$86,MATCH('STUDENT SCREENING'!AR168,'SCORING MASTER'!$C$84:$C$86,0)),""))</f>
        <v/>
      </c>
      <c r="AT168" s="57" t="str">
        <f aca="false">IF('STUDENT SCREENING'!AS168="","",IFERROR(INDEX('SCORING MASTER'!$D$88:$D$90,MATCH('STUDENT SCREENING'!AS168,'SCORING MASTER'!$C$88:$C$90,0)),""))</f>
        <v/>
      </c>
      <c r="AU168" s="57" t="str">
        <f aca="false">IF('STUDENT SCREENING'!AT168="","",IFERROR(INDEX('SCORING MASTER'!$D$92:$D$93,MATCH('STUDENT SCREENING'!AT168,'SCORING MASTER'!$C$92:$C$93,0)),""))</f>
        <v/>
      </c>
      <c r="AV168" s="57" t="str">
        <f aca="false">IF('STUDENT SCREENING'!AU168="","",IFERROR(INDEX('SCORING MASTER'!$D$95:$D$96,MATCH('STUDENT SCREENING'!AU168,'SCORING MASTER'!$C$95:$C$96,0)),""))</f>
        <v/>
      </c>
      <c r="AW168" s="57" t="str">
        <f aca="false">IF('STUDENT SCREENING'!AV168="","",IFERROR(INDEX('SCORING MASTER'!$D$98:$D$99,MATCH('STUDENT SCREENING'!AV168,'SCORING MASTER'!$C$98:$C$99,0)),""))</f>
        <v/>
      </c>
      <c r="AX168" s="57" t="str">
        <f aca="false">IF('STUDENT SCREENING'!AW168="","",IFERROR(INDEX('SCORING MASTER'!$D$101:$D$102,MATCH('STUDENT SCREENING'!AW168,'SCORING MASTER'!$C$101:$C$102,0)),""))</f>
        <v/>
      </c>
      <c r="AY168" s="57" t="str">
        <f aca="false">IF('STUDENT SCREENING'!AX168="","",IFERROR(INDEX('SCORING MASTER'!$D$104:$D$105,MATCH('STUDENT SCREENING'!AX168,'SCORING MASTER'!$C$104:$C$105,0)),""))</f>
        <v/>
      </c>
      <c r="AZ168" s="57" t="str">
        <f aca="false">IF('STUDENT SCREENING'!AY168="","",IFERROR(INDEX('SCORING MASTER'!$D$107:$D$108,MATCH('STUDENT SCREENING'!AY168,'SCORING MASTER'!$C$107:$C$108,0)),""))</f>
        <v/>
      </c>
      <c r="BA168" s="57" t="str">
        <f aca="false">IF('STUDENT SCREENING'!AZ168="","",IFERROR(INDEX('SCORING MASTER'!$D$110:$D$111,MATCH('STUDENT SCREENING'!AZ168,'SCORING MASTER'!$C$110:$C$111,0)),""))</f>
        <v/>
      </c>
      <c r="BB168" s="57" t="str">
        <f aca="false">IF('STUDENT SCREENING'!BA168="","",IFERROR(INDEX('SCORING MASTER'!$D$113:$D$115,MATCH('STUDENT SCREENING'!BA168,'SCORING MASTER'!$C$113:$C$115,0)),""))</f>
        <v/>
      </c>
      <c r="BC168" s="57" t="str">
        <f aca="false">IF('STUDENT SCREENING'!BB168="","",IFERROR(INDEX('SCORING MASTER'!$D$117:$D$119,MATCH('STUDENT SCREENING'!BB168,'SCORING MASTER'!$C$117:$C$119,0)),""))</f>
        <v/>
      </c>
      <c r="BD168" s="57" t="str">
        <f aca="false">IF('STUDENT SCREENING'!BC168="","",IFERROR(INDEX('SCORING MASTER'!$D$121:$D$123,MATCH('STUDENT SCREENING'!BC168,'SCORING MASTER'!$C$121:$C$123,0)),""))</f>
        <v/>
      </c>
      <c r="BE168" s="57" t="str">
        <f aca="false">IF('STUDENT SCREENING'!BD168="","",IFERROR(INDEX('SCORING MASTER'!$D$125:$D$126,MATCH('STUDENT SCREENING'!BD168,'SCORING MASTER'!$C$125:$C$126,0)),""))</f>
        <v/>
      </c>
      <c r="BF168" s="57" t="str">
        <f aca="false">IF('STUDENT SCREENING'!BE168="","",IFERROR(INDEX('SCORING MASTER'!$D$128:$D$129,MATCH('STUDENT SCREENING'!BE168,'SCORING MASTER'!$C$128:$C$129,0)),""))</f>
        <v/>
      </c>
      <c r="BG168" s="57" t="str">
        <f aca="false">IF('STUDENT SCREENING'!BP168="","",IFERROR(MATCH('STUDENT SCREENING'!BP168,{"Red - High Risk","Orange - Moderate Risk","Yellow - Mild Risk","Light Green - Mild Watch","Green - Healthy"},0)-1,""))</f>
        <v/>
      </c>
      <c r="BH168" s="57" t="str">
        <f aca="false">IF('STUDENT SCREENING'!BQ168="","",IF('STUDENT SCREENING'!BQ168="Yes",1,0))</f>
        <v/>
      </c>
      <c r="BI168" s="57" t="str">
        <f aca="false">IF('STUDENT SCREENING'!BR168="","",IF('STUDENT SCREENING'!BR168="Yes",1,0))</f>
        <v/>
      </c>
    </row>
    <row r="169" customFormat="false" ht="15" hidden="false" customHeight="false" outlineLevel="0" collapsed="false">
      <c r="A169" s="58" t="str">
        <f aca="false">'STUDENT SCREENING'!A169</f>
        <v/>
      </c>
      <c r="B169" s="58" t="n">
        <f aca="false">'STUDENT SCREENING'!C169</f>
        <v>0</v>
      </c>
      <c r="C169" s="58" t="n">
        <f aca="false">'STUDENT SCREENING'!D169</f>
        <v>0</v>
      </c>
      <c r="D169" s="58" t="n">
        <f aca="false">'STUDENT SCREENING'!E169</f>
        <v>0</v>
      </c>
      <c r="E169" s="58" t="n">
        <f aca="false">'STUDENT SCREENING'!F169</f>
        <v>0</v>
      </c>
      <c r="F169" s="58" t="n">
        <f aca="false">'STUDENT SCREENING'!K169</f>
        <v>0</v>
      </c>
      <c r="G169" s="58" t="n">
        <f aca="false">'STUDENT SCREENING'!J169</f>
        <v>0</v>
      </c>
      <c r="H169" s="58" t="str">
        <f aca="false">IF('STUDENT SCREENING'!K169="","",IFERROR(MATCH('STUDENT SCREENING'!K169,Adm_Gender,0),""))</f>
        <v/>
      </c>
      <c r="I169" s="58" t="n">
        <f aca="false">'STUDENT SCREENING'!Q169</f>
        <v>0</v>
      </c>
      <c r="J169" s="58" t="n">
        <f aca="false">'STUDENT SCREENING'!R169</f>
        <v>0</v>
      </c>
      <c r="K169" s="58" t="str">
        <f aca="false">'STUDENT SCREENING'!S169</f>
        <v/>
      </c>
      <c r="L169" s="58" t="n">
        <f aca="false">'STUDENT SCREENING'!U169</f>
        <v>0</v>
      </c>
      <c r="M169" s="58" t="n">
        <f aca="false">'STUDENT SCREENING'!V169</f>
        <v>0</v>
      </c>
      <c r="N169" s="58" t="str">
        <f aca="false">'STUDENT SCREENING'!BF169</f>
        <v/>
      </c>
      <c r="O169" s="58" t="str">
        <f aca="false">'STUDENT SCREENING'!BG169</f>
        <v/>
      </c>
      <c r="P169" s="58" t="str">
        <f aca="false">'STUDENT SCREENING'!BH169</f>
        <v/>
      </c>
      <c r="Q169" s="58" t="str">
        <f aca="false">'STUDENT SCREENING'!BI169</f>
        <v/>
      </c>
      <c r="R169" s="58" t="str">
        <f aca="false">'STUDENT SCREENING'!BJ169</f>
        <v/>
      </c>
      <c r="S169" s="58" t="str">
        <f aca="false">'STUDENT SCREENING'!BK169</f>
        <v/>
      </c>
      <c r="T169" s="58" t="str">
        <f aca="false">'STUDENT SCREENING'!BL169</f>
        <v/>
      </c>
      <c r="U169" s="58" t="str">
        <f aca="false">'STUDENT SCREENING'!BM169</f>
        <v/>
      </c>
      <c r="V169" s="58" t="str">
        <f aca="false">'STUDENT SCREENING'!BN169</f>
        <v/>
      </c>
      <c r="W169" s="58" t="str">
        <f aca="false">'STUDENT SCREENING'!BO169</f>
        <v/>
      </c>
      <c r="X169" s="58" t="str">
        <f aca="false">IF('STUDENT SCREENING'!W169="","",IFERROR(INDEX('SCORING MASTER'!$D$5:$D$7,MATCH('STUDENT SCREENING'!W169,'SCORING MASTER'!$C$5:$C$7,0)),""))</f>
        <v/>
      </c>
      <c r="Y169" s="58" t="str">
        <f aca="false">IF('STUDENT SCREENING'!X169="","",IFERROR(INDEX('SCORING MASTER'!$D$9:$D$11,MATCH('STUDENT SCREENING'!X169,'SCORING MASTER'!$C$9:$C$11,0)),""))</f>
        <v/>
      </c>
      <c r="Z169" s="58" t="str">
        <f aca="false">IF('STUDENT SCREENING'!Y169="","",IFERROR(INDEX('SCORING MASTER'!$D$13:$D$15,MATCH('STUDENT SCREENING'!Y169,'SCORING MASTER'!$C$13:$C$15,0)),""))</f>
        <v/>
      </c>
      <c r="AA169" s="58" t="str">
        <f aca="false">IF('STUDENT SCREENING'!Z169="","",IFERROR(INDEX('SCORING MASTER'!$D$17:$D$19,MATCH('STUDENT SCREENING'!Z169,'SCORING MASTER'!$C$17:$C$19,0)),""))</f>
        <v/>
      </c>
      <c r="AB169" s="58" t="str">
        <f aca="false">IF('STUDENT SCREENING'!AA169="","",IFERROR(INDEX('SCORING MASTER'!$D$21:$D$23,MATCH('STUDENT SCREENING'!AA169,'SCORING MASTER'!$C$21:$C$23,0)),""))</f>
        <v/>
      </c>
      <c r="AC169" s="58" t="str">
        <f aca="false">IF('STUDENT SCREENING'!AB169="","",IFERROR(INDEX('SCORING MASTER'!$D$25:$D$27,MATCH('STUDENT SCREENING'!AB169,'SCORING MASTER'!$C$25:$C$27,0)),""))</f>
        <v/>
      </c>
      <c r="AD169" s="58" t="str">
        <f aca="false">IF('STUDENT SCREENING'!AC169="","",IFERROR(INDEX('SCORING MASTER'!$D$29:$D$31,MATCH('STUDENT SCREENING'!AC169,'SCORING MASTER'!$C$29:$C$31,0)),""))</f>
        <v/>
      </c>
      <c r="AE169" s="58" t="str">
        <f aca="false">IF('STUDENT SCREENING'!AD169="","",IFERROR(INDEX('SCORING MASTER'!$D$33:$D$35,MATCH('STUDENT SCREENING'!AD169,'SCORING MASTER'!$C$33:$C$35,0)),""))</f>
        <v/>
      </c>
      <c r="AF169" s="58" t="str">
        <f aca="false">IF('STUDENT SCREENING'!AE169="","",IFERROR(INDEX('SCORING MASTER'!$D$37:$D$39,MATCH('STUDENT SCREENING'!AE169,'SCORING MASTER'!$C$37:$C$39,0)),""))</f>
        <v/>
      </c>
      <c r="AG169" s="58" t="str">
        <f aca="false">IF('STUDENT SCREENING'!AF169="","",IFERROR(INDEX('SCORING MASTER'!$D$41:$D$43,MATCH('STUDENT SCREENING'!AF169,'SCORING MASTER'!$C$41:$C$43,0)),""))</f>
        <v/>
      </c>
      <c r="AH169" s="58" t="str">
        <f aca="false">IF('STUDENT SCREENING'!AG169="","",IFERROR(INDEX('SCORING MASTER'!$D$45:$D$47,MATCH('STUDENT SCREENING'!AG169,'SCORING MASTER'!$C$45:$C$47,0)),""))</f>
        <v/>
      </c>
      <c r="AI169" s="58" t="str">
        <f aca="false">IF('STUDENT SCREENING'!AH169="","",IFERROR(INDEX('SCORING MASTER'!$D$49:$D$52,MATCH('STUDENT SCREENING'!AH169,'SCORING MASTER'!$C$49:$C$52,0)),""))</f>
        <v/>
      </c>
      <c r="AJ169" s="58" t="str">
        <f aca="false">IF('STUDENT SCREENING'!AI169="","",IFERROR(INDEX('SCORING MASTER'!$D$54:$D$57,MATCH('STUDENT SCREENING'!AI169,'SCORING MASTER'!$C$54:$C$57,0)),""))</f>
        <v/>
      </c>
      <c r="AK169" s="58" t="str">
        <f aca="false">IF('STUDENT SCREENING'!AJ169="","",IFERROR(INDEX('SCORING MASTER'!$D$59:$D$60,MATCH('STUDENT SCREENING'!AJ169,'SCORING MASTER'!$C$59:$C$60,0)),""))</f>
        <v/>
      </c>
      <c r="AL169" s="58" t="str">
        <f aca="false">IF('STUDENT SCREENING'!AK169="","",IFERROR(INDEX('SCORING MASTER'!$D$62:$D$63,MATCH('STUDENT SCREENING'!AK169,'SCORING MASTER'!$C$62:$C$63,0)),""))</f>
        <v/>
      </c>
      <c r="AM169" s="58" t="str">
        <f aca="false">IF('STUDENT SCREENING'!AL169="","",IFERROR(INDEX('SCORING MASTER'!$D$65:$D$66,MATCH('STUDENT SCREENING'!AL169,'SCORING MASTER'!$C$65:$C$66,0)),""))</f>
        <v/>
      </c>
      <c r="AN169" s="58" t="str">
        <f aca="false">IF('STUDENT SCREENING'!AM169="","",IFERROR(INDEX('SCORING MASTER'!$D$68:$D$69,MATCH('STUDENT SCREENING'!AM169,'SCORING MASTER'!$C$68:$C$69,0)),""))</f>
        <v/>
      </c>
      <c r="AO169" s="58" t="str">
        <f aca="false">IF('STUDENT SCREENING'!AN169="","",IFERROR(INDEX('SCORING MASTER'!$D$71:$D$72,MATCH('STUDENT SCREENING'!AN169,'SCORING MASTER'!$C$71:$C$72,0)),""))</f>
        <v/>
      </c>
      <c r="AP169" s="58" t="str">
        <f aca="false">IF('STUDENT SCREENING'!AO169="","",IFERROR(INDEX('SCORING MASTER'!$D$74:$D$75,MATCH('STUDENT SCREENING'!AO169,'SCORING MASTER'!$C$74:$C$75,0)),""))</f>
        <v/>
      </c>
      <c r="AQ169" s="58" t="str">
        <f aca="false">IF('STUDENT SCREENING'!AP169="","",IFERROR(INDEX('SCORING MASTER'!$D$77:$D$78,MATCH('STUDENT SCREENING'!AP169,'SCORING MASTER'!$C$77:$C$78,0)),""))</f>
        <v/>
      </c>
      <c r="AR169" s="58" t="str">
        <f aca="false">IF('STUDENT SCREENING'!AQ169="","",IFERROR(INDEX('SCORING MASTER'!$D$80:$D$82,MATCH('STUDENT SCREENING'!AQ169,'SCORING MASTER'!$C$80:$C$82,0)),""))</f>
        <v/>
      </c>
      <c r="AS169" s="58" t="str">
        <f aca="false">IF('STUDENT SCREENING'!AR169="","",IFERROR(INDEX('SCORING MASTER'!$D$84:$D$86,MATCH('STUDENT SCREENING'!AR169,'SCORING MASTER'!$C$84:$C$86,0)),""))</f>
        <v/>
      </c>
      <c r="AT169" s="58" t="str">
        <f aca="false">IF('STUDENT SCREENING'!AS169="","",IFERROR(INDEX('SCORING MASTER'!$D$88:$D$90,MATCH('STUDENT SCREENING'!AS169,'SCORING MASTER'!$C$88:$C$90,0)),""))</f>
        <v/>
      </c>
      <c r="AU169" s="58" t="str">
        <f aca="false">IF('STUDENT SCREENING'!AT169="","",IFERROR(INDEX('SCORING MASTER'!$D$92:$D$93,MATCH('STUDENT SCREENING'!AT169,'SCORING MASTER'!$C$92:$C$93,0)),""))</f>
        <v/>
      </c>
      <c r="AV169" s="58" t="str">
        <f aca="false">IF('STUDENT SCREENING'!AU169="","",IFERROR(INDEX('SCORING MASTER'!$D$95:$D$96,MATCH('STUDENT SCREENING'!AU169,'SCORING MASTER'!$C$95:$C$96,0)),""))</f>
        <v/>
      </c>
      <c r="AW169" s="58" t="str">
        <f aca="false">IF('STUDENT SCREENING'!AV169="","",IFERROR(INDEX('SCORING MASTER'!$D$98:$D$99,MATCH('STUDENT SCREENING'!AV169,'SCORING MASTER'!$C$98:$C$99,0)),""))</f>
        <v/>
      </c>
      <c r="AX169" s="58" t="str">
        <f aca="false">IF('STUDENT SCREENING'!AW169="","",IFERROR(INDEX('SCORING MASTER'!$D$101:$D$102,MATCH('STUDENT SCREENING'!AW169,'SCORING MASTER'!$C$101:$C$102,0)),""))</f>
        <v/>
      </c>
      <c r="AY169" s="58" t="str">
        <f aca="false">IF('STUDENT SCREENING'!AX169="","",IFERROR(INDEX('SCORING MASTER'!$D$104:$D$105,MATCH('STUDENT SCREENING'!AX169,'SCORING MASTER'!$C$104:$C$105,0)),""))</f>
        <v/>
      </c>
      <c r="AZ169" s="58" t="str">
        <f aca="false">IF('STUDENT SCREENING'!AY169="","",IFERROR(INDEX('SCORING MASTER'!$D$107:$D$108,MATCH('STUDENT SCREENING'!AY169,'SCORING MASTER'!$C$107:$C$108,0)),""))</f>
        <v/>
      </c>
      <c r="BA169" s="58" t="str">
        <f aca="false">IF('STUDENT SCREENING'!AZ169="","",IFERROR(INDEX('SCORING MASTER'!$D$110:$D$111,MATCH('STUDENT SCREENING'!AZ169,'SCORING MASTER'!$C$110:$C$111,0)),""))</f>
        <v/>
      </c>
      <c r="BB169" s="58" t="str">
        <f aca="false">IF('STUDENT SCREENING'!BA169="","",IFERROR(INDEX('SCORING MASTER'!$D$113:$D$115,MATCH('STUDENT SCREENING'!BA169,'SCORING MASTER'!$C$113:$C$115,0)),""))</f>
        <v/>
      </c>
      <c r="BC169" s="58" t="str">
        <f aca="false">IF('STUDENT SCREENING'!BB169="","",IFERROR(INDEX('SCORING MASTER'!$D$117:$D$119,MATCH('STUDENT SCREENING'!BB169,'SCORING MASTER'!$C$117:$C$119,0)),""))</f>
        <v/>
      </c>
      <c r="BD169" s="58" t="str">
        <f aca="false">IF('STUDENT SCREENING'!BC169="","",IFERROR(INDEX('SCORING MASTER'!$D$121:$D$123,MATCH('STUDENT SCREENING'!BC169,'SCORING MASTER'!$C$121:$C$123,0)),""))</f>
        <v/>
      </c>
      <c r="BE169" s="58" t="str">
        <f aca="false">IF('STUDENT SCREENING'!BD169="","",IFERROR(INDEX('SCORING MASTER'!$D$125:$D$126,MATCH('STUDENT SCREENING'!BD169,'SCORING MASTER'!$C$125:$C$126,0)),""))</f>
        <v/>
      </c>
      <c r="BF169" s="58" t="str">
        <f aca="false">IF('STUDENT SCREENING'!BE169="","",IFERROR(INDEX('SCORING MASTER'!$D$128:$D$129,MATCH('STUDENT SCREENING'!BE169,'SCORING MASTER'!$C$128:$C$129,0)),""))</f>
        <v/>
      </c>
      <c r="BG169" s="58" t="str">
        <f aca="false">IF('STUDENT SCREENING'!BP169="","",IFERROR(MATCH('STUDENT SCREENING'!BP169,{"Red - High Risk","Orange - Moderate Risk","Yellow - Mild Risk","Light Green - Mild Watch","Green - Healthy"},0)-1,""))</f>
        <v/>
      </c>
      <c r="BH169" s="58" t="str">
        <f aca="false">IF('STUDENT SCREENING'!BQ169="","",IF('STUDENT SCREENING'!BQ169="Yes",1,0))</f>
        <v/>
      </c>
      <c r="BI169" s="58" t="str">
        <f aca="false">IF('STUDENT SCREENING'!BR169="","",IF('STUDENT SCREENING'!BR169="Yes",1,0))</f>
        <v/>
      </c>
    </row>
    <row r="170" customFormat="false" ht="15" hidden="false" customHeight="false" outlineLevel="0" collapsed="false">
      <c r="A170" s="57" t="str">
        <f aca="false">'STUDENT SCREENING'!A170</f>
        <v/>
      </c>
      <c r="B170" s="57" t="n">
        <f aca="false">'STUDENT SCREENING'!C170</f>
        <v>0</v>
      </c>
      <c r="C170" s="57" t="n">
        <f aca="false">'STUDENT SCREENING'!D170</f>
        <v>0</v>
      </c>
      <c r="D170" s="57" t="n">
        <f aca="false">'STUDENT SCREENING'!E170</f>
        <v>0</v>
      </c>
      <c r="E170" s="57" t="n">
        <f aca="false">'STUDENT SCREENING'!F170</f>
        <v>0</v>
      </c>
      <c r="F170" s="57" t="n">
        <f aca="false">'STUDENT SCREENING'!K170</f>
        <v>0</v>
      </c>
      <c r="G170" s="57" t="n">
        <f aca="false">'STUDENT SCREENING'!J170</f>
        <v>0</v>
      </c>
      <c r="H170" s="57" t="str">
        <f aca="false">IF('STUDENT SCREENING'!K170="","",IFERROR(MATCH('STUDENT SCREENING'!K170,Adm_Gender,0),""))</f>
        <v/>
      </c>
      <c r="I170" s="57" t="n">
        <f aca="false">'STUDENT SCREENING'!Q170</f>
        <v>0</v>
      </c>
      <c r="J170" s="57" t="n">
        <f aca="false">'STUDENT SCREENING'!R170</f>
        <v>0</v>
      </c>
      <c r="K170" s="57" t="str">
        <f aca="false">'STUDENT SCREENING'!S170</f>
        <v/>
      </c>
      <c r="L170" s="57" t="n">
        <f aca="false">'STUDENT SCREENING'!U170</f>
        <v>0</v>
      </c>
      <c r="M170" s="57" t="n">
        <f aca="false">'STUDENT SCREENING'!V170</f>
        <v>0</v>
      </c>
      <c r="N170" s="57" t="str">
        <f aca="false">'STUDENT SCREENING'!BF170</f>
        <v/>
      </c>
      <c r="O170" s="57" t="str">
        <f aca="false">'STUDENT SCREENING'!BG170</f>
        <v/>
      </c>
      <c r="P170" s="57" t="str">
        <f aca="false">'STUDENT SCREENING'!BH170</f>
        <v/>
      </c>
      <c r="Q170" s="57" t="str">
        <f aca="false">'STUDENT SCREENING'!BI170</f>
        <v/>
      </c>
      <c r="R170" s="57" t="str">
        <f aca="false">'STUDENT SCREENING'!BJ170</f>
        <v/>
      </c>
      <c r="S170" s="57" t="str">
        <f aca="false">'STUDENT SCREENING'!BK170</f>
        <v/>
      </c>
      <c r="T170" s="57" t="str">
        <f aca="false">'STUDENT SCREENING'!BL170</f>
        <v/>
      </c>
      <c r="U170" s="57" t="str">
        <f aca="false">'STUDENT SCREENING'!BM170</f>
        <v/>
      </c>
      <c r="V170" s="57" t="str">
        <f aca="false">'STUDENT SCREENING'!BN170</f>
        <v/>
      </c>
      <c r="W170" s="57" t="str">
        <f aca="false">'STUDENT SCREENING'!BO170</f>
        <v/>
      </c>
      <c r="X170" s="57" t="str">
        <f aca="false">IF('STUDENT SCREENING'!W170="","",IFERROR(INDEX('SCORING MASTER'!$D$5:$D$7,MATCH('STUDENT SCREENING'!W170,'SCORING MASTER'!$C$5:$C$7,0)),""))</f>
        <v/>
      </c>
      <c r="Y170" s="57" t="str">
        <f aca="false">IF('STUDENT SCREENING'!X170="","",IFERROR(INDEX('SCORING MASTER'!$D$9:$D$11,MATCH('STUDENT SCREENING'!X170,'SCORING MASTER'!$C$9:$C$11,0)),""))</f>
        <v/>
      </c>
      <c r="Z170" s="57" t="str">
        <f aca="false">IF('STUDENT SCREENING'!Y170="","",IFERROR(INDEX('SCORING MASTER'!$D$13:$D$15,MATCH('STUDENT SCREENING'!Y170,'SCORING MASTER'!$C$13:$C$15,0)),""))</f>
        <v/>
      </c>
      <c r="AA170" s="57" t="str">
        <f aca="false">IF('STUDENT SCREENING'!Z170="","",IFERROR(INDEX('SCORING MASTER'!$D$17:$D$19,MATCH('STUDENT SCREENING'!Z170,'SCORING MASTER'!$C$17:$C$19,0)),""))</f>
        <v/>
      </c>
      <c r="AB170" s="57" t="str">
        <f aca="false">IF('STUDENT SCREENING'!AA170="","",IFERROR(INDEX('SCORING MASTER'!$D$21:$D$23,MATCH('STUDENT SCREENING'!AA170,'SCORING MASTER'!$C$21:$C$23,0)),""))</f>
        <v/>
      </c>
      <c r="AC170" s="57" t="str">
        <f aca="false">IF('STUDENT SCREENING'!AB170="","",IFERROR(INDEX('SCORING MASTER'!$D$25:$D$27,MATCH('STUDENT SCREENING'!AB170,'SCORING MASTER'!$C$25:$C$27,0)),""))</f>
        <v/>
      </c>
      <c r="AD170" s="57" t="str">
        <f aca="false">IF('STUDENT SCREENING'!AC170="","",IFERROR(INDEX('SCORING MASTER'!$D$29:$D$31,MATCH('STUDENT SCREENING'!AC170,'SCORING MASTER'!$C$29:$C$31,0)),""))</f>
        <v/>
      </c>
      <c r="AE170" s="57" t="str">
        <f aca="false">IF('STUDENT SCREENING'!AD170="","",IFERROR(INDEX('SCORING MASTER'!$D$33:$D$35,MATCH('STUDENT SCREENING'!AD170,'SCORING MASTER'!$C$33:$C$35,0)),""))</f>
        <v/>
      </c>
      <c r="AF170" s="57" t="str">
        <f aca="false">IF('STUDENT SCREENING'!AE170="","",IFERROR(INDEX('SCORING MASTER'!$D$37:$D$39,MATCH('STUDENT SCREENING'!AE170,'SCORING MASTER'!$C$37:$C$39,0)),""))</f>
        <v/>
      </c>
      <c r="AG170" s="57" t="str">
        <f aca="false">IF('STUDENT SCREENING'!AF170="","",IFERROR(INDEX('SCORING MASTER'!$D$41:$D$43,MATCH('STUDENT SCREENING'!AF170,'SCORING MASTER'!$C$41:$C$43,0)),""))</f>
        <v/>
      </c>
      <c r="AH170" s="57" t="str">
        <f aca="false">IF('STUDENT SCREENING'!AG170="","",IFERROR(INDEX('SCORING MASTER'!$D$45:$D$47,MATCH('STUDENT SCREENING'!AG170,'SCORING MASTER'!$C$45:$C$47,0)),""))</f>
        <v/>
      </c>
      <c r="AI170" s="57" t="str">
        <f aca="false">IF('STUDENT SCREENING'!AH170="","",IFERROR(INDEX('SCORING MASTER'!$D$49:$D$52,MATCH('STUDENT SCREENING'!AH170,'SCORING MASTER'!$C$49:$C$52,0)),""))</f>
        <v/>
      </c>
      <c r="AJ170" s="57" t="str">
        <f aca="false">IF('STUDENT SCREENING'!AI170="","",IFERROR(INDEX('SCORING MASTER'!$D$54:$D$57,MATCH('STUDENT SCREENING'!AI170,'SCORING MASTER'!$C$54:$C$57,0)),""))</f>
        <v/>
      </c>
      <c r="AK170" s="57" t="str">
        <f aca="false">IF('STUDENT SCREENING'!AJ170="","",IFERROR(INDEX('SCORING MASTER'!$D$59:$D$60,MATCH('STUDENT SCREENING'!AJ170,'SCORING MASTER'!$C$59:$C$60,0)),""))</f>
        <v/>
      </c>
      <c r="AL170" s="57" t="str">
        <f aca="false">IF('STUDENT SCREENING'!AK170="","",IFERROR(INDEX('SCORING MASTER'!$D$62:$D$63,MATCH('STUDENT SCREENING'!AK170,'SCORING MASTER'!$C$62:$C$63,0)),""))</f>
        <v/>
      </c>
      <c r="AM170" s="57" t="str">
        <f aca="false">IF('STUDENT SCREENING'!AL170="","",IFERROR(INDEX('SCORING MASTER'!$D$65:$D$66,MATCH('STUDENT SCREENING'!AL170,'SCORING MASTER'!$C$65:$C$66,0)),""))</f>
        <v/>
      </c>
      <c r="AN170" s="57" t="str">
        <f aca="false">IF('STUDENT SCREENING'!AM170="","",IFERROR(INDEX('SCORING MASTER'!$D$68:$D$69,MATCH('STUDENT SCREENING'!AM170,'SCORING MASTER'!$C$68:$C$69,0)),""))</f>
        <v/>
      </c>
      <c r="AO170" s="57" t="str">
        <f aca="false">IF('STUDENT SCREENING'!AN170="","",IFERROR(INDEX('SCORING MASTER'!$D$71:$D$72,MATCH('STUDENT SCREENING'!AN170,'SCORING MASTER'!$C$71:$C$72,0)),""))</f>
        <v/>
      </c>
      <c r="AP170" s="57" t="str">
        <f aca="false">IF('STUDENT SCREENING'!AO170="","",IFERROR(INDEX('SCORING MASTER'!$D$74:$D$75,MATCH('STUDENT SCREENING'!AO170,'SCORING MASTER'!$C$74:$C$75,0)),""))</f>
        <v/>
      </c>
      <c r="AQ170" s="57" t="str">
        <f aca="false">IF('STUDENT SCREENING'!AP170="","",IFERROR(INDEX('SCORING MASTER'!$D$77:$D$78,MATCH('STUDENT SCREENING'!AP170,'SCORING MASTER'!$C$77:$C$78,0)),""))</f>
        <v/>
      </c>
      <c r="AR170" s="57" t="str">
        <f aca="false">IF('STUDENT SCREENING'!AQ170="","",IFERROR(INDEX('SCORING MASTER'!$D$80:$D$82,MATCH('STUDENT SCREENING'!AQ170,'SCORING MASTER'!$C$80:$C$82,0)),""))</f>
        <v/>
      </c>
      <c r="AS170" s="57" t="str">
        <f aca="false">IF('STUDENT SCREENING'!AR170="","",IFERROR(INDEX('SCORING MASTER'!$D$84:$D$86,MATCH('STUDENT SCREENING'!AR170,'SCORING MASTER'!$C$84:$C$86,0)),""))</f>
        <v/>
      </c>
      <c r="AT170" s="57" t="str">
        <f aca="false">IF('STUDENT SCREENING'!AS170="","",IFERROR(INDEX('SCORING MASTER'!$D$88:$D$90,MATCH('STUDENT SCREENING'!AS170,'SCORING MASTER'!$C$88:$C$90,0)),""))</f>
        <v/>
      </c>
      <c r="AU170" s="57" t="str">
        <f aca="false">IF('STUDENT SCREENING'!AT170="","",IFERROR(INDEX('SCORING MASTER'!$D$92:$D$93,MATCH('STUDENT SCREENING'!AT170,'SCORING MASTER'!$C$92:$C$93,0)),""))</f>
        <v/>
      </c>
      <c r="AV170" s="57" t="str">
        <f aca="false">IF('STUDENT SCREENING'!AU170="","",IFERROR(INDEX('SCORING MASTER'!$D$95:$D$96,MATCH('STUDENT SCREENING'!AU170,'SCORING MASTER'!$C$95:$C$96,0)),""))</f>
        <v/>
      </c>
      <c r="AW170" s="57" t="str">
        <f aca="false">IF('STUDENT SCREENING'!AV170="","",IFERROR(INDEX('SCORING MASTER'!$D$98:$D$99,MATCH('STUDENT SCREENING'!AV170,'SCORING MASTER'!$C$98:$C$99,0)),""))</f>
        <v/>
      </c>
      <c r="AX170" s="57" t="str">
        <f aca="false">IF('STUDENT SCREENING'!AW170="","",IFERROR(INDEX('SCORING MASTER'!$D$101:$D$102,MATCH('STUDENT SCREENING'!AW170,'SCORING MASTER'!$C$101:$C$102,0)),""))</f>
        <v/>
      </c>
      <c r="AY170" s="57" t="str">
        <f aca="false">IF('STUDENT SCREENING'!AX170="","",IFERROR(INDEX('SCORING MASTER'!$D$104:$D$105,MATCH('STUDENT SCREENING'!AX170,'SCORING MASTER'!$C$104:$C$105,0)),""))</f>
        <v/>
      </c>
      <c r="AZ170" s="57" t="str">
        <f aca="false">IF('STUDENT SCREENING'!AY170="","",IFERROR(INDEX('SCORING MASTER'!$D$107:$D$108,MATCH('STUDENT SCREENING'!AY170,'SCORING MASTER'!$C$107:$C$108,0)),""))</f>
        <v/>
      </c>
      <c r="BA170" s="57" t="str">
        <f aca="false">IF('STUDENT SCREENING'!AZ170="","",IFERROR(INDEX('SCORING MASTER'!$D$110:$D$111,MATCH('STUDENT SCREENING'!AZ170,'SCORING MASTER'!$C$110:$C$111,0)),""))</f>
        <v/>
      </c>
      <c r="BB170" s="57" t="str">
        <f aca="false">IF('STUDENT SCREENING'!BA170="","",IFERROR(INDEX('SCORING MASTER'!$D$113:$D$115,MATCH('STUDENT SCREENING'!BA170,'SCORING MASTER'!$C$113:$C$115,0)),""))</f>
        <v/>
      </c>
      <c r="BC170" s="57" t="str">
        <f aca="false">IF('STUDENT SCREENING'!BB170="","",IFERROR(INDEX('SCORING MASTER'!$D$117:$D$119,MATCH('STUDENT SCREENING'!BB170,'SCORING MASTER'!$C$117:$C$119,0)),""))</f>
        <v/>
      </c>
      <c r="BD170" s="57" t="str">
        <f aca="false">IF('STUDENT SCREENING'!BC170="","",IFERROR(INDEX('SCORING MASTER'!$D$121:$D$123,MATCH('STUDENT SCREENING'!BC170,'SCORING MASTER'!$C$121:$C$123,0)),""))</f>
        <v/>
      </c>
      <c r="BE170" s="57" t="str">
        <f aca="false">IF('STUDENT SCREENING'!BD170="","",IFERROR(INDEX('SCORING MASTER'!$D$125:$D$126,MATCH('STUDENT SCREENING'!BD170,'SCORING MASTER'!$C$125:$C$126,0)),""))</f>
        <v/>
      </c>
      <c r="BF170" s="57" t="str">
        <f aca="false">IF('STUDENT SCREENING'!BE170="","",IFERROR(INDEX('SCORING MASTER'!$D$128:$D$129,MATCH('STUDENT SCREENING'!BE170,'SCORING MASTER'!$C$128:$C$129,0)),""))</f>
        <v/>
      </c>
      <c r="BG170" s="57" t="str">
        <f aca="false">IF('STUDENT SCREENING'!BP170="","",IFERROR(MATCH('STUDENT SCREENING'!BP170,{"Red - High Risk","Orange - Moderate Risk","Yellow - Mild Risk","Light Green - Mild Watch","Green - Healthy"},0)-1,""))</f>
        <v/>
      </c>
      <c r="BH170" s="57" t="str">
        <f aca="false">IF('STUDENT SCREENING'!BQ170="","",IF('STUDENT SCREENING'!BQ170="Yes",1,0))</f>
        <v/>
      </c>
      <c r="BI170" s="57" t="str">
        <f aca="false">IF('STUDENT SCREENING'!BR170="","",IF('STUDENT SCREENING'!BR170="Yes",1,0))</f>
        <v/>
      </c>
    </row>
    <row r="171" customFormat="false" ht="15" hidden="false" customHeight="false" outlineLevel="0" collapsed="false">
      <c r="A171" s="58" t="str">
        <f aca="false">'STUDENT SCREENING'!A171</f>
        <v/>
      </c>
      <c r="B171" s="58" t="n">
        <f aca="false">'STUDENT SCREENING'!C171</f>
        <v>0</v>
      </c>
      <c r="C171" s="58" t="n">
        <f aca="false">'STUDENT SCREENING'!D171</f>
        <v>0</v>
      </c>
      <c r="D171" s="58" t="n">
        <f aca="false">'STUDENT SCREENING'!E171</f>
        <v>0</v>
      </c>
      <c r="E171" s="58" t="n">
        <f aca="false">'STUDENT SCREENING'!F171</f>
        <v>0</v>
      </c>
      <c r="F171" s="58" t="n">
        <f aca="false">'STUDENT SCREENING'!K171</f>
        <v>0</v>
      </c>
      <c r="G171" s="58" t="n">
        <f aca="false">'STUDENT SCREENING'!J171</f>
        <v>0</v>
      </c>
      <c r="H171" s="58" t="str">
        <f aca="false">IF('STUDENT SCREENING'!K171="","",IFERROR(MATCH('STUDENT SCREENING'!K171,Adm_Gender,0),""))</f>
        <v/>
      </c>
      <c r="I171" s="58" t="n">
        <f aca="false">'STUDENT SCREENING'!Q171</f>
        <v>0</v>
      </c>
      <c r="J171" s="58" t="n">
        <f aca="false">'STUDENT SCREENING'!R171</f>
        <v>0</v>
      </c>
      <c r="K171" s="58" t="str">
        <f aca="false">'STUDENT SCREENING'!S171</f>
        <v/>
      </c>
      <c r="L171" s="58" t="n">
        <f aca="false">'STUDENT SCREENING'!U171</f>
        <v>0</v>
      </c>
      <c r="M171" s="58" t="n">
        <f aca="false">'STUDENT SCREENING'!V171</f>
        <v>0</v>
      </c>
      <c r="N171" s="58" t="str">
        <f aca="false">'STUDENT SCREENING'!BF171</f>
        <v/>
      </c>
      <c r="O171" s="58" t="str">
        <f aca="false">'STUDENT SCREENING'!BG171</f>
        <v/>
      </c>
      <c r="P171" s="58" t="str">
        <f aca="false">'STUDENT SCREENING'!BH171</f>
        <v/>
      </c>
      <c r="Q171" s="58" t="str">
        <f aca="false">'STUDENT SCREENING'!BI171</f>
        <v/>
      </c>
      <c r="R171" s="58" t="str">
        <f aca="false">'STUDENT SCREENING'!BJ171</f>
        <v/>
      </c>
      <c r="S171" s="58" t="str">
        <f aca="false">'STUDENT SCREENING'!BK171</f>
        <v/>
      </c>
      <c r="T171" s="58" t="str">
        <f aca="false">'STUDENT SCREENING'!BL171</f>
        <v/>
      </c>
      <c r="U171" s="58" t="str">
        <f aca="false">'STUDENT SCREENING'!BM171</f>
        <v/>
      </c>
      <c r="V171" s="58" t="str">
        <f aca="false">'STUDENT SCREENING'!BN171</f>
        <v/>
      </c>
      <c r="W171" s="58" t="str">
        <f aca="false">'STUDENT SCREENING'!BO171</f>
        <v/>
      </c>
      <c r="X171" s="58" t="str">
        <f aca="false">IF('STUDENT SCREENING'!W171="","",IFERROR(INDEX('SCORING MASTER'!$D$5:$D$7,MATCH('STUDENT SCREENING'!W171,'SCORING MASTER'!$C$5:$C$7,0)),""))</f>
        <v/>
      </c>
      <c r="Y171" s="58" t="str">
        <f aca="false">IF('STUDENT SCREENING'!X171="","",IFERROR(INDEX('SCORING MASTER'!$D$9:$D$11,MATCH('STUDENT SCREENING'!X171,'SCORING MASTER'!$C$9:$C$11,0)),""))</f>
        <v/>
      </c>
      <c r="Z171" s="58" t="str">
        <f aca="false">IF('STUDENT SCREENING'!Y171="","",IFERROR(INDEX('SCORING MASTER'!$D$13:$D$15,MATCH('STUDENT SCREENING'!Y171,'SCORING MASTER'!$C$13:$C$15,0)),""))</f>
        <v/>
      </c>
      <c r="AA171" s="58" t="str">
        <f aca="false">IF('STUDENT SCREENING'!Z171="","",IFERROR(INDEX('SCORING MASTER'!$D$17:$D$19,MATCH('STUDENT SCREENING'!Z171,'SCORING MASTER'!$C$17:$C$19,0)),""))</f>
        <v/>
      </c>
      <c r="AB171" s="58" t="str">
        <f aca="false">IF('STUDENT SCREENING'!AA171="","",IFERROR(INDEX('SCORING MASTER'!$D$21:$D$23,MATCH('STUDENT SCREENING'!AA171,'SCORING MASTER'!$C$21:$C$23,0)),""))</f>
        <v/>
      </c>
      <c r="AC171" s="58" t="str">
        <f aca="false">IF('STUDENT SCREENING'!AB171="","",IFERROR(INDEX('SCORING MASTER'!$D$25:$D$27,MATCH('STUDENT SCREENING'!AB171,'SCORING MASTER'!$C$25:$C$27,0)),""))</f>
        <v/>
      </c>
      <c r="AD171" s="58" t="str">
        <f aca="false">IF('STUDENT SCREENING'!AC171="","",IFERROR(INDEX('SCORING MASTER'!$D$29:$D$31,MATCH('STUDENT SCREENING'!AC171,'SCORING MASTER'!$C$29:$C$31,0)),""))</f>
        <v/>
      </c>
      <c r="AE171" s="58" t="str">
        <f aca="false">IF('STUDENT SCREENING'!AD171="","",IFERROR(INDEX('SCORING MASTER'!$D$33:$D$35,MATCH('STUDENT SCREENING'!AD171,'SCORING MASTER'!$C$33:$C$35,0)),""))</f>
        <v/>
      </c>
      <c r="AF171" s="58" t="str">
        <f aca="false">IF('STUDENT SCREENING'!AE171="","",IFERROR(INDEX('SCORING MASTER'!$D$37:$D$39,MATCH('STUDENT SCREENING'!AE171,'SCORING MASTER'!$C$37:$C$39,0)),""))</f>
        <v/>
      </c>
      <c r="AG171" s="58" t="str">
        <f aca="false">IF('STUDENT SCREENING'!AF171="","",IFERROR(INDEX('SCORING MASTER'!$D$41:$D$43,MATCH('STUDENT SCREENING'!AF171,'SCORING MASTER'!$C$41:$C$43,0)),""))</f>
        <v/>
      </c>
      <c r="AH171" s="58" t="str">
        <f aca="false">IF('STUDENT SCREENING'!AG171="","",IFERROR(INDEX('SCORING MASTER'!$D$45:$D$47,MATCH('STUDENT SCREENING'!AG171,'SCORING MASTER'!$C$45:$C$47,0)),""))</f>
        <v/>
      </c>
      <c r="AI171" s="58" t="str">
        <f aca="false">IF('STUDENT SCREENING'!AH171="","",IFERROR(INDEX('SCORING MASTER'!$D$49:$D$52,MATCH('STUDENT SCREENING'!AH171,'SCORING MASTER'!$C$49:$C$52,0)),""))</f>
        <v/>
      </c>
      <c r="AJ171" s="58" t="str">
        <f aca="false">IF('STUDENT SCREENING'!AI171="","",IFERROR(INDEX('SCORING MASTER'!$D$54:$D$57,MATCH('STUDENT SCREENING'!AI171,'SCORING MASTER'!$C$54:$C$57,0)),""))</f>
        <v/>
      </c>
      <c r="AK171" s="58" t="str">
        <f aca="false">IF('STUDENT SCREENING'!AJ171="","",IFERROR(INDEX('SCORING MASTER'!$D$59:$D$60,MATCH('STUDENT SCREENING'!AJ171,'SCORING MASTER'!$C$59:$C$60,0)),""))</f>
        <v/>
      </c>
      <c r="AL171" s="58" t="str">
        <f aca="false">IF('STUDENT SCREENING'!AK171="","",IFERROR(INDEX('SCORING MASTER'!$D$62:$D$63,MATCH('STUDENT SCREENING'!AK171,'SCORING MASTER'!$C$62:$C$63,0)),""))</f>
        <v/>
      </c>
      <c r="AM171" s="58" t="str">
        <f aca="false">IF('STUDENT SCREENING'!AL171="","",IFERROR(INDEX('SCORING MASTER'!$D$65:$D$66,MATCH('STUDENT SCREENING'!AL171,'SCORING MASTER'!$C$65:$C$66,0)),""))</f>
        <v/>
      </c>
      <c r="AN171" s="58" t="str">
        <f aca="false">IF('STUDENT SCREENING'!AM171="","",IFERROR(INDEX('SCORING MASTER'!$D$68:$D$69,MATCH('STUDENT SCREENING'!AM171,'SCORING MASTER'!$C$68:$C$69,0)),""))</f>
        <v/>
      </c>
      <c r="AO171" s="58" t="str">
        <f aca="false">IF('STUDENT SCREENING'!AN171="","",IFERROR(INDEX('SCORING MASTER'!$D$71:$D$72,MATCH('STUDENT SCREENING'!AN171,'SCORING MASTER'!$C$71:$C$72,0)),""))</f>
        <v/>
      </c>
      <c r="AP171" s="58" t="str">
        <f aca="false">IF('STUDENT SCREENING'!AO171="","",IFERROR(INDEX('SCORING MASTER'!$D$74:$D$75,MATCH('STUDENT SCREENING'!AO171,'SCORING MASTER'!$C$74:$C$75,0)),""))</f>
        <v/>
      </c>
      <c r="AQ171" s="58" t="str">
        <f aca="false">IF('STUDENT SCREENING'!AP171="","",IFERROR(INDEX('SCORING MASTER'!$D$77:$D$78,MATCH('STUDENT SCREENING'!AP171,'SCORING MASTER'!$C$77:$C$78,0)),""))</f>
        <v/>
      </c>
      <c r="AR171" s="58" t="str">
        <f aca="false">IF('STUDENT SCREENING'!AQ171="","",IFERROR(INDEX('SCORING MASTER'!$D$80:$D$82,MATCH('STUDENT SCREENING'!AQ171,'SCORING MASTER'!$C$80:$C$82,0)),""))</f>
        <v/>
      </c>
      <c r="AS171" s="58" t="str">
        <f aca="false">IF('STUDENT SCREENING'!AR171="","",IFERROR(INDEX('SCORING MASTER'!$D$84:$D$86,MATCH('STUDENT SCREENING'!AR171,'SCORING MASTER'!$C$84:$C$86,0)),""))</f>
        <v/>
      </c>
      <c r="AT171" s="58" t="str">
        <f aca="false">IF('STUDENT SCREENING'!AS171="","",IFERROR(INDEX('SCORING MASTER'!$D$88:$D$90,MATCH('STUDENT SCREENING'!AS171,'SCORING MASTER'!$C$88:$C$90,0)),""))</f>
        <v/>
      </c>
      <c r="AU171" s="58" t="str">
        <f aca="false">IF('STUDENT SCREENING'!AT171="","",IFERROR(INDEX('SCORING MASTER'!$D$92:$D$93,MATCH('STUDENT SCREENING'!AT171,'SCORING MASTER'!$C$92:$C$93,0)),""))</f>
        <v/>
      </c>
      <c r="AV171" s="58" t="str">
        <f aca="false">IF('STUDENT SCREENING'!AU171="","",IFERROR(INDEX('SCORING MASTER'!$D$95:$D$96,MATCH('STUDENT SCREENING'!AU171,'SCORING MASTER'!$C$95:$C$96,0)),""))</f>
        <v/>
      </c>
      <c r="AW171" s="58" t="str">
        <f aca="false">IF('STUDENT SCREENING'!AV171="","",IFERROR(INDEX('SCORING MASTER'!$D$98:$D$99,MATCH('STUDENT SCREENING'!AV171,'SCORING MASTER'!$C$98:$C$99,0)),""))</f>
        <v/>
      </c>
      <c r="AX171" s="58" t="str">
        <f aca="false">IF('STUDENT SCREENING'!AW171="","",IFERROR(INDEX('SCORING MASTER'!$D$101:$D$102,MATCH('STUDENT SCREENING'!AW171,'SCORING MASTER'!$C$101:$C$102,0)),""))</f>
        <v/>
      </c>
      <c r="AY171" s="58" t="str">
        <f aca="false">IF('STUDENT SCREENING'!AX171="","",IFERROR(INDEX('SCORING MASTER'!$D$104:$D$105,MATCH('STUDENT SCREENING'!AX171,'SCORING MASTER'!$C$104:$C$105,0)),""))</f>
        <v/>
      </c>
      <c r="AZ171" s="58" t="str">
        <f aca="false">IF('STUDENT SCREENING'!AY171="","",IFERROR(INDEX('SCORING MASTER'!$D$107:$D$108,MATCH('STUDENT SCREENING'!AY171,'SCORING MASTER'!$C$107:$C$108,0)),""))</f>
        <v/>
      </c>
      <c r="BA171" s="58" t="str">
        <f aca="false">IF('STUDENT SCREENING'!AZ171="","",IFERROR(INDEX('SCORING MASTER'!$D$110:$D$111,MATCH('STUDENT SCREENING'!AZ171,'SCORING MASTER'!$C$110:$C$111,0)),""))</f>
        <v/>
      </c>
      <c r="BB171" s="58" t="str">
        <f aca="false">IF('STUDENT SCREENING'!BA171="","",IFERROR(INDEX('SCORING MASTER'!$D$113:$D$115,MATCH('STUDENT SCREENING'!BA171,'SCORING MASTER'!$C$113:$C$115,0)),""))</f>
        <v/>
      </c>
      <c r="BC171" s="58" t="str">
        <f aca="false">IF('STUDENT SCREENING'!BB171="","",IFERROR(INDEX('SCORING MASTER'!$D$117:$D$119,MATCH('STUDENT SCREENING'!BB171,'SCORING MASTER'!$C$117:$C$119,0)),""))</f>
        <v/>
      </c>
      <c r="BD171" s="58" t="str">
        <f aca="false">IF('STUDENT SCREENING'!BC171="","",IFERROR(INDEX('SCORING MASTER'!$D$121:$D$123,MATCH('STUDENT SCREENING'!BC171,'SCORING MASTER'!$C$121:$C$123,0)),""))</f>
        <v/>
      </c>
      <c r="BE171" s="58" t="str">
        <f aca="false">IF('STUDENT SCREENING'!BD171="","",IFERROR(INDEX('SCORING MASTER'!$D$125:$D$126,MATCH('STUDENT SCREENING'!BD171,'SCORING MASTER'!$C$125:$C$126,0)),""))</f>
        <v/>
      </c>
      <c r="BF171" s="58" t="str">
        <f aca="false">IF('STUDENT SCREENING'!BE171="","",IFERROR(INDEX('SCORING MASTER'!$D$128:$D$129,MATCH('STUDENT SCREENING'!BE171,'SCORING MASTER'!$C$128:$C$129,0)),""))</f>
        <v/>
      </c>
      <c r="BG171" s="58" t="str">
        <f aca="false">IF('STUDENT SCREENING'!BP171="","",IFERROR(MATCH('STUDENT SCREENING'!BP171,{"Red - High Risk","Orange - Moderate Risk","Yellow - Mild Risk","Light Green - Mild Watch","Green - Healthy"},0)-1,""))</f>
        <v/>
      </c>
      <c r="BH171" s="58" t="str">
        <f aca="false">IF('STUDENT SCREENING'!BQ171="","",IF('STUDENT SCREENING'!BQ171="Yes",1,0))</f>
        <v/>
      </c>
      <c r="BI171" s="58" t="str">
        <f aca="false">IF('STUDENT SCREENING'!BR171="","",IF('STUDENT SCREENING'!BR171="Yes",1,0))</f>
        <v/>
      </c>
    </row>
    <row r="172" customFormat="false" ht="15" hidden="false" customHeight="false" outlineLevel="0" collapsed="false">
      <c r="A172" s="57" t="str">
        <f aca="false">'STUDENT SCREENING'!A172</f>
        <v/>
      </c>
      <c r="B172" s="57" t="n">
        <f aca="false">'STUDENT SCREENING'!C172</f>
        <v>0</v>
      </c>
      <c r="C172" s="57" t="n">
        <f aca="false">'STUDENT SCREENING'!D172</f>
        <v>0</v>
      </c>
      <c r="D172" s="57" t="n">
        <f aca="false">'STUDENT SCREENING'!E172</f>
        <v>0</v>
      </c>
      <c r="E172" s="57" t="n">
        <f aca="false">'STUDENT SCREENING'!F172</f>
        <v>0</v>
      </c>
      <c r="F172" s="57" t="n">
        <f aca="false">'STUDENT SCREENING'!K172</f>
        <v>0</v>
      </c>
      <c r="G172" s="57" t="n">
        <f aca="false">'STUDENT SCREENING'!J172</f>
        <v>0</v>
      </c>
      <c r="H172" s="57" t="str">
        <f aca="false">IF('STUDENT SCREENING'!K172="","",IFERROR(MATCH('STUDENT SCREENING'!K172,Adm_Gender,0),""))</f>
        <v/>
      </c>
      <c r="I172" s="57" t="n">
        <f aca="false">'STUDENT SCREENING'!Q172</f>
        <v>0</v>
      </c>
      <c r="J172" s="57" t="n">
        <f aca="false">'STUDENT SCREENING'!R172</f>
        <v>0</v>
      </c>
      <c r="K172" s="57" t="str">
        <f aca="false">'STUDENT SCREENING'!S172</f>
        <v/>
      </c>
      <c r="L172" s="57" t="n">
        <f aca="false">'STUDENT SCREENING'!U172</f>
        <v>0</v>
      </c>
      <c r="M172" s="57" t="n">
        <f aca="false">'STUDENT SCREENING'!V172</f>
        <v>0</v>
      </c>
      <c r="N172" s="57" t="str">
        <f aca="false">'STUDENT SCREENING'!BF172</f>
        <v/>
      </c>
      <c r="O172" s="57" t="str">
        <f aca="false">'STUDENT SCREENING'!BG172</f>
        <v/>
      </c>
      <c r="P172" s="57" t="str">
        <f aca="false">'STUDENT SCREENING'!BH172</f>
        <v/>
      </c>
      <c r="Q172" s="57" t="str">
        <f aca="false">'STUDENT SCREENING'!BI172</f>
        <v/>
      </c>
      <c r="R172" s="57" t="str">
        <f aca="false">'STUDENT SCREENING'!BJ172</f>
        <v/>
      </c>
      <c r="S172" s="57" t="str">
        <f aca="false">'STUDENT SCREENING'!BK172</f>
        <v/>
      </c>
      <c r="T172" s="57" t="str">
        <f aca="false">'STUDENT SCREENING'!BL172</f>
        <v/>
      </c>
      <c r="U172" s="57" t="str">
        <f aca="false">'STUDENT SCREENING'!BM172</f>
        <v/>
      </c>
      <c r="V172" s="57" t="str">
        <f aca="false">'STUDENT SCREENING'!BN172</f>
        <v/>
      </c>
      <c r="W172" s="57" t="str">
        <f aca="false">'STUDENT SCREENING'!BO172</f>
        <v/>
      </c>
      <c r="X172" s="57" t="str">
        <f aca="false">IF('STUDENT SCREENING'!W172="","",IFERROR(INDEX('SCORING MASTER'!$D$5:$D$7,MATCH('STUDENT SCREENING'!W172,'SCORING MASTER'!$C$5:$C$7,0)),""))</f>
        <v/>
      </c>
      <c r="Y172" s="57" t="str">
        <f aca="false">IF('STUDENT SCREENING'!X172="","",IFERROR(INDEX('SCORING MASTER'!$D$9:$D$11,MATCH('STUDENT SCREENING'!X172,'SCORING MASTER'!$C$9:$C$11,0)),""))</f>
        <v/>
      </c>
      <c r="Z172" s="57" t="str">
        <f aca="false">IF('STUDENT SCREENING'!Y172="","",IFERROR(INDEX('SCORING MASTER'!$D$13:$D$15,MATCH('STUDENT SCREENING'!Y172,'SCORING MASTER'!$C$13:$C$15,0)),""))</f>
        <v/>
      </c>
      <c r="AA172" s="57" t="str">
        <f aca="false">IF('STUDENT SCREENING'!Z172="","",IFERROR(INDEX('SCORING MASTER'!$D$17:$D$19,MATCH('STUDENT SCREENING'!Z172,'SCORING MASTER'!$C$17:$C$19,0)),""))</f>
        <v/>
      </c>
      <c r="AB172" s="57" t="str">
        <f aca="false">IF('STUDENT SCREENING'!AA172="","",IFERROR(INDEX('SCORING MASTER'!$D$21:$D$23,MATCH('STUDENT SCREENING'!AA172,'SCORING MASTER'!$C$21:$C$23,0)),""))</f>
        <v/>
      </c>
      <c r="AC172" s="57" t="str">
        <f aca="false">IF('STUDENT SCREENING'!AB172="","",IFERROR(INDEX('SCORING MASTER'!$D$25:$D$27,MATCH('STUDENT SCREENING'!AB172,'SCORING MASTER'!$C$25:$C$27,0)),""))</f>
        <v/>
      </c>
      <c r="AD172" s="57" t="str">
        <f aca="false">IF('STUDENT SCREENING'!AC172="","",IFERROR(INDEX('SCORING MASTER'!$D$29:$D$31,MATCH('STUDENT SCREENING'!AC172,'SCORING MASTER'!$C$29:$C$31,0)),""))</f>
        <v/>
      </c>
      <c r="AE172" s="57" t="str">
        <f aca="false">IF('STUDENT SCREENING'!AD172="","",IFERROR(INDEX('SCORING MASTER'!$D$33:$D$35,MATCH('STUDENT SCREENING'!AD172,'SCORING MASTER'!$C$33:$C$35,0)),""))</f>
        <v/>
      </c>
      <c r="AF172" s="57" t="str">
        <f aca="false">IF('STUDENT SCREENING'!AE172="","",IFERROR(INDEX('SCORING MASTER'!$D$37:$D$39,MATCH('STUDENT SCREENING'!AE172,'SCORING MASTER'!$C$37:$C$39,0)),""))</f>
        <v/>
      </c>
      <c r="AG172" s="57" t="str">
        <f aca="false">IF('STUDENT SCREENING'!AF172="","",IFERROR(INDEX('SCORING MASTER'!$D$41:$D$43,MATCH('STUDENT SCREENING'!AF172,'SCORING MASTER'!$C$41:$C$43,0)),""))</f>
        <v/>
      </c>
      <c r="AH172" s="57" t="str">
        <f aca="false">IF('STUDENT SCREENING'!AG172="","",IFERROR(INDEX('SCORING MASTER'!$D$45:$D$47,MATCH('STUDENT SCREENING'!AG172,'SCORING MASTER'!$C$45:$C$47,0)),""))</f>
        <v/>
      </c>
      <c r="AI172" s="57" t="str">
        <f aca="false">IF('STUDENT SCREENING'!AH172="","",IFERROR(INDEX('SCORING MASTER'!$D$49:$D$52,MATCH('STUDENT SCREENING'!AH172,'SCORING MASTER'!$C$49:$C$52,0)),""))</f>
        <v/>
      </c>
      <c r="AJ172" s="57" t="str">
        <f aca="false">IF('STUDENT SCREENING'!AI172="","",IFERROR(INDEX('SCORING MASTER'!$D$54:$D$57,MATCH('STUDENT SCREENING'!AI172,'SCORING MASTER'!$C$54:$C$57,0)),""))</f>
        <v/>
      </c>
      <c r="AK172" s="57" t="str">
        <f aca="false">IF('STUDENT SCREENING'!AJ172="","",IFERROR(INDEX('SCORING MASTER'!$D$59:$D$60,MATCH('STUDENT SCREENING'!AJ172,'SCORING MASTER'!$C$59:$C$60,0)),""))</f>
        <v/>
      </c>
      <c r="AL172" s="57" t="str">
        <f aca="false">IF('STUDENT SCREENING'!AK172="","",IFERROR(INDEX('SCORING MASTER'!$D$62:$D$63,MATCH('STUDENT SCREENING'!AK172,'SCORING MASTER'!$C$62:$C$63,0)),""))</f>
        <v/>
      </c>
      <c r="AM172" s="57" t="str">
        <f aca="false">IF('STUDENT SCREENING'!AL172="","",IFERROR(INDEX('SCORING MASTER'!$D$65:$D$66,MATCH('STUDENT SCREENING'!AL172,'SCORING MASTER'!$C$65:$C$66,0)),""))</f>
        <v/>
      </c>
      <c r="AN172" s="57" t="str">
        <f aca="false">IF('STUDENT SCREENING'!AM172="","",IFERROR(INDEX('SCORING MASTER'!$D$68:$D$69,MATCH('STUDENT SCREENING'!AM172,'SCORING MASTER'!$C$68:$C$69,0)),""))</f>
        <v/>
      </c>
      <c r="AO172" s="57" t="str">
        <f aca="false">IF('STUDENT SCREENING'!AN172="","",IFERROR(INDEX('SCORING MASTER'!$D$71:$D$72,MATCH('STUDENT SCREENING'!AN172,'SCORING MASTER'!$C$71:$C$72,0)),""))</f>
        <v/>
      </c>
      <c r="AP172" s="57" t="str">
        <f aca="false">IF('STUDENT SCREENING'!AO172="","",IFERROR(INDEX('SCORING MASTER'!$D$74:$D$75,MATCH('STUDENT SCREENING'!AO172,'SCORING MASTER'!$C$74:$C$75,0)),""))</f>
        <v/>
      </c>
      <c r="AQ172" s="57" t="str">
        <f aca="false">IF('STUDENT SCREENING'!AP172="","",IFERROR(INDEX('SCORING MASTER'!$D$77:$D$78,MATCH('STUDENT SCREENING'!AP172,'SCORING MASTER'!$C$77:$C$78,0)),""))</f>
        <v/>
      </c>
      <c r="AR172" s="57" t="str">
        <f aca="false">IF('STUDENT SCREENING'!AQ172="","",IFERROR(INDEX('SCORING MASTER'!$D$80:$D$82,MATCH('STUDENT SCREENING'!AQ172,'SCORING MASTER'!$C$80:$C$82,0)),""))</f>
        <v/>
      </c>
      <c r="AS172" s="57" t="str">
        <f aca="false">IF('STUDENT SCREENING'!AR172="","",IFERROR(INDEX('SCORING MASTER'!$D$84:$D$86,MATCH('STUDENT SCREENING'!AR172,'SCORING MASTER'!$C$84:$C$86,0)),""))</f>
        <v/>
      </c>
      <c r="AT172" s="57" t="str">
        <f aca="false">IF('STUDENT SCREENING'!AS172="","",IFERROR(INDEX('SCORING MASTER'!$D$88:$D$90,MATCH('STUDENT SCREENING'!AS172,'SCORING MASTER'!$C$88:$C$90,0)),""))</f>
        <v/>
      </c>
      <c r="AU172" s="57" t="str">
        <f aca="false">IF('STUDENT SCREENING'!AT172="","",IFERROR(INDEX('SCORING MASTER'!$D$92:$D$93,MATCH('STUDENT SCREENING'!AT172,'SCORING MASTER'!$C$92:$C$93,0)),""))</f>
        <v/>
      </c>
      <c r="AV172" s="57" t="str">
        <f aca="false">IF('STUDENT SCREENING'!AU172="","",IFERROR(INDEX('SCORING MASTER'!$D$95:$D$96,MATCH('STUDENT SCREENING'!AU172,'SCORING MASTER'!$C$95:$C$96,0)),""))</f>
        <v/>
      </c>
      <c r="AW172" s="57" t="str">
        <f aca="false">IF('STUDENT SCREENING'!AV172="","",IFERROR(INDEX('SCORING MASTER'!$D$98:$D$99,MATCH('STUDENT SCREENING'!AV172,'SCORING MASTER'!$C$98:$C$99,0)),""))</f>
        <v/>
      </c>
      <c r="AX172" s="57" t="str">
        <f aca="false">IF('STUDENT SCREENING'!AW172="","",IFERROR(INDEX('SCORING MASTER'!$D$101:$D$102,MATCH('STUDENT SCREENING'!AW172,'SCORING MASTER'!$C$101:$C$102,0)),""))</f>
        <v/>
      </c>
      <c r="AY172" s="57" t="str">
        <f aca="false">IF('STUDENT SCREENING'!AX172="","",IFERROR(INDEX('SCORING MASTER'!$D$104:$D$105,MATCH('STUDENT SCREENING'!AX172,'SCORING MASTER'!$C$104:$C$105,0)),""))</f>
        <v/>
      </c>
      <c r="AZ172" s="57" t="str">
        <f aca="false">IF('STUDENT SCREENING'!AY172="","",IFERROR(INDEX('SCORING MASTER'!$D$107:$D$108,MATCH('STUDENT SCREENING'!AY172,'SCORING MASTER'!$C$107:$C$108,0)),""))</f>
        <v/>
      </c>
      <c r="BA172" s="57" t="str">
        <f aca="false">IF('STUDENT SCREENING'!AZ172="","",IFERROR(INDEX('SCORING MASTER'!$D$110:$D$111,MATCH('STUDENT SCREENING'!AZ172,'SCORING MASTER'!$C$110:$C$111,0)),""))</f>
        <v/>
      </c>
      <c r="BB172" s="57" t="str">
        <f aca="false">IF('STUDENT SCREENING'!BA172="","",IFERROR(INDEX('SCORING MASTER'!$D$113:$D$115,MATCH('STUDENT SCREENING'!BA172,'SCORING MASTER'!$C$113:$C$115,0)),""))</f>
        <v/>
      </c>
      <c r="BC172" s="57" t="str">
        <f aca="false">IF('STUDENT SCREENING'!BB172="","",IFERROR(INDEX('SCORING MASTER'!$D$117:$D$119,MATCH('STUDENT SCREENING'!BB172,'SCORING MASTER'!$C$117:$C$119,0)),""))</f>
        <v/>
      </c>
      <c r="BD172" s="57" t="str">
        <f aca="false">IF('STUDENT SCREENING'!BC172="","",IFERROR(INDEX('SCORING MASTER'!$D$121:$D$123,MATCH('STUDENT SCREENING'!BC172,'SCORING MASTER'!$C$121:$C$123,0)),""))</f>
        <v/>
      </c>
      <c r="BE172" s="57" t="str">
        <f aca="false">IF('STUDENT SCREENING'!BD172="","",IFERROR(INDEX('SCORING MASTER'!$D$125:$D$126,MATCH('STUDENT SCREENING'!BD172,'SCORING MASTER'!$C$125:$C$126,0)),""))</f>
        <v/>
      </c>
      <c r="BF172" s="57" t="str">
        <f aca="false">IF('STUDENT SCREENING'!BE172="","",IFERROR(INDEX('SCORING MASTER'!$D$128:$D$129,MATCH('STUDENT SCREENING'!BE172,'SCORING MASTER'!$C$128:$C$129,0)),""))</f>
        <v/>
      </c>
      <c r="BG172" s="57" t="str">
        <f aca="false">IF('STUDENT SCREENING'!BP172="","",IFERROR(MATCH('STUDENT SCREENING'!BP172,{"Red - High Risk","Orange - Moderate Risk","Yellow - Mild Risk","Light Green - Mild Watch","Green - Healthy"},0)-1,""))</f>
        <v/>
      </c>
      <c r="BH172" s="57" t="str">
        <f aca="false">IF('STUDENT SCREENING'!BQ172="","",IF('STUDENT SCREENING'!BQ172="Yes",1,0))</f>
        <v/>
      </c>
      <c r="BI172" s="57" t="str">
        <f aca="false">IF('STUDENT SCREENING'!BR172="","",IF('STUDENT SCREENING'!BR172="Yes",1,0))</f>
        <v/>
      </c>
    </row>
    <row r="173" customFormat="false" ht="15" hidden="false" customHeight="false" outlineLevel="0" collapsed="false">
      <c r="A173" s="58" t="str">
        <f aca="false">'STUDENT SCREENING'!A173</f>
        <v/>
      </c>
      <c r="B173" s="58" t="n">
        <f aca="false">'STUDENT SCREENING'!C173</f>
        <v>0</v>
      </c>
      <c r="C173" s="58" t="n">
        <f aca="false">'STUDENT SCREENING'!D173</f>
        <v>0</v>
      </c>
      <c r="D173" s="58" t="n">
        <f aca="false">'STUDENT SCREENING'!E173</f>
        <v>0</v>
      </c>
      <c r="E173" s="58" t="n">
        <f aca="false">'STUDENT SCREENING'!F173</f>
        <v>0</v>
      </c>
      <c r="F173" s="58" t="n">
        <f aca="false">'STUDENT SCREENING'!K173</f>
        <v>0</v>
      </c>
      <c r="G173" s="58" t="n">
        <f aca="false">'STUDENT SCREENING'!J173</f>
        <v>0</v>
      </c>
      <c r="H173" s="58" t="str">
        <f aca="false">IF('STUDENT SCREENING'!K173="","",IFERROR(MATCH('STUDENT SCREENING'!K173,Adm_Gender,0),""))</f>
        <v/>
      </c>
      <c r="I173" s="58" t="n">
        <f aca="false">'STUDENT SCREENING'!Q173</f>
        <v>0</v>
      </c>
      <c r="J173" s="58" t="n">
        <f aca="false">'STUDENT SCREENING'!R173</f>
        <v>0</v>
      </c>
      <c r="K173" s="58" t="str">
        <f aca="false">'STUDENT SCREENING'!S173</f>
        <v/>
      </c>
      <c r="L173" s="58" t="n">
        <f aca="false">'STUDENT SCREENING'!U173</f>
        <v>0</v>
      </c>
      <c r="M173" s="58" t="n">
        <f aca="false">'STUDENT SCREENING'!V173</f>
        <v>0</v>
      </c>
      <c r="N173" s="58" t="str">
        <f aca="false">'STUDENT SCREENING'!BF173</f>
        <v/>
      </c>
      <c r="O173" s="58" t="str">
        <f aca="false">'STUDENT SCREENING'!BG173</f>
        <v/>
      </c>
      <c r="P173" s="58" t="str">
        <f aca="false">'STUDENT SCREENING'!BH173</f>
        <v/>
      </c>
      <c r="Q173" s="58" t="str">
        <f aca="false">'STUDENT SCREENING'!BI173</f>
        <v/>
      </c>
      <c r="R173" s="58" t="str">
        <f aca="false">'STUDENT SCREENING'!BJ173</f>
        <v/>
      </c>
      <c r="S173" s="58" t="str">
        <f aca="false">'STUDENT SCREENING'!BK173</f>
        <v/>
      </c>
      <c r="T173" s="58" t="str">
        <f aca="false">'STUDENT SCREENING'!BL173</f>
        <v/>
      </c>
      <c r="U173" s="58" t="str">
        <f aca="false">'STUDENT SCREENING'!BM173</f>
        <v/>
      </c>
      <c r="V173" s="58" t="str">
        <f aca="false">'STUDENT SCREENING'!BN173</f>
        <v/>
      </c>
      <c r="W173" s="58" t="str">
        <f aca="false">'STUDENT SCREENING'!BO173</f>
        <v/>
      </c>
      <c r="X173" s="58" t="str">
        <f aca="false">IF('STUDENT SCREENING'!W173="","",IFERROR(INDEX('SCORING MASTER'!$D$5:$D$7,MATCH('STUDENT SCREENING'!W173,'SCORING MASTER'!$C$5:$C$7,0)),""))</f>
        <v/>
      </c>
      <c r="Y173" s="58" t="str">
        <f aca="false">IF('STUDENT SCREENING'!X173="","",IFERROR(INDEX('SCORING MASTER'!$D$9:$D$11,MATCH('STUDENT SCREENING'!X173,'SCORING MASTER'!$C$9:$C$11,0)),""))</f>
        <v/>
      </c>
      <c r="Z173" s="58" t="str">
        <f aca="false">IF('STUDENT SCREENING'!Y173="","",IFERROR(INDEX('SCORING MASTER'!$D$13:$D$15,MATCH('STUDENT SCREENING'!Y173,'SCORING MASTER'!$C$13:$C$15,0)),""))</f>
        <v/>
      </c>
      <c r="AA173" s="58" t="str">
        <f aca="false">IF('STUDENT SCREENING'!Z173="","",IFERROR(INDEX('SCORING MASTER'!$D$17:$D$19,MATCH('STUDENT SCREENING'!Z173,'SCORING MASTER'!$C$17:$C$19,0)),""))</f>
        <v/>
      </c>
      <c r="AB173" s="58" t="str">
        <f aca="false">IF('STUDENT SCREENING'!AA173="","",IFERROR(INDEX('SCORING MASTER'!$D$21:$D$23,MATCH('STUDENT SCREENING'!AA173,'SCORING MASTER'!$C$21:$C$23,0)),""))</f>
        <v/>
      </c>
      <c r="AC173" s="58" t="str">
        <f aca="false">IF('STUDENT SCREENING'!AB173="","",IFERROR(INDEX('SCORING MASTER'!$D$25:$D$27,MATCH('STUDENT SCREENING'!AB173,'SCORING MASTER'!$C$25:$C$27,0)),""))</f>
        <v/>
      </c>
      <c r="AD173" s="58" t="str">
        <f aca="false">IF('STUDENT SCREENING'!AC173="","",IFERROR(INDEX('SCORING MASTER'!$D$29:$D$31,MATCH('STUDENT SCREENING'!AC173,'SCORING MASTER'!$C$29:$C$31,0)),""))</f>
        <v/>
      </c>
      <c r="AE173" s="58" t="str">
        <f aca="false">IF('STUDENT SCREENING'!AD173="","",IFERROR(INDEX('SCORING MASTER'!$D$33:$D$35,MATCH('STUDENT SCREENING'!AD173,'SCORING MASTER'!$C$33:$C$35,0)),""))</f>
        <v/>
      </c>
      <c r="AF173" s="58" t="str">
        <f aca="false">IF('STUDENT SCREENING'!AE173="","",IFERROR(INDEX('SCORING MASTER'!$D$37:$D$39,MATCH('STUDENT SCREENING'!AE173,'SCORING MASTER'!$C$37:$C$39,0)),""))</f>
        <v/>
      </c>
      <c r="AG173" s="58" t="str">
        <f aca="false">IF('STUDENT SCREENING'!AF173="","",IFERROR(INDEX('SCORING MASTER'!$D$41:$D$43,MATCH('STUDENT SCREENING'!AF173,'SCORING MASTER'!$C$41:$C$43,0)),""))</f>
        <v/>
      </c>
      <c r="AH173" s="58" t="str">
        <f aca="false">IF('STUDENT SCREENING'!AG173="","",IFERROR(INDEX('SCORING MASTER'!$D$45:$D$47,MATCH('STUDENT SCREENING'!AG173,'SCORING MASTER'!$C$45:$C$47,0)),""))</f>
        <v/>
      </c>
      <c r="AI173" s="58" t="str">
        <f aca="false">IF('STUDENT SCREENING'!AH173="","",IFERROR(INDEX('SCORING MASTER'!$D$49:$D$52,MATCH('STUDENT SCREENING'!AH173,'SCORING MASTER'!$C$49:$C$52,0)),""))</f>
        <v/>
      </c>
      <c r="AJ173" s="58" t="str">
        <f aca="false">IF('STUDENT SCREENING'!AI173="","",IFERROR(INDEX('SCORING MASTER'!$D$54:$D$57,MATCH('STUDENT SCREENING'!AI173,'SCORING MASTER'!$C$54:$C$57,0)),""))</f>
        <v/>
      </c>
      <c r="AK173" s="58" t="str">
        <f aca="false">IF('STUDENT SCREENING'!AJ173="","",IFERROR(INDEX('SCORING MASTER'!$D$59:$D$60,MATCH('STUDENT SCREENING'!AJ173,'SCORING MASTER'!$C$59:$C$60,0)),""))</f>
        <v/>
      </c>
      <c r="AL173" s="58" t="str">
        <f aca="false">IF('STUDENT SCREENING'!AK173="","",IFERROR(INDEX('SCORING MASTER'!$D$62:$D$63,MATCH('STUDENT SCREENING'!AK173,'SCORING MASTER'!$C$62:$C$63,0)),""))</f>
        <v/>
      </c>
      <c r="AM173" s="58" t="str">
        <f aca="false">IF('STUDENT SCREENING'!AL173="","",IFERROR(INDEX('SCORING MASTER'!$D$65:$D$66,MATCH('STUDENT SCREENING'!AL173,'SCORING MASTER'!$C$65:$C$66,0)),""))</f>
        <v/>
      </c>
      <c r="AN173" s="58" t="str">
        <f aca="false">IF('STUDENT SCREENING'!AM173="","",IFERROR(INDEX('SCORING MASTER'!$D$68:$D$69,MATCH('STUDENT SCREENING'!AM173,'SCORING MASTER'!$C$68:$C$69,0)),""))</f>
        <v/>
      </c>
      <c r="AO173" s="58" t="str">
        <f aca="false">IF('STUDENT SCREENING'!AN173="","",IFERROR(INDEX('SCORING MASTER'!$D$71:$D$72,MATCH('STUDENT SCREENING'!AN173,'SCORING MASTER'!$C$71:$C$72,0)),""))</f>
        <v/>
      </c>
      <c r="AP173" s="58" t="str">
        <f aca="false">IF('STUDENT SCREENING'!AO173="","",IFERROR(INDEX('SCORING MASTER'!$D$74:$D$75,MATCH('STUDENT SCREENING'!AO173,'SCORING MASTER'!$C$74:$C$75,0)),""))</f>
        <v/>
      </c>
      <c r="AQ173" s="58" t="str">
        <f aca="false">IF('STUDENT SCREENING'!AP173="","",IFERROR(INDEX('SCORING MASTER'!$D$77:$D$78,MATCH('STUDENT SCREENING'!AP173,'SCORING MASTER'!$C$77:$C$78,0)),""))</f>
        <v/>
      </c>
      <c r="AR173" s="58" t="str">
        <f aca="false">IF('STUDENT SCREENING'!AQ173="","",IFERROR(INDEX('SCORING MASTER'!$D$80:$D$82,MATCH('STUDENT SCREENING'!AQ173,'SCORING MASTER'!$C$80:$C$82,0)),""))</f>
        <v/>
      </c>
      <c r="AS173" s="58" t="str">
        <f aca="false">IF('STUDENT SCREENING'!AR173="","",IFERROR(INDEX('SCORING MASTER'!$D$84:$D$86,MATCH('STUDENT SCREENING'!AR173,'SCORING MASTER'!$C$84:$C$86,0)),""))</f>
        <v/>
      </c>
      <c r="AT173" s="58" t="str">
        <f aca="false">IF('STUDENT SCREENING'!AS173="","",IFERROR(INDEX('SCORING MASTER'!$D$88:$D$90,MATCH('STUDENT SCREENING'!AS173,'SCORING MASTER'!$C$88:$C$90,0)),""))</f>
        <v/>
      </c>
      <c r="AU173" s="58" t="str">
        <f aca="false">IF('STUDENT SCREENING'!AT173="","",IFERROR(INDEX('SCORING MASTER'!$D$92:$D$93,MATCH('STUDENT SCREENING'!AT173,'SCORING MASTER'!$C$92:$C$93,0)),""))</f>
        <v/>
      </c>
      <c r="AV173" s="58" t="str">
        <f aca="false">IF('STUDENT SCREENING'!AU173="","",IFERROR(INDEX('SCORING MASTER'!$D$95:$D$96,MATCH('STUDENT SCREENING'!AU173,'SCORING MASTER'!$C$95:$C$96,0)),""))</f>
        <v/>
      </c>
      <c r="AW173" s="58" t="str">
        <f aca="false">IF('STUDENT SCREENING'!AV173="","",IFERROR(INDEX('SCORING MASTER'!$D$98:$D$99,MATCH('STUDENT SCREENING'!AV173,'SCORING MASTER'!$C$98:$C$99,0)),""))</f>
        <v/>
      </c>
      <c r="AX173" s="58" t="str">
        <f aca="false">IF('STUDENT SCREENING'!AW173="","",IFERROR(INDEX('SCORING MASTER'!$D$101:$D$102,MATCH('STUDENT SCREENING'!AW173,'SCORING MASTER'!$C$101:$C$102,0)),""))</f>
        <v/>
      </c>
      <c r="AY173" s="58" t="str">
        <f aca="false">IF('STUDENT SCREENING'!AX173="","",IFERROR(INDEX('SCORING MASTER'!$D$104:$D$105,MATCH('STUDENT SCREENING'!AX173,'SCORING MASTER'!$C$104:$C$105,0)),""))</f>
        <v/>
      </c>
      <c r="AZ173" s="58" t="str">
        <f aca="false">IF('STUDENT SCREENING'!AY173="","",IFERROR(INDEX('SCORING MASTER'!$D$107:$D$108,MATCH('STUDENT SCREENING'!AY173,'SCORING MASTER'!$C$107:$C$108,0)),""))</f>
        <v/>
      </c>
      <c r="BA173" s="58" t="str">
        <f aca="false">IF('STUDENT SCREENING'!AZ173="","",IFERROR(INDEX('SCORING MASTER'!$D$110:$D$111,MATCH('STUDENT SCREENING'!AZ173,'SCORING MASTER'!$C$110:$C$111,0)),""))</f>
        <v/>
      </c>
      <c r="BB173" s="58" t="str">
        <f aca="false">IF('STUDENT SCREENING'!BA173="","",IFERROR(INDEX('SCORING MASTER'!$D$113:$D$115,MATCH('STUDENT SCREENING'!BA173,'SCORING MASTER'!$C$113:$C$115,0)),""))</f>
        <v/>
      </c>
      <c r="BC173" s="58" t="str">
        <f aca="false">IF('STUDENT SCREENING'!BB173="","",IFERROR(INDEX('SCORING MASTER'!$D$117:$D$119,MATCH('STUDENT SCREENING'!BB173,'SCORING MASTER'!$C$117:$C$119,0)),""))</f>
        <v/>
      </c>
      <c r="BD173" s="58" t="str">
        <f aca="false">IF('STUDENT SCREENING'!BC173="","",IFERROR(INDEX('SCORING MASTER'!$D$121:$D$123,MATCH('STUDENT SCREENING'!BC173,'SCORING MASTER'!$C$121:$C$123,0)),""))</f>
        <v/>
      </c>
      <c r="BE173" s="58" t="str">
        <f aca="false">IF('STUDENT SCREENING'!BD173="","",IFERROR(INDEX('SCORING MASTER'!$D$125:$D$126,MATCH('STUDENT SCREENING'!BD173,'SCORING MASTER'!$C$125:$C$126,0)),""))</f>
        <v/>
      </c>
      <c r="BF173" s="58" t="str">
        <f aca="false">IF('STUDENT SCREENING'!BE173="","",IFERROR(INDEX('SCORING MASTER'!$D$128:$D$129,MATCH('STUDENT SCREENING'!BE173,'SCORING MASTER'!$C$128:$C$129,0)),""))</f>
        <v/>
      </c>
      <c r="BG173" s="58" t="str">
        <f aca="false">IF('STUDENT SCREENING'!BP173="","",IFERROR(MATCH('STUDENT SCREENING'!BP173,{"Red - High Risk","Orange - Moderate Risk","Yellow - Mild Risk","Light Green - Mild Watch","Green - Healthy"},0)-1,""))</f>
        <v/>
      </c>
      <c r="BH173" s="58" t="str">
        <f aca="false">IF('STUDENT SCREENING'!BQ173="","",IF('STUDENT SCREENING'!BQ173="Yes",1,0))</f>
        <v/>
      </c>
      <c r="BI173" s="58" t="str">
        <f aca="false">IF('STUDENT SCREENING'!BR173="","",IF('STUDENT SCREENING'!BR173="Yes",1,0))</f>
        <v/>
      </c>
    </row>
    <row r="174" customFormat="false" ht="15" hidden="false" customHeight="false" outlineLevel="0" collapsed="false">
      <c r="A174" s="57" t="str">
        <f aca="false">'STUDENT SCREENING'!A174</f>
        <v/>
      </c>
      <c r="B174" s="57" t="n">
        <f aca="false">'STUDENT SCREENING'!C174</f>
        <v>0</v>
      </c>
      <c r="C174" s="57" t="n">
        <f aca="false">'STUDENT SCREENING'!D174</f>
        <v>0</v>
      </c>
      <c r="D174" s="57" t="n">
        <f aca="false">'STUDENT SCREENING'!E174</f>
        <v>0</v>
      </c>
      <c r="E174" s="57" t="n">
        <f aca="false">'STUDENT SCREENING'!F174</f>
        <v>0</v>
      </c>
      <c r="F174" s="57" t="n">
        <f aca="false">'STUDENT SCREENING'!K174</f>
        <v>0</v>
      </c>
      <c r="G174" s="57" t="n">
        <f aca="false">'STUDENT SCREENING'!J174</f>
        <v>0</v>
      </c>
      <c r="H174" s="57" t="str">
        <f aca="false">IF('STUDENT SCREENING'!K174="","",IFERROR(MATCH('STUDENT SCREENING'!K174,Adm_Gender,0),""))</f>
        <v/>
      </c>
      <c r="I174" s="57" t="n">
        <f aca="false">'STUDENT SCREENING'!Q174</f>
        <v>0</v>
      </c>
      <c r="J174" s="57" t="n">
        <f aca="false">'STUDENT SCREENING'!R174</f>
        <v>0</v>
      </c>
      <c r="K174" s="57" t="str">
        <f aca="false">'STUDENT SCREENING'!S174</f>
        <v/>
      </c>
      <c r="L174" s="57" t="n">
        <f aca="false">'STUDENT SCREENING'!U174</f>
        <v>0</v>
      </c>
      <c r="M174" s="57" t="n">
        <f aca="false">'STUDENT SCREENING'!V174</f>
        <v>0</v>
      </c>
      <c r="N174" s="57" t="str">
        <f aca="false">'STUDENT SCREENING'!BF174</f>
        <v/>
      </c>
      <c r="O174" s="57" t="str">
        <f aca="false">'STUDENT SCREENING'!BG174</f>
        <v/>
      </c>
      <c r="P174" s="57" t="str">
        <f aca="false">'STUDENT SCREENING'!BH174</f>
        <v/>
      </c>
      <c r="Q174" s="57" t="str">
        <f aca="false">'STUDENT SCREENING'!BI174</f>
        <v/>
      </c>
      <c r="R174" s="57" t="str">
        <f aca="false">'STUDENT SCREENING'!BJ174</f>
        <v/>
      </c>
      <c r="S174" s="57" t="str">
        <f aca="false">'STUDENT SCREENING'!BK174</f>
        <v/>
      </c>
      <c r="T174" s="57" t="str">
        <f aca="false">'STUDENT SCREENING'!BL174</f>
        <v/>
      </c>
      <c r="U174" s="57" t="str">
        <f aca="false">'STUDENT SCREENING'!BM174</f>
        <v/>
      </c>
      <c r="V174" s="57" t="str">
        <f aca="false">'STUDENT SCREENING'!BN174</f>
        <v/>
      </c>
      <c r="W174" s="57" t="str">
        <f aca="false">'STUDENT SCREENING'!BO174</f>
        <v/>
      </c>
      <c r="X174" s="57" t="str">
        <f aca="false">IF('STUDENT SCREENING'!W174="","",IFERROR(INDEX('SCORING MASTER'!$D$5:$D$7,MATCH('STUDENT SCREENING'!W174,'SCORING MASTER'!$C$5:$C$7,0)),""))</f>
        <v/>
      </c>
      <c r="Y174" s="57" t="str">
        <f aca="false">IF('STUDENT SCREENING'!X174="","",IFERROR(INDEX('SCORING MASTER'!$D$9:$D$11,MATCH('STUDENT SCREENING'!X174,'SCORING MASTER'!$C$9:$C$11,0)),""))</f>
        <v/>
      </c>
      <c r="Z174" s="57" t="str">
        <f aca="false">IF('STUDENT SCREENING'!Y174="","",IFERROR(INDEX('SCORING MASTER'!$D$13:$D$15,MATCH('STUDENT SCREENING'!Y174,'SCORING MASTER'!$C$13:$C$15,0)),""))</f>
        <v/>
      </c>
      <c r="AA174" s="57" t="str">
        <f aca="false">IF('STUDENT SCREENING'!Z174="","",IFERROR(INDEX('SCORING MASTER'!$D$17:$D$19,MATCH('STUDENT SCREENING'!Z174,'SCORING MASTER'!$C$17:$C$19,0)),""))</f>
        <v/>
      </c>
      <c r="AB174" s="57" t="str">
        <f aca="false">IF('STUDENT SCREENING'!AA174="","",IFERROR(INDEX('SCORING MASTER'!$D$21:$D$23,MATCH('STUDENT SCREENING'!AA174,'SCORING MASTER'!$C$21:$C$23,0)),""))</f>
        <v/>
      </c>
      <c r="AC174" s="57" t="str">
        <f aca="false">IF('STUDENT SCREENING'!AB174="","",IFERROR(INDEX('SCORING MASTER'!$D$25:$D$27,MATCH('STUDENT SCREENING'!AB174,'SCORING MASTER'!$C$25:$C$27,0)),""))</f>
        <v/>
      </c>
      <c r="AD174" s="57" t="str">
        <f aca="false">IF('STUDENT SCREENING'!AC174="","",IFERROR(INDEX('SCORING MASTER'!$D$29:$D$31,MATCH('STUDENT SCREENING'!AC174,'SCORING MASTER'!$C$29:$C$31,0)),""))</f>
        <v/>
      </c>
      <c r="AE174" s="57" t="str">
        <f aca="false">IF('STUDENT SCREENING'!AD174="","",IFERROR(INDEX('SCORING MASTER'!$D$33:$D$35,MATCH('STUDENT SCREENING'!AD174,'SCORING MASTER'!$C$33:$C$35,0)),""))</f>
        <v/>
      </c>
      <c r="AF174" s="57" t="str">
        <f aca="false">IF('STUDENT SCREENING'!AE174="","",IFERROR(INDEX('SCORING MASTER'!$D$37:$D$39,MATCH('STUDENT SCREENING'!AE174,'SCORING MASTER'!$C$37:$C$39,0)),""))</f>
        <v/>
      </c>
      <c r="AG174" s="57" t="str">
        <f aca="false">IF('STUDENT SCREENING'!AF174="","",IFERROR(INDEX('SCORING MASTER'!$D$41:$D$43,MATCH('STUDENT SCREENING'!AF174,'SCORING MASTER'!$C$41:$C$43,0)),""))</f>
        <v/>
      </c>
      <c r="AH174" s="57" t="str">
        <f aca="false">IF('STUDENT SCREENING'!AG174="","",IFERROR(INDEX('SCORING MASTER'!$D$45:$D$47,MATCH('STUDENT SCREENING'!AG174,'SCORING MASTER'!$C$45:$C$47,0)),""))</f>
        <v/>
      </c>
      <c r="AI174" s="57" t="str">
        <f aca="false">IF('STUDENT SCREENING'!AH174="","",IFERROR(INDEX('SCORING MASTER'!$D$49:$D$52,MATCH('STUDENT SCREENING'!AH174,'SCORING MASTER'!$C$49:$C$52,0)),""))</f>
        <v/>
      </c>
      <c r="AJ174" s="57" t="str">
        <f aca="false">IF('STUDENT SCREENING'!AI174="","",IFERROR(INDEX('SCORING MASTER'!$D$54:$D$57,MATCH('STUDENT SCREENING'!AI174,'SCORING MASTER'!$C$54:$C$57,0)),""))</f>
        <v/>
      </c>
      <c r="AK174" s="57" t="str">
        <f aca="false">IF('STUDENT SCREENING'!AJ174="","",IFERROR(INDEX('SCORING MASTER'!$D$59:$D$60,MATCH('STUDENT SCREENING'!AJ174,'SCORING MASTER'!$C$59:$C$60,0)),""))</f>
        <v/>
      </c>
      <c r="AL174" s="57" t="str">
        <f aca="false">IF('STUDENT SCREENING'!AK174="","",IFERROR(INDEX('SCORING MASTER'!$D$62:$D$63,MATCH('STUDENT SCREENING'!AK174,'SCORING MASTER'!$C$62:$C$63,0)),""))</f>
        <v/>
      </c>
      <c r="AM174" s="57" t="str">
        <f aca="false">IF('STUDENT SCREENING'!AL174="","",IFERROR(INDEX('SCORING MASTER'!$D$65:$D$66,MATCH('STUDENT SCREENING'!AL174,'SCORING MASTER'!$C$65:$C$66,0)),""))</f>
        <v/>
      </c>
      <c r="AN174" s="57" t="str">
        <f aca="false">IF('STUDENT SCREENING'!AM174="","",IFERROR(INDEX('SCORING MASTER'!$D$68:$D$69,MATCH('STUDENT SCREENING'!AM174,'SCORING MASTER'!$C$68:$C$69,0)),""))</f>
        <v/>
      </c>
      <c r="AO174" s="57" t="str">
        <f aca="false">IF('STUDENT SCREENING'!AN174="","",IFERROR(INDEX('SCORING MASTER'!$D$71:$D$72,MATCH('STUDENT SCREENING'!AN174,'SCORING MASTER'!$C$71:$C$72,0)),""))</f>
        <v/>
      </c>
      <c r="AP174" s="57" t="str">
        <f aca="false">IF('STUDENT SCREENING'!AO174="","",IFERROR(INDEX('SCORING MASTER'!$D$74:$D$75,MATCH('STUDENT SCREENING'!AO174,'SCORING MASTER'!$C$74:$C$75,0)),""))</f>
        <v/>
      </c>
      <c r="AQ174" s="57" t="str">
        <f aca="false">IF('STUDENT SCREENING'!AP174="","",IFERROR(INDEX('SCORING MASTER'!$D$77:$D$78,MATCH('STUDENT SCREENING'!AP174,'SCORING MASTER'!$C$77:$C$78,0)),""))</f>
        <v/>
      </c>
      <c r="AR174" s="57" t="str">
        <f aca="false">IF('STUDENT SCREENING'!AQ174="","",IFERROR(INDEX('SCORING MASTER'!$D$80:$D$82,MATCH('STUDENT SCREENING'!AQ174,'SCORING MASTER'!$C$80:$C$82,0)),""))</f>
        <v/>
      </c>
      <c r="AS174" s="57" t="str">
        <f aca="false">IF('STUDENT SCREENING'!AR174="","",IFERROR(INDEX('SCORING MASTER'!$D$84:$D$86,MATCH('STUDENT SCREENING'!AR174,'SCORING MASTER'!$C$84:$C$86,0)),""))</f>
        <v/>
      </c>
      <c r="AT174" s="57" t="str">
        <f aca="false">IF('STUDENT SCREENING'!AS174="","",IFERROR(INDEX('SCORING MASTER'!$D$88:$D$90,MATCH('STUDENT SCREENING'!AS174,'SCORING MASTER'!$C$88:$C$90,0)),""))</f>
        <v/>
      </c>
      <c r="AU174" s="57" t="str">
        <f aca="false">IF('STUDENT SCREENING'!AT174="","",IFERROR(INDEX('SCORING MASTER'!$D$92:$D$93,MATCH('STUDENT SCREENING'!AT174,'SCORING MASTER'!$C$92:$C$93,0)),""))</f>
        <v/>
      </c>
      <c r="AV174" s="57" t="str">
        <f aca="false">IF('STUDENT SCREENING'!AU174="","",IFERROR(INDEX('SCORING MASTER'!$D$95:$D$96,MATCH('STUDENT SCREENING'!AU174,'SCORING MASTER'!$C$95:$C$96,0)),""))</f>
        <v/>
      </c>
      <c r="AW174" s="57" t="str">
        <f aca="false">IF('STUDENT SCREENING'!AV174="","",IFERROR(INDEX('SCORING MASTER'!$D$98:$D$99,MATCH('STUDENT SCREENING'!AV174,'SCORING MASTER'!$C$98:$C$99,0)),""))</f>
        <v/>
      </c>
      <c r="AX174" s="57" t="str">
        <f aca="false">IF('STUDENT SCREENING'!AW174="","",IFERROR(INDEX('SCORING MASTER'!$D$101:$D$102,MATCH('STUDENT SCREENING'!AW174,'SCORING MASTER'!$C$101:$C$102,0)),""))</f>
        <v/>
      </c>
      <c r="AY174" s="57" t="str">
        <f aca="false">IF('STUDENT SCREENING'!AX174="","",IFERROR(INDEX('SCORING MASTER'!$D$104:$D$105,MATCH('STUDENT SCREENING'!AX174,'SCORING MASTER'!$C$104:$C$105,0)),""))</f>
        <v/>
      </c>
      <c r="AZ174" s="57" t="str">
        <f aca="false">IF('STUDENT SCREENING'!AY174="","",IFERROR(INDEX('SCORING MASTER'!$D$107:$D$108,MATCH('STUDENT SCREENING'!AY174,'SCORING MASTER'!$C$107:$C$108,0)),""))</f>
        <v/>
      </c>
      <c r="BA174" s="57" t="str">
        <f aca="false">IF('STUDENT SCREENING'!AZ174="","",IFERROR(INDEX('SCORING MASTER'!$D$110:$D$111,MATCH('STUDENT SCREENING'!AZ174,'SCORING MASTER'!$C$110:$C$111,0)),""))</f>
        <v/>
      </c>
      <c r="BB174" s="57" t="str">
        <f aca="false">IF('STUDENT SCREENING'!BA174="","",IFERROR(INDEX('SCORING MASTER'!$D$113:$D$115,MATCH('STUDENT SCREENING'!BA174,'SCORING MASTER'!$C$113:$C$115,0)),""))</f>
        <v/>
      </c>
      <c r="BC174" s="57" t="str">
        <f aca="false">IF('STUDENT SCREENING'!BB174="","",IFERROR(INDEX('SCORING MASTER'!$D$117:$D$119,MATCH('STUDENT SCREENING'!BB174,'SCORING MASTER'!$C$117:$C$119,0)),""))</f>
        <v/>
      </c>
      <c r="BD174" s="57" t="str">
        <f aca="false">IF('STUDENT SCREENING'!BC174="","",IFERROR(INDEX('SCORING MASTER'!$D$121:$D$123,MATCH('STUDENT SCREENING'!BC174,'SCORING MASTER'!$C$121:$C$123,0)),""))</f>
        <v/>
      </c>
      <c r="BE174" s="57" t="str">
        <f aca="false">IF('STUDENT SCREENING'!BD174="","",IFERROR(INDEX('SCORING MASTER'!$D$125:$D$126,MATCH('STUDENT SCREENING'!BD174,'SCORING MASTER'!$C$125:$C$126,0)),""))</f>
        <v/>
      </c>
      <c r="BF174" s="57" t="str">
        <f aca="false">IF('STUDENT SCREENING'!BE174="","",IFERROR(INDEX('SCORING MASTER'!$D$128:$D$129,MATCH('STUDENT SCREENING'!BE174,'SCORING MASTER'!$C$128:$C$129,0)),""))</f>
        <v/>
      </c>
      <c r="BG174" s="57" t="str">
        <f aca="false">IF('STUDENT SCREENING'!BP174="","",IFERROR(MATCH('STUDENT SCREENING'!BP174,{"Red - High Risk","Orange - Moderate Risk","Yellow - Mild Risk","Light Green - Mild Watch","Green - Healthy"},0)-1,""))</f>
        <v/>
      </c>
      <c r="BH174" s="57" t="str">
        <f aca="false">IF('STUDENT SCREENING'!BQ174="","",IF('STUDENT SCREENING'!BQ174="Yes",1,0))</f>
        <v/>
      </c>
      <c r="BI174" s="57" t="str">
        <f aca="false">IF('STUDENT SCREENING'!BR174="","",IF('STUDENT SCREENING'!BR174="Yes",1,0))</f>
        <v/>
      </c>
    </row>
    <row r="175" customFormat="false" ht="15" hidden="false" customHeight="false" outlineLevel="0" collapsed="false">
      <c r="A175" s="58" t="str">
        <f aca="false">'STUDENT SCREENING'!A175</f>
        <v/>
      </c>
      <c r="B175" s="58" t="n">
        <f aca="false">'STUDENT SCREENING'!C175</f>
        <v>0</v>
      </c>
      <c r="C175" s="58" t="n">
        <f aca="false">'STUDENT SCREENING'!D175</f>
        <v>0</v>
      </c>
      <c r="D175" s="58" t="n">
        <f aca="false">'STUDENT SCREENING'!E175</f>
        <v>0</v>
      </c>
      <c r="E175" s="58" t="n">
        <f aca="false">'STUDENT SCREENING'!F175</f>
        <v>0</v>
      </c>
      <c r="F175" s="58" t="n">
        <f aca="false">'STUDENT SCREENING'!K175</f>
        <v>0</v>
      </c>
      <c r="G175" s="58" t="n">
        <f aca="false">'STUDENT SCREENING'!J175</f>
        <v>0</v>
      </c>
      <c r="H175" s="58" t="str">
        <f aca="false">IF('STUDENT SCREENING'!K175="","",IFERROR(MATCH('STUDENT SCREENING'!K175,Adm_Gender,0),""))</f>
        <v/>
      </c>
      <c r="I175" s="58" t="n">
        <f aca="false">'STUDENT SCREENING'!Q175</f>
        <v>0</v>
      </c>
      <c r="J175" s="58" t="n">
        <f aca="false">'STUDENT SCREENING'!R175</f>
        <v>0</v>
      </c>
      <c r="K175" s="58" t="str">
        <f aca="false">'STUDENT SCREENING'!S175</f>
        <v/>
      </c>
      <c r="L175" s="58" t="n">
        <f aca="false">'STUDENT SCREENING'!U175</f>
        <v>0</v>
      </c>
      <c r="M175" s="58" t="n">
        <f aca="false">'STUDENT SCREENING'!V175</f>
        <v>0</v>
      </c>
      <c r="N175" s="58" t="str">
        <f aca="false">'STUDENT SCREENING'!BF175</f>
        <v/>
      </c>
      <c r="O175" s="58" t="str">
        <f aca="false">'STUDENT SCREENING'!BG175</f>
        <v/>
      </c>
      <c r="P175" s="58" t="str">
        <f aca="false">'STUDENT SCREENING'!BH175</f>
        <v/>
      </c>
      <c r="Q175" s="58" t="str">
        <f aca="false">'STUDENT SCREENING'!BI175</f>
        <v/>
      </c>
      <c r="R175" s="58" t="str">
        <f aca="false">'STUDENT SCREENING'!BJ175</f>
        <v/>
      </c>
      <c r="S175" s="58" t="str">
        <f aca="false">'STUDENT SCREENING'!BK175</f>
        <v/>
      </c>
      <c r="T175" s="58" t="str">
        <f aca="false">'STUDENT SCREENING'!BL175</f>
        <v/>
      </c>
      <c r="U175" s="58" t="str">
        <f aca="false">'STUDENT SCREENING'!BM175</f>
        <v/>
      </c>
      <c r="V175" s="58" t="str">
        <f aca="false">'STUDENT SCREENING'!BN175</f>
        <v/>
      </c>
      <c r="W175" s="58" t="str">
        <f aca="false">'STUDENT SCREENING'!BO175</f>
        <v/>
      </c>
      <c r="X175" s="58" t="str">
        <f aca="false">IF('STUDENT SCREENING'!W175="","",IFERROR(INDEX('SCORING MASTER'!$D$5:$D$7,MATCH('STUDENT SCREENING'!W175,'SCORING MASTER'!$C$5:$C$7,0)),""))</f>
        <v/>
      </c>
      <c r="Y175" s="58" t="str">
        <f aca="false">IF('STUDENT SCREENING'!X175="","",IFERROR(INDEX('SCORING MASTER'!$D$9:$D$11,MATCH('STUDENT SCREENING'!X175,'SCORING MASTER'!$C$9:$C$11,0)),""))</f>
        <v/>
      </c>
      <c r="Z175" s="58" t="str">
        <f aca="false">IF('STUDENT SCREENING'!Y175="","",IFERROR(INDEX('SCORING MASTER'!$D$13:$D$15,MATCH('STUDENT SCREENING'!Y175,'SCORING MASTER'!$C$13:$C$15,0)),""))</f>
        <v/>
      </c>
      <c r="AA175" s="58" t="str">
        <f aca="false">IF('STUDENT SCREENING'!Z175="","",IFERROR(INDEX('SCORING MASTER'!$D$17:$D$19,MATCH('STUDENT SCREENING'!Z175,'SCORING MASTER'!$C$17:$C$19,0)),""))</f>
        <v/>
      </c>
      <c r="AB175" s="58" t="str">
        <f aca="false">IF('STUDENT SCREENING'!AA175="","",IFERROR(INDEX('SCORING MASTER'!$D$21:$D$23,MATCH('STUDENT SCREENING'!AA175,'SCORING MASTER'!$C$21:$C$23,0)),""))</f>
        <v/>
      </c>
      <c r="AC175" s="58" t="str">
        <f aca="false">IF('STUDENT SCREENING'!AB175="","",IFERROR(INDEX('SCORING MASTER'!$D$25:$D$27,MATCH('STUDENT SCREENING'!AB175,'SCORING MASTER'!$C$25:$C$27,0)),""))</f>
        <v/>
      </c>
      <c r="AD175" s="58" t="str">
        <f aca="false">IF('STUDENT SCREENING'!AC175="","",IFERROR(INDEX('SCORING MASTER'!$D$29:$D$31,MATCH('STUDENT SCREENING'!AC175,'SCORING MASTER'!$C$29:$C$31,0)),""))</f>
        <v/>
      </c>
      <c r="AE175" s="58" t="str">
        <f aca="false">IF('STUDENT SCREENING'!AD175="","",IFERROR(INDEX('SCORING MASTER'!$D$33:$D$35,MATCH('STUDENT SCREENING'!AD175,'SCORING MASTER'!$C$33:$C$35,0)),""))</f>
        <v/>
      </c>
      <c r="AF175" s="58" t="str">
        <f aca="false">IF('STUDENT SCREENING'!AE175="","",IFERROR(INDEX('SCORING MASTER'!$D$37:$D$39,MATCH('STUDENT SCREENING'!AE175,'SCORING MASTER'!$C$37:$C$39,0)),""))</f>
        <v/>
      </c>
      <c r="AG175" s="58" t="str">
        <f aca="false">IF('STUDENT SCREENING'!AF175="","",IFERROR(INDEX('SCORING MASTER'!$D$41:$D$43,MATCH('STUDENT SCREENING'!AF175,'SCORING MASTER'!$C$41:$C$43,0)),""))</f>
        <v/>
      </c>
      <c r="AH175" s="58" t="str">
        <f aca="false">IF('STUDENT SCREENING'!AG175="","",IFERROR(INDEX('SCORING MASTER'!$D$45:$D$47,MATCH('STUDENT SCREENING'!AG175,'SCORING MASTER'!$C$45:$C$47,0)),""))</f>
        <v/>
      </c>
      <c r="AI175" s="58" t="str">
        <f aca="false">IF('STUDENT SCREENING'!AH175="","",IFERROR(INDEX('SCORING MASTER'!$D$49:$D$52,MATCH('STUDENT SCREENING'!AH175,'SCORING MASTER'!$C$49:$C$52,0)),""))</f>
        <v/>
      </c>
      <c r="AJ175" s="58" t="str">
        <f aca="false">IF('STUDENT SCREENING'!AI175="","",IFERROR(INDEX('SCORING MASTER'!$D$54:$D$57,MATCH('STUDENT SCREENING'!AI175,'SCORING MASTER'!$C$54:$C$57,0)),""))</f>
        <v/>
      </c>
      <c r="AK175" s="58" t="str">
        <f aca="false">IF('STUDENT SCREENING'!AJ175="","",IFERROR(INDEX('SCORING MASTER'!$D$59:$D$60,MATCH('STUDENT SCREENING'!AJ175,'SCORING MASTER'!$C$59:$C$60,0)),""))</f>
        <v/>
      </c>
      <c r="AL175" s="58" t="str">
        <f aca="false">IF('STUDENT SCREENING'!AK175="","",IFERROR(INDEX('SCORING MASTER'!$D$62:$D$63,MATCH('STUDENT SCREENING'!AK175,'SCORING MASTER'!$C$62:$C$63,0)),""))</f>
        <v/>
      </c>
      <c r="AM175" s="58" t="str">
        <f aca="false">IF('STUDENT SCREENING'!AL175="","",IFERROR(INDEX('SCORING MASTER'!$D$65:$D$66,MATCH('STUDENT SCREENING'!AL175,'SCORING MASTER'!$C$65:$C$66,0)),""))</f>
        <v/>
      </c>
      <c r="AN175" s="58" t="str">
        <f aca="false">IF('STUDENT SCREENING'!AM175="","",IFERROR(INDEX('SCORING MASTER'!$D$68:$D$69,MATCH('STUDENT SCREENING'!AM175,'SCORING MASTER'!$C$68:$C$69,0)),""))</f>
        <v/>
      </c>
      <c r="AO175" s="58" t="str">
        <f aca="false">IF('STUDENT SCREENING'!AN175="","",IFERROR(INDEX('SCORING MASTER'!$D$71:$D$72,MATCH('STUDENT SCREENING'!AN175,'SCORING MASTER'!$C$71:$C$72,0)),""))</f>
        <v/>
      </c>
      <c r="AP175" s="58" t="str">
        <f aca="false">IF('STUDENT SCREENING'!AO175="","",IFERROR(INDEX('SCORING MASTER'!$D$74:$D$75,MATCH('STUDENT SCREENING'!AO175,'SCORING MASTER'!$C$74:$C$75,0)),""))</f>
        <v/>
      </c>
      <c r="AQ175" s="58" t="str">
        <f aca="false">IF('STUDENT SCREENING'!AP175="","",IFERROR(INDEX('SCORING MASTER'!$D$77:$D$78,MATCH('STUDENT SCREENING'!AP175,'SCORING MASTER'!$C$77:$C$78,0)),""))</f>
        <v/>
      </c>
      <c r="AR175" s="58" t="str">
        <f aca="false">IF('STUDENT SCREENING'!AQ175="","",IFERROR(INDEX('SCORING MASTER'!$D$80:$D$82,MATCH('STUDENT SCREENING'!AQ175,'SCORING MASTER'!$C$80:$C$82,0)),""))</f>
        <v/>
      </c>
      <c r="AS175" s="58" t="str">
        <f aca="false">IF('STUDENT SCREENING'!AR175="","",IFERROR(INDEX('SCORING MASTER'!$D$84:$D$86,MATCH('STUDENT SCREENING'!AR175,'SCORING MASTER'!$C$84:$C$86,0)),""))</f>
        <v/>
      </c>
      <c r="AT175" s="58" t="str">
        <f aca="false">IF('STUDENT SCREENING'!AS175="","",IFERROR(INDEX('SCORING MASTER'!$D$88:$D$90,MATCH('STUDENT SCREENING'!AS175,'SCORING MASTER'!$C$88:$C$90,0)),""))</f>
        <v/>
      </c>
      <c r="AU175" s="58" t="str">
        <f aca="false">IF('STUDENT SCREENING'!AT175="","",IFERROR(INDEX('SCORING MASTER'!$D$92:$D$93,MATCH('STUDENT SCREENING'!AT175,'SCORING MASTER'!$C$92:$C$93,0)),""))</f>
        <v/>
      </c>
      <c r="AV175" s="58" t="str">
        <f aca="false">IF('STUDENT SCREENING'!AU175="","",IFERROR(INDEX('SCORING MASTER'!$D$95:$D$96,MATCH('STUDENT SCREENING'!AU175,'SCORING MASTER'!$C$95:$C$96,0)),""))</f>
        <v/>
      </c>
      <c r="AW175" s="58" t="str">
        <f aca="false">IF('STUDENT SCREENING'!AV175="","",IFERROR(INDEX('SCORING MASTER'!$D$98:$D$99,MATCH('STUDENT SCREENING'!AV175,'SCORING MASTER'!$C$98:$C$99,0)),""))</f>
        <v/>
      </c>
      <c r="AX175" s="58" t="str">
        <f aca="false">IF('STUDENT SCREENING'!AW175="","",IFERROR(INDEX('SCORING MASTER'!$D$101:$D$102,MATCH('STUDENT SCREENING'!AW175,'SCORING MASTER'!$C$101:$C$102,0)),""))</f>
        <v/>
      </c>
      <c r="AY175" s="58" t="str">
        <f aca="false">IF('STUDENT SCREENING'!AX175="","",IFERROR(INDEX('SCORING MASTER'!$D$104:$D$105,MATCH('STUDENT SCREENING'!AX175,'SCORING MASTER'!$C$104:$C$105,0)),""))</f>
        <v/>
      </c>
      <c r="AZ175" s="58" t="str">
        <f aca="false">IF('STUDENT SCREENING'!AY175="","",IFERROR(INDEX('SCORING MASTER'!$D$107:$D$108,MATCH('STUDENT SCREENING'!AY175,'SCORING MASTER'!$C$107:$C$108,0)),""))</f>
        <v/>
      </c>
      <c r="BA175" s="58" t="str">
        <f aca="false">IF('STUDENT SCREENING'!AZ175="","",IFERROR(INDEX('SCORING MASTER'!$D$110:$D$111,MATCH('STUDENT SCREENING'!AZ175,'SCORING MASTER'!$C$110:$C$111,0)),""))</f>
        <v/>
      </c>
      <c r="BB175" s="58" t="str">
        <f aca="false">IF('STUDENT SCREENING'!BA175="","",IFERROR(INDEX('SCORING MASTER'!$D$113:$D$115,MATCH('STUDENT SCREENING'!BA175,'SCORING MASTER'!$C$113:$C$115,0)),""))</f>
        <v/>
      </c>
      <c r="BC175" s="58" t="str">
        <f aca="false">IF('STUDENT SCREENING'!BB175="","",IFERROR(INDEX('SCORING MASTER'!$D$117:$D$119,MATCH('STUDENT SCREENING'!BB175,'SCORING MASTER'!$C$117:$C$119,0)),""))</f>
        <v/>
      </c>
      <c r="BD175" s="58" t="str">
        <f aca="false">IF('STUDENT SCREENING'!BC175="","",IFERROR(INDEX('SCORING MASTER'!$D$121:$D$123,MATCH('STUDENT SCREENING'!BC175,'SCORING MASTER'!$C$121:$C$123,0)),""))</f>
        <v/>
      </c>
      <c r="BE175" s="58" t="str">
        <f aca="false">IF('STUDENT SCREENING'!BD175="","",IFERROR(INDEX('SCORING MASTER'!$D$125:$D$126,MATCH('STUDENT SCREENING'!BD175,'SCORING MASTER'!$C$125:$C$126,0)),""))</f>
        <v/>
      </c>
      <c r="BF175" s="58" t="str">
        <f aca="false">IF('STUDENT SCREENING'!BE175="","",IFERROR(INDEX('SCORING MASTER'!$D$128:$D$129,MATCH('STUDENT SCREENING'!BE175,'SCORING MASTER'!$C$128:$C$129,0)),""))</f>
        <v/>
      </c>
      <c r="BG175" s="58" t="str">
        <f aca="false">IF('STUDENT SCREENING'!BP175="","",IFERROR(MATCH('STUDENT SCREENING'!BP175,{"Red - High Risk","Orange - Moderate Risk","Yellow - Mild Risk","Light Green - Mild Watch","Green - Healthy"},0)-1,""))</f>
        <v/>
      </c>
      <c r="BH175" s="58" t="str">
        <f aca="false">IF('STUDENT SCREENING'!BQ175="","",IF('STUDENT SCREENING'!BQ175="Yes",1,0))</f>
        <v/>
      </c>
      <c r="BI175" s="58" t="str">
        <f aca="false">IF('STUDENT SCREENING'!BR175="","",IF('STUDENT SCREENING'!BR175="Yes",1,0))</f>
        <v/>
      </c>
    </row>
    <row r="176" customFormat="false" ht="15" hidden="false" customHeight="false" outlineLevel="0" collapsed="false">
      <c r="A176" s="57" t="str">
        <f aca="false">'STUDENT SCREENING'!A176</f>
        <v/>
      </c>
      <c r="B176" s="57" t="n">
        <f aca="false">'STUDENT SCREENING'!C176</f>
        <v>0</v>
      </c>
      <c r="C176" s="57" t="n">
        <f aca="false">'STUDENT SCREENING'!D176</f>
        <v>0</v>
      </c>
      <c r="D176" s="57" t="n">
        <f aca="false">'STUDENT SCREENING'!E176</f>
        <v>0</v>
      </c>
      <c r="E176" s="57" t="n">
        <f aca="false">'STUDENT SCREENING'!F176</f>
        <v>0</v>
      </c>
      <c r="F176" s="57" t="n">
        <f aca="false">'STUDENT SCREENING'!K176</f>
        <v>0</v>
      </c>
      <c r="G176" s="57" t="n">
        <f aca="false">'STUDENT SCREENING'!J176</f>
        <v>0</v>
      </c>
      <c r="H176" s="57" t="str">
        <f aca="false">IF('STUDENT SCREENING'!K176="","",IFERROR(MATCH('STUDENT SCREENING'!K176,Adm_Gender,0),""))</f>
        <v/>
      </c>
      <c r="I176" s="57" t="n">
        <f aca="false">'STUDENT SCREENING'!Q176</f>
        <v>0</v>
      </c>
      <c r="J176" s="57" t="n">
        <f aca="false">'STUDENT SCREENING'!R176</f>
        <v>0</v>
      </c>
      <c r="K176" s="57" t="str">
        <f aca="false">'STUDENT SCREENING'!S176</f>
        <v/>
      </c>
      <c r="L176" s="57" t="n">
        <f aca="false">'STUDENT SCREENING'!U176</f>
        <v>0</v>
      </c>
      <c r="M176" s="57" t="n">
        <f aca="false">'STUDENT SCREENING'!V176</f>
        <v>0</v>
      </c>
      <c r="N176" s="57" t="str">
        <f aca="false">'STUDENT SCREENING'!BF176</f>
        <v/>
      </c>
      <c r="O176" s="57" t="str">
        <f aca="false">'STUDENT SCREENING'!BG176</f>
        <v/>
      </c>
      <c r="P176" s="57" t="str">
        <f aca="false">'STUDENT SCREENING'!BH176</f>
        <v/>
      </c>
      <c r="Q176" s="57" t="str">
        <f aca="false">'STUDENT SCREENING'!BI176</f>
        <v/>
      </c>
      <c r="R176" s="57" t="str">
        <f aca="false">'STUDENT SCREENING'!BJ176</f>
        <v/>
      </c>
      <c r="S176" s="57" t="str">
        <f aca="false">'STUDENT SCREENING'!BK176</f>
        <v/>
      </c>
      <c r="T176" s="57" t="str">
        <f aca="false">'STUDENT SCREENING'!BL176</f>
        <v/>
      </c>
      <c r="U176" s="57" t="str">
        <f aca="false">'STUDENT SCREENING'!BM176</f>
        <v/>
      </c>
      <c r="V176" s="57" t="str">
        <f aca="false">'STUDENT SCREENING'!BN176</f>
        <v/>
      </c>
      <c r="W176" s="57" t="str">
        <f aca="false">'STUDENT SCREENING'!BO176</f>
        <v/>
      </c>
      <c r="X176" s="57" t="str">
        <f aca="false">IF('STUDENT SCREENING'!W176="","",IFERROR(INDEX('SCORING MASTER'!$D$5:$D$7,MATCH('STUDENT SCREENING'!W176,'SCORING MASTER'!$C$5:$C$7,0)),""))</f>
        <v/>
      </c>
      <c r="Y176" s="57" t="str">
        <f aca="false">IF('STUDENT SCREENING'!X176="","",IFERROR(INDEX('SCORING MASTER'!$D$9:$D$11,MATCH('STUDENT SCREENING'!X176,'SCORING MASTER'!$C$9:$C$11,0)),""))</f>
        <v/>
      </c>
      <c r="Z176" s="57" t="str">
        <f aca="false">IF('STUDENT SCREENING'!Y176="","",IFERROR(INDEX('SCORING MASTER'!$D$13:$D$15,MATCH('STUDENT SCREENING'!Y176,'SCORING MASTER'!$C$13:$C$15,0)),""))</f>
        <v/>
      </c>
      <c r="AA176" s="57" t="str">
        <f aca="false">IF('STUDENT SCREENING'!Z176="","",IFERROR(INDEX('SCORING MASTER'!$D$17:$D$19,MATCH('STUDENT SCREENING'!Z176,'SCORING MASTER'!$C$17:$C$19,0)),""))</f>
        <v/>
      </c>
      <c r="AB176" s="57" t="str">
        <f aca="false">IF('STUDENT SCREENING'!AA176="","",IFERROR(INDEX('SCORING MASTER'!$D$21:$D$23,MATCH('STUDENT SCREENING'!AA176,'SCORING MASTER'!$C$21:$C$23,0)),""))</f>
        <v/>
      </c>
      <c r="AC176" s="57" t="str">
        <f aca="false">IF('STUDENT SCREENING'!AB176="","",IFERROR(INDEX('SCORING MASTER'!$D$25:$D$27,MATCH('STUDENT SCREENING'!AB176,'SCORING MASTER'!$C$25:$C$27,0)),""))</f>
        <v/>
      </c>
      <c r="AD176" s="57" t="str">
        <f aca="false">IF('STUDENT SCREENING'!AC176="","",IFERROR(INDEX('SCORING MASTER'!$D$29:$D$31,MATCH('STUDENT SCREENING'!AC176,'SCORING MASTER'!$C$29:$C$31,0)),""))</f>
        <v/>
      </c>
      <c r="AE176" s="57" t="str">
        <f aca="false">IF('STUDENT SCREENING'!AD176="","",IFERROR(INDEX('SCORING MASTER'!$D$33:$D$35,MATCH('STUDENT SCREENING'!AD176,'SCORING MASTER'!$C$33:$C$35,0)),""))</f>
        <v/>
      </c>
      <c r="AF176" s="57" t="str">
        <f aca="false">IF('STUDENT SCREENING'!AE176="","",IFERROR(INDEX('SCORING MASTER'!$D$37:$D$39,MATCH('STUDENT SCREENING'!AE176,'SCORING MASTER'!$C$37:$C$39,0)),""))</f>
        <v/>
      </c>
      <c r="AG176" s="57" t="str">
        <f aca="false">IF('STUDENT SCREENING'!AF176="","",IFERROR(INDEX('SCORING MASTER'!$D$41:$D$43,MATCH('STUDENT SCREENING'!AF176,'SCORING MASTER'!$C$41:$C$43,0)),""))</f>
        <v/>
      </c>
      <c r="AH176" s="57" t="str">
        <f aca="false">IF('STUDENT SCREENING'!AG176="","",IFERROR(INDEX('SCORING MASTER'!$D$45:$D$47,MATCH('STUDENT SCREENING'!AG176,'SCORING MASTER'!$C$45:$C$47,0)),""))</f>
        <v/>
      </c>
      <c r="AI176" s="57" t="str">
        <f aca="false">IF('STUDENT SCREENING'!AH176="","",IFERROR(INDEX('SCORING MASTER'!$D$49:$D$52,MATCH('STUDENT SCREENING'!AH176,'SCORING MASTER'!$C$49:$C$52,0)),""))</f>
        <v/>
      </c>
      <c r="AJ176" s="57" t="str">
        <f aca="false">IF('STUDENT SCREENING'!AI176="","",IFERROR(INDEX('SCORING MASTER'!$D$54:$D$57,MATCH('STUDENT SCREENING'!AI176,'SCORING MASTER'!$C$54:$C$57,0)),""))</f>
        <v/>
      </c>
      <c r="AK176" s="57" t="str">
        <f aca="false">IF('STUDENT SCREENING'!AJ176="","",IFERROR(INDEX('SCORING MASTER'!$D$59:$D$60,MATCH('STUDENT SCREENING'!AJ176,'SCORING MASTER'!$C$59:$C$60,0)),""))</f>
        <v/>
      </c>
      <c r="AL176" s="57" t="str">
        <f aca="false">IF('STUDENT SCREENING'!AK176="","",IFERROR(INDEX('SCORING MASTER'!$D$62:$D$63,MATCH('STUDENT SCREENING'!AK176,'SCORING MASTER'!$C$62:$C$63,0)),""))</f>
        <v/>
      </c>
      <c r="AM176" s="57" t="str">
        <f aca="false">IF('STUDENT SCREENING'!AL176="","",IFERROR(INDEX('SCORING MASTER'!$D$65:$D$66,MATCH('STUDENT SCREENING'!AL176,'SCORING MASTER'!$C$65:$C$66,0)),""))</f>
        <v/>
      </c>
      <c r="AN176" s="57" t="str">
        <f aca="false">IF('STUDENT SCREENING'!AM176="","",IFERROR(INDEX('SCORING MASTER'!$D$68:$D$69,MATCH('STUDENT SCREENING'!AM176,'SCORING MASTER'!$C$68:$C$69,0)),""))</f>
        <v/>
      </c>
      <c r="AO176" s="57" t="str">
        <f aca="false">IF('STUDENT SCREENING'!AN176="","",IFERROR(INDEX('SCORING MASTER'!$D$71:$D$72,MATCH('STUDENT SCREENING'!AN176,'SCORING MASTER'!$C$71:$C$72,0)),""))</f>
        <v/>
      </c>
      <c r="AP176" s="57" t="str">
        <f aca="false">IF('STUDENT SCREENING'!AO176="","",IFERROR(INDEX('SCORING MASTER'!$D$74:$D$75,MATCH('STUDENT SCREENING'!AO176,'SCORING MASTER'!$C$74:$C$75,0)),""))</f>
        <v/>
      </c>
      <c r="AQ176" s="57" t="str">
        <f aca="false">IF('STUDENT SCREENING'!AP176="","",IFERROR(INDEX('SCORING MASTER'!$D$77:$D$78,MATCH('STUDENT SCREENING'!AP176,'SCORING MASTER'!$C$77:$C$78,0)),""))</f>
        <v/>
      </c>
      <c r="AR176" s="57" t="str">
        <f aca="false">IF('STUDENT SCREENING'!AQ176="","",IFERROR(INDEX('SCORING MASTER'!$D$80:$D$82,MATCH('STUDENT SCREENING'!AQ176,'SCORING MASTER'!$C$80:$C$82,0)),""))</f>
        <v/>
      </c>
      <c r="AS176" s="57" t="str">
        <f aca="false">IF('STUDENT SCREENING'!AR176="","",IFERROR(INDEX('SCORING MASTER'!$D$84:$D$86,MATCH('STUDENT SCREENING'!AR176,'SCORING MASTER'!$C$84:$C$86,0)),""))</f>
        <v/>
      </c>
      <c r="AT176" s="57" t="str">
        <f aca="false">IF('STUDENT SCREENING'!AS176="","",IFERROR(INDEX('SCORING MASTER'!$D$88:$D$90,MATCH('STUDENT SCREENING'!AS176,'SCORING MASTER'!$C$88:$C$90,0)),""))</f>
        <v/>
      </c>
      <c r="AU176" s="57" t="str">
        <f aca="false">IF('STUDENT SCREENING'!AT176="","",IFERROR(INDEX('SCORING MASTER'!$D$92:$D$93,MATCH('STUDENT SCREENING'!AT176,'SCORING MASTER'!$C$92:$C$93,0)),""))</f>
        <v/>
      </c>
      <c r="AV176" s="57" t="str">
        <f aca="false">IF('STUDENT SCREENING'!AU176="","",IFERROR(INDEX('SCORING MASTER'!$D$95:$D$96,MATCH('STUDENT SCREENING'!AU176,'SCORING MASTER'!$C$95:$C$96,0)),""))</f>
        <v/>
      </c>
      <c r="AW176" s="57" t="str">
        <f aca="false">IF('STUDENT SCREENING'!AV176="","",IFERROR(INDEX('SCORING MASTER'!$D$98:$D$99,MATCH('STUDENT SCREENING'!AV176,'SCORING MASTER'!$C$98:$C$99,0)),""))</f>
        <v/>
      </c>
      <c r="AX176" s="57" t="str">
        <f aca="false">IF('STUDENT SCREENING'!AW176="","",IFERROR(INDEX('SCORING MASTER'!$D$101:$D$102,MATCH('STUDENT SCREENING'!AW176,'SCORING MASTER'!$C$101:$C$102,0)),""))</f>
        <v/>
      </c>
      <c r="AY176" s="57" t="str">
        <f aca="false">IF('STUDENT SCREENING'!AX176="","",IFERROR(INDEX('SCORING MASTER'!$D$104:$D$105,MATCH('STUDENT SCREENING'!AX176,'SCORING MASTER'!$C$104:$C$105,0)),""))</f>
        <v/>
      </c>
      <c r="AZ176" s="57" t="str">
        <f aca="false">IF('STUDENT SCREENING'!AY176="","",IFERROR(INDEX('SCORING MASTER'!$D$107:$D$108,MATCH('STUDENT SCREENING'!AY176,'SCORING MASTER'!$C$107:$C$108,0)),""))</f>
        <v/>
      </c>
      <c r="BA176" s="57" t="str">
        <f aca="false">IF('STUDENT SCREENING'!AZ176="","",IFERROR(INDEX('SCORING MASTER'!$D$110:$D$111,MATCH('STUDENT SCREENING'!AZ176,'SCORING MASTER'!$C$110:$C$111,0)),""))</f>
        <v/>
      </c>
      <c r="BB176" s="57" t="str">
        <f aca="false">IF('STUDENT SCREENING'!BA176="","",IFERROR(INDEX('SCORING MASTER'!$D$113:$D$115,MATCH('STUDENT SCREENING'!BA176,'SCORING MASTER'!$C$113:$C$115,0)),""))</f>
        <v/>
      </c>
      <c r="BC176" s="57" t="str">
        <f aca="false">IF('STUDENT SCREENING'!BB176="","",IFERROR(INDEX('SCORING MASTER'!$D$117:$D$119,MATCH('STUDENT SCREENING'!BB176,'SCORING MASTER'!$C$117:$C$119,0)),""))</f>
        <v/>
      </c>
      <c r="BD176" s="57" t="str">
        <f aca="false">IF('STUDENT SCREENING'!BC176="","",IFERROR(INDEX('SCORING MASTER'!$D$121:$D$123,MATCH('STUDENT SCREENING'!BC176,'SCORING MASTER'!$C$121:$C$123,0)),""))</f>
        <v/>
      </c>
      <c r="BE176" s="57" t="str">
        <f aca="false">IF('STUDENT SCREENING'!BD176="","",IFERROR(INDEX('SCORING MASTER'!$D$125:$D$126,MATCH('STUDENT SCREENING'!BD176,'SCORING MASTER'!$C$125:$C$126,0)),""))</f>
        <v/>
      </c>
      <c r="BF176" s="57" t="str">
        <f aca="false">IF('STUDENT SCREENING'!BE176="","",IFERROR(INDEX('SCORING MASTER'!$D$128:$D$129,MATCH('STUDENT SCREENING'!BE176,'SCORING MASTER'!$C$128:$C$129,0)),""))</f>
        <v/>
      </c>
      <c r="BG176" s="57" t="str">
        <f aca="false">IF('STUDENT SCREENING'!BP176="","",IFERROR(MATCH('STUDENT SCREENING'!BP176,{"Red - High Risk","Orange - Moderate Risk","Yellow - Mild Risk","Light Green - Mild Watch","Green - Healthy"},0)-1,""))</f>
        <v/>
      </c>
      <c r="BH176" s="57" t="str">
        <f aca="false">IF('STUDENT SCREENING'!BQ176="","",IF('STUDENT SCREENING'!BQ176="Yes",1,0))</f>
        <v/>
      </c>
      <c r="BI176" s="57" t="str">
        <f aca="false">IF('STUDENT SCREENING'!BR176="","",IF('STUDENT SCREENING'!BR176="Yes",1,0))</f>
        <v/>
      </c>
    </row>
    <row r="177" customFormat="false" ht="15" hidden="false" customHeight="false" outlineLevel="0" collapsed="false">
      <c r="A177" s="58" t="str">
        <f aca="false">'STUDENT SCREENING'!A177</f>
        <v/>
      </c>
      <c r="B177" s="58" t="n">
        <f aca="false">'STUDENT SCREENING'!C177</f>
        <v>0</v>
      </c>
      <c r="C177" s="58" t="n">
        <f aca="false">'STUDENT SCREENING'!D177</f>
        <v>0</v>
      </c>
      <c r="D177" s="58" t="n">
        <f aca="false">'STUDENT SCREENING'!E177</f>
        <v>0</v>
      </c>
      <c r="E177" s="58" t="n">
        <f aca="false">'STUDENT SCREENING'!F177</f>
        <v>0</v>
      </c>
      <c r="F177" s="58" t="n">
        <f aca="false">'STUDENT SCREENING'!K177</f>
        <v>0</v>
      </c>
      <c r="G177" s="58" t="n">
        <f aca="false">'STUDENT SCREENING'!J177</f>
        <v>0</v>
      </c>
      <c r="H177" s="58" t="str">
        <f aca="false">IF('STUDENT SCREENING'!K177="","",IFERROR(MATCH('STUDENT SCREENING'!K177,Adm_Gender,0),""))</f>
        <v/>
      </c>
      <c r="I177" s="58" t="n">
        <f aca="false">'STUDENT SCREENING'!Q177</f>
        <v>0</v>
      </c>
      <c r="J177" s="58" t="n">
        <f aca="false">'STUDENT SCREENING'!R177</f>
        <v>0</v>
      </c>
      <c r="K177" s="58" t="str">
        <f aca="false">'STUDENT SCREENING'!S177</f>
        <v/>
      </c>
      <c r="L177" s="58" t="n">
        <f aca="false">'STUDENT SCREENING'!U177</f>
        <v>0</v>
      </c>
      <c r="M177" s="58" t="n">
        <f aca="false">'STUDENT SCREENING'!V177</f>
        <v>0</v>
      </c>
      <c r="N177" s="58" t="str">
        <f aca="false">'STUDENT SCREENING'!BF177</f>
        <v/>
      </c>
      <c r="O177" s="58" t="str">
        <f aca="false">'STUDENT SCREENING'!BG177</f>
        <v/>
      </c>
      <c r="P177" s="58" t="str">
        <f aca="false">'STUDENT SCREENING'!BH177</f>
        <v/>
      </c>
      <c r="Q177" s="58" t="str">
        <f aca="false">'STUDENT SCREENING'!BI177</f>
        <v/>
      </c>
      <c r="R177" s="58" t="str">
        <f aca="false">'STUDENT SCREENING'!BJ177</f>
        <v/>
      </c>
      <c r="S177" s="58" t="str">
        <f aca="false">'STUDENT SCREENING'!BK177</f>
        <v/>
      </c>
      <c r="T177" s="58" t="str">
        <f aca="false">'STUDENT SCREENING'!BL177</f>
        <v/>
      </c>
      <c r="U177" s="58" t="str">
        <f aca="false">'STUDENT SCREENING'!BM177</f>
        <v/>
      </c>
      <c r="V177" s="58" t="str">
        <f aca="false">'STUDENT SCREENING'!BN177</f>
        <v/>
      </c>
      <c r="W177" s="58" t="str">
        <f aca="false">'STUDENT SCREENING'!BO177</f>
        <v/>
      </c>
      <c r="X177" s="58" t="str">
        <f aca="false">IF('STUDENT SCREENING'!W177="","",IFERROR(INDEX('SCORING MASTER'!$D$5:$D$7,MATCH('STUDENT SCREENING'!W177,'SCORING MASTER'!$C$5:$C$7,0)),""))</f>
        <v/>
      </c>
      <c r="Y177" s="58" t="str">
        <f aca="false">IF('STUDENT SCREENING'!X177="","",IFERROR(INDEX('SCORING MASTER'!$D$9:$D$11,MATCH('STUDENT SCREENING'!X177,'SCORING MASTER'!$C$9:$C$11,0)),""))</f>
        <v/>
      </c>
      <c r="Z177" s="58" t="str">
        <f aca="false">IF('STUDENT SCREENING'!Y177="","",IFERROR(INDEX('SCORING MASTER'!$D$13:$D$15,MATCH('STUDENT SCREENING'!Y177,'SCORING MASTER'!$C$13:$C$15,0)),""))</f>
        <v/>
      </c>
      <c r="AA177" s="58" t="str">
        <f aca="false">IF('STUDENT SCREENING'!Z177="","",IFERROR(INDEX('SCORING MASTER'!$D$17:$D$19,MATCH('STUDENT SCREENING'!Z177,'SCORING MASTER'!$C$17:$C$19,0)),""))</f>
        <v/>
      </c>
      <c r="AB177" s="58" t="str">
        <f aca="false">IF('STUDENT SCREENING'!AA177="","",IFERROR(INDEX('SCORING MASTER'!$D$21:$D$23,MATCH('STUDENT SCREENING'!AA177,'SCORING MASTER'!$C$21:$C$23,0)),""))</f>
        <v/>
      </c>
      <c r="AC177" s="58" t="str">
        <f aca="false">IF('STUDENT SCREENING'!AB177="","",IFERROR(INDEX('SCORING MASTER'!$D$25:$D$27,MATCH('STUDENT SCREENING'!AB177,'SCORING MASTER'!$C$25:$C$27,0)),""))</f>
        <v/>
      </c>
      <c r="AD177" s="58" t="str">
        <f aca="false">IF('STUDENT SCREENING'!AC177="","",IFERROR(INDEX('SCORING MASTER'!$D$29:$D$31,MATCH('STUDENT SCREENING'!AC177,'SCORING MASTER'!$C$29:$C$31,0)),""))</f>
        <v/>
      </c>
      <c r="AE177" s="58" t="str">
        <f aca="false">IF('STUDENT SCREENING'!AD177="","",IFERROR(INDEX('SCORING MASTER'!$D$33:$D$35,MATCH('STUDENT SCREENING'!AD177,'SCORING MASTER'!$C$33:$C$35,0)),""))</f>
        <v/>
      </c>
      <c r="AF177" s="58" t="str">
        <f aca="false">IF('STUDENT SCREENING'!AE177="","",IFERROR(INDEX('SCORING MASTER'!$D$37:$D$39,MATCH('STUDENT SCREENING'!AE177,'SCORING MASTER'!$C$37:$C$39,0)),""))</f>
        <v/>
      </c>
      <c r="AG177" s="58" t="str">
        <f aca="false">IF('STUDENT SCREENING'!AF177="","",IFERROR(INDEX('SCORING MASTER'!$D$41:$D$43,MATCH('STUDENT SCREENING'!AF177,'SCORING MASTER'!$C$41:$C$43,0)),""))</f>
        <v/>
      </c>
      <c r="AH177" s="58" t="str">
        <f aca="false">IF('STUDENT SCREENING'!AG177="","",IFERROR(INDEX('SCORING MASTER'!$D$45:$D$47,MATCH('STUDENT SCREENING'!AG177,'SCORING MASTER'!$C$45:$C$47,0)),""))</f>
        <v/>
      </c>
      <c r="AI177" s="58" t="str">
        <f aca="false">IF('STUDENT SCREENING'!AH177="","",IFERROR(INDEX('SCORING MASTER'!$D$49:$D$52,MATCH('STUDENT SCREENING'!AH177,'SCORING MASTER'!$C$49:$C$52,0)),""))</f>
        <v/>
      </c>
      <c r="AJ177" s="58" t="str">
        <f aca="false">IF('STUDENT SCREENING'!AI177="","",IFERROR(INDEX('SCORING MASTER'!$D$54:$D$57,MATCH('STUDENT SCREENING'!AI177,'SCORING MASTER'!$C$54:$C$57,0)),""))</f>
        <v/>
      </c>
      <c r="AK177" s="58" t="str">
        <f aca="false">IF('STUDENT SCREENING'!AJ177="","",IFERROR(INDEX('SCORING MASTER'!$D$59:$D$60,MATCH('STUDENT SCREENING'!AJ177,'SCORING MASTER'!$C$59:$C$60,0)),""))</f>
        <v/>
      </c>
      <c r="AL177" s="58" t="str">
        <f aca="false">IF('STUDENT SCREENING'!AK177="","",IFERROR(INDEX('SCORING MASTER'!$D$62:$D$63,MATCH('STUDENT SCREENING'!AK177,'SCORING MASTER'!$C$62:$C$63,0)),""))</f>
        <v/>
      </c>
      <c r="AM177" s="58" t="str">
        <f aca="false">IF('STUDENT SCREENING'!AL177="","",IFERROR(INDEX('SCORING MASTER'!$D$65:$D$66,MATCH('STUDENT SCREENING'!AL177,'SCORING MASTER'!$C$65:$C$66,0)),""))</f>
        <v/>
      </c>
      <c r="AN177" s="58" t="str">
        <f aca="false">IF('STUDENT SCREENING'!AM177="","",IFERROR(INDEX('SCORING MASTER'!$D$68:$D$69,MATCH('STUDENT SCREENING'!AM177,'SCORING MASTER'!$C$68:$C$69,0)),""))</f>
        <v/>
      </c>
      <c r="AO177" s="58" t="str">
        <f aca="false">IF('STUDENT SCREENING'!AN177="","",IFERROR(INDEX('SCORING MASTER'!$D$71:$D$72,MATCH('STUDENT SCREENING'!AN177,'SCORING MASTER'!$C$71:$C$72,0)),""))</f>
        <v/>
      </c>
      <c r="AP177" s="58" t="str">
        <f aca="false">IF('STUDENT SCREENING'!AO177="","",IFERROR(INDEX('SCORING MASTER'!$D$74:$D$75,MATCH('STUDENT SCREENING'!AO177,'SCORING MASTER'!$C$74:$C$75,0)),""))</f>
        <v/>
      </c>
      <c r="AQ177" s="58" t="str">
        <f aca="false">IF('STUDENT SCREENING'!AP177="","",IFERROR(INDEX('SCORING MASTER'!$D$77:$D$78,MATCH('STUDENT SCREENING'!AP177,'SCORING MASTER'!$C$77:$C$78,0)),""))</f>
        <v/>
      </c>
      <c r="AR177" s="58" t="str">
        <f aca="false">IF('STUDENT SCREENING'!AQ177="","",IFERROR(INDEX('SCORING MASTER'!$D$80:$D$82,MATCH('STUDENT SCREENING'!AQ177,'SCORING MASTER'!$C$80:$C$82,0)),""))</f>
        <v/>
      </c>
      <c r="AS177" s="58" t="str">
        <f aca="false">IF('STUDENT SCREENING'!AR177="","",IFERROR(INDEX('SCORING MASTER'!$D$84:$D$86,MATCH('STUDENT SCREENING'!AR177,'SCORING MASTER'!$C$84:$C$86,0)),""))</f>
        <v/>
      </c>
      <c r="AT177" s="58" t="str">
        <f aca="false">IF('STUDENT SCREENING'!AS177="","",IFERROR(INDEX('SCORING MASTER'!$D$88:$D$90,MATCH('STUDENT SCREENING'!AS177,'SCORING MASTER'!$C$88:$C$90,0)),""))</f>
        <v/>
      </c>
      <c r="AU177" s="58" t="str">
        <f aca="false">IF('STUDENT SCREENING'!AT177="","",IFERROR(INDEX('SCORING MASTER'!$D$92:$D$93,MATCH('STUDENT SCREENING'!AT177,'SCORING MASTER'!$C$92:$C$93,0)),""))</f>
        <v/>
      </c>
      <c r="AV177" s="58" t="str">
        <f aca="false">IF('STUDENT SCREENING'!AU177="","",IFERROR(INDEX('SCORING MASTER'!$D$95:$D$96,MATCH('STUDENT SCREENING'!AU177,'SCORING MASTER'!$C$95:$C$96,0)),""))</f>
        <v/>
      </c>
      <c r="AW177" s="58" t="str">
        <f aca="false">IF('STUDENT SCREENING'!AV177="","",IFERROR(INDEX('SCORING MASTER'!$D$98:$D$99,MATCH('STUDENT SCREENING'!AV177,'SCORING MASTER'!$C$98:$C$99,0)),""))</f>
        <v/>
      </c>
      <c r="AX177" s="58" t="str">
        <f aca="false">IF('STUDENT SCREENING'!AW177="","",IFERROR(INDEX('SCORING MASTER'!$D$101:$D$102,MATCH('STUDENT SCREENING'!AW177,'SCORING MASTER'!$C$101:$C$102,0)),""))</f>
        <v/>
      </c>
      <c r="AY177" s="58" t="str">
        <f aca="false">IF('STUDENT SCREENING'!AX177="","",IFERROR(INDEX('SCORING MASTER'!$D$104:$D$105,MATCH('STUDENT SCREENING'!AX177,'SCORING MASTER'!$C$104:$C$105,0)),""))</f>
        <v/>
      </c>
      <c r="AZ177" s="58" t="str">
        <f aca="false">IF('STUDENT SCREENING'!AY177="","",IFERROR(INDEX('SCORING MASTER'!$D$107:$D$108,MATCH('STUDENT SCREENING'!AY177,'SCORING MASTER'!$C$107:$C$108,0)),""))</f>
        <v/>
      </c>
      <c r="BA177" s="58" t="str">
        <f aca="false">IF('STUDENT SCREENING'!AZ177="","",IFERROR(INDEX('SCORING MASTER'!$D$110:$D$111,MATCH('STUDENT SCREENING'!AZ177,'SCORING MASTER'!$C$110:$C$111,0)),""))</f>
        <v/>
      </c>
      <c r="BB177" s="58" t="str">
        <f aca="false">IF('STUDENT SCREENING'!BA177="","",IFERROR(INDEX('SCORING MASTER'!$D$113:$D$115,MATCH('STUDENT SCREENING'!BA177,'SCORING MASTER'!$C$113:$C$115,0)),""))</f>
        <v/>
      </c>
      <c r="BC177" s="58" t="str">
        <f aca="false">IF('STUDENT SCREENING'!BB177="","",IFERROR(INDEX('SCORING MASTER'!$D$117:$D$119,MATCH('STUDENT SCREENING'!BB177,'SCORING MASTER'!$C$117:$C$119,0)),""))</f>
        <v/>
      </c>
      <c r="BD177" s="58" t="str">
        <f aca="false">IF('STUDENT SCREENING'!BC177="","",IFERROR(INDEX('SCORING MASTER'!$D$121:$D$123,MATCH('STUDENT SCREENING'!BC177,'SCORING MASTER'!$C$121:$C$123,0)),""))</f>
        <v/>
      </c>
      <c r="BE177" s="58" t="str">
        <f aca="false">IF('STUDENT SCREENING'!BD177="","",IFERROR(INDEX('SCORING MASTER'!$D$125:$D$126,MATCH('STUDENT SCREENING'!BD177,'SCORING MASTER'!$C$125:$C$126,0)),""))</f>
        <v/>
      </c>
      <c r="BF177" s="58" t="str">
        <f aca="false">IF('STUDENT SCREENING'!BE177="","",IFERROR(INDEX('SCORING MASTER'!$D$128:$D$129,MATCH('STUDENT SCREENING'!BE177,'SCORING MASTER'!$C$128:$C$129,0)),""))</f>
        <v/>
      </c>
      <c r="BG177" s="58" t="str">
        <f aca="false">IF('STUDENT SCREENING'!BP177="","",IFERROR(MATCH('STUDENT SCREENING'!BP177,{"Red - High Risk","Orange - Moderate Risk","Yellow - Mild Risk","Light Green - Mild Watch","Green - Healthy"},0)-1,""))</f>
        <v/>
      </c>
      <c r="BH177" s="58" t="str">
        <f aca="false">IF('STUDENT SCREENING'!BQ177="","",IF('STUDENT SCREENING'!BQ177="Yes",1,0))</f>
        <v/>
      </c>
      <c r="BI177" s="58" t="str">
        <f aca="false">IF('STUDENT SCREENING'!BR177="","",IF('STUDENT SCREENING'!BR177="Yes",1,0))</f>
        <v/>
      </c>
    </row>
    <row r="178" customFormat="false" ht="15" hidden="false" customHeight="false" outlineLevel="0" collapsed="false">
      <c r="A178" s="57" t="str">
        <f aca="false">'STUDENT SCREENING'!A178</f>
        <v/>
      </c>
      <c r="B178" s="57" t="n">
        <f aca="false">'STUDENT SCREENING'!C178</f>
        <v>0</v>
      </c>
      <c r="C178" s="57" t="n">
        <f aca="false">'STUDENT SCREENING'!D178</f>
        <v>0</v>
      </c>
      <c r="D178" s="57" t="n">
        <f aca="false">'STUDENT SCREENING'!E178</f>
        <v>0</v>
      </c>
      <c r="E178" s="57" t="n">
        <f aca="false">'STUDENT SCREENING'!F178</f>
        <v>0</v>
      </c>
      <c r="F178" s="57" t="n">
        <f aca="false">'STUDENT SCREENING'!K178</f>
        <v>0</v>
      </c>
      <c r="G178" s="57" t="n">
        <f aca="false">'STUDENT SCREENING'!J178</f>
        <v>0</v>
      </c>
      <c r="H178" s="57" t="str">
        <f aca="false">IF('STUDENT SCREENING'!K178="","",IFERROR(MATCH('STUDENT SCREENING'!K178,Adm_Gender,0),""))</f>
        <v/>
      </c>
      <c r="I178" s="57" t="n">
        <f aca="false">'STUDENT SCREENING'!Q178</f>
        <v>0</v>
      </c>
      <c r="J178" s="57" t="n">
        <f aca="false">'STUDENT SCREENING'!R178</f>
        <v>0</v>
      </c>
      <c r="K178" s="57" t="str">
        <f aca="false">'STUDENT SCREENING'!S178</f>
        <v/>
      </c>
      <c r="L178" s="57" t="n">
        <f aca="false">'STUDENT SCREENING'!U178</f>
        <v>0</v>
      </c>
      <c r="M178" s="57" t="n">
        <f aca="false">'STUDENT SCREENING'!V178</f>
        <v>0</v>
      </c>
      <c r="N178" s="57" t="str">
        <f aca="false">'STUDENT SCREENING'!BF178</f>
        <v/>
      </c>
      <c r="O178" s="57" t="str">
        <f aca="false">'STUDENT SCREENING'!BG178</f>
        <v/>
      </c>
      <c r="P178" s="57" t="str">
        <f aca="false">'STUDENT SCREENING'!BH178</f>
        <v/>
      </c>
      <c r="Q178" s="57" t="str">
        <f aca="false">'STUDENT SCREENING'!BI178</f>
        <v/>
      </c>
      <c r="R178" s="57" t="str">
        <f aca="false">'STUDENT SCREENING'!BJ178</f>
        <v/>
      </c>
      <c r="S178" s="57" t="str">
        <f aca="false">'STUDENT SCREENING'!BK178</f>
        <v/>
      </c>
      <c r="T178" s="57" t="str">
        <f aca="false">'STUDENT SCREENING'!BL178</f>
        <v/>
      </c>
      <c r="U178" s="57" t="str">
        <f aca="false">'STUDENT SCREENING'!BM178</f>
        <v/>
      </c>
      <c r="V178" s="57" t="str">
        <f aca="false">'STUDENT SCREENING'!BN178</f>
        <v/>
      </c>
      <c r="W178" s="57" t="str">
        <f aca="false">'STUDENT SCREENING'!BO178</f>
        <v/>
      </c>
      <c r="X178" s="57" t="str">
        <f aca="false">IF('STUDENT SCREENING'!W178="","",IFERROR(INDEX('SCORING MASTER'!$D$5:$D$7,MATCH('STUDENT SCREENING'!W178,'SCORING MASTER'!$C$5:$C$7,0)),""))</f>
        <v/>
      </c>
      <c r="Y178" s="57" t="str">
        <f aca="false">IF('STUDENT SCREENING'!X178="","",IFERROR(INDEX('SCORING MASTER'!$D$9:$D$11,MATCH('STUDENT SCREENING'!X178,'SCORING MASTER'!$C$9:$C$11,0)),""))</f>
        <v/>
      </c>
      <c r="Z178" s="57" t="str">
        <f aca="false">IF('STUDENT SCREENING'!Y178="","",IFERROR(INDEX('SCORING MASTER'!$D$13:$D$15,MATCH('STUDENT SCREENING'!Y178,'SCORING MASTER'!$C$13:$C$15,0)),""))</f>
        <v/>
      </c>
      <c r="AA178" s="57" t="str">
        <f aca="false">IF('STUDENT SCREENING'!Z178="","",IFERROR(INDEX('SCORING MASTER'!$D$17:$D$19,MATCH('STUDENT SCREENING'!Z178,'SCORING MASTER'!$C$17:$C$19,0)),""))</f>
        <v/>
      </c>
      <c r="AB178" s="57" t="str">
        <f aca="false">IF('STUDENT SCREENING'!AA178="","",IFERROR(INDEX('SCORING MASTER'!$D$21:$D$23,MATCH('STUDENT SCREENING'!AA178,'SCORING MASTER'!$C$21:$C$23,0)),""))</f>
        <v/>
      </c>
      <c r="AC178" s="57" t="str">
        <f aca="false">IF('STUDENT SCREENING'!AB178="","",IFERROR(INDEX('SCORING MASTER'!$D$25:$D$27,MATCH('STUDENT SCREENING'!AB178,'SCORING MASTER'!$C$25:$C$27,0)),""))</f>
        <v/>
      </c>
      <c r="AD178" s="57" t="str">
        <f aca="false">IF('STUDENT SCREENING'!AC178="","",IFERROR(INDEX('SCORING MASTER'!$D$29:$D$31,MATCH('STUDENT SCREENING'!AC178,'SCORING MASTER'!$C$29:$C$31,0)),""))</f>
        <v/>
      </c>
      <c r="AE178" s="57" t="str">
        <f aca="false">IF('STUDENT SCREENING'!AD178="","",IFERROR(INDEX('SCORING MASTER'!$D$33:$D$35,MATCH('STUDENT SCREENING'!AD178,'SCORING MASTER'!$C$33:$C$35,0)),""))</f>
        <v/>
      </c>
      <c r="AF178" s="57" t="str">
        <f aca="false">IF('STUDENT SCREENING'!AE178="","",IFERROR(INDEX('SCORING MASTER'!$D$37:$D$39,MATCH('STUDENT SCREENING'!AE178,'SCORING MASTER'!$C$37:$C$39,0)),""))</f>
        <v/>
      </c>
      <c r="AG178" s="57" t="str">
        <f aca="false">IF('STUDENT SCREENING'!AF178="","",IFERROR(INDEX('SCORING MASTER'!$D$41:$D$43,MATCH('STUDENT SCREENING'!AF178,'SCORING MASTER'!$C$41:$C$43,0)),""))</f>
        <v/>
      </c>
      <c r="AH178" s="57" t="str">
        <f aca="false">IF('STUDENT SCREENING'!AG178="","",IFERROR(INDEX('SCORING MASTER'!$D$45:$D$47,MATCH('STUDENT SCREENING'!AG178,'SCORING MASTER'!$C$45:$C$47,0)),""))</f>
        <v/>
      </c>
      <c r="AI178" s="57" t="str">
        <f aca="false">IF('STUDENT SCREENING'!AH178="","",IFERROR(INDEX('SCORING MASTER'!$D$49:$D$52,MATCH('STUDENT SCREENING'!AH178,'SCORING MASTER'!$C$49:$C$52,0)),""))</f>
        <v/>
      </c>
      <c r="AJ178" s="57" t="str">
        <f aca="false">IF('STUDENT SCREENING'!AI178="","",IFERROR(INDEX('SCORING MASTER'!$D$54:$D$57,MATCH('STUDENT SCREENING'!AI178,'SCORING MASTER'!$C$54:$C$57,0)),""))</f>
        <v/>
      </c>
      <c r="AK178" s="57" t="str">
        <f aca="false">IF('STUDENT SCREENING'!AJ178="","",IFERROR(INDEX('SCORING MASTER'!$D$59:$D$60,MATCH('STUDENT SCREENING'!AJ178,'SCORING MASTER'!$C$59:$C$60,0)),""))</f>
        <v/>
      </c>
      <c r="AL178" s="57" t="str">
        <f aca="false">IF('STUDENT SCREENING'!AK178="","",IFERROR(INDEX('SCORING MASTER'!$D$62:$D$63,MATCH('STUDENT SCREENING'!AK178,'SCORING MASTER'!$C$62:$C$63,0)),""))</f>
        <v/>
      </c>
      <c r="AM178" s="57" t="str">
        <f aca="false">IF('STUDENT SCREENING'!AL178="","",IFERROR(INDEX('SCORING MASTER'!$D$65:$D$66,MATCH('STUDENT SCREENING'!AL178,'SCORING MASTER'!$C$65:$C$66,0)),""))</f>
        <v/>
      </c>
      <c r="AN178" s="57" t="str">
        <f aca="false">IF('STUDENT SCREENING'!AM178="","",IFERROR(INDEX('SCORING MASTER'!$D$68:$D$69,MATCH('STUDENT SCREENING'!AM178,'SCORING MASTER'!$C$68:$C$69,0)),""))</f>
        <v/>
      </c>
      <c r="AO178" s="57" t="str">
        <f aca="false">IF('STUDENT SCREENING'!AN178="","",IFERROR(INDEX('SCORING MASTER'!$D$71:$D$72,MATCH('STUDENT SCREENING'!AN178,'SCORING MASTER'!$C$71:$C$72,0)),""))</f>
        <v/>
      </c>
      <c r="AP178" s="57" t="str">
        <f aca="false">IF('STUDENT SCREENING'!AO178="","",IFERROR(INDEX('SCORING MASTER'!$D$74:$D$75,MATCH('STUDENT SCREENING'!AO178,'SCORING MASTER'!$C$74:$C$75,0)),""))</f>
        <v/>
      </c>
      <c r="AQ178" s="57" t="str">
        <f aca="false">IF('STUDENT SCREENING'!AP178="","",IFERROR(INDEX('SCORING MASTER'!$D$77:$D$78,MATCH('STUDENT SCREENING'!AP178,'SCORING MASTER'!$C$77:$C$78,0)),""))</f>
        <v/>
      </c>
      <c r="AR178" s="57" t="str">
        <f aca="false">IF('STUDENT SCREENING'!AQ178="","",IFERROR(INDEX('SCORING MASTER'!$D$80:$D$82,MATCH('STUDENT SCREENING'!AQ178,'SCORING MASTER'!$C$80:$C$82,0)),""))</f>
        <v/>
      </c>
      <c r="AS178" s="57" t="str">
        <f aca="false">IF('STUDENT SCREENING'!AR178="","",IFERROR(INDEX('SCORING MASTER'!$D$84:$D$86,MATCH('STUDENT SCREENING'!AR178,'SCORING MASTER'!$C$84:$C$86,0)),""))</f>
        <v/>
      </c>
      <c r="AT178" s="57" t="str">
        <f aca="false">IF('STUDENT SCREENING'!AS178="","",IFERROR(INDEX('SCORING MASTER'!$D$88:$D$90,MATCH('STUDENT SCREENING'!AS178,'SCORING MASTER'!$C$88:$C$90,0)),""))</f>
        <v/>
      </c>
      <c r="AU178" s="57" t="str">
        <f aca="false">IF('STUDENT SCREENING'!AT178="","",IFERROR(INDEX('SCORING MASTER'!$D$92:$D$93,MATCH('STUDENT SCREENING'!AT178,'SCORING MASTER'!$C$92:$C$93,0)),""))</f>
        <v/>
      </c>
      <c r="AV178" s="57" t="str">
        <f aca="false">IF('STUDENT SCREENING'!AU178="","",IFERROR(INDEX('SCORING MASTER'!$D$95:$D$96,MATCH('STUDENT SCREENING'!AU178,'SCORING MASTER'!$C$95:$C$96,0)),""))</f>
        <v/>
      </c>
      <c r="AW178" s="57" t="str">
        <f aca="false">IF('STUDENT SCREENING'!AV178="","",IFERROR(INDEX('SCORING MASTER'!$D$98:$D$99,MATCH('STUDENT SCREENING'!AV178,'SCORING MASTER'!$C$98:$C$99,0)),""))</f>
        <v/>
      </c>
      <c r="AX178" s="57" t="str">
        <f aca="false">IF('STUDENT SCREENING'!AW178="","",IFERROR(INDEX('SCORING MASTER'!$D$101:$D$102,MATCH('STUDENT SCREENING'!AW178,'SCORING MASTER'!$C$101:$C$102,0)),""))</f>
        <v/>
      </c>
      <c r="AY178" s="57" t="str">
        <f aca="false">IF('STUDENT SCREENING'!AX178="","",IFERROR(INDEX('SCORING MASTER'!$D$104:$D$105,MATCH('STUDENT SCREENING'!AX178,'SCORING MASTER'!$C$104:$C$105,0)),""))</f>
        <v/>
      </c>
      <c r="AZ178" s="57" t="str">
        <f aca="false">IF('STUDENT SCREENING'!AY178="","",IFERROR(INDEX('SCORING MASTER'!$D$107:$D$108,MATCH('STUDENT SCREENING'!AY178,'SCORING MASTER'!$C$107:$C$108,0)),""))</f>
        <v/>
      </c>
      <c r="BA178" s="57" t="str">
        <f aca="false">IF('STUDENT SCREENING'!AZ178="","",IFERROR(INDEX('SCORING MASTER'!$D$110:$D$111,MATCH('STUDENT SCREENING'!AZ178,'SCORING MASTER'!$C$110:$C$111,0)),""))</f>
        <v/>
      </c>
      <c r="BB178" s="57" t="str">
        <f aca="false">IF('STUDENT SCREENING'!BA178="","",IFERROR(INDEX('SCORING MASTER'!$D$113:$D$115,MATCH('STUDENT SCREENING'!BA178,'SCORING MASTER'!$C$113:$C$115,0)),""))</f>
        <v/>
      </c>
      <c r="BC178" s="57" t="str">
        <f aca="false">IF('STUDENT SCREENING'!BB178="","",IFERROR(INDEX('SCORING MASTER'!$D$117:$D$119,MATCH('STUDENT SCREENING'!BB178,'SCORING MASTER'!$C$117:$C$119,0)),""))</f>
        <v/>
      </c>
      <c r="BD178" s="57" t="str">
        <f aca="false">IF('STUDENT SCREENING'!BC178="","",IFERROR(INDEX('SCORING MASTER'!$D$121:$D$123,MATCH('STUDENT SCREENING'!BC178,'SCORING MASTER'!$C$121:$C$123,0)),""))</f>
        <v/>
      </c>
      <c r="BE178" s="57" t="str">
        <f aca="false">IF('STUDENT SCREENING'!BD178="","",IFERROR(INDEX('SCORING MASTER'!$D$125:$D$126,MATCH('STUDENT SCREENING'!BD178,'SCORING MASTER'!$C$125:$C$126,0)),""))</f>
        <v/>
      </c>
      <c r="BF178" s="57" t="str">
        <f aca="false">IF('STUDENT SCREENING'!BE178="","",IFERROR(INDEX('SCORING MASTER'!$D$128:$D$129,MATCH('STUDENT SCREENING'!BE178,'SCORING MASTER'!$C$128:$C$129,0)),""))</f>
        <v/>
      </c>
      <c r="BG178" s="57" t="str">
        <f aca="false">IF('STUDENT SCREENING'!BP178="","",IFERROR(MATCH('STUDENT SCREENING'!BP178,{"Red - High Risk","Orange - Moderate Risk","Yellow - Mild Risk","Light Green - Mild Watch","Green - Healthy"},0)-1,""))</f>
        <v/>
      </c>
      <c r="BH178" s="57" t="str">
        <f aca="false">IF('STUDENT SCREENING'!BQ178="","",IF('STUDENT SCREENING'!BQ178="Yes",1,0))</f>
        <v/>
      </c>
      <c r="BI178" s="57" t="str">
        <f aca="false">IF('STUDENT SCREENING'!BR178="","",IF('STUDENT SCREENING'!BR178="Yes",1,0))</f>
        <v/>
      </c>
    </row>
    <row r="179" customFormat="false" ht="15" hidden="false" customHeight="false" outlineLevel="0" collapsed="false">
      <c r="A179" s="58" t="str">
        <f aca="false">'STUDENT SCREENING'!A179</f>
        <v/>
      </c>
      <c r="B179" s="58" t="n">
        <f aca="false">'STUDENT SCREENING'!C179</f>
        <v>0</v>
      </c>
      <c r="C179" s="58" t="n">
        <f aca="false">'STUDENT SCREENING'!D179</f>
        <v>0</v>
      </c>
      <c r="D179" s="58" t="n">
        <f aca="false">'STUDENT SCREENING'!E179</f>
        <v>0</v>
      </c>
      <c r="E179" s="58" t="n">
        <f aca="false">'STUDENT SCREENING'!F179</f>
        <v>0</v>
      </c>
      <c r="F179" s="58" t="n">
        <f aca="false">'STUDENT SCREENING'!K179</f>
        <v>0</v>
      </c>
      <c r="G179" s="58" t="n">
        <f aca="false">'STUDENT SCREENING'!J179</f>
        <v>0</v>
      </c>
      <c r="H179" s="58" t="str">
        <f aca="false">IF('STUDENT SCREENING'!K179="","",IFERROR(MATCH('STUDENT SCREENING'!K179,Adm_Gender,0),""))</f>
        <v/>
      </c>
      <c r="I179" s="58" t="n">
        <f aca="false">'STUDENT SCREENING'!Q179</f>
        <v>0</v>
      </c>
      <c r="J179" s="58" t="n">
        <f aca="false">'STUDENT SCREENING'!R179</f>
        <v>0</v>
      </c>
      <c r="K179" s="58" t="str">
        <f aca="false">'STUDENT SCREENING'!S179</f>
        <v/>
      </c>
      <c r="L179" s="58" t="n">
        <f aca="false">'STUDENT SCREENING'!U179</f>
        <v>0</v>
      </c>
      <c r="M179" s="58" t="n">
        <f aca="false">'STUDENT SCREENING'!V179</f>
        <v>0</v>
      </c>
      <c r="N179" s="58" t="str">
        <f aca="false">'STUDENT SCREENING'!BF179</f>
        <v/>
      </c>
      <c r="O179" s="58" t="str">
        <f aca="false">'STUDENT SCREENING'!BG179</f>
        <v/>
      </c>
      <c r="P179" s="58" t="str">
        <f aca="false">'STUDENT SCREENING'!BH179</f>
        <v/>
      </c>
      <c r="Q179" s="58" t="str">
        <f aca="false">'STUDENT SCREENING'!BI179</f>
        <v/>
      </c>
      <c r="R179" s="58" t="str">
        <f aca="false">'STUDENT SCREENING'!BJ179</f>
        <v/>
      </c>
      <c r="S179" s="58" t="str">
        <f aca="false">'STUDENT SCREENING'!BK179</f>
        <v/>
      </c>
      <c r="T179" s="58" t="str">
        <f aca="false">'STUDENT SCREENING'!BL179</f>
        <v/>
      </c>
      <c r="U179" s="58" t="str">
        <f aca="false">'STUDENT SCREENING'!BM179</f>
        <v/>
      </c>
      <c r="V179" s="58" t="str">
        <f aca="false">'STUDENT SCREENING'!BN179</f>
        <v/>
      </c>
      <c r="W179" s="58" t="str">
        <f aca="false">'STUDENT SCREENING'!BO179</f>
        <v/>
      </c>
      <c r="X179" s="58" t="str">
        <f aca="false">IF('STUDENT SCREENING'!W179="","",IFERROR(INDEX('SCORING MASTER'!$D$5:$D$7,MATCH('STUDENT SCREENING'!W179,'SCORING MASTER'!$C$5:$C$7,0)),""))</f>
        <v/>
      </c>
      <c r="Y179" s="58" t="str">
        <f aca="false">IF('STUDENT SCREENING'!X179="","",IFERROR(INDEX('SCORING MASTER'!$D$9:$D$11,MATCH('STUDENT SCREENING'!X179,'SCORING MASTER'!$C$9:$C$11,0)),""))</f>
        <v/>
      </c>
      <c r="Z179" s="58" t="str">
        <f aca="false">IF('STUDENT SCREENING'!Y179="","",IFERROR(INDEX('SCORING MASTER'!$D$13:$D$15,MATCH('STUDENT SCREENING'!Y179,'SCORING MASTER'!$C$13:$C$15,0)),""))</f>
        <v/>
      </c>
      <c r="AA179" s="58" t="str">
        <f aca="false">IF('STUDENT SCREENING'!Z179="","",IFERROR(INDEX('SCORING MASTER'!$D$17:$D$19,MATCH('STUDENT SCREENING'!Z179,'SCORING MASTER'!$C$17:$C$19,0)),""))</f>
        <v/>
      </c>
      <c r="AB179" s="58" t="str">
        <f aca="false">IF('STUDENT SCREENING'!AA179="","",IFERROR(INDEX('SCORING MASTER'!$D$21:$D$23,MATCH('STUDENT SCREENING'!AA179,'SCORING MASTER'!$C$21:$C$23,0)),""))</f>
        <v/>
      </c>
      <c r="AC179" s="58" t="str">
        <f aca="false">IF('STUDENT SCREENING'!AB179="","",IFERROR(INDEX('SCORING MASTER'!$D$25:$D$27,MATCH('STUDENT SCREENING'!AB179,'SCORING MASTER'!$C$25:$C$27,0)),""))</f>
        <v/>
      </c>
      <c r="AD179" s="58" t="str">
        <f aca="false">IF('STUDENT SCREENING'!AC179="","",IFERROR(INDEX('SCORING MASTER'!$D$29:$D$31,MATCH('STUDENT SCREENING'!AC179,'SCORING MASTER'!$C$29:$C$31,0)),""))</f>
        <v/>
      </c>
      <c r="AE179" s="58" t="str">
        <f aca="false">IF('STUDENT SCREENING'!AD179="","",IFERROR(INDEX('SCORING MASTER'!$D$33:$D$35,MATCH('STUDENT SCREENING'!AD179,'SCORING MASTER'!$C$33:$C$35,0)),""))</f>
        <v/>
      </c>
      <c r="AF179" s="58" t="str">
        <f aca="false">IF('STUDENT SCREENING'!AE179="","",IFERROR(INDEX('SCORING MASTER'!$D$37:$D$39,MATCH('STUDENT SCREENING'!AE179,'SCORING MASTER'!$C$37:$C$39,0)),""))</f>
        <v/>
      </c>
      <c r="AG179" s="58" t="str">
        <f aca="false">IF('STUDENT SCREENING'!AF179="","",IFERROR(INDEX('SCORING MASTER'!$D$41:$D$43,MATCH('STUDENT SCREENING'!AF179,'SCORING MASTER'!$C$41:$C$43,0)),""))</f>
        <v/>
      </c>
      <c r="AH179" s="58" t="str">
        <f aca="false">IF('STUDENT SCREENING'!AG179="","",IFERROR(INDEX('SCORING MASTER'!$D$45:$D$47,MATCH('STUDENT SCREENING'!AG179,'SCORING MASTER'!$C$45:$C$47,0)),""))</f>
        <v/>
      </c>
      <c r="AI179" s="58" t="str">
        <f aca="false">IF('STUDENT SCREENING'!AH179="","",IFERROR(INDEX('SCORING MASTER'!$D$49:$D$52,MATCH('STUDENT SCREENING'!AH179,'SCORING MASTER'!$C$49:$C$52,0)),""))</f>
        <v/>
      </c>
      <c r="AJ179" s="58" t="str">
        <f aca="false">IF('STUDENT SCREENING'!AI179="","",IFERROR(INDEX('SCORING MASTER'!$D$54:$D$57,MATCH('STUDENT SCREENING'!AI179,'SCORING MASTER'!$C$54:$C$57,0)),""))</f>
        <v/>
      </c>
      <c r="AK179" s="58" t="str">
        <f aca="false">IF('STUDENT SCREENING'!AJ179="","",IFERROR(INDEX('SCORING MASTER'!$D$59:$D$60,MATCH('STUDENT SCREENING'!AJ179,'SCORING MASTER'!$C$59:$C$60,0)),""))</f>
        <v/>
      </c>
      <c r="AL179" s="58" t="str">
        <f aca="false">IF('STUDENT SCREENING'!AK179="","",IFERROR(INDEX('SCORING MASTER'!$D$62:$D$63,MATCH('STUDENT SCREENING'!AK179,'SCORING MASTER'!$C$62:$C$63,0)),""))</f>
        <v/>
      </c>
      <c r="AM179" s="58" t="str">
        <f aca="false">IF('STUDENT SCREENING'!AL179="","",IFERROR(INDEX('SCORING MASTER'!$D$65:$D$66,MATCH('STUDENT SCREENING'!AL179,'SCORING MASTER'!$C$65:$C$66,0)),""))</f>
        <v/>
      </c>
      <c r="AN179" s="58" t="str">
        <f aca="false">IF('STUDENT SCREENING'!AM179="","",IFERROR(INDEX('SCORING MASTER'!$D$68:$D$69,MATCH('STUDENT SCREENING'!AM179,'SCORING MASTER'!$C$68:$C$69,0)),""))</f>
        <v/>
      </c>
      <c r="AO179" s="58" t="str">
        <f aca="false">IF('STUDENT SCREENING'!AN179="","",IFERROR(INDEX('SCORING MASTER'!$D$71:$D$72,MATCH('STUDENT SCREENING'!AN179,'SCORING MASTER'!$C$71:$C$72,0)),""))</f>
        <v/>
      </c>
      <c r="AP179" s="58" t="str">
        <f aca="false">IF('STUDENT SCREENING'!AO179="","",IFERROR(INDEX('SCORING MASTER'!$D$74:$D$75,MATCH('STUDENT SCREENING'!AO179,'SCORING MASTER'!$C$74:$C$75,0)),""))</f>
        <v/>
      </c>
      <c r="AQ179" s="58" t="str">
        <f aca="false">IF('STUDENT SCREENING'!AP179="","",IFERROR(INDEX('SCORING MASTER'!$D$77:$D$78,MATCH('STUDENT SCREENING'!AP179,'SCORING MASTER'!$C$77:$C$78,0)),""))</f>
        <v/>
      </c>
      <c r="AR179" s="58" t="str">
        <f aca="false">IF('STUDENT SCREENING'!AQ179="","",IFERROR(INDEX('SCORING MASTER'!$D$80:$D$82,MATCH('STUDENT SCREENING'!AQ179,'SCORING MASTER'!$C$80:$C$82,0)),""))</f>
        <v/>
      </c>
      <c r="AS179" s="58" t="str">
        <f aca="false">IF('STUDENT SCREENING'!AR179="","",IFERROR(INDEX('SCORING MASTER'!$D$84:$D$86,MATCH('STUDENT SCREENING'!AR179,'SCORING MASTER'!$C$84:$C$86,0)),""))</f>
        <v/>
      </c>
      <c r="AT179" s="58" t="str">
        <f aca="false">IF('STUDENT SCREENING'!AS179="","",IFERROR(INDEX('SCORING MASTER'!$D$88:$D$90,MATCH('STUDENT SCREENING'!AS179,'SCORING MASTER'!$C$88:$C$90,0)),""))</f>
        <v/>
      </c>
      <c r="AU179" s="58" t="str">
        <f aca="false">IF('STUDENT SCREENING'!AT179="","",IFERROR(INDEX('SCORING MASTER'!$D$92:$D$93,MATCH('STUDENT SCREENING'!AT179,'SCORING MASTER'!$C$92:$C$93,0)),""))</f>
        <v/>
      </c>
      <c r="AV179" s="58" t="str">
        <f aca="false">IF('STUDENT SCREENING'!AU179="","",IFERROR(INDEX('SCORING MASTER'!$D$95:$D$96,MATCH('STUDENT SCREENING'!AU179,'SCORING MASTER'!$C$95:$C$96,0)),""))</f>
        <v/>
      </c>
      <c r="AW179" s="58" t="str">
        <f aca="false">IF('STUDENT SCREENING'!AV179="","",IFERROR(INDEX('SCORING MASTER'!$D$98:$D$99,MATCH('STUDENT SCREENING'!AV179,'SCORING MASTER'!$C$98:$C$99,0)),""))</f>
        <v/>
      </c>
      <c r="AX179" s="58" t="str">
        <f aca="false">IF('STUDENT SCREENING'!AW179="","",IFERROR(INDEX('SCORING MASTER'!$D$101:$D$102,MATCH('STUDENT SCREENING'!AW179,'SCORING MASTER'!$C$101:$C$102,0)),""))</f>
        <v/>
      </c>
      <c r="AY179" s="58" t="str">
        <f aca="false">IF('STUDENT SCREENING'!AX179="","",IFERROR(INDEX('SCORING MASTER'!$D$104:$D$105,MATCH('STUDENT SCREENING'!AX179,'SCORING MASTER'!$C$104:$C$105,0)),""))</f>
        <v/>
      </c>
      <c r="AZ179" s="58" t="str">
        <f aca="false">IF('STUDENT SCREENING'!AY179="","",IFERROR(INDEX('SCORING MASTER'!$D$107:$D$108,MATCH('STUDENT SCREENING'!AY179,'SCORING MASTER'!$C$107:$C$108,0)),""))</f>
        <v/>
      </c>
      <c r="BA179" s="58" t="str">
        <f aca="false">IF('STUDENT SCREENING'!AZ179="","",IFERROR(INDEX('SCORING MASTER'!$D$110:$D$111,MATCH('STUDENT SCREENING'!AZ179,'SCORING MASTER'!$C$110:$C$111,0)),""))</f>
        <v/>
      </c>
      <c r="BB179" s="58" t="str">
        <f aca="false">IF('STUDENT SCREENING'!BA179="","",IFERROR(INDEX('SCORING MASTER'!$D$113:$D$115,MATCH('STUDENT SCREENING'!BA179,'SCORING MASTER'!$C$113:$C$115,0)),""))</f>
        <v/>
      </c>
      <c r="BC179" s="58" t="str">
        <f aca="false">IF('STUDENT SCREENING'!BB179="","",IFERROR(INDEX('SCORING MASTER'!$D$117:$D$119,MATCH('STUDENT SCREENING'!BB179,'SCORING MASTER'!$C$117:$C$119,0)),""))</f>
        <v/>
      </c>
      <c r="BD179" s="58" t="str">
        <f aca="false">IF('STUDENT SCREENING'!BC179="","",IFERROR(INDEX('SCORING MASTER'!$D$121:$D$123,MATCH('STUDENT SCREENING'!BC179,'SCORING MASTER'!$C$121:$C$123,0)),""))</f>
        <v/>
      </c>
      <c r="BE179" s="58" t="str">
        <f aca="false">IF('STUDENT SCREENING'!BD179="","",IFERROR(INDEX('SCORING MASTER'!$D$125:$D$126,MATCH('STUDENT SCREENING'!BD179,'SCORING MASTER'!$C$125:$C$126,0)),""))</f>
        <v/>
      </c>
      <c r="BF179" s="58" t="str">
        <f aca="false">IF('STUDENT SCREENING'!BE179="","",IFERROR(INDEX('SCORING MASTER'!$D$128:$D$129,MATCH('STUDENT SCREENING'!BE179,'SCORING MASTER'!$C$128:$C$129,0)),""))</f>
        <v/>
      </c>
      <c r="BG179" s="58" t="str">
        <f aca="false">IF('STUDENT SCREENING'!BP179="","",IFERROR(MATCH('STUDENT SCREENING'!BP179,{"Red - High Risk","Orange - Moderate Risk","Yellow - Mild Risk","Light Green - Mild Watch","Green - Healthy"},0)-1,""))</f>
        <v/>
      </c>
      <c r="BH179" s="58" t="str">
        <f aca="false">IF('STUDENT SCREENING'!BQ179="","",IF('STUDENT SCREENING'!BQ179="Yes",1,0))</f>
        <v/>
      </c>
      <c r="BI179" s="58" t="str">
        <f aca="false">IF('STUDENT SCREENING'!BR179="","",IF('STUDENT SCREENING'!BR179="Yes",1,0))</f>
        <v/>
      </c>
    </row>
    <row r="180" customFormat="false" ht="15" hidden="false" customHeight="false" outlineLevel="0" collapsed="false">
      <c r="A180" s="57" t="str">
        <f aca="false">'STUDENT SCREENING'!A180</f>
        <v/>
      </c>
      <c r="B180" s="57" t="n">
        <f aca="false">'STUDENT SCREENING'!C180</f>
        <v>0</v>
      </c>
      <c r="C180" s="57" t="n">
        <f aca="false">'STUDENT SCREENING'!D180</f>
        <v>0</v>
      </c>
      <c r="D180" s="57" t="n">
        <f aca="false">'STUDENT SCREENING'!E180</f>
        <v>0</v>
      </c>
      <c r="E180" s="57" t="n">
        <f aca="false">'STUDENT SCREENING'!F180</f>
        <v>0</v>
      </c>
      <c r="F180" s="57" t="n">
        <f aca="false">'STUDENT SCREENING'!K180</f>
        <v>0</v>
      </c>
      <c r="G180" s="57" t="n">
        <f aca="false">'STUDENT SCREENING'!J180</f>
        <v>0</v>
      </c>
      <c r="H180" s="57" t="str">
        <f aca="false">IF('STUDENT SCREENING'!K180="","",IFERROR(MATCH('STUDENT SCREENING'!K180,Adm_Gender,0),""))</f>
        <v/>
      </c>
      <c r="I180" s="57" t="n">
        <f aca="false">'STUDENT SCREENING'!Q180</f>
        <v>0</v>
      </c>
      <c r="J180" s="57" t="n">
        <f aca="false">'STUDENT SCREENING'!R180</f>
        <v>0</v>
      </c>
      <c r="K180" s="57" t="str">
        <f aca="false">'STUDENT SCREENING'!S180</f>
        <v/>
      </c>
      <c r="L180" s="57" t="n">
        <f aca="false">'STUDENT SCREENING'!U180</f>
        <v>0</v>
      </c>
      <c r="M180" s="57" t="n">
        <f aca="false">'STUDENT SCREENING'!V180</f>
        <v>0</v>
      </c>
      <c r="N180" s="57" t="str">
        <f aca="false">'STUDENT SCREENING'!BF180</f>
        <v/>
      </c>
      <c r="O180" s="57" t="str">
        <f aca="false">'STUDENT SCREENING'!BG180</f>
        <v/>
      </c>
      <c r="P180" s="57" t="str">
        <f aca="false">'STUDENT SCREENING'!BH180</f>
        <v/>
      </c>
      <c r="Q180" s="57" t="str">
        <f aca="false">'STUDENT SCREENING'!BI180</f>
        <v/>
      </c>
      <c r="R180" s="57" t="str">
        <f aca="false">'STUDENT SCREENING'!BJ180</f>
        <v/>
      </c>
      <c r="S180" s="57" t="str">
        <f aca="false">'STUDENT SCREENING'!BK180</f>
        <v/>
      </c>
      <c r="T180" s="57" t="str">
        <f aca="false">'STUDENT SCREENING'!BL180</f>
        <v/>
      </c>
      <c r="U180" s="57" t="str">
        <f aca="false">'STUDENT SCREENING'!BM180</f>
        <v/>
      </c>
      <c r="V180" s="57" t="str">
        <f aca="false">'STUDENT SCREENING'!BN180</f>
        <v/>
      </c>
      <c r="W180" s="57" t="str">
        <f aca="false">'STUDENT SCREENING'!BO180</f>
        <v/>
      </c>
      <c r="X180" s="57" t="str">
        <f aca="false">IF('STUDENT SCREENING'!W180="","",IFERROR(INDEX('SCORING MASTER'!$D$5:$D$7,MATCH('STUDENT SCREENING'!W180,'SCORING MASTER'!$C$5:$C$7,0)),""))</f>
        <v/>
      </c>
      <c r="Y180" s="57" t="str">
        <f aca="false">IF('STUDENT SCREENING'!X180="","",IFERROR(INDEX('SCORING MASTER'!$D$9:$D$11,MATCH('STUDENT SCREENING'!X180,'SCORING MASTER'!$C$9:$C$11,0)),""))</f>
        <v/>
      </c>
      <c r="Z180" s="57" t="str">
        <f aca="false">IF('STUDENT SCREENING'!Y180="","",IFERROR(INDEX('SCORING MASTER'!$D$13:$D$15,MATCH('STUDENT SCREENING'!Y180,'SCORING MASTER'!$C$13:$C$15,0)),""))</f>
        <v/>
      </c>
      <c r="AA180" s="57" t="str">
        <f aca="false">IF('STUDENT SCREENING'!Z180="","",IFERROR(INDEX('SCORING MASTER'!$D$17:$D$19,MATCH('STUDENT SCREENING'!Z180,'SCORING MASTER'!$C$17:$C$19,0)),""))</f>
        <v/>
      </c>
      <c r="AB180" s="57" t="str">
        <f aca="false">IF('STUDENT SCREENING'!AA180="","",IFERROR(INDEX('SCORING MASTER'!$D$21:$D$23,MATCH('STUDENT SCREENING'!AA180,'SCORING MASTER'!$C$21:$C$23,0)),""))</f>
        <v/>
      </c>
      <c r="AC180" s="57" t="str">
        <f aca="false">IF('STUDENT SCREENING'!AB180="","",IFERROR(INDEX('SCORING MASTER'!$D$25:$D$27,MATCH('STUDENT SCREENING'!AB180,'SCORING MASTER'!$C$25:$C$27,0)),""))</f>
        <v/>
      </c>
      <c r="AD180" s="57" t="str">
        <f aca="false">IF('STUDENT SCREENING'!AC180="","",IFERROR(INDEX('SCORING MASTER'!$D$29:$D$31,MATCH('STUDENT SCREENING'!AC180,'SCORING MASTER'!$C$29:$C$31,0)),""))</f>
        <v/>
      </c>
      <c r="AE180" s="57" t="str">
        <f aca="false">IF('STUDENT SCREENING'!AD180="","",IFERROR(INDEX('SCORING MASTER'!$D$33:$D$35,MATCH('STUDENT SCREENING'!AD180,'SCORING MASTER'!$C$33:$C$35,0)),""))</f>
        <v/>
      </c>
      <c r="AF180" s="57" t="str">
        <f aca="false">IF('STUDENT SCREENING'!AE180="","",IFERROR(INDEX('SCORING MASTER'!$D$37:$D$39,MATCH('STUDENT SCREENING'!AE180,'SCORING MASTER'!$C$37:$C$39,0)),""))</f>
        <v/>
      </c>
      <c r="AG180" s="57" t="str">
        <f aca="false">IF('STUDENT SCREENING'!AF180="","",IFERROR(INDEX('SCORING MASTER'!$D$41:$D$43,MATCH('STUDENT SCREENING'!AF180,'SCORING MASTER'!$C$41:$C$43,0)),""))</f>
        <v/>
      </c>
      <c r="AH180" s="57" t="str">
        <f aca="false">IF('STUDENT SCREENING'!AG180="","",IFERROR(INDEX('SCORING MASTER'!$D$45:$D$47,MATCH('STUDENT SCREENING'!AG180,'SCORING MASTER'!$C$45:$C$47,0)),""))</f>
        <v/>
      </c>
      <c r="AI180" s="57" t="str">
        <f aca="false">IF('STUDENT SCREENING'!AH180="","",IFERROR(INDEX('SCORING MASTER'!$D$49:$D$52,MATCH('STUDENT SCREENING'!AH180,'SCORING MASTER'!$C$49:$C$52,0)),""))</f>
        <v/>
      </c>
      <c r="AJ180" s="57" t="str">
        <f aca="false">IF('STUDENT SCREENING'!AI180="","",IFERROR(INDEX('SCORING MASTER'!$D$54:$D$57,MATCH('STUDENT SCREENING'!AI180,'SCORING MASTER'!$C$54:$C$57,0)),""))</f>
        <v/>
      </c>
      <c r="AK180" s="57" t="str">
        <f aca="false">IF('STUDENT SCREENING'!AJ180="","",IFERROR(INDEX('SCORING MASTER'!$D$59:$D$60,MATCH('STUDENT SCREENING'!AJ180,'SCORING MASTER'!$C$59:$C$60,0)),""))</f>
        <v/>
      </c>
      <c r="AL180" s="57" t="str">
        <f aca="false">IF('STUDENT SCREENING'!AK180="","",IFERROR(INDEX('SCORING MASTER'!$D$62:$D$63,MATCH('STUDENT SCREENING'!AK180,'SCORING MASTER'!$C$62:$C$63,0)),""))</f>
        <v/>
      </c>
      <c r="AM180" s="57" t="str">
        <f aca="false">IF('STUDENT SCREENING'!AL180="","",IFERROR(INDEX('SCORING MASTER'!$D$65:$D$66,MATCH('STUDENT SCREENING'!AL180,'SCORING MASTER'!$C$65:$C$66,0)),""))</f>
        <v/>
      </c>
      <c r="AN180" s="57" t="str">
        <f aca="false">IF('STUDENT SCREENING'!AM180="","",IFERROR(INDEX('SCORING MASTER'!$D$68:$D$69,MATCH('STUDENT SCREENING'!AM180,'SCORING MASTER'!$C$68:$C$69,0)),""))</f>
        <v/>
      </c>
      <c r="AO180" s="57" t="str">
        <f aca="false">IF('STUDENT SCREENING'!AN180="","",IFERROR(INDEX('SCORING MASTER'!$D$71:$D$72,MATCH('STUDENT SCREENING'!AN180,'SCORING MASTER'!$C$71:$C$72,0)),""))</f>
        <v/>
      </c>
      <c r="AP180" s="57" t="str">
        <f aca="false">IF('STUDENT SCREENING'!AO180="","",IFERROR(INDEX('SCORING MASTER'!$D$74:$D$75,MATCH('STUDENT SCREENING'!AO180,'SCORING MASTER'!$C$74:$C$75,0)),""))</f>
        <v/>
      </c>
      <c r="AQ180" s="57" t="str">
        <f aca="false">IF('STUDENT SCREENING'!AP180="","",IFERROR(INDEX('SCORING MASTER'!$D$77:$D$78,MATCH('STUDENT SCREENING'!AP180,'SCORING MASTER'!$C$77:$C$78,0)),""))</f>
        <v/>
      </c>
      <c r="AR180" s="57" t="str">
        <f aca="false">IF('STUDENT SCREENING'!AQ180="","",IFERROR(INDEX('SCORING MASTER'!$D$80:$D$82,MATCH('STUDENT SCREENING'!AQ180,'SCORING MASTER'!$C$80:$C$82,0)),""))</f>
        <v/>
      </c>
      <c r="AS180" s="57" t="str">
        <f aca="false">IF('STUDENT SCREENING'!AR180="","",IFERROR(INDEX('SCORING MASTER'!$D$84:$D$86,MATCH('STUDENT SCREENING'!AR180,'SCORING MASTER'!$C$84:$C$86,0)),""))</f>
        <v/>
      </c>
      <c r="AT180" s="57" t="str">
        <f aca="false">IF('STUDENT SCREENING'!AS180="","",IFERROR(INDEX('SCORING MASTER'!$D$88:$D$90,MATCH('STUDENT SCREENING'!AS180,'SCORING MASTER'!$C$88:$C$90,0)),""))</f>
        <v/>
      </c>
      <c r="AU180" s="57" t="str">
        <f aca="false">IF('STUDENT SCREENING'!AT180="","",IFERROR(INDEX('SCORING MASTER'!$D$92:$D$93,MATCH('STUDENT SCREENING'!AT180,'SCORING MASTER'!$C$92:$C$93,0)),""))</f>
        <v/>
      </c>
      <c r="AV180" s="57" t="str">
        <f aca="false">IF('STUDENT SCREENING'!AU180="","",IFERROR(INDEX('SCORING MASTER'!$D$95:$D$96,MATCH('STUDENT SCREENING'!AU180,'SCORING MASTER'!$C$95:$C$96,0)),""))</f>
        <v/>
      </c>
      <c r="AW180" s="57" t="str">
        <f aca="false">IF('STUDENT SCREENING'!AV180="","",IFERROR(INDEX('SCORING MASTER'!$D$98:$D$99,MATCH('STUDENT SCREENING'!AV180,'SCORING MASTER'!$C$98:$C$99,0)),""))</f>
        <v/>
      </c>
      <c r="AX180" s="57" t="str">
        <f aca="false">IF('STUDENT SCREENING'!AW180="","",IFERROR(INDEX('SCORING MASTER'!$D$101:$D$102,MATCH('STUDENT SCREENING'!AW180,'SCORING MASTER'!$C$101:$C$102,0)),""))</f>
        <v/>
      </c>
      <c r="AY180" s="57" t="str">
        <f aca="false">IF('STUDENT SCREENING'!AX180="","",IFERROR(INDEX('SCORING MASTER'!$D$104:$D$105,MATCH('STUDENT SCREENING'!AX180,'SCORING MASTER'!$C$104:$C$105,0)),""))</f>
        <v/>
      </c>
      <c r="AZ180" s="57" t="str">
        <f aca="false">IF('STUDENT SCREENING'!AY180="","",IFERROR(INDEX('SCORING MASTER'!$D$107:$D$108,MATCH('STUDENT SCREENING'!AY180,'SCORING MASTER'!$C$107:$C$108,0)),""))</f>
        <v/>
      </c>
      <c r="BA180" s="57" t="str">
        <f aca="false">IF('STUDENT SCREENING'!AZ180="","",IFERROR(INDEX('SCORING MASTER'!$D$110:$D$111,MATCH('STUDENT SCREENING'!AZ180,'SCORING MASTER'!$C$110:$C$111,0)),""))</f>
        <v/>
      </c>
      <c r="BB180" s="57" t="str">
        <f aca="false">IF('STUDENT SCREENING'!BA180="","",IFERROR(INDEX('SCORING MASTER'!$D$113:$D$115,MATCH('STUDENT SCREENING'!BA180,'SCORING MASTER'!$C$113:$C$115,0)),""))</f>
        <v/>
      </c>
      <c r="BC180" s="57" t="str">
        <f aca="false">IF('STUDENT SCREENING'!BB180="","",IFERROR(INDEX('SCORING MASTER'!$D$117:$D$119,MATCH('STUDENT SCREENING'!BB180,'SCORING MASTER'!$C$117:$C$119,0)),""))</f>
        <v/>
      </c>
      <c r="BD180" s="57" t="str">
        <f aca="false">IF('STUDENT SCREENING'!BC180="","",IFERROR(INDEX('SCORING MASTER'!$D$121:$D$123,MATCH('STUDENT SCREENING'!BC180,'SCORING MASTER'!$C$121:$C$123,0)),""))</f>
        <v/>
      </c>
      <c r="BE180" s="57" t="str">
        <f aca="false">IF('STUDENT SCREENING'!BD180="","",IFERROR(INDEX('SCORING MASTER'!$D$125:$D$126,MATCH('STUDENT SCREENING'!BD180,'SCORING MASTER'!$C$125:$C$126,0)),""))</f>
        <v/>
      </c>
      <c r="BF180" s="57" t="str">
        <f aca="false">IF('STUDENT SCREENING'!BE180="","",IFERROR(INDEX('SCORING MASTER'!$D$128:$D$129,MATCH('STUDENT SCREENING'!BE180,'SCORING MASTER'!$C$128:$C$129,0)),""))</f>
        <v/>
      </c>
      <c r="BG180" s="57" t="str">
        <f aca="false">IF('STUDENT SCREENING'!BP180="","",IFERROR(MATCH('STUDENT SCREENING'!BP180,{"Red - High Risk","Orange - Moderate Risk","Yellow - Mild Risk","Light Green - Mild Watch","Green - Healthy"},0)-1,""))</f>
        <v/>
      </c>
      <c r="BH180" s="57" t="str">
        <f aca="false">IF('STUDENT SCREENING'!BQ180="","",IF('STUDENT SCREENING'!BQ180="Yes",1,0))</f>
        <v/>
      </c>
      <c r="BI180" s="57" t="str">
        <f aca="false">IF('STUDENT SCREENING'!BR180="","",IF('STUDENT SCREENING'!BR180="Yes",1,0))</f>
        <v/>
      </c>
    </row>
    <row r="181" customFormat="false" ht="15" hidden="false" customHeight="false" outlineLevel="0" collapsed="false">
      <c r="A181" s="58" t="str">
        <f aca="false">'STUDENT SCREENING'!A181</f>
        <v/>
      </c>
      <c r="B181" s="58" t="n">
        <f aca="false">'STUDENT SCREENING'!C181</f>
        <v>0</v>
      </c>
      <c r="C181" s="58" t="n">
        <f aca="false">'STUDENT SCREENING'!D181</f>
        <v>0</v>
      </c>
      <c r="D181" s="58" t="n">
        <f aca="false">'STUDENT SCREENING'!E181</f>
        <v>0</v>
      </c>
      <c r="E181" s="58" t="n">
        <f aca="false">'STUDENT SCREENING'!F181</f>
        <v>0</v>
      </c>
      <c r="F181" s="58" t="n">
        <f aca="false">'STUDENT SCREENING'!K181</f>
        <v>0</v>
      </c>
      <c r="G181" s="58" t="n">
        <f aca="false">'STUDENT SCREENING'!J181</f>
        <v>0</v>
      </c>
      <c r="H181" s="58" t="str">
        <f aca="false">IF('STUDENT SCREENING'!K181="","",IFERROR(MATCH('STUDENT SCREENING'!K181,Adm_Gender,0),""))</f>
        <v/>
      </c>
      <c r="I181" s="58" t="n">
        <f aca="false">'STUDENT SCREENING'!Q181</f>
        <v>0</v>
      </c>
      <c r="J181" s="58" t="n">
        <f aca="false">'STUDENT SCREENING'!R181</f>
        <v>0</v>
      </c>
      <c r="K181" s="58" t="str">
        <f aca="false">'STUDENT SCREENING'!S181</f>
        <v/>
      </c>
      <c r="L181" s="58" t="n">
        <f aca="false">'STUDENT SCREENING'!U181</f>
        <v>0</v>
      </c>
      <c r="M181" s="58" t="n">
        <f aca="false">'STUDENT SCREENING'!V181</f>
        <v>0</v>
      </c>
      <c r="N181" s="58" t="str">
        <f aca="false">'STUDENT SCREENING'!BF181</f>
        <v/>
      </c>
      <c r="O181" s="58" t="str">
        <f aca="false">'STUDENT SCREENING'!BG181</f>
        <v/>
      </c>
      <c r="P181" s="58" t="str">
        <f aca="false">'STUDENT SCREENING'!BH181</f>
        <v/>
      </c>
      <c r="Q181" s="58" t="str">
        <f aca="false">'STUDENT SCREENING'!BI181</f>
        <v/>
      </c>
      <c r="R181" s="58" t="str">
        <f aca="false">'STUDENT SCREENING'!BJ181</f>
        <v/>
      </c>
      <c r="S181" s="58" t="str">
        <f aca="false">'STUDENT SCREENING'!BK181</f>
        <v/>
      </c>
      <c r="T181" s="58" t="str">
        <f aca="false">'STUDENT SCREENING'!BL181</f>
        <v/>
      </c>
      <c r="U181" s="58" t="str">
        <f aca="false">'STUDENT SCREENING'!BM181</f>
        <v/>
      </c>
      <c r="V181" s="58" t="str">
        <f aca="false">'STUDENT SCREENING'!BN181</f>
        <v/>
      </c>
      <c r="W181" s="58" t="str">
        <f aca="false">'STUDENT SCREENING'!BO181</f>
        <v/>
      </c>
      <c r="X181" s="58" t="str">
        <f aca="false">IF('STUDENT SCREENING'!W181="","",IFERROR(INDEX('SCORING MASTER'!$D$5:$D$7,MATCH('STUDENT SCREENING'!W181,'SCORING MASTER'!$C$5:$C$7,0)),""))</f>
        <v/>
      </c>
      <c r="Y181" s="58" t="str">
        <f aca="false">IF('STUDENT SCREENING'!X181="","",IFERROR(INDEX('SCORING MASTER'!$D$9:$D$11,MATCH('STUDENT SCREENING'!X181,'SCORING MASTER'!$C$9:$C$11,0)),""))</f>
        <v/>
      </c>
      <c r="Z181" s="58" t="str">
        <f aca="false">IF('STUDENT SCREENING'!Y181="","",IFERROR(INDEX('SCORING MASTER'!$D$13:$D$15,MATCH('STUDENT SCREENING'!Y181,'SCORING MASTER'!$C$13:$C$15,0)),""))</f>
        <v/>
      </c>
      <c r="AA181" s="58" t="str">
        <f aca="false">IF('STUDENT SCREENING'!Z181="","",IFERROR(INDEX('SCORING MASTER'!$D$17:$D$19,MATCH('STUDENT SCREENING'!Z181,'SCORING MASTER'!$C$17:$C$19,0)),""))</f>
        <v/>
      </c>
      <c r="AB181" s="58" t="str">
        <f aca="false">IF('STUDENT SCREENING'!AA181="","",IFERROR(INDEX('SCORING MASTER'!$D$21:$D$23,MATCH('STUDENT SCREENING'!AA181,'SCORING MASTER'!$C$21:$C$23,0)),""))</f>
        <v/>
      </c>
      <c r="AC181" s="58" t="str">
        <f aca="false">IF('STUDENT SCREENING'!AB181="","",IFERROR(INDEX('SCORING MASTER'!$D$25:$D$27,MATCH('STUDENT SCREENING'!AB181,'SCORING MASTER'!$C$25:$C$27,0)),""))</f>
        <v/>
      </c>
      <c r="AD181" s="58" t="str">
        <f aca="false">IF('STUDENT SCREENING'!AC181="","",IFERROR(INDEX('SCORING MASTER'!$D$29:$D$31,MATCH('STUDENT SCREENING'!AC181,'SCORING MASTER'!$C$29:$C$31,0)),""))</f>
        <v/>
      </c>
      <c r="AE181" s="58" t="str">
        <f aca="false">IF('STUDENT SCREENING'!AD181="","",IFERROR(INDEX('SCORING MASTER'!$D$33:$D$35,MATCH('STUDENT SCREENING'!AD181,'SCORING MASTER'!$C$33:$C$35,0)),""))</f>
        <v/>
      </c>
      <c r="AF181" s="58" t="str">
        <f aca="false">IF('STUDENT SCREENING'!AE181="","",IFERROR(INDEX('SCORING MASTER'!$D$37:$D$39,MATCH('STUDENT SCREENING'!AE181,'SCORING MASTER'!$C$37:$C$39,0)),""))</f>
        <v/>
      </c>
      <c r="AG181" s="58" t="str">
        <f aca="false">IF('STUDENT SCREENING'!AF181="","",IFERROR(INDEX('SCORING MASTER'!$D$41:$D$43,MATCH('STUDENT SCREENING'!AF181,'SCORING MASTER'!$C$41:$C$43,0)),""))</f>
        <v/>
      </c>
      <c r="AH181" s="58" t="str">
        <f aca="false">IF('STUDENT SCREENING'!AG181="","",IFERROR(INDEX('SCORING MASTER'!$D$45:$D$47,MATCH('STUDENT SCREENING'!AG181,'SCORING MASTER'!$C$45:$C$47,0)),""))</f>
        <v/>
      </c>
      <c r="AI181" s="58" t="str">
        <f aca="false">IF('STUDENT SCREENING'!AH181="","",IFERROR(INDEX('SCORING MASTER'!$D$49:$D$52,MATCH('STUDENT SCREENING'!AH181,'SCORING MASTER'!$C$49:$C$52,0)),""))</f>
        <v/>
      </c>
      <c r="AJ181" s="58" t="str">
        <f aca="false">IF('STUDENT SCREENING'!AI181="","",IFERROR(INDEX('SCORING MASTER'!$D$54:$D$57,MATCH('STUDENT SCREENING'!AI181,'SCORING MASTER'!$C$54:$C$57,0)),""))</f>
        <v/>
      </c>
      <c r="AK181" s="58" t="str">
        <f aca="false">IF('STUDENT SCREENING'!AJ181="","",IFERROR(INDEX('SCORING MASTER'!$D$59:$D$60,MATCH('STUDENT SCREENING'!AJ181,'SCORING MASTER'!$C$59:$C$60,0)),""))</f>
        <v/>
      </c>
      <c r="AL181" s="58" t="str">
        <f aca="false">IF('STUDENT SCREENING'!AK181="","",IFERROR(INDEX('SCORING MASTER'!$D$62:$D$63,MATCH('STUDENT SCREENING'!AK181,'SCORING MASTER'!$C$62:$C$63,0)),""))</f>
        <v/>
      </c>
      <c r="AM181" s="58" t="str">
        <f aca="false">IF('STUDENT SCREENING'!AL181="","",IFERROR(INDEX('SCORING MASTER'!$D$65:$D$66,MATCH('STUDENT SCREENING'!AL181,'SCORING MASTER'!$C$65:$C$66,0)),""))</f>
        <v/>
      </c>
      <c r="AN181" s="58" t="str">
        <f aca="false">IF('STUDENT SCREENING'!AM181="","",IFERROR(INDEX('SCORING MASTER'!$D$68:$D$69,MATCH('STUDENT SCREENING'!AM181,'SCORING MASTER'!$C$68:$C$69,0)),""))</f>
        <v/>
      </c>
      <c r="AO181" s="58" t="str">
        <f aca="false">IF('STUDENT SCREENING'!AN181="","",IFERROR(INDEX('SCORING MASTER'!$D$71:$D$72,MATCH('STUDENT SCREENING'!AN181,'SCORING MASTER'!$C$71:$C$72,0)),""))</f>
        <v/>
      </c>
      <c r="AP181" s="58" t="str">
        <f aca="false">IF('STUDENT SCREENING'!AO181="","",IFERROR(INDEX('SCORING MASTER'!$D$74:$D$75,MATCH('STUDENT SCREENING'!AO181,'SCORING MASTER'!$C$74:$C$75,0)),""))</f>
        <v/>
      </c>
      <c r="AQ181" s="58" t="str">
        <f aca="false">IF('STUDENT SCREENING'!AP181="","",IFERROR(INDEX('SCORING MASTER'!$D$77:$D$78,MATCH('STUDENT SCREENING'!AP181,'SCORING MASTER'!$C$77:$C$78,0)),""))</f>
        <v/>
      </c>
      <c r="AR181" s="58" t="str">
        <f aca="false">IF('STUDENT SCREENING'!AQ181="","",IFERROR(INDEX('SCORING MASTER'!$D$80:$D$82,MATCH('STUDENT SCREENING'!AQ181,'SCORING MASTER'!$C$80:$C$82,0)),""))</f>
        <v/>
      </c>
      <c r="AS181" s="58" t="str">
        <f aca="false">IF('STUDENT SCREENING'!AR181="","",IFERROR(INDEX('SCORING MASTER'!$D$84:$D$86,MATCH('STUDENT SCREENING'!AR181,'SCORING MASTER'!$C$84:$C$86,0)),""))</f>
        <v/>
      </c>
      <c r="AT181" s="58" t="str">
        <f aca="false">IF('STUDENT SCREENING'!AS181="","",IFERROR(INDEX('SCORING MASTER'!$D$88:$D$90,MATCH('STUDENT SCREENING'!AS181,'SCORING MASTER'!$C$88:$C$90,0)),""))</f>
        <v/>
      </c>
      <c r="AU181" s="58" t="str">
        <f aca="false">IF('STUDENT SCREENING'!AT181="","",IFERROR(INDEX('SCORING MASTER'!$D$92:$D$93,MATCH('STUDENT SCREENING'!AT181,'SCORING MASTER'!$C$92:$C$93,0)),""))</f>
        <v/>
      </c>
      <c r="AV181" s="58" t="str">
        <f aca="false">IF('STUDENT SCREENING'!AU181="","",IFERROR(INDEX('SCORING MASTER'!$D$95:$D$96,MATCH('STUDENT SCREENING'!AU181,'SCORING MASTER'!$C$95:$C$96,0)),""))</f>
        <v/>
      </c>
      <c r="AW181" s="58" t="str">
        <f aca="false">IF('STUDENT SCREENING'!AV181="","",IFERROR(INDEX('SCORING MASTER'!$D$98:$D$99,MATCH('STUDENT SCREENING'!AV181,'SCORING MASTER'!$C$98:$C$99,0)),""))</f>
        <v/>
      </c>
      <c r="AX181" s="58" t="str">
        <f aca="false">IF('STUDENT SCREENING'!AW181="","",IFERROR(INDEX('SCORING MASTER'!$D$101:$D$102,MATCH('STUDENT SCREENING'!AW181,'SCORING MASTER'!$C$101:$C$102,0)),""))</f>
        <v/>
      </c>
      <c r="AY181" s="58" t="str">
        <f aca="false">IF('STUDENT SCREENING'!AX181="","",IFERROR(INDEX('SCORING MASTER'!$D$104:$D$105,MATCH('STUDENT SCREENING'!AX181,'SCORING MASTER'!$C$104:$C$105,0)),""))</f>
        <v/>
      </c>
      <c r="AZ181" s="58" t="str">
        <f aca="false">IF('STUDENT SCREENING'!AY181="","",IFERROR(INDEX('SCORING MASTER'!$D$107:$D$108,MATCH('STUDENT SCREENING'!AY181,'SCORING MASTER'!$C$107:$C$108,0)),""))</f>
        <v/>
      </c>
      <c r="BA181" s="58" t="str">
        <f aca="false">IF('STUDENT SCREENING'!AZ181="","",IFERROR(INDEX('SCORING MASTER'!$D$110:$D$111,MATCH('STUDENT SCREENING'!AZ181,'SCORING MASTER'!$C$110:$C$111,0)),""))</f>
        <v/>
      </c>
      <c r="BB181" s="58" t="str">
        <f aca="false">IF('STUDENT SCREENING'!BA181="","",IFERROR(INDEX('SCORING MASTER'!$D$113:$D$115,MATCH('STUDENT SCREENING'!BA181,'SCORING MASTER'!$C$113:$C$115,0)),""))</f>
        <v/>
      </c>
      <c r="BC181" s="58" t="str">
        <f aca="false">IF('STUDENT SCREENING'!BB181="","",IFERROR(INDEX('SCORING MASTER'!$D$117:$D$119,MATCH('STUDENT SCREENING'!BB181,'SCORING MASTER'!$C$117:$C$119,0)),""))</f>
        <v/>
      </c>
      <c r="BD181" s="58" t="str">
        <f aca="false">IF('STUDENT SCREENING'!BC181="","",IFERROR(INDEX('SCORING MASTER'!$D$121:$D$123,MATCH('STUDENT SCREENING'!BC181,'SCORING MASTER'!$C$121:$C$123,0)),""))</f>
        <v/>
      </c>
      <c r="BE181" s="58" t="str">
        <f aca="false">IF('STUDENT SCREENING'!BD181="","",IFERROR(INDEX('SCORING MASTER'!$D$125:$D$126,MATCH('STUDENT SCREENING'!BD181,'SCORING MASTER'!$C$125:$C$126,0)),""))</f>
        <v/>
      </c>
      <c r="BF181" s="58" t="str">
        <f aca="false">IF('STUDENT SCREENING'!BE181="","",IFERROR(INDEX('SCORING MASTER'!$D$128:$D$129,MATCH('STUDENT SCREENING'!BE181,'SCORING MASTER'!$C$128:$C$129,0)),""))</f>
        <v/>
      </c>
      <c r="BG181" s="58" t="str">
        <f aca="false">IF('STUDENT SCREENING'!BP181="","",IFERROR(MATCH('STUDENT SCREENING'!BP181,{"Red - High Risk","Orange - Moderate Risk","Yellow - Mild Risk","Light Green - Mild Watch","Green - Healthy"},0)-1,""))</f>
        <v/>
      </c>
      <c r="BH181" s="58" t="str">
        <f aca="false">IF('STUDENT SCREENING'!BQ181="","",IF('STUDENT SCREENING'!BQ181="Yes",1,0))</f>
        <v/>
      </c>
      <c r="BI181" s="58" t="str">
        <f aca="false">IF('STUDENT SCREENING'!BR181="","",IF('STUDENT SCREENING'!BR181="Yes",1,0))</f>
        <v/>
      </c>
    </row>
    <row r="182" customFormat="false" ht="15" hidden="false" customHeight="false" outlineLevel="0" collapsed="false">
      <c r="A182" s="57" t="str">
        <f aca="false">'STUDENT SCREENING'!A182</f>
        <v/>
      </c>
      <c r="B182" s="57" t="n">
        <f aca="false">'STUDENT SCREENING'!C182</f>
        <v>0</v>
      </c>
      <c r="C182" s="57" t="n">
        <f aca="false">'STUDENT SCREENING'!D182</f>
        <v>0</v>
      </c>
      <c r="D182" s="57" t="n">
        <f aca="false">'STUDENT SCREENING'!E182</f>
        <v>0</v>
      </c>
      <c r="E182" s="57" t="n">
        <f aca="false">'STUDENT SCREENING'!F182</f>
        <v>0</v>
      </c>
      <c r="F182" s="57" t="n">
        <f aca="false">'STUDENT SCREENING'!K182</f>
        <v>0</v>
      </c>
      <c r="G182" s="57" t="n">
        <f aca="false">'STUDENT SCREENING'!J182</f>
        <v>0</v>
      </c>
      <c r="H182" s="57" t="str">
        <f aca="false">IF('STUDENT SCREENING'!K182="","",IFERROR(MATCH('STUDENT SCREENING'!K182,Adm_Gender,0),""))</f>
        <v/>
      </c>
      <c r="I182" s="57" t="n">
        <f aca="false">'STUDENT SCREENING'!Q182</f>
        <v>0</v>
      </c>
      <c r="J182" s="57" t="n">
        <f aca="false">'STUDENT SCREENING'!R182</f>
        <v>0</v>
      </c>
      <c r="K182" s="57" t="str">
        <f aca="false">'STUDENT SCREENING'!S182</f>
        <v/>
      </c>
      <c r="L182" s="57" t="n">
        <f aca="false">'STUDENT SCREENING'!U182</f>
        <v>0</v>
      </c>
      <c r="M182" s="57" t="n">
        <f aca="false">'STUDENT SCREENING'!V182</f>
        <v>0</v>
      </c>
      <c r="N182" s="57" t="str">
        <f aca="false">'STUDENT SCREENING'!BF182</f>
        <v/>
      </c>
      <c r="O182" s="57" t="str">
        <f aca="false">'STUDENT SCREENING'!BG182</f>
        <v/>
      </c>
      <c r="P182" s="57" t="str">
        <f aca="false">'STUDENT SCREENING'!BH182</f>
        <v/>
      </c>
      <c r="Q182" s="57" t="str">
        <f aca="false">'STUDENT SCREENING'!BI182</f>
        <v/>
      </c>
      <c r="R182" s="57" t="str">
        <f aca="false">'STUDENT SCREENING'!BJ182</f>
        <v/>
      </c>
      <c r="S182" s="57" t="str">
        <f aca="false">'STUDENT SCREENING'!BK182</f>
        <v/>
      </c>
      <c r="T182" s="57" t="str">
        <f aca="false">'STUDENT SCREENING'!BL182</f>
        <v/>
      </c>
      <c r="U182" s="57" t="str">
        <f aca="false">'STUDENT SCREENING'!BM182</f>
        <v/>
      </c>
      <c r="V182" s="57" t="str">
        <f aca="false">'STUDENT SCREENING'!BN182</f>
        <v/>
      </c>
      <c r="W182" s="57" t="str">
        <f aca="false">'STUDENT SCREENING'!BO182</f>
        <v/>
      </c>
      <c r="X182" s="57" t="str">
        <f aca="false">IF('STUDENT SCREENING'!W182="","",IFERROR(INDEX('SCORING MASTER'!$D$5:$D$7,MATCH('STUDENT SCREENING'!W182,'SCORING MASTER'!$C$5:$C$7,0)),""))</f>
        <v/>
      </c>
      <c r="Y182" s="57" t="str">
        <f aca="false">IF('STUDENT SCREENING'!X182="","",IFERROR(INDEX('SCORING MASTER'!$D$9:$D$11,MATCH('STUDENT SCREENING'!X182,'SCORING MASTER'!$C$9:$C$11,0)),""))</f>
        <v/>
      </c>
      <c r="Z182" s="57" t="str">
        <f aca="false">IF('STUDENT SCREENING'!Y182="","",IFERROR(INDEX('SCORING MASTER'!$D$13:$D$15,MATCH('STUDENT SCREENING'!Y182,'SCORING MASTER'!$C$13:$C$15,0)),""))</f>
        <v/>
      </c>
      <c r="AA182" s="57" t="str">
        <f aca="false">IF('STUDENT SCREENING'!Z182="","",IFERROR(INDEX('SCORING MASTER'!$D$17:$D$19,MATCH('STUDENT SCREENING'!Z182,'SCORING MASTER'!$C$17:$C$19,0)),""))</f>
        <v/>
      </c>
      <c r="AB182" s="57" t="str">
        <f aca="false">IF('STUDENT SCREENING'!AA182="","",IFERROR(INDEX('SCORING MASTER'!$D$21:$D$23,MATCH('STUDENT SCREENING'!AA182,'SCORING MASTER'!$C$21:$C$23,0)),""))</f>
        <v/>
      </c>
      <c r="AC182" s="57" t="str">
        <f aca="false">IF('STUDENT SCREENING'!AB182="","",IFERROR(INDEX('SCORING MASTER'!$D$25:$D$27,MATCH('STUDENT SCREENING'!AB182,'SCORING MASTER'!$C$25:$C$27,0)),""))</f>
        <v/>
      </c>
      <c r="AD182" s="57" t="str">
        <f aca="false">IF('STUDENT SCREENING'!AC182="","",IFERROR(INDEX('SCORING MASTER'!$D$29:$D$31,MATCH('STUDENT SCREENING'!AC182,'SCORING MASTER'!$C$29:$C$31,0)),""))</f>
        <v/>
      </c>
      <c r="AE182" s="57" t="str">
        <f aca="false">IF('STUDENT SCREENING'!AD182="","",IFERROR(INDEX('SCORING MASTER'!$D$33:$D$35,MATCH('STUDENT SCREENING'!AD182,'SCORING MASTER'!$C$33:$C$35,0)),""))</f>
        <v/>
      </c>
      <c r="AF182" s="57" t="str">
        <f aca="false">IF('STUDENT SCREENING'!AE182="","",IFERROR(INDEX('SCORING MASTER'!$D$37:$D$39,MATCH('STUDENT SCREENING'!AE182,'SCORING MASTER'!$C$37:$C$39,0)),""))</f>
        <v/>
      </c>
      <c r="AG182" s="57" t="str">
        <f aca="false">IF('STUDENT SCREENING'!AF182="","",IFERROR(INDEX('SCORING MASTER'!$D$41:$D$43,MATCH('STUDENT SCREENING'!AF182,'SCORING MASTER'!$C$41:$C$43,0)),""))</f>
        <v/>
      </c>
      <c r="AH182" s="57" t="str">
        <f aca="false">IF('STUDENT SCREENING'!AG182="","",IFERROR(INDEX('SCORING MASTER'!$D$45:$D$47,MATCH('STUDENT SCREENING'!AG182,'SCORING MASTER'!$C$45:$C$47,0)),""))</f>
        <v/>
      </c>
      <c r="AI182" s="57" t="str">
        <f aca="false">IF('STUDENT SCREENING'!AH182="","",IFERROR(INDEX('SCORING MASTER'!$D$49:$D$52,MATCH('STUDENT SCREENING'!AH182,'SCORING MASTER'!$C$49:$C$52,0)),""))</f>
        <v/>
      </c>
      <c r="AJ182" s="57" t="str">
        <f aca="false">IF('STUDENT SCREENING'!AI182="","",IFERROR(INDEX('SCORING MASTER'!$D$54:$D$57,MATCH('STUDENT SCREENING'!AI182,'SCORING MASTER'!$C$54:$C$57,0)),""))</f>
        <v/>
      </c>
      <c r="AK182" s="57" t="str">
        <f aca="false">IF('STUDENT SCREENING'!AJ182="","",IFERROR(INDEX('SCORING MASTER'!$D$59:$D$60,MATCH('STUDENT SCREENING'!AJ182,'SCORING MASTER'!$C$59:$C$60,0)),""))</f>
        <v/>
      </c>
      <c r="AL182" s="57" t="str">
        <f aca="false">IF('STUDENT SCREENING'!AK182="","",IFERROR(INDEX('SCORING MASTER'!$D$62:$D$63,MATCH('STUDENT SCREENING'!AK182,'SCORING MASTER'!$C$62:$C$63,0)),""))</f>
        <v/>
      </c>
      <c r="AM182" s="57" t="str">
        <f aca="false">IF('STUDENT SCREENING'!AL182="","",IFERROR(INDEX('SCORING MASTER'!$D$65:$D$66,MATCH('STUDENT SCREENING'!AL182,'SCORING MASTER'!$C$65:$C$66,0)),""))</f>
        <v/>
      </c>
      <c r="AN182" s="57" t="str">
        <f aca="false">IF('STUDENT SCREENING'!AM182="","",IFERROR(INDEX('SCORING MASTER'!$D$68:$D$69,MATCH('STUDENT SCREENING'!AM182,'SCORING MASTER'!$C$68:$C$69,0)),""))</f>
        <v/>
      </c>
      <c r="AO182" s="57" t="str">
        <f aca="false">IF('STUDENT SCREENING'!AN182="","",IFERROR(INDEX('SCORING MASTER'!$D$71:$D$72,MATCH('STUDENT SCREENING'!AN182,'SCORING MASTER'!$C$71:$C$72,0)),""))</f>
        <v/>
      </c>
      <c r="AP182" s="57" t="str">
        <f aca="false">IF('STUDENT SCREENING'!AO182="","",IFERROR(INDEX('SCORING MASTER'!$D$74:$D$75,MATCH('STUDENT SCREENING'!AO182,'SCORING MASTER'!$C$74:$C$75,0)),""))</f>
        <v/>
      </c>
      <c r="AQ182" s="57" t="str">
        <f aca="false">IF('STUDENT SCREENING'!AP182="","",IFERROR(INDEX('SCORING MASTER'!$D$77:$D$78,MATCH('STUDENT SCREENING'!AP182,'SCORING MASTER'!$C$77:$C$78,0)),""))</f>
        <v/>
      </c>
      <c r="AR182" s="57" t="str">
        <f aca="false">IF('STUDENT SCREENING'!AQ182="","",IFERROR(INDEX('SCORING MASTER'!$D$80:$D$82,MATCH('STUDENT SCREENING'!AQ182,'SCORING MASTER'!$C$80:$C$82,0)),""))</f>
        <v/>
      </c>
      <c r="AS182" s="57" t="str">
        <f aca="false">IF('STUDENT SCREENING'!AR182="","",IFERROR(INDEX('SCORING MASTER'!$D$84:$D$86,MATCH('STUDENT SCREENING'!AR182,'SCORING MASTER'!$C$84:$C$86,0)),""))</f>
        <v/>
      </c>
      <c r="AT182" s="57" t="str">
        <f aca="false">IF('STUDENT SCREENING'!AS182="","",IFERROR(INDEX('SCORING MASTER'!$D$88:$D$90,MATCH('STUDENT SCREENING'!AS182,'SCORING MASTER'!$C$88:$C$90,0)),""))</f>
        <v/>
      </c>
      <c r="AU182" s="57" t="str">
        <f aca="false">IF('STUDENT SCREENING'!AT182="","",IFERROR(INDEX('SCORING MASTER'!$D$92:$D$93,MATCH('STUDENT SCREENING'!AT182,'SCORING MASTER'!$C$92:$C$93,0)),""))</f>
        <v/>
      </c>
      <c r="AV182" s="57" t="str">
        <f aca="false">IF('STUDENT SCREENING'!AU182="","",IFERROR(INDEX('SCORING MASTER'!$D$95:$D$96,MATCH('STUDENT SCREENING'!AU182,'SCORING MASTER'!$C$95:$C$96,0)),""))</f>
        <v/>
      </c>
      <c r="AW182" s="57" t="str">
        <f aca="false">IF('STUDENT SCREENING'!AV182="","",IFERROR(INDEX('SCORING MASTER'!$D$98:$D$99,MATCH('STUDENT SCREENING'!AV182,'SCORING MASTER'!$C$98:$C$99,0)),""))</f>
        <v/>
      </c>
      <c r="AX182" s="57" t="str">
        <f aca="false">IF('STUDENT SCREENING'!AW182="","",IFERROR(INDEX('SCORING MASTER'!$D$101:$D$102,MATCH('STUDENT SCREENING'!AW182,'SCORING MASTER'!$C$101:$C$102,0)),""))</f>
        <v/>
      </c>
      <c r="AY182" s="57" t="str">
        <f aca="false">IF('STUDENT SCREENING'!AX182="","",IFERROR(INDEX('SCORING MASTER'!$D$104:$D$105,MATCH('STUDENT SCREENING'!AX182,'SCORING MASTER'!$C$104:$C$105,0)),""))</f>
        <v/>
      </c>
      <c r="AZ182" s="57" t="str">
        <f aca="false">IF('STUDENT SCREENING'!AY182="","",IFERROR(INDEX('SCORING MASTER'!$D$107:$D$108,MATCH('STUDENT SCREENING'!AY182,'SCORING MASTER'!$C$107:$C$108,0)),""))</f>
        <v/>
      </c>
      <c r="BA182" s="57" t="str">
        <f aca="false">IF('STUDENT SCREENING'!AZ182="","",IFERROR(INDEX('SCORING MASTER'!$D$110:$D$111,MATCH('STUDENT SCREENING'!AZ182,'SCORING MASTER'!$C$110:$C$111,0)),""))</f>
        <v/>
      </c>
      <c r="BB182" s="57" t="str">
        <f aca="false">IF('STUDENT SCREENING'!BA182="","",IFERROR(INDEX('SCORING MASTER'!$D$113:$D$115,MATCH('STUDENT SCREENING'!BA182,'SCORING MASTER'!$C$113:$C$115,0)),""))</f>
        <v/>
      </c>
      <c r="BC182" s="57" t="str">
        <f aca="false">IF('STUDENT SCREENING'!BB182="","",IFERROR(INDEX('SCORING MASTER'!$D$117:$D$119,MATCH('STUDENT SCREENING'!BB182,'SCORING MASTER'!$C$117:$C$119,0)),""))</f>
        <v/>
      </c>
      <c r="BD182" s="57" t="str">
        <f aca="false">IF('STUDENT SCREENING'!BC182="","",IFERROR(INDEX('SCORING MASTER'!$D$121:$D$123,MATCH('STUDENT SCREENING'!BC182,'SCORING MASTER'!$C$121:$C$123,0)),""))</f>
        <v/>
      </c>
      <c r="BE182" s="57" t="str">
        <f aca="false">IF('STUDENT SCREENING'!BD182="","",IFERROR(INDEX('SCORING MASTER'!$D$125:$D$126,MATCH('STUDENT SCREENING'!BD182,'SCORING MASTER'!$C$125:$C$126,0)),""))</f>
        <v/>
      </c>
      <c r="BF182" s="57" t="str">
        <f aca="false">IF('STUDENT SCREENING'!BE182="","",IFERROR(INDEX('SCORING MASTER'!$D$128:$D$129,MATCH('STUDENT SCREENING'!BE182,'SCORING MASTER'!$C$128:$C$129,0)),""))</f>
        <v/>
      </c>
      <c r="BG182" s="57" t="str">
        <f aca="false">IF('STUDENT SCREENING'!BP182="","",IFERROR(MATCH('STUDENT SCREENING'!BP182,{"Red - High Risk","Orange - Moderate Risk","Yellow - Mild Risk","Light Green - Mild Watch","Green - Healthy"},0)-1,""))</f>
        <v/>
      </c>
      <c r="BH182" s="57" t="str">
        <f aca="false">IF('STUDENT SCREENING'!BQ182="","",IF('STUDENT SCREENING'!BQ182="Yes",1,0))</f>
        <v/>
      </c>
      <c r="BI182" s="57" t="str">
        <f aca="false">IF('STUDENT SCREENING'!BR182="","",IF('STUDENT SCREENING'!BR182="Yes",1,0))</f>
        <v/>
      </c>
    </row>
    <row r="183" customFormat="false" ht="15" hidden="false" customHeight="false" outlineLevel="0" collapsed="false">
      <c r="A183" s="58" t="str">
        <f aca="false">'STUDENT SCREENING'!A183</f>
        <v/>
      </c>
      <c r="B183" s="58" t="n">
        <f aca="false">'STUDENT SCREENING'!C183</f>
        <v>0</v>
      </c>
      <c r="C183" s="58" t="n">
        <f aca="false">'STUDENT SCREENING'!D183</f>
        <v>0</v>
      </c>
      <c r="D183" s="58" t="n">
        <f aca="false">'STUDENT SCREENING'!E183</f>
        <v>0</v>
      </c>
      <c r="E183" s="58" t="n">
        <f aca="false">'STUDENT SCREENING'!F183</f>
        <v>0</v>
      </c>
      <c r="F183" s="58" t="n">
        <f aca="false">'STUDENT SCREENING'!K183</f>
        <v>0</v>
      </c>
      <c r="G183" s="58" t="n">
        <f aca="false">'STUDENT SCREENING'!J183</f>
        <v>0</v>
      </c>
      <c r="H183" s="58" t="str">
        <f aca="false">IF('STUDENT SCREENING'!K183="","",IFERROR(MATCH('STUDENT SCREENING'!K183,Adm_Gender,0),""))</f>
        <v/>
      </c>
      <c r="I183" s="58" t="n">
        <f aca="false">'STUDENT SCREENING'!Q183</f>
        <v>0</v>
      </c>
      <c r="J183" s="58" t="n">
        <f aca="false">'STUDENT SCREENING'!R183</f>
        <v>0</v>
      </c>
      <c r="K183" s="58" t="str">
        <f aca="false">'STUDENT SCREENING'!S183</f>
        <v/>
      </c>
      <c r="L183" s="58" t="n">
        <f aca="false">'STUDENT SCREENING'!U183</f>
        <v>0</v>
      </c>
      <c r="M183" s="58" t="n">
        <f aca="false">'STUDENT SCREENING'!V183</f>
        <v>0</v>
      </c>
      <c r="N183" s="58" t="str">
        <f aca="false">'STUDENT SCREENING'!BF183</f>
        <v/>
      </c>
      <c r="O183" s="58" t="str">
        <f aca="false">'STUDENT SCREENING'!BG183</f>
        <v/>
      </c>
      <c r="P183" s="58" t="str">
        <f aca="false">'STUDENT SCREENING'!BH183</f>
        <v/>
      </c>
      <c r="Q183" s="58" t="str">
        <f aca="false">'STUDENT SCREENING'!BI183</f>
        <v/>
      </c>
      <c r="R183" s="58" t="str">
        <f aca="false">'STUDENT SCREENING'!BJ183</f>
        <v/>
      </c>
      <c r="S183" s="58" t="str">
        <f aca="false">'STUDENT SCREENING'!BK183</f>
        <v/>
      </c>
      <c r="T183" s="58" t="str">
        <f aca="false">'STUDENT SCREENING'!BL183</f>
        <v/>
      </c>
      <c r="U183" s="58" t="str">
        <f aca="false">'STUDENT SCREENING'!BM183</f>
        <v/>
      </c>
      <c r="V183" s="58" t="str">
        <f aca="false">'STUDENT SCREENING'!BN183</f>
        <v/>
      </c>
      <c r="W183" s="58" t="str">
        <f aca="false">'STUDENT SCREENING'!BO183</f>
        <v/>
      </c>
      <c r="X183" s="58" t="str">
        <f aca="false">IF('STUDENT SCREENING'!W183="","",IFERROR(INDEX('SCORING MASTER'!$D$5:$D$7,MATCH('STUDENT SCREENING'!W183,'SCORING MASTER'!$C$5:$C$7,0)),""))</f>
        <v/>
      </c>
      <c r="Y183" s="58" t="str">
        <f aca="false">IF('STUDENT SCREENING'!X183="","",IFERROR(INDEX('SCORING MASTER'!$D$9:$D$11,MATCH('STUDENT SCREENING'!X183,'SCORING MASTER'!$C$9:$C$11,0)),""))</f>
        <v/>
      </c>
      <c r="Z183" s="58" t="str">
        <f aca="false">IF('STUDENT SCREENING'!Y183="","",IFERROR(INDEX('SCORING MASTER'!$D$13:$D$15,MATCH('STUDENT SCREENING'!Y183,'SCORING MASTER'!$C$13:$C$15,0)),""))</f>
        <v/>
      </c>
      <c r="AA183" s="58" t="str">
        <f aca="false">IF('STUDENT SCREENING'!Z183="","",IFERROR(INDEX('SCORING MASTER'!$D$17:$D$19,MATCH('STUDENT SCREENING'!Z183,'SCORING MASTER'!$C$17:$C$19,0)),""))</f>
        <v/>
      </c>
      <c r="AB183" s="58" t="str">
        <f aca="false">IF('STUDENT SCREENING'!AA183="","",IFERROR(INDEX('SCORING MASTER'!$D$21:$D$23,MATCH('STUDENT SCREENING'!AA183,'SCORING MASTER'!$C$21:$C$23,0)),""))</f>
        <v/>
      </c>
      <c r="AC183" s="58" t="str">
        <f aca="false">IF('STUDENT SCREENING'!AB183="","",IFERROR(INDEX('SCORING MASTER'!$D$25:$D$27,MATCH('STUDENT SCREENING'!AB183,'SCORING MASTER'!$C$25:$C$27,0)),""))</f>
        <v/>
      </c>
      <c r="AD183" s="58" t="str">
        <f aca="false">IF('STUDENT SCREENING'!AC183="","",IFERROR(INDEX('SCORING MASTER'!$D$29:$D$31,MATCH('STUDENT SCREENING'!AC183,'SCORING MASTER'!$C$29:$C$31,0)),""))</f>
        <v/>
      </c>
      <c r="AE183" s="58" t="str">
        <f aca="false">IF('STUDENT SCREENING'!AD183="","",IFERROR(INDEX('SCORING MASTER'!$D$33:$D$35,MATCH('STUDENT SCREENING'!AD183,'SCORING MASTER'!$C$33:$C$35,0)),""))</f>
        <v/>
      </c>
      <c r="AF183" s="58" t="str">
        <f aca="false">IF('STUDENT SCREENING'!AE183="","",IFERROR(INDEX('SCORING MASTER'!$D$37:$D$39,MATCH('STUDENT SCREENING'!AE183,'SCORING MASTER'!$C$37:$C$39,0)),""))</f>
        <v/>
      </c>
      <c r="AG183" s="58" t="str">
        <f aca="false">IF('STUDENT SCREENING'!AF183="","",IFERROR(INDEX('SCORING MASTER'!$D$41:$D$43,MATCH('STUDENT SCREENING'!AF183,'SCORING MASTER'!$C$41:$C$43,0)),""))</f>
        <v/>
      </c>
      <c r="AH183" s="58" t="str">
        <f aca="false">IF('STUDENT SCREENING'!AG183="","",IFERROR(INDEX('SCORING MASTER'!$D$45:$D$47,MATCH('STUDENT SCREENING'!AG183,'SCORING MASTER'!$C$45:$C$47,0)),""))</f>
        <v/>
      </c>
      <c r="AI183" s="58" t="str">
        <f aca="false">IF('STUDENT SCREENING'!AH183="","",IFERROR(INDEX('SCORING MASTER'!$D$49:$D$52,MATCH('STUDENT SCREENING'!AH183,'SCORING MASTER'!$C$49:$C$52,0)),""))</f>
        <v/>
      </c>
      <c r="AJ183" s="58" t="str">
        <f aca="false">IF('STUDENT SCREENING'!AI183="","",IFERROR(INDEX('SCORING MASTER'!$D$54:$D$57,MATCH('STUDENT SCREENING'!AI183,'SCORING MASTER'!$C$54:$C$57,0)),""))</f>
        <v/>
      </c>
      <c r="AK183" s="58" t="str">
        <f aca="false">IF('STUDENT SCREENING'!AJ183="","",IFERROR(INDEX('SCORING MASTER'!$D$59:$D$60,MATCH('STUDENT SCREENING'!AJ183,'SCORING MASTER'!$C$59:$C$60,0)),""))</f>
        <v/>
      </c>
      <c r="AL183" s="58" t="str">
        <f aca="false">IF('STUDENT SCREENING'!AK183="","",IFERROR(INDEX('SCORING MASTER'!$D$62:$D$63,MATCH('STUDENT SCREENING'!AK183,'SCORING MASTER'!$C$62:$C$63,0)),""))</f>
        <v/>
      </c>
      <c r="AM183" s="58" t="str">
        <f aca="false">IF('STUDENT SCREENING'!AL183="","",IFERROR(INDEX('SCORING MASTER'!$D$65:$D$66,MATCH('STUDENT SCREENING'!AL183,'SCORING MASTER'!$C$65:$C$66,0)),""))</f>
        <v/>
      </c>
      <c r="AN183" s="58" t="str">
        <f aca="false">IF('STUDENT SCREENING'!AM183="","",IFERROR(INDEX('SCORING MASTER'!$D$68:$D$69,MATCH('STUDENT SCREENING'!AM183,'SCORING MASTER'!$C$68:$C$69,0)),""))</f>
        <v/>
      </c>
      <c r="AO183" s="58" t="str">
        <f aca="false">IF('STUDENT SCREENING'!AN183="","",IFERROR(INDEX('SCORING MASTER'!$D$71:$D$72,MATCH('STUDENT SCREENING'!AN183,'SCORING MASTER'!$C$71:$C$72,0)),""))</f>
        <v/>
      </c>
      <c r="AP183" s="58" t="str">
        <f aca="false">IF('STUDENT SCREENING'!AO183="","",IFERROR(INDEX('SCORING MASTER'!$D$74:$D$75,MATCH('STUDENT SCREENING'!AO183,'SCORING MASTER'!$C$74:$C$75,0)),""))</f>
        <v/>
      </c>
      <c r="AQ183" s="58" t="str">
        <f aca="false">IF('STUDENT SCREENING'!AP183="","",IFERROR(INDEX('SCORING MASTER'!$D$77:$D$78,MATCH('STUDENT SCREENING'!AP183,'SCORING MASTER'!$C$77:$C$78,0)),""))</f>
        <v/>
      </c>
      <c r="AR183" s="58" t="str">
        <f aca="false">IF('STUDENT SCREENING'!AQ183="","",IFERROR(INDEX('SCORING MASTER'!$D$80:$D$82,MATCH('STUDENT SCREENING'!AQ183,'SCORING MASTER'!$C$80:$C$82,0)),""))</f>
        <v/>
      </c>
      <c r="AS183" s="58" t="str">
        <f aca="false">IF('STUDENT SCREENING'!AR183="","",IFERROR(INDEX('SCORING MASTER'!$D$84:$D$86,MATCH('STUDENT SCREENING'!AR183,'SCORING MASTER'!$C$84:$C$86,0)),""))</f>
        <v/>
      </c>
      <c r="AT183" s="58" t="str">
        <f aca="false">IF('STUDENT SCREENING'!AS183="","",IFERROR(INDEX('SCORING MASTER'!$D$88:$D$90,MATCH('STUDENT SCREENING'!AS183,'SCORING MASTER'!$C$88:$C$90,0)),""))</f>
        <v/>
      </c>
      <c r="AU183" s="58" t="str">
        <f aca="false">IF('STUDENT SCREENING'!AT183="","",IFERROR(INDEX('SCORING MASTER'!$D$92:$D$93,MATCH('STUDENT SCREENING'!AT183,'SCORING MASTER'!$C$92:$C$93,0)),""))</f>
        <v/>
      </c>
      <c r="AV183" s="58" t="str">
        <f aca="false">IF('STUDENT SCREENING'!AU183="","",IFERROR(INDEX('SCORING MASTER'!$D$95:$D$96,MATCH('STUDENT SCREENING'!AU183,'SCORING MASTER'!$C$95:$C$96,0)),""))</f>
        <v/>
      </c>
      <c r="AW183" s="58" t="str">
        <f aca="false">IF('STUDENT SCREENING'!AV183="","",IFERROR(INDEX('SCORING MASTER'!$D$98:$D$99,MATCH('STUDENT SCREENING'!AV183,'SCORING MASTER'!$C$98:$C$99,0)),""))</f>
        <v/>
      </c>
      <c r="AX183" s="58" t="str">
        <f aca="false">IF('STUDENT SCREENING'!AW183="","",IFERROR(INDEX('SCORING MASTER'!$D$101:$D$102,MATCH('STUDENT SCREENING'!AW183,'SCORING MASTER'!$C$101:$C$102,0)),""))</f>
        <v/>
      </c>
      <c r="AY183" s="58" t="str">
        <f aca="false">IF('STUDENT SCREENING'!AX183="","",IFERROR(INDEX('SCORING MASTER'!$D$104:$D$105,MATCH('STUDENT SCREENING'!AX183,'SCORING MASTER'!$C$104:$C$105,0)),""))</f>
        <v/>
      </c>
      <c r="AZ183" s="58" t="str">
        <f aca="false">IF('STUDENT SCREENING'!AY183="","",IFERROR(INDEX('SCORING MASTER'!$D$107:$D$108,MATCH('STUDENT SCREENING'!AY183,'SCORING MASTER'!$C$107:$C$108,0)),""))</f>
        <v/>
      </c>
      <c r="BA183" s="58" t="str">
        <f aca="false">IF('STUDENT SCREENING'!AZ183="","",IFERROR(INDEX('SCORING MASTER'!$D$110:$D$111,MATCH('STUDENT SCREENING'!AZ183,'SCORING MASTER'!$C$110:$C$111,0)),""))</f>
        <v/>
      </c>
      <c r="BB183" s="58" t="str">
        <f aca="false">IF('STUDENT SCREENING'!BA183="","",IFERROR(INDEX('SCORING MASTER'!$D$113:$D$115,MATCH('STUDENT SCREENING'!BA183,'SCORING MASTER'!$C$113:$C$115,0)),""))</f>
        <v/>
      </c>
      <c r="BC183" s="58" t="str">
        <f aca="false">IF('STUDENT SCREENING'!BB183="","",IFERROR(INDEX('SCORING MASTER'!$D$117:$D$119,MATCH('STUDENT SCREENING'!BB183,'SCORING MASTER'!$C$117:$C$119,0)),""))</f>
        <v/>
      </c>
      <c r="BD183" s="58" t="str">
        <f aca="false">IF('STUDENT SCREENING'!BC183="","",IFERROR(INDEX('SCORING MASTER'!$D$121:$D$123,MATCH('STUDENT SCREENING'!BC183,'SCORING MASTER'!$C$121:$C$123,0)),""))</f>
        <v/>
      </c>
      <c r="BE183" s="58" t="str">
        <f aca="false">IF('STUDENT SCREENING'!BD183="","",IFERROR(INDEX('SCORING MASTER'!$D$125:$D$126,MATCH('STUDENT SCREENING'!BD183,'SCORING MASTER'!$C$125:$C$126,0)),""))</f>
        <v/>
      </c>
      <c r="BF183" s="58" t="str">
        <f aca="false">IF('STUDENT SCREENING'!BE183="","",IFERROR(INDEX('SCORING MASTER'!$D$128:$D$129,MATCH('STUDENT SCREENING'!BE183,'SCORING MASTER'!$C$128:$C$129,0)),""))</f>
        <v/>
      </c>
      <c r="BG183" s="58" t="str">
        <f aca="false">IF('STUDENT SCREENING'!BP183="","",IFERROR(MATCH('STUDENT SCREENING'!BP183,{"Red - High Risk","Orange - Moderate Risk","Yellow - Mild Risk","Light Green - Mild Watch","Green - Healthy"},0)-1,""))</f>
        <v/>
      </c>
      <c r="BH183" s="58" t="str">
        <f aca="false">IF('STUDENT SCREENING'!BQ183="","",IF('STUDENT SCREENING'!BQ183="Yes",1,0))</f>
        <v/>
      </c>
      <c r="BI183" s="58" t="str">
        <f aca="false">IF('STUDENT SCREENING'!BR183="","",IF('STUDENT SCREENING'!BR183="Yes",1,0))</f>
        <v/>
      </c>
    </row>
    <row r="184" customFormat="false" ht="15" hidden="false" customHeight="false" outlineLevel="0" collapsed="false">
      <c r="A184" s="57" t="str">
        <f aca="false">'STUDENT SCREENING'!A184</f>
        <v/>
      </c>
      <c r="B184" s="57" t="n">
        <f aca="false">'STUDENT SCREENING'!C184</f>
        <v>0</v>
      </c>
      <c r="C184" s="57" t="n">
        <f aca="false">'STUDENT SCREENING'!D184</f>
        <v>0</v>
      </c>
      <c r="D184" s="57" t="n">
        <f aca="false">'STUDENT SCREENING'!E184</f>
        <v>0</v>
      </c>
      <c r="E184" s="57" t="n">
        <f aca="false">'STUDENT SCREENING'!F184</f>
        <v>0</v>
      </c>
      <c r="F184" s="57" t="n">
        <f aca="false">'STUDENT SCREENING'!K184</f>
        <v>0</v>
      </c>
      <c r="G184" s="57" t="n">
        <f aca="false">'STUDENT SCREENING'!J184</f>
        <v>0</v>
      </c>
      <c r="H184" s="57" t="str">
        <f aca="false">IF('STUDENT SCREENING'!K184="","",IFERROR(MATCH('STUDENT SCREENING'!K184,Adm_Gender,0),""))</f>
        <v/>
      </c>
      <c r="I184" s="57" t="n">
        <f aca="false">'STUDENT SCREENING'!Q184</f>
        <v>0</v>
      </c>
      <c r="J184" s="57" t="n">
        <f aca="false">'STUDENT SCREENING'!R184</f>
        <v>0</v>
      </c>
      <c r="K184" s="57" t="str">
        <f aca="false">'STUDENT SCREENING'!S184</f>
        <v/>
      </c>
      <c r="L184" s="57" t="n">
        <f aca="false">'STUDENT SCREENING'!U184</f>
        <v>0</v>
      </c>
      <c r="M184" s="57" t="n">
        <f aca="false">'STUDENT SCREENING'!V184</f>
        <v>0</v>
      </c>
      <c r="N184" s="57" t="str">
        <f aca="false">'STUDENT SCREENING'!BF184</f>
        <v/>
      </c>
      <c r="O184" s="57" t="str">
        <f aca="false">'STUDENT SCREENING'!BG184</f>
        <v/>
      </c>
      <c r="P184" s="57" t="str">
        <f aca="false">'STUDENT SCREENING'!BH184</f>
        <v/>
      </c>
      <c r="Q184" s="57" t="str">
        <f aca="false">'STUDENT SCREENING'!BI184</f>
        <v/>
      </c>
      <c r="R184" s="57" t="str">
        <f aca="false">'STUDENT SCREENING'!BJ184</f>
        <v/>
      </c>
      <c r="S184" s="57" t="str">
        <f aca="false">'STUDENT SCREENING'!BK184</f>
        <v/>
      </c>
      <c r="T184" s="57" t="str">
        <f aca="false">'STUDENT SCREENING'!BL184</f>
        <v/>
      </c>
      <c r="U184" s="57" t="str">
        <f aca="false">'STUDENT SCREENING'!BM184</f>
        <v/>
      </c>
      <c r="V184" s="57" t="str">
        <f aca="false">'STUDENT SCREENING'!BN184</f>
        <v/>
      </c>
      <c r="W184" s="57" t="str">
        <f aca="false">'STUDENT SCREENING'!BO184</f>
        <v/>
      </c>
      <c r="X184" s="57" t="str">
        <f aca="false">IF('STUDENT SCREENING'!W184="","",IFERROR(INDEX('SCORING MASTER'!$D$5:$D$7,MATCH('STUDENT SCREENING'!W184,'SCORING MASTER'!$C$5:$C$7,0)),""))</f>
        <v/>
      </c>
      <c r="Y184" s="57" t="str">
        <f aca="false">IF('STUDENT SCREENING'!X184="","",IFERROR(INDEX('SCORING MASTER'!$D$9:$D$11,MATCH('STUDENT SCREENING'!X184,'SCORING MASTER'!$C$9:$C$11,0)),""))</f>
        <v/>
      </c>
      <c r="Z184" s="57" t="str">
        <f aca="false">IF('STUDENT SCREENING'!Y184="","",IFERROR(INDEX('SCORING MASTER'!$D$13:$D$15,MATCH('STUDENT SCREENING'!Y184,'SCORING MASTER'!$C$13:$C$15,0)),""))</f>
        <v/>
      </c>
      <c r="AA184" s="57" t="str">
        <f aca="false">IF('STUDENT SCREENING'!Z184="","",IFERROR(INDEX('SCORING MASTER'!$D$17:$D$19,MATCH('STUDENT SCREENING'!Z184,'SCORING MASTER'!$C$17:$C$19,0)),""))</f>
        <v/>
      </c>
      <c r="AB184" s="57" t="str">
        <f aca="false">IF('STUDENT SCREENING'!AA184="","",IFERROR(INDEX('SCORING MASTER'!$D$21:$D$23,MATCH('STUDENT SCREENING'!AA184,'SCORING MASTER'!$C$21:$C$23,0)),""))</f>
        <v/>
      </c>
      <c r="AC184" s="57" t="str">
        <f aca="false">IF('STUDENT SCREENING'!AB184="","",IFERROR(INDEX('SCORING MASTER'!$D$25:$D$27,MATCH('STUDENT SCREENING'!AB184,'SCORING MASTER'!$C$25:$C$27,0)),""))</f>
        <v/>
      </c>
      <c r="AD184" s="57" t="str">
        <f aca="false">IF('STUDENT SCREENING'!AC184="","",IFERROR(INDEX('SCORING MASTER'!$D$29:$D$31,MATCH('STUDENT SCREENING'!AC184,'SCORING MASTER'!$C$29:$C$31,0)),""))</f>
        <v/>
      </c>
      <c r="AE184" s="57" t="str">
        <f aca="false">IF('STUDENT SCREENING'!AD184="","",IFERROR(INDEX('SCORING MASTER'!$D$33:$D$35,MATCH('STUDENT SCREENING'!AD184,'SCORING MASTER'!$C$33:$C$35,0)),""))</f>
        <v/>
      </c>
      <c r="AF184" s="57" t="str">
        <f aca="false">IF('STUDENT SCREENING'!AE184="","",IFERROR(INDEX('SCORING MASTER'!$D$37:$D$39,MATCH('STUDENT SCREENING'!AE184,'SCORING MASTER'!$C$37:$C$39,0)),""))</f>
        <v/>
      </c>
      <c r="AG184" s="57" t="str">
        <f aca="false">IF('STUDENT SCREENING'!AF184="","",IFERROR(INDEX('SCORING MASTER'!$D$41:$D$43,MATCH('STUDENT SCREENING'!AF184,'SCORING MASTER'!$C$41:$C$43,0)),""))</f>
        <v/>
      </c>
      <c r="AH184" s="57" t="str">
        <f aca="false">IF('STUDENT SCREENING'!AG184="","",IFERROR(INDEX('SCORING MASTER'!$D$45:$D$47,MATCH('STUDENT SCREENING'!AG184,'SCORING MASTER'!$C$45:$C$47,0)),""))</f>
        <v/>
      </c>
      <c r="AI184" s="57" t="str">
        <f aca="false">IF('STUDENT SCREENING'!AH184="","",IFERROR(INDEX('SCORING MASTER'!$D$49:$D$52,MATCH('STUDENT SCREENING'!AH184,'SCORING MASTER'!$C$49:$C$52,0)),""))</f>
        <v/>
      </c>
      <c r="AJ184" s="57" t="str">
        <f aca="false">IF('STUDENT SCREENING'!AI184="","",IFERROR(INDEX('SCORING MASTER'!$D$54:$D$57,MATCH('STUDENT SCREENING'!AI184,'SCORING MASTER'!$C$54:$C$57,0)),""))</f>
        <v/>
      </c>
      <c r="AK184" s="57" t="str">
        <f aca="false">IF('STUDENT SCREENING'!AJ184="","",IFERROR(INDEX('SCORING MASTER'!$D$59:$D$60,MATCH('STUDENT SCREENING'!AJ184,'SCORING MASTER'!$C$59:$C$60,0)),""))</f>
        <v/>
      </c>
      <c r="AL184" s="57" t="str">
        <f aca="false">IF('STUDENT SCREENING'!AK184="","",IFERROR(INDEX('SCORING MASTER'!$D$62:$D$63,MATCH('STUDENT SCREENING'!AK184,'SCORING MASTER'!$C$62:$C$63,0)),""))</f>
        <v/>
      </c>
      <c r="AM184" s="57" t="str">
        <f aca="false">IF('STUDENT SCREENING'!AL184="","",IFERROR(INDEX('SCORING MASTER'!$D$65:$D$66,MATCH('STUDENT SCREENING'!AL184,'SCORING MASTER'!$C$65:$C$66,0)),""))</f>
        <v/>
      </c>
      <c r="AN184" s="57" t="str">
        <f aca="false">IF('STUDENT SCREENING'!AM184="","",IFERROR(INDEX('SCORING MASTER'!$D$68:$D$69,MATCH('STUDENT SCREENING'!AM184,'SCORING MASTER'!$C$68:$C$69,0)),""))</f>
        <v/>
      </c>
      <c r="AO184" s="57" t="str">
        <f aca="false">IF('STUDENT SCREENING'!AN184="","",IFERROR(INDEX('SCORING MASTER'!$D$71:$D$72,MATCH('STUDENT SCREENING'!AN184,'SCORING MASTER'!$C$71:$C$72,0)),""))</f>
        <v/>
      </c>
      <c r="AP184" s="57" t="str">
        <f aca="false">IF('STUDENT SCREENING'!AO184="","",IFERROR(INDEX('SCORING MASTER'!$D$74:$D$75,MATCH('STUDENT SCREENING'!AO184,'SCORING MASTER'!$C$74:$C$75,0)),""))</f>
        <v/>
      </c>
      <c r="AQ184" s="57" t="str">
        <f aca="false">IF('STUDENT SCREENING'!AP184="","",IFERROR(INDEX('SCORING MASTER'!$D$77:$D$78,MATCH('STUDENT SCREENING'!AP184,'SCORING MASTER'!$C$77:$C$78,0)),""))</f>
        <v/>
      </c>
      <c r="AR184" s="57" t="str">
        <f aca="false">IF('STUDENT SCREENING'!AQ184="","",IFERROR(INDEX('SCORING MASTER'!$D$80:$D$82,MATCH('STUDENT SCREENING'!AQ184,'SCORING MASTER'!$C$80:$C$82,0)),""))</f>
        <v/>
      </c>
      <c r="AS184" s="57" t="str">
        <f aca="false">IF('STUDENT SCREENING'!AR184="","",IFERROR(INDEX('SCORING MASTER'!$D$84:$D$86,MATCH('STUDENT SCREENING'!AR184,'SCORING MASTER'!$C$84:$C$86,0)),""))</f>
        <v/>
      </c>
      <c r="AT184" s="57" t="str">
        <f aca="false">IF('STUDENT SCREENING'!AS184="","",IFERROR(INDEX('SCORING MASTER'!$D$88:$D$90,MATCH('STUDENT SCREENING'!AS184,'SCORING MASTER'!$C$88:$C$90,0)),""))</f>
        <v/>
      </c>
      <c r="AU184" s="57" t="str">
        <f aca="false">IF('STUDENT SCREENING'!AT184="","",IFERROR(INDEX('SCORING MASTER'!$D$92:$D$93,MATCH('STUDENT SCREENING'!AT184,'SCORING MASTER'!$C$92:$C$93,0)),""))</f>
        <v/>
      </c>
      <c r="AV184" s="57" t="str">
        <f aca="false">IF('STUDENT SCREENING'!AU184="","",IFERROR(INDEX('SCORING MASTER'!$D$95:$D$96,MATCH('STUDENT SCREENING'!AU184,'SCORING MASTER'!$C$95:$C$96,0)),""))</f>
        <v/>
      </c>
      <c r="AW184" s="57" t="str">
        <f aca="false">IF('STUDENT SCREENING'!AV184="","",IFERROR(INDEX('SCORING MASTER'!$D$98:$D$99,MATCH('STUDENT SCREENING'!AV184,'SCORING MASTER'!$C$98:$C$99,0)),""))</f>
        <v/>
      </c>
      <c r="AX184" s="57" t="str">
        <f aca="false">IF('STUDENT SCREENING'!AW184="","",IFERROR(INDEX('SCORING MASTER'!$D$101:$D$102,MATCH('STUDENT SCREENING'!AW184,'SCORING MASTER'!$C$101:$C$102,0)),""))</f>
        <v/>
      </c>
      <c r="AY184" s="57" t="str">
        <f aca="false">IF('STUDENT SCREENING'!AX184="","",IFERROR(INDEX('SCORING MASTER'!$D$104:$D$105,MATCH('STUDENT SCREENING'!AX184,'SCORING MASTER'!$C$104:$C$105,0)),""))</f>
        <v/>
      </c>
      <c r="AZ184" s="57" t="str">
        <f aca="false">IF('STUDENT SCREENING'!AY184="","",IFERROR(INDEX('SCORING MASTER'!$D$107:$D$108,MATCH('STUDENT SCREENING'!AY184,'SCORING MASTER'!$C$107:$C$108,0)),""))</f>
        <v/>
      </c>
      <c r="BA184" s="57" t="str">
        <f aca="false">IF('STUDENT SCREENING'!AZ184="","",IFERROR(INDEX('SCORING MASTER'!$D$110:$D$111,MATCH('STUDENT SCREENING'!AZ184,'SCORING MASTER'!$C$110:$C$111,0)),""))</f>
        <v/>
      </c>
      <c r="BB184" s="57" t="str">
        <f aca="false">IF('STUDENT SCREENING'!BA184="","",IFERROR(INDEX('SCORING MASTER'!$D$113:$D$115,MATCH('STUDENT SCREENING'!BA184,'SCORING MASTER'!$C$113:$C$115,0)),""))</f>
        <v/>
      </c>
      <c r="BC184" s="57" t="str">
        <f aca="false">IF('STUDENT SCREENING'!BB184="","",IFERROR(INDEX('SCORING MASTER'!$D$117:$D$119,MATCH('STUDENT SCREENING'!BB184,'SCORING MASTER'!$C$117:$C$119,0)),""))</f>
        <v/>
      </c>
      <c r="BD184" s="57" t="str">
        <f aca="false">IF('STUDENT SCREENING'!BC184="","",IFERROR(INDEX('SCORING MASTER'!$D$121:$D$123,MATCH('STUDENT SCREENING'!BC184,'SCORING MASTER'!$C$121:$C$123,0)),""))</f>
        <v/>
      </c>
      <c r="BE184" s="57" t="str">
        <f aca="false">IF('STUDENT SCREENING'!BD184="","",IFERROR(INDEX('SCORING MASTER'!$D$125:$D$126,MATCH('STUDENT SCREENING'!BD184,'SCORING MASTER'!$C$125:$C$126,0)),""))</f>
        <v/>
      </c>
      <c r="BF184" s="57" t="str">
        <f aca="false">IF('STUDENT SCREENING'!BE184="","",IFERROR(INDEX('SCORING MASTER'!$D$128:$D$129,MATCH('STUDENT SCREENING'!BE184,'SCORING MASTER'!$C$128:$C$129,0)),""))</f>
        <v/>
      </c>
      <c r="BG184" s="57" t="str">
        <f aca="false">IF('STUDENT SCREENING'!BP184="","",IFERROR(MATCH('STUDENT SCREENING'!BP184,{"Red - High Risk","Orange - Moderate Risk","Yellow - Mild Risk","Light Green - Mild Watch","Green - Healthy"},0)-1,""))</f>
        <v/>
      </c>
      <c r="BH184" s="57" t="str">
        <f aca="false">IF('STUDENT SCREENING'!BQ184="","",IF('STUDENT SCREENING'!BQ184="Yes",1,0))</f>
        <v/>
      </c>
      <c r="BI184" s="57" t="str">
        <f aca="false">IF('STUDENT SCREENING'!BR184="","",IF('STUDENT SCREENING'!BR184="Yes",1,0))</f>
        <v/>
      </c>
    </row>
    <row r="185" customFormat="false" ht="15" hidden="false" customHeight="false" outlineLevel="0" collapsed="false">
      <c r="A185" s="58" t="str">
        <f aca="false">'STUDENT SCREENING'!A185</f>
        <v/>
      </c>
      <c r="B185" s="58" t="n">
        <f aca="false">'STUDENT SCREENING'!C185</f>
        <v>0</v>
      </c>
      <c r="C185" s="58" t="n">
        <f aca="false">'STUDENT SCREENING'!D185</f>
        <v>0</v>
      </c>
      <c r="D185" s="58" t="n">
        <f aca="false">'STUDENT SCREENING'!E185</f>
        <v>0</v>
      </c>
      <c r="E185" s="58" t="n">
        <f aca="false">'STUDENT SCREENING'!F185</f>
        <v>0</v>
      </c>
      <c r="F185" s="58" t="n">
        <f aca="false">'STUDENT SCREENING'!K185</f>
        <v>0</v>
      </c>
      <c r="G185" s="58" t="n">
        <f aca="false">'STUDENT SCREENING'!J185</f>
        <v>0</v>
      </c>
      <c r="H185" s="58" t="str">
        <f aca="false">IF('STUDENT SCREENING'!K185="","",IFERROR(MATCH('STUDENT SCREENING'!K185,Adm_Gender,0),""))</f>
        <v/>
      </c>
      <c r="I185" s="58" t="n">
        <f aca="false">'STUDENT SCREENING'!Q185</f>
        <v>0</v>
      </c>
      <c r="J185" s="58" t="n">
        <f aca="false">'STUDENT SCREENING'!R185</f>
        <v>0</v>
      </c>
      <c r="K185" s="58" t="str">
        <f aca="false">'STUDENT SCREENING'!S185</f>
        <v/>
      </c>
      <c r="L185" s="58" t="n">
        <f aca="false">'STUDENT SCREENING'!U185</f>
        <v>0</v>
      </c>
      <c r="M185" s="58" t="n">
        <f aca="false">'STUDENT SCREENING'!V185</f>
        <v>0</v>
      </c>
      <c r="N185" s="58" t="str">
        <f aca="false">'STUDENT SCREENING'!BF185</f>
        <v/>
      </c>
      <c r="O185" s="58" t="str">
        <f aca="false">'STUDENT SCREENING'!BG185</f>
        <v/>
      </c>
      <c r="P185" s="58" t="str">
        <f aca="false">'STUDENT SCREENING'!BH185</f>
        <v/>
      </c>
      <c r="Q185" s="58" t="str">
        <f aca="false">'STUDENT SCREENING'!BI185</f>
        <v/>
      </c>
      <c r="R185" s="58" t="str">
        <f aca="false">'STUDENT SCREENING'!BJ185</f>
        <v/>
      </c>
      <c r="S185" s="58" t="str">
        <f aca="false">'STUDENT SCREENING'!BK185</f>
        <v/>
      </c>
      <c r="T185" s="58" t="str">
        <f aca="false">'STUDENT SCREENING'!BL185</f>
        <v/>
      </c>
      <c r="U185" s="58" t="str">
        <f aca="false">'STUDENT SCREENING'!BM185</f>
        <v/>
      </c>
      <c r="V185" s="58" t="str">
        <f aca="false">'STUDENT SCREENING'!BN185</f>
        <v/>
      </c>
      <c r="W185" s="58" t="str">
        <f aca="false">'STUDENT SCREENING'!BO185</f>
        <v/>
      </c>
      <c r="X185" s="58" t="str">
        <f aca="false">IF('STUDENT SCREENING'!W185="","",IFERROR(INDEX('SCORING MASTER'!$D$5:$D$7,MATCH('STUDENT SCREENING'!W185,'SCORING MASTER'!$C$5:$C$7,0)),""))</f>
        <v/>
      </c>
      <c r="Y185" s="58" t="str">
        <f aca="false">IF('STUDENT SCREENING'!X185="","",IFERROR(INDEX('SCORING MASTER'!$D$9:$D$11,MATCH('STUDENT SCREENING'!X185,'SCORING MASTER'!$C$9:$C$11,0)),""))</f>
        <v/>
      </c>
      <c r="Z185" s="58" t="str">
        <f aca="false">IF('STUDENT SCREENING'!Y185="","",IFERROR(INDEX('SCORING MASTER'!$D$13:$D$15,MATCH('STUDENT SCREENING'!Y185,'SCORING MASTER'!$C$13:$C$15,0)),""))</f>
        <v/>
      </c>
      <c r="AA185" s="58" t="str">
        <f aca="false">IF('STUDENT SCREENING'!Z185="","",IFERROR(INDEX('SCORING MASTER'!$D$17:$D$19,MATCH('STUDENT SCREENING'!Z185,'SCORING MASTER'!$C$17:$C$19,0)),""))</f>
        <v/>
      </c>
      <c r="AB185" s="58" t="str">
        <f aca="false">IF('STUDENT SCREENING'!AA185="","",IFERROR(INDEX('SCORING MASTER'!$D$21:$D$23,MATCH('STUDENT SCREENING'!AA185,'SCORING MASTER'!$C$21:$C$23,0)),""))</f>
        <v/>
      </c>
      <c r="AC185" s="58" t="str">
        <f aca="false">IF('STUDENT SCREENING'!AB185="","",IFERROR(INDEX('SCORING MASTER'!$D$25:$D$27,MATCH('STUDENT SCREENING'!AB185,'SCORING MASTER'!$C$25:$C$27,0)),""))</f>
        <v/>
      </c>
      <c r="AD185" s="58" t="str">
        <f aca="false">IF('STUDENT SCREENING'!AC185="","",IFERROR(INDEX('SCORING MASTER'!$D$29:$D$31,MATCH('STUDENT SCREENING'!AC185,'SCORING MASTER'!$C$29:$C$31,0)),""))</f>
        <v/>
      </c>
      <c r="AE185" s="58" t="str">
        <f aca="false">IF('STUDENT SCREENING'!AD185="","",IFERROR(INDEX('SCORING MASTER'!$D$33:$D$35,MATCH('STUDENT SCREENING'!AD185,'SCORING MASTER'!$C$33:$C$35,0)),""))</f>
        <v/>
      </c>
      <c r="AF185" s="58" t="str">
        <f aca="false">IF('STUDENT SCREENING'!AE185="","",IFERROR(INDEX('SCORING MASTER'!$D$37:$D$39,MATCH('STUDENT SCREENING'!AE185,'SCORING MASTER'!$C$37:$C$39,0)),""))</f>
        <v/>
      </c>
      <c r="AG185" s="58" t="str">
        <f aca="false">IF('STUDENT SCREENING'!AF185="","",IFERROR(INDEX('SCORING MASTER'!$D$41:$D$43,MATCH('STUDENT SCREENING'!AF185,'SCORING MASTER'!$C$41:$C$43,0)),""))</f>
        <v/>
      </c>
      <c r="AH185" s="58" t="str">
        <f aca="false">IF('STUDENT SCREENING'!AG185="","",IFERROR(INDEX('SCORING MASTER'!$D$45:$D$47,MATCH('STUDENT SCREENING'!AG185,'SCORING MASTER'!$C$45:$C$47,0)),""))</f>
        <v/>
      </c>
      <c r="AI185" s="58" t="str">
        <f aca="false">IF('STUDENT SCREENING'!AH185="","",IFERROR(INDEX('SCORING MASTER'!$D$49:$D$52,MATCH('STUDENT SCREENING'!AH185,'SCORING MASTER'!$C$49:$C$52,0)),""))</f>
        <v/>
      </c>
      <c r="AJ185" s="58" t="str">
        <f aca="false">IF('STUDENT SCREENING'!AI185="","",IFERROR(INDEX('SCORING MASTER'!$D$54:$D$57,MATCH('STUDENT SCREENING'!AI185,'SCORING MASTER'!$C$54:$C$57,0)),""))</f>
        <v/>
      </c>
      <c r="AK185" s="58" t="str">
        <f aca="false">IF('STUDENT SCREENING'!AJ185="","",IFERROR(INDEX('SCORING MASTER'!$D$59:$D$60,MATCH('STUDENT SCREENING'!AJ185,'SCORING MASTER'!$C$59:$C$60,0)),""))</f>
        <v/>
      </c>
      <c r="AL185" s="58" t="str">
        <f aca="false">IF('STUDENT SCREENING'!AK185="","",IFERROR(INDEX('SCORING MASTER'!$D$62:$D$63,MATCH('STUDENT SCREENING'!AK185,'SCORING MASTER'!$C$62:$C$63,0)),""))</f>
        <v/>
      </c>
      <c r="AM185" s="58" t="str">
        <f aca="false">IF('STUDENT SCREENING'!AL185="","",IFERROR(INDEX('SCORING MASTER'!$D$65:$D$66,MATCH('STUDENT SCREENING'!AL185,'SCORING MASTER'!$C$65:$C$66,0)),""))</f>
        <v/>
      </c>
      <c r="AN185" s="58" t="str">
        <f aca="false">IF('STUDENT SCREENING'!AM185="","",IFERROR(INDEX('SCORING MASTER'!$D$68:$D$69,MATCH('STUDENT SCREENING'!AM185,'SCORING MASTER'!$C$68:$C$69,0)),""))</f>
        <v/>
      </c>
      <c r="AO185" s="58" t="str">
        <f aca="false">IF('STUDENT SCREENING'!AN185="","",IFERROR(INDEX('SCORING MASTER'!$D$71:$D$72,MATCH('STUDENT SCREENING'!AN185,'SCORING MASTER'!$C$71:$C$72,0)),""))</f>
        <v/>
      </c>
      <c r="AP185" s="58" t="str">
        <f aca="false">IF('STUDENT SCREENING'!AO185="","",IFERROR(INDEX('SCORING MASTER'!$D$74:$D$75,MATCH('STUDENT SCREENING'!AO185,'SCORING MASTER'!$C$74:$C$75,0)),""))</f>
        <v/>
      </c>
      <c r="AQ185" s="58" t="str">
        <f aca="false">IF('STUDENT SCREENING'!AP185="","",IFERROR(INDEX('SCORING MASTER'!$D$77:$D$78,MATCH('STUDENT SCREENING'!AP185,'SCORING MASTER'!$C$77:$C$78,0)),""))</f>
        <v/>
      </c>
      <c r="AR185" s="58" t="str">
        <f aca="false">IF('STUDENT SCREENING'!AQ185="","",IFERROR(INDEX('SCORING MASTER'!$D$80:$D$82,MATCH('STUDENT SCREENING'!AQ185,'SCORING MASTER'!$C$80:$C$82,0)),""))</f>
        <v/>
      </c>
      <c r="AS185" s="58" t="str">
        <f aca="false">IF('STUDENT SCREENING'!AR185="","",IFERROR(INDEX('SCORING MASTER'!$D$84:$D$86,MATCH('STUDENT SCREENING'!AR185,'SCORING MASTER'!$C$84:$C$86,0)),""))</f>
        <v/>
      </c>
      <c r="AT185" s="58" t="str">
        <f aca="false">IF('STUDENT SCREENING'!AS185="","",IFERROR(INDEX('SCORING MASTER'!$D$88:$D$90,MATCH('STUDENT SCREENING'!AS185,'SCORING MASTER'!$C$88:$C$90,0)),""))</f>
        <v/>
      </c>
      <c r="AU185" s="58" t="str">
        <f aca="false">IF('STUDENT SCREENING'!AT185="","",IFERROR(INDEX('SCORING MASTER'!$D$92:$D$93,MATCH('STUDENT SCREENING'!AT185,'SCORING MASTER'!$C$92:$C$93,0)),""))</f>
        <v/>
      </c>
      <c r="AV185" s="58" t="str">
        <f aca="false">IF('STUDENT SCREENING'!AU185="","",IFERROR(INDEX('SCORING MASTER'!$D$95:$D$96,MATCH('STUDENT SCREENING'!AU185,'SCORING MASTER'!$C$95:$C$96,0)),""))</f>
        <v/>
      </c>
      <c r="AW185" s="58" t="str">
        <f aca="false">IF('STUDENT SCREENING'!AV185="","",IFERROR(INDEX('SCORING MASTER'!$D$98:$D$99,MATCH('STUDENT SCREENING'!AV185,'SCORING MASTER'!$C$98:$C$99,0)),""))</f>
        <v/>
      </c>
      <c r="AX185" s="58" t="str">
        <f aca="false">IF('STUDENT SCREENING'!AW185="","",IFERROR(INDEX('SCORING MASTER'!$D$101:$D$102,MATCH('STUDENT SCREENING'!AW185,'SCORING MASTER'!$C$101:$C$102,0)),""))</f>
        <v/>
      </c>
      <c r="AY185" s="58" t="str">
        <f aca="false">IF('STUDENT SCREENING'!AX185="","",IFERROR(INDEX('SCORING MASTER'!$D$104:$D$105,MATCH('STUDENT SCREENING'!AX185,'SCORING MASTER'!$C$104:$C$105,0)),""))</f>
        <v/>
      </c>
      <c r="AZ185" s="58" t="str">
        <f aca="false">IF('STUDENT SCREENING'!AY185="","",IFERROR(INDEX('SCORING MASTER'!$D$107:$D$108,MATCH('STUDENT SCREENING'!AY185,'SCORING MASTER'!$C$107:$C$108,0)),""))</f>
        <v/>
      </c>
      <c r="BA185" s="58" t="str">
        <f aca="false">IF('STUDENT SCREENING'!AZ185="","",IFERROR(INDEX('SCORING MASTER'!$D$110:$D$111,MATCH('STUDENT SCREENING'!AZ185,'SCORING MASTER'!$C$110:$C$111,0)),""))</f>
        <v/>
      </c>
      <c r="BB185" s="58" t="str">
        <f aca="false">IF('STUDENT SCREENING'!BA185="","",IFERROR(INDEX('SCORING MASTER'!$D$113:$D$115,MATCH('STUDENT SCREENING'!BA185,'SCORING MASTER'!$C$113:$C$115,0)),""))</f>
        <v/>
      </c>
      <c r="BC185" s="58" t="str">
        <f aca="false">IF('STUDENT SCREENING'!BB185="","",IFERROR(INDEX('SCORING MASTER'!$D$117:$D$119,MATCH('STUDENT SCREENING'!BB185,'SCORING MASTER'!$C$117:$C$119,0)),""))</f>
        <v/>
      </c>
      <c r="BD185" s="58" t="str">
        <f aca="false">IF('STUDENT SCREENING'!BC185="","",IFERROR(INDEX('SCORING MASTER'!$D$121:$D$123,MATCH('STUDENT SCREENING'!BC185,'SCORING MASTER'!$C$121:$C$123,0)),""))</f>
        <v/>
      </c>
      <c r="BE185" s="58" t="str">
        <f aca="false">IF('STUDENT SCREENING'!BD185="","",IFERROR(INDEX('SCORING MASTER'!$D$125:$D$126,MATCH('STUDENT SCREENING'!BD185,'SCORING MASTER'!$C$125:$C$126,0)),""))</f>
        <v/>
      </c>
      <c r="BF185" s="58" t="str">
        <f aca="false">IF('STUDENT SCREENING'!BE185="","",IFERROR(INDEX('SCORING MASTER'!$D$128:$D$129,MATCH('STUDENT SCREENING'!BE185,'SCORING MASTER'!$C$128:$C$129,0)),""))</f>
        <v/>
      </c>
      <c r="BG185" s="58" t="str">
        <f aca="false">IF('STUDENT SCREENING'!BP185="","",IFERROR(MATCH('STUDENT SCREENING'!BP185,{"Red - High Risk","Orange - Moderate Risk","Yellow - Mild Risk","Light Green - Mild Watch","Green - Healthy"},0)-1,""))</f>
        <v/>
      </c>
      <c r="BH185" s="58" t="str">
        <f aca="false">IF('STUDENT SCREENING'!BQ185="","",IF('STUDENT SCREENING'!BQ185="Yes",1,0))</f>
        <v/>
      </c>
      <c r="BI185" s="58" t="str">
        <f aca="false">IF('STUDENT SCREENING'!BR185="","",IF('STUDENT SCREENING'!BR185="Yes",1,0))</f>
        <v/>
      </c>
    </row>
    <row r="186" customFormat="false" ht="15" hidden="false" customHeight="false" outlineLevel="0" collapsed="false">
      <c r="A186" s="57" t="str">
        <f aca="false">'STUDENT SCREENING'!A186</f>
        <v/>
      </c>
      <c r="B186" s="57" t="n">
        <f aca="false">'STUDENT SCREENING'!C186</f>
        <v>0</v>
      </c>
      <c r="C186" s="57" t="n">
        <f aca="false">'STUDENT SCREENING'!D186</f>
        <v>0</v>
      </c>
      <c r="D186" s="57" t="n">
        <f aca="false">'STUDENT SCREENING'!E186</f>
        <v>0</v>
      </c>
      <c r="E186" s="57" t="n">
        <f aca="false">'STUDENT SCREENING'!F186</f>
        <v>0</v>
      </c>
      <c r="F186" s="57" t="n">
        <f aca="false">'STUDENT SCREENING'!K186</f>
        <v>0</v>
      </c>
      <c r="G186" s="57" t="n">
        <f aca="false">'STUDENT SCREENING'!J186</f>
        <v>0</v>
      </c>
      <c r="H186" s="57" t="str">
        <f aca="false">IF('STUDENT SCREENING'!K186="","",IFERROR(MATCH('STUDENT SCREENING'!K186,Adm_Gender,0),""))</f>
        <v/>
      </c>
      <c r="I186" s="57" t="n">
        <f aca="false">'STUDENT SCREENING'!Q186</f>
        <v>0</v>
      </c>
      <c r="J186" s="57" t="n">
        <f aca="false">'STUDENT SCREENING'!R186</f>
        <v>0</v>
      </c>
      <c r="K186" s="57" t="str">
        <f aca="false">'STUDENT SCREENING'!S186</f>
        <v/>
      </c>
      <c r="L186" s="57" t="n">
        <f aca="false">'STUDENT SCREENING'!U186</f>
        <v>0</v>
      </c>
      <c r="M186" s="57" t="n">
        <f aca="false">'STUDENT SCREENING'!V186</f>
        <v>0</v>
      </c>
      <c r="N186" s="57" t="str">
        <f aca="false">'STUDENT SCREENING'!BF186</f>
        <v/>
      </c>
      <c r="O186" s="57" t="str">
        <f aca="false">'STUDENT SCREENING'!BG186</f>
        <v/>
      </c>
      <c r="P186" s="57" t="str">
        <f aca="false">'STUDENT SCREENING'!BH186</f>
        <v/>
      </c>
      <c r="Q186" s="57" t="str">
        <f aca="false">'STUDENT SCREENING'!BI186</f>
        <v/>
      </c>
      <c r="R186" s="57" t="str">
        <f aca="false">'STUDENT SCREENING'!BJ186</f>
        <v/>
      </c>
      <c r="S186" s="57" t="str">
        <f aca="false">'STUDENT SCREENING'!BK186</f>
        <v/>
      </c>
      <c r="T186" s="57" t="str">
        <f aca="false">'STUDENT SCREENING'!BL186</f>
        <v/>
      </c>
      <c r="U186" s="57" t="str">
        <f aca="false">'STUDENT SCREENING'!BM186</f>
        <v/>
      </c>
      <c r="V186" s="57" t="str">
        <f aca="false">'STUDENT SCREENING'!BN186</f>
        <v/>
      </c>
      <c r="W186" s="57" t="str">
        <f aca="false">'STUDENT SCREENING'!BO186</f>
        <v/>
      </c>
      <c r="X186" s="57" t="str">
        <f aca="false">IF('STUDENT SCREENING'!W186="","",IFERROR(INDEX('SCORING MASTER'!$D$5:$D$7,MATCH('STUDENT SCREENING'!W186,'SCORING MASTER'!$C$5:$C$7,0)),""))</f>
        <v/>
      </c>
      <c r="Y186" s="57" t="str">
        <f aca="false">IF('STUDENT SCREENING'!X186="","",IFERROR(INDEX('SCORING MASTER'!$D$9:$D$11,MATCH('STUDENT SCREENING'!X186,'SCORING MASTER'!$C$9:$C$11,0)),""))</f>
        <v/>
      </c>
      <c r="Z186" s="57" t="str">
        <f aca="false">IF('STUDENT SCREENING'!Y186="","",IFERROR(INDEX('SCORING MASTER'!$D$13:$D$15,MATCH('STUDENT SCREENING'!Y186,'SCORING MASTER'!$C$13:$C$15,0)),""))</f>
        <v/>
      </c>
      <c r="AA186" s="57" t="str">
        <f aca="false">IF('STUDENT SCREENING'!Z186="","",IFERROR(INDEX('SCORING MASTER'!$D$17:$D$19,MATCH('STUDENT SCREENING'!Z186,'SCORING MASTER'!$C$17:$C$19,0)),""))</f>
        <v/>
      </c>
      <c r="AB186" s="57" t="str">
        <f aca="false">IF('STUDENT SCREENING'!AA186="","",IFERROR(INDEX('SCORING MASTER'!$D$21:$D$23,MATCH('STUDENT SCREENING'!AA186,'SCORING MASTER'!$C$21:$C$23,0)),""))</f>
        <v/>
      </c>
      <c r="AC186" s="57" t="str">
        <f aca="false">IF('STUDENT SCREENING'!AB186="","",IFERROR(INDEX('SCORING MASTER'!$D$25:$D$27,MATCH('STUDENT SCREENING'!AB186,'SCORING MASTER'!$C$25:$C$27,0)),""))</f>
        <v/>
      </c>
      <c r="AD186" s="57" t="str">
        <f aca="false">IF('STUDENT SCREENING'!AC186="","",IFERROR(INDEX('SCORING MASTER'!$D$29:$D$31,MATCH('STUDENT SCREENING'!AC186,'SCORING MASTER'!$C$29:$C$31,0)),""))</f>
        <v/>
      </c>
      <c r="AE186" s="57" t="str">
        <f aca="false">IF('STUDENT SCREENING'!AD186="","",IFERROR(INDEX('SCORING MASTER'!$D$33:$D$35,MATCH('STUDENT SCREENING'!AD186,'SCORING MASTER'!$C$33:$C$35,0)),""))</f>
        <v/>
      </c>
      <c r="AF186" s="57" t="str">
        <f aca="false">IF('STUDENT SCREENING'!AE186="","",IFERROR(INDEX('SCORING MASTER'!$D$37:$D$39,MATCH('STUDENT SCREENING'!AE186,'SCORING MASTER'!$C$37:$C$39,0)),""))</f>
        <v/>
      </c>
      <c r="AG186" s="57" t="str">
        <f aca="false">IF('STUDENT SCREENING'!AF186="","",IFERROR(INDEX('SCORING MASTER'!$D$41:$D$43,MATCH('STUDENT SCREENING'!AF186,'SCORING MASTER'!$C$41:$C$43,0)),""))</f>
        <v/>
      </c>
      <c r="AH186" s="57" t="str">
        <f aca="false">IF('STUDENT SCREENING'!AG186="","",IFERROR(INDEX('SCORING MASTER'!$D$45:$D$47,MATCH('STUDENT SCREENING'!AG186,'SCORING MASTER'!$C$45:$C$47,0)),""))</f>
        <v/>
      </c>
      <c r="AI186" s="57" t="str">
        <f aca="false">IF('STUDENT SCREENING'!AH186="","",IFERROR(INDEX('SCORING MASTER'!$D$49:$D$52,MATCH('STUDENT SCREENING'!AH186,'SCORING MASTER'!$C$49:$C$52,0)),""))</f>
        <v/>
      </c>
      <c r="AJ186" s="57" t="str">
        <f aca="false">IF('STUDENT SCREENING'!AI186="","",IFERROR(INDEX('SCORING MASTER'!$D$54:$D$57,MATCH('STUDENT SCREENING'!AI186,'SCORING MASTER'!$C$54:$C$57,0)),""))</f>
        <v/>
      </c>
      <c r="AK186" s="57" t="str">
        <f aca="false">IF('STUDENT SCREENING'!AJ186="","",IFERROR(INDEX('SCORING MASTER'!$D$59:$D$60,MATCH('STUDENT SCREENING'!AJ186,'SCORING MASTER'!$C$59:$C$60,0)),""))</f>
        <v/>
      </c>
      <c r="AL186" s="57" t="str">
        <f aca="false">IF('STUDENT SCREENING'!AK186="","",IFERROR(INDEX('SCORING MASTER'!$D$62:$D$63,MATCH('STUDENT SCREENING'!AK186,'SCORING MASTER'!$C$62:$C$63,0)),""))</f>
        <v/>
      </c>
      <c r="AM186" s="57" t="str">
        <f aca="false">IF('STUDENT SCREENING'!AL186="","",IFERROR(INDEX('SCORING MASTER'!$D$65:$D$66,MATCH('STUDENT SCREENING'!AL186,'SCORING MASTER'!$C$65:$C$66,0)),""))</f>
        <v/>
      </c>
      <c r="AN186" s="57" t="str">
        <f aca="false">IF('STUDENT SCREENING'!AM186="","",IFERROR(INDEX('SCORING MASTER'!$D$68:$D$69,MATCH('STUDENT SCREENING'!AM186,'SCORING MASTER'!$C$68:$C$69,0)),""))</f>
        <v/>
      </c>
      <c r="AO186" s="57" t="str">
        <f aca="false">IF('STUDENT SCREENING'!AN186="","",IFERROR(INDEX('SCORING MASTER'!$D$71:$D$72,MATCH('STUDENT SCREENING'!AN186,'SCORING MASTER'!$C$71:$C$72,0)),""))</f>
        <v/>
      </c>
      <c r="AP186" s="57" t="str">
        <f aca="false">IF('STUDENT SCREENING'!AO186="","",IFERROR(INDEX('SCORING MASTER'!$D$74:$D$75,MATCH('STUDENT SCREENING'!AO186,'SCORING MASTER'!$C$74:$C$75,0)),""))</f>
        <v/>
      </c>
      <c r="AQ186" s="57" t="str">
        <f aca="false">IF('STUDENT SCREENING'!AP186="","",IFERROR(INDEX('SCORING MASTER'!$D$77:$D$78,MATCH('STUDENT SCREENING'!AP186,'SCORING MASTER'!$C$77:$C$78,0)),""))</f>
        <v/>
      </c>
      <c r="AR186" s="57" t="str">
        <f aca="false">IF('STUDENT SCREENING'!AQ186="","",IFERROR(INDEX('SCORING MASTER'!$D$80:$D$82,MATCH('STUDENT SCREENING'!AQ186,'SCORING MASTER'!$C$80:$C$82,0)),""))</f>
        <v/>
      </c>
      <c r="AS186" s="57" t="str">
        <f aca="false">IF('STUDENT SCREENING'!AR186="","",IFERROR(INDEX('SCORING MASTER'!$D$84:$D$86,MATCH('STUDENT SCREENING'!AR186,'SCORING MASTER'!$C$84:$C$86,0)),""))</f>
        <v/>
      </c>
      <c r="AT186" s="57" t="str">
        <f aca="false">IF('STUDENT SCREENING'!AS186="","",IFERROR(INDEX('SCORING MASTER'!$D$88:$D$90,MATCH('STUDENT SCREENING'!AS186,'SCORING MASTER'!$C$88:$C$90,0)),""))</f>
        <v/>
      </c>
      <c r="AU186" s="57" t="str">
        <f aca="false">IF('STUDENT SCREENING'!AT186="","",IFERROR(INDEX('SCORING MASTER'!$D$92:$D$93,MATCH('STUDENT SCREENING'!AT186,'SCORING MASTER'!$C$92:$C$93,0)),""))</f>
        <v/>
      </c>
      <c r="AV186" s="57" t="str">
        <f aca="false">IF('STUDENT SCREENING'!AU186="","",IFERROR(INDEX('SCORING MASTER'!$D$95:$D$96,MATCH('STUDENT SCREENING'!AU186,'SCORING MASTER'!$C$95:$C$96,0)),""))</f>
        <v/>
      </c>
      <c r="AW186" s="57" t="str">
        <f aca="false">IF('STUDENT SCREENING'!AV186="","",IFERROR(INDEX('SCORING MASTER'!$D$98:$D$99,MATCH('STUDENT SCREENING'!AV186,'SCORING MASTER'!$C$98:$C$99,0)),""))</f>
        <v/>
      </c>
      <c r="AX186" s="57" t="str">
        <f aca="false">IF('STUDENT SCREENING'!AW186="","",IFERROR(INDEX('SCORING MASTER'!$D$101:$D$102,MATCH('STUDENT SCREENING'!AW186,'SCORING MASTER'!$C$101:$C$102,0)),""))</f>
        <v/>
      </c>
      <c r="AY186" s="57" t="str">
        <f aca="false">IF('STUDENT SCREENING'!AX186="","",IFERROR(INDEX('SCORING MASTER'!$D$104:$D$105,MATCH('STUDENT SCREENING'!AX186,'SCORING MASTER'!$C$104:$C$105,0)),""))</f>
        <v/>
      </c>
      <c r="AZ186" s="57" t="str">
        <f aca="false">IF('STUDENT SCREENING'!AY186="","",IFERROR(INDEX('SCORING MASTER'!$D$107:$D$108,MATCH('STUDENT SCREENING'!AY186,'SCORING MASTER'!$C$107:$C$108,0)),""))</f>
        <v/>
      </c>
      <c r="BA186" s="57" t="str">
        <f aca="false">IF('STUDENT SCREENING'!AZ186="","",IFERROR(INDEX('SCORING MASTER'!$D$110:$D$111,MATCH('STUDENT SCREENING'!AZ186,'SCORING MASTER'!$C$110:$C$111,0)),""))</f>
        <v/>
      </c>
      <c r="BB186" s="57" t="str">
        <f aca="false">IF('STUDENT SCREENING'!BA186="","",IFERROR(INDEX('SCORING MASTER'!$D$113:$D$115,MATCH('STUDENT SCREENING'!BA186,'SCORING MASTER'!$C$113:$C$115,0)),""))</f>
        <v/>
      </c>
      <c r="BC186" s="57" t="str">
        <f aca="false">IF('STUDENT SCREENING'!BB186="","",IFERROR(INDEX('SCORING MASTER'!$D$117:$D$119,MATCH('STUDENT SCREENING'!BB186,'SCORING MASTER'!$C$117:$C$119,0)),""))</f>
        <v/>
      </c>
      <c r="BD186" s="57" t="str">
        <f aca="false">IF('STUDENT SCREENING'!BC186="","",IFERROR(INDEX('SCORING MASTER'!$D$121:$D$123,MATCH('STUDENT SCREENING'!BC186,'SCORING MASTER'!$C$121:$C$123,0)),""))</f>
        <v/>
      </c>
      <c r="BE186" s="57" t="str">
        <f aca="false">IF('STUDENT SCREENING'!BD186="","",IFERROR(INDEX('SCORING MASTER'!$D$125:$D$126,MATCH('STUDENT SCREENING'!BD186,'SCORING MASTER'!$C$125:$C$126,0)),""))</f>
        <v/>
      </c>
      <c r="BF186" s="57" t="str">
        <f aca="false">IF('STUDENT SCREENING'!BE186="","",IFERROR(INDEX('SCORING MASTER'!$D$128:$D$129,MATCH('STUDENT SCREENING'!BE186,'SCORING MASTER'!$C$128:$C$129,0)),""))</f>
        <v/>
      </c>
      <c r="BG186" s="57" t="str">
        <f aca="false">IF('STUDENT SCREENING'!BP186="","",IFERROR(MATCH('STUDENT SCREENING'!BP186,{"Red - High Risk","Orange - Moderate Risk","Yellow - Mild Risk","Light Green - Mild Watch","Green - Healthy"},0)-1,""))</f>
        <v/>
      </c>
      <c r="BH186" s="57" t="str">
        <f aca="false">IF('STUDENT SCREENING'!BQ186="","",IF('STUDENT SCREENING'!BQ186="Yes",1,0))</f>
        <v/>
      </c>
      <c r="BI186" s="57" t="str">
        <f aca="false">IF('STUDENT SCREENING'!BR186="","",IF('STUDENT SCREENING'!BR186="Yes",1,0))</f>
        <v/>
      </c>
    </row>
    <row r="187" customFormat="false" ht="15" hidden="false" customHeight="false" outlineLevel="0" collapsed="false">
      <c r="A187" s="58" t="str">
        <f aca="false">'STUDENT SCREENING'!A187</f>
        <v/>
      </c>
      <c r="B187" s="58" t="n">
        <f aca="false">'STUDENT SCREENING'!C187</f>
        <v>0</v>
      </c>
      <c r="C187" s="58" t="n">
        <f aca="false">'STUDENT SCREENING'!D187</f>
        <v>0</v>
      </c>
      <c r="D187" s="58" t="n">
        <f aca="false">'STUDENT SCREENING'!E187</f>
        <v>0</v>
      </c>
      <c r="E187" s="58" t="n">
        <f aca="false">'STUDENT SCREENING'!F187</f>
        <v>0</v>
      </c>
      <c r="F187" s="58" t="n">
        <f aca="false">'STUDENT SCREENING'!K187</f>
        <v>0</v>
      </c>
      <c r="G187" s="58" t="n">
        <f aca="false">'STUDENT SCREENING'!J187</f>
        <v>0</v>
      </c>
      <c r="H187" s="58" t="str">
        <f aca="false">IF('STUDENT SCREENING'!K187="","",IFERROR(MATCH('STUDENT SCREENING'!K187,Adm_Gender,0),""))</f>
        <v/>
      </c>
      <c r="I187" s="58" t="n">
        <f aca="false">'STUDENT SCREENING'!Q187</f>
        <v>0</v>
      </c>
      <c r="J187" s="58" t="n">
        <f aca="false">'STUDENT SCREENING'!R187</f>
        <v>0</v>
      </c>
      <c r="K187" s="58" t="str">
        <f aca="false">'STUDENT SCREENING'!S187</f>
        <v/>
      </c>
      <c r="L187" s="58" t="n">
        <f aca="false">'STUDENT SCREENING'!U187</f>
        <v>0</v>
      </c>
      <c r="M187" s="58" t="n">
        <f aca="false">'STUDENT SCREENING'!V187</f>
        <v>0</v>
      </c>
      <c r="N187" s="58" t="str">
        <f aca="false">'STUDENT SCREENING'!BF187</f>
        <v/>
      </c>
      <c r="O187" s="58" t="str">
        <f aca="false">'STUDENT SCREENING'!BG187</f>
        <v/>
      </c>
      <c r="P187" s="58" t="str">
        <f aca="false">'STUDENT SCREENING'!BH187</f>
        <v/>
      </c>
      <c r="Q187" s="58" t="str">
        <f aca="false">'STUDENT SCREENING'!BI187</f>
        <v/>
      </c>
      <c r="R187" s="58" t="str">
        <f aca="false">'STUDENT SCREENING'!BJ187</f>
        <v/>
      </c>
      <c r="S187" s="58" t="str">
        <f aca="false">'STUDENT SCREENING'!BK187</f>
        <v/>
      </c>
      <c r="T187" s="58" t="str">
        <f aca="false">'STUDENT SCREENING'!BL187</f>
        <v/>
      </c>
      <c r="U187" s="58" t="str">
        <f aca="false">'STUDENT SCREENING'!BM187</f>
        <v/>
      </c>
      <c r="V187" s="58" t="str">
        <f aca="false">'STUDENT SCREENING'!BN187</f>
        <v/>
      </c>
      <c r="W187" s="58" t="str">
        <f aca="false">'STUDENT SCREENING'!BO187</f>
        <v/>
      </c>
      <c r="X187" s="58" t="str">
        <f aca="false">IF('STUDENT SCREENING'!W187="","",IFERROR(INDEX('SCORING MASTER'!$D$5:$D$7,MATCH('STUDENT SCREENING'!W187,'SCORING MASTER'!$C$5:$C$7,0)),""))</f>
        <v/>
      </c>
      <c r="Y187" s="58" t="str">
        <f aca="false">IF('STUDENT SCREENING'!X187="","",IFERROR(INDEX('SCORING MASTER'!$D$9:$D$11,MATCH('STUDENT SCREENING'!X187,'SCORING MASTER'!$C$9:$C$11,0)),""))</f>
        <v/>
      </c>
      <c r="Z187" s="58" t="str">
        <f aca="false">IF('STUDENT SCREENING'!Y187="","",IFERROR(INDEX('SCORING MASTER'!$D$13:$D$15,MATCH('STUDENT SCREENING'!Y187,'SCORING MASTER'!$C$13:$C$15,0)),""))</f>
        <v/>
      </c>
      <c r="AA187" s="58" t="str">
        <f aca="false">IF('STUDENT SCREENING'!Z187="","",IFERROR(INDEX('SCORING MASTER'!$D$17:$D$19,MATCH('STUDENT SCREENING'!Z187,'SCORING MASTER'!$C$17:$C$19,0)),""))</f>
        <v/>
      </c>
      <c r="AB187" s="58" t="str">
        <f aca="false">IF('STUDENT SCREENING'!AA187="","",IFERROR(INDEX('SCORING MASTER'!$D$21:$D$23,MATCH('STUDENT SCREENING'!AA187,'SCORING MASTER'!$C$21:$C$23,0)),""))</f>
        <v/>
      </c>
      <c r="AC187" s="58" t="str">
        <f aca="false">IF('STUDENT SCREENING'!AB187="","",IFERROR(INDEX('SCORING MASTER'!$D$25:$D$27,MATCH('STUDENT SCREENING'!AB187,'SCORING MASTER'!$C$25:$C$27,0)),""))</f>
        <v/>
      </c>
      <c r="AD187" s="58" t="str">
        <f aca="false">IF('STUDENT SCREENING'!AC187="","",IFERROR(INDEX('SCORING MASTER'!$D$29:$D$31,MATCH('STUDENT SCREENING'!AC187,'SCORING MASTER'!$C$29:$C$31,0)),""))</f>
        <v/>
      </c>
      <c r="AE187" s="58" t="str">
        <f aca="false">IF('STUDENT SCREENING'!AD187="","",IFERROR(INDEX('SCORING MASTER'!$D$33:$D$35,MATCH('STUDENT SCREENING'!AD187,'SCORING MASTER'!$C$33:$C$35,0)),""))</f>
        <v/>
      </c>
      <c r="AF187" s="58" t="str">
        <f aca="false">IF('STUDENT SCREENING'!AE187="","",IFERROR(INDEX('SCORING MASTER'!$D$37:$D$39,MATCH('STUDENT SCREENING'!AE187,'SCORING MASTER'!$C$37:$C$39,0)),""))</f>
        <v/>
      </c>
      <c r="AG187" s="58" t="str">
        <f aca="false">IF('STUDENT SCREENING'!AF187="","",IFERROR(INDEX('SCORING MASTER'!$D$41:$D$43,MATCH('STUDENT SCREENING'!AF187,'SCORING MASTER'!$C$41:$C$43,0)),""))</f>
        <v/>
      </c>
      <c r="AH187" s="58" t="str">
        <f aca="false">IF('STUDENT SCREENING'!AG187="","",IFERROR(INDEX('SCORING MASTER'!$D$45:$D$47,MATCH('STUDENT SCREENING'!AG187,'SCORING MASTER'!$C$45:$C$47,0)),""))</f>
        <v/>
      </c>
      <c r="AI187" s="58" t="str">
        <f aca="false">IF('STUDENT SCREENING'!AH187="","",IFERROR(INDEX('SCORING MASTER'!$D$49:$D$52,MATCH('STUDENT SCREENING'!AH187,'SCORING MASTER'!$C$49:$C$52,0)),""))</f>
        <v/>
      </c>
      <c r="AJ187" s="58" t="str">
        <f aca="false">IF('STUDENT SCREENING'!AI187="","",IFERROR(INDEX('SCORING MASTER'!$D$54:$D$57,MATCH('STUDENT SCREENING'!AI187,'SCORING MASTER'!$C$54:$C$57,0)),""))</f>
        <v/>
      </c>
      <c r="AK187" s="58" t="str">
        <f aca="false">IF('STUDENT SCREENING'!AJ187="","",IFERROR(INDEX('SCORING MASTER'!$D$59:$D$60,MATCH('STUDENT SCREENING'!AJ187,'SCORING MASTER'!$C$59:$C$60,0)),""))</f>
        <v/>
      </c>
      <c r="AL187" s="58" t="str">
        <f aca="false">IF('STUDENT SCREENING'!AK187="","",IFERROR(INDEX('SCORING MASTER'!$D$62:$D$63,MATCH('STUDENT SCREENING'!AK187,'SCORING MASTER'!$C$62:$C$63,0)),""))</f>
        <v/>
      </c>
      <c r="AM187" s="58" t="str">
        <f aca="false">IF('STUDENT SCREENING'!AL187="","",IFERROR(INDEX('SCORING MASTER'!$D$65:$D$66,MATCH('STUDENT SCREENING'!AL187,'SCORING MASTER'!$C$65:$C$66,0)),""))</f>
        <v/>
      </c>
      <c r="AN187" s="58" t="str">
        <f aca="false">IF('STUDENT SCREENING'!AM187="","",IFERROR(INDEX('SCORING MASTER'!$D$68:$D$69,MATCH('STUDENT SCREENING'!AM187,'SCORING MASTER'!$C$68:$C$69,0)),""))</f>
        <v/>
      </c>
      <c r="AO187" s="58" t="str">
        <f aca="false">IF('STUDENT SCREENING'!AN187="","",IFERROR(INDEX('SCORING MASTER'!$D$71:$D$72,MATCH('STUDENT SCREENING'!AN187,'SCORING MASTER'!$C$71:$C$72,0)),""))</f>
        <v/>
      </c>
      <c r="AP187" s="58" t="str">
        <f aca="false">IF('STUDENT SCREENING'!AO187="","",IFERROR(INDEX('SCORING MASTER'!$D$74:$D$75,MATCH('STUDENT SCREENING'!AO187,'SCORING MASTER'!$C$74:$C$75,0)),""))</f>
        <v/>
      </c>
      <c r="AQ187" s="58" t="str">
        <f aca="false">IF('STUDENT SCREENING'!AP187="","",IFERROR(INDEX('SCORING MASTER'!$D$77:$D$78,MATCH('STUDENT SCREENING'!AP187,'SCORING MASTER'!$C$77:$C$78,0)),""))</f>
        <v/>
      </c>
      <c r="AR187" s="58" t="str">
        <f aca="false">IF('STUDENT SCREENING'!AQ187="","",IFERROR(INDEX('SCORING MASTER'!$D$80:$D$82,MATCH('STUDENT SCREENING'!AQ187,'SCORING MASTER'!$C$80:$C$82,0)),""))</f>
        <v/>
      </c>
      <c r="AS187" s="58" t="str">
        <f aca="false">IF('STUDENT SCREENING'!AR187="","",IFERROR(INDEX('SCORING MASTER'!$D$84:$D$86,MATCH('STUDENT SCREENING'!AR187,'SCORING MASTER'!$C$84:$C$86,0)),""))</f>
        <v/>
      </c>
      <c r="AT187" s="58" t="str">
        <f aca="false">IF('STUDENT SCREENING'!AS187="","",IFERROR(INDEX('SCORING MASTER'!$D$88:$D$90,MATCH('STUDENT SCREENING'!AS187,'SCORING MASTER'!$C$88:$C$90,0)),""))</f>
        <v/>
      </c>
      <c r="AU187" s="58" t="str">
        <f aca="false">IF('STUDENT SCREENING'!AT187="","",IFERROR(INDEX('SCORING MASTER'!$D$92:$D$93,MATCH('STUDENT SCREENING'!AT187,'SCORING MASTER'!$C$92:$C$93,0)),""))</f>
        <v/>
      </c>
      <c r="AV187" s="58" t="str">
        <f aca="false">IF('STUDENT SCREENING'!AU187="","",IFERROR(INDEX('SCORING MASTER'!$D$95:$D$96,MATCH('STUDENT SCREENING'!AU187,'SCORING MASTER'!$C$95:$C$96,0)),""))</f>
        <v/>
      </c>
      <c r="AW187" s="58" t="str">
        <f aca="false">IF('STUDENT SCREENING'!AV187="","",IFERROR(INDEX('SCORING MASTER'!$D$98:$D$99,MATCH('STUDENT SCREENING'!AV187,'SCORING MASTER'!$C$98:$C$99,0)),""))</f>
        <v/>
      </c>
      <c r="AX187" s="58" t="str">
        <f aca="false">IF('STUDENT SCREENING'!AW187="","",IFERROR(INDEX('SCORING MASTER'!$D$101:$D$102,MATCH('STUDENT SCREENING'!AW187,'SCORING MASTER'!$C$101:$C$102,0)),""))</f>
        <v/>
      </c>
      <c r="AY187" s="58" t="str">
        <f aca="false">IF('STUDENT SCREENING'!AX187="","",IFERROR(INDEX('SCORING MASTER'!$D$104:$D$105,MATCH('STUDENT SCREENING'!AX187,'SCORING MASTER'!$C$104:$C$105,0)),""))</f>
        <v/>
      </c>
      <c r="AZ187" s="58" t="str">
        <f aca="false">IF('STUDENT SCREENING'!AY187="","",IFERROR(INDEX('SCORING MASTER'!$D$107:$D$108,MATCH('STUDENT SCREENING'!AY187,'SCORING MASTER'!$C$107:$C$108,0)),""))</f>
        <v/>
      </c>
      <c r="BA187" s="58" t="str">
        <f aca="false">IF('STUDENT SCREENING'!AZ187="","",IFERROR(INDEX('SCORING MASTER'!$D$110:$D$111,MATCH('STUDENT SCREENING'!AZ187,'SCORING MASTER'!$C$110:$C$111,0)),""))</f>
        <v/>
      </c>
      <c r="BB187" s="58" t="str">
        <f aca="false">IF('STUDENT SCREENING'!BA187="","",IFERROR(INDEX('SCORING MASTER'!$D$113:$D$115,MATCH('STUDENT SCREENING'!BA187,'SCORING MASTER'!$C$113:$C$115,0)),""))</f>
        <v/>
      </c>
      <c r="BC187" s="58" t="str">
        <f aca="false">IF('STUDENT SCREENING'!BB187="","",IFERROR(INDEX('SCORING MASTER'!$D$117:$D$119,MATCH('STUDENT SCREENING'!BB187,'SCORING MASTER'!$C$117:$C$119,0)),""))</f>
        <v/>
      </c>
      <c r="BD187" s="58" t="str">
        <f aca="false">IF('STUDENT SCREENING'!BC187="","",IFERROR(INDEX('SCORING MASTER'!$D$121:$D$123,MATCH('STUDENT SCREENING'!BC187,'SCORING MASTER'!$C$121:$C$123,0)),""))</f>
        <v/>
      </c>
      <c r="BE187" s="58" t="str">
        <f aca="false">IF('STUDENT SCREENING'!BD187="","",IFERROR(INDEX('SCORING MASTER'!$D$125:$D$126,MATCH('STUDENT SCREENING'!BD187,'SCORING MASTER'!$C$125:$C$126,0)),""))</f>
        <v/>
      </c>
      <c r="BF187" s="58" t="str">
        <f aca="false">IF('STUDENT SCREENING'!BE187="","",IFERROR(INDEX('SCORING MASTER'!$D$128:$D$129,MATCH('STUDENT SCREENING'!BE187,'SCORING MASTER'!$C$128:$C$129,0)),""))</f>
        <v/>
      </c>
      <c r="BG187" s="58" t="str">
        <f aca="false">IF('STUDENT SCREENING'!BP187="","",IFERROR(MATCH('STUDENT SCREENING'!BP187,{"Red - High Risk","Orange - Moderate Risk","Yellow - Mild Risk","Light Green - Mild Watch","Green - Healthy"},0)-1,""))</f>
        <v/>
      </c>
      <c r="BH187" s="58" t="str">
        <f aca="false">IF('STUDENT SCREENING'!BQ187="","",IF('STUDENT SCREENING'!BQ187="Yes",1,0))</f>
        <v/>
      </c>
      <c r="BI187" s="58" t="str">
        <f aca="false">IF('STUDENT SCREENING'!BR187="","",IF('STUDENT SCREENING'!BR187="Yes",1,0))</f>
        <v/>
      </c>
    </row>
    <row r="188" customFormat="false" ht="15" hidden="false" customHeight="false" outlineLevel="0" collapsed="false">
      <c r="A188" s="57" t="str">
        <f aca="false">'STUDENT SCREENING'!A188</f>
        <v/>
      </c>
      <c r="B188" s="57" t="n">
        <f aca="false">'STUDENT SCREENING'!C188</f>
        <v>0</v>
      </c>
      <c r="C188" s="57" t="n">
        <f aca="false">'STUDENT SCREENING'!D188</f>
        <v>0</v>
      </c>
      <c r="D188" s="57" t="n">
        <f aca="false">'STUDENT SCREENING'!E188</f>
        <v>0</v>
      </c>
      <c r="E188" s="57" t="n">
        <f aca="false">'STUDENT SCREENING'!F188</f>
        <v>0</v>
      </c>
      <c r="F188" s="57" t="n">
        <f aca="false">'STUDENT SCREENING'!K188</f>
        <v>0</v>
      </c>
      <c r="G188" s="57" t="n">
        <f aca="false">'STUDENT SCREENING'!J188</f>
        <v>0</v>
      </c>
      <c r="H188" s="57" t="str">
        <f aca="false">IF('STUDENT SCREENING'!K188="","",IFERROR(MATCH('STUDENT SCREENING'!K188,Adm_Gender,0),""))</f>
        <v/>
      </c>
      <c r="I188" s="57" t="n">
        <f aca="false">'STUDENT SCREENING'!Q188</f>
        <v>0</v>
      </c>
      <c r="J188" s="57" t="n">
        <f aca="false">'STUDENT SCREENING'!R188</f>
        <v>0</v>
      </c>
      <c r="K188" s="57" t="str">
        <f aca="false">'STUDENT SCREENING'!S188</f>
        <v/>
      </c>
      <c r="L188" s="57" t="n">
        <f aca="false">'STUDENT SCREENING'!U188</f>
        <v>0</v>
      </c>
      <c r="M188" s="57" t="n">
        <f aca="false">'STUDENT SCREENING'!V188</f>
        <v>0</v>
      </c>
      <c r="N188" s="57" t="str">
        <f aca="false">'STUDENT SCREENING'!BF188</f>
        <v/>
      </c>
      <c r="O188" s="57" t="str">
        <f aca="false">'STUDENT SCREENING'!BG188</f>
        <v/>
      </c>
      <c r="P188" s="57" t="str">
        <f aca="false">'STUDENT SCREENING'!BH188</f>
        <v/>
      </c>
      <c r="Q188" s="57" t="str">
        <f aca="false">'STUDENT SCREENING'!BI188</f>
        <v/>
      </c>
      <c r="R188" s="57" t="str">
        <f aca="false">'STUDENT SCREENING'!BJ188</f>
        <v/>
      </c>
      <c r="S188" s="57" t="str">
        <f aca="false">'STUDENT SCREENING'!BK188</f>
        <v/>
      </c>
      <c r="T188" s="57" t="str">
        <f aca="false">'STUDENT SCREENING'!BL188</f>
        <v/>
      </c>
      <c r="U188" s="57" t="str">
        <f aca="false">'STUDENT SCREENING'!BM188</f>
        <v/>
      </c>
      <c r="V188" s="57" t="str">
        <f aca="false">'STUDENT SCREENING'!BN188</f>
        <v/>
      </c>
      <c r="W188" s="57" t="str">
        <f aca="false">'STUDENT SCREENING'!BO188</f>
        <v/>
      </c>
      <c r="X188" s="57" t="str">
        <f aca="false">IF('STUDENT SCREENING'!W188="","",IFERROR(INDEX('SCORING MASTER'!$D$5:$D$7,MATCH('STUDENT SCREENING'!W188,'SCORING MASTER'!$C$5:$C$7,0)),""))</f>
        <v/>
      </c>
      <c r="Y188" s="57" t="str">
        <f aca="false">IF('STUDENT SCREENING'!X188="","",IFERROR(INDEX('SCORING MASTER'!$D$9:$D$11,MATCH('STUDENT SCREENING'!X188,'SCORING MASTER'!$C$9:$C$11,0)),""))</f>
        <v/>
      </c>
      <c r="Z188" s="57" t="str">
        <f aca="false">IF('STUDENT SCREENING'!Y188="","",IFERROR(INDEX('SCORING MASTER'!$D$13:$D$15,MATCH('STUDENT SCREENING'!Y188,'SCORING MASTER'!$C$13:$C$15,0)),""))</f>
        <v/>
      </c>
      <c r="AA188" s="57" t="str">
        <f aca="false">IF('STUDENT SCREENING'!Z188="","",IFERROR(INDEX('SCORING MASTER'!$D$17:$D$19,MATCH('STUDENT SCREENING'!Z188,'SCORING MASTER'!$C$17:$C$19,0)),""))</f>
        <v/>
      </c>
      <c r="AB188" s="57" t="str">
        <f aca="false">IF('STUDENT SCREENING'!AA188="","",IFERROR(INDEX('SCORING MASTER'!$D$21:$D$23,MATCH('STUDENT SCREENING'!AA188,'SCORING MASTER'!$C$21:$C$23,0)),""))</f>
        <v/>
      </c>
      <c r="AC188" s="57" t="str">
        <f aca="false">IF('STUDENT SCREENING'!AB188="","",IFERROR(INDEX('SCORING MASTER'!$D$25:$D$27,MATCH('STUDENT SCREENING'!AB188,'SCORING MASTER'!$C$25:$C$27,0)),""))</f>
        <v/>
      </c>
      <c r="AD188" s="57" t="str">
        <f aca="false">IF('STUDENT SCREENING'!AC188="","",IFERROR(INDEX('SCORING MASTER'!$D$29:$D$31,MATCH('STUDENT SCREENING'!AC188,'SCORING MASTER'!$C$29:$C$31,0)),""))</f>
        <v/>
      </c>
      <c r="AE188" s="57" t="str">
        <f aca="false">IF('STUDENT SCREENING'!AD188="","",IFERROR(INDEX('SCORING MASTER'!$D$33:$D$35,MATCH('STUDENT SCREENING'!AD188,'SCORING MASTER'!$C$33:$C$35,0)),""))</f>
        <v/>
      </c>
      <c r="AF188" s="57" t="str">
        <f aca="false">IF('STUDENT SCREENING'!AE188="","",IFERROR(INDEX('SCORING MASTER'!$D$37:$D$39,MATCH('STUDENT SCREENING'!AE188,'SCORING MASTER'!$C$37:$C$39,0)),""))</f>
        <v/>
      </c>
      <c r="AG188" s="57" t="str">
        <f aca="false">IF('STUDENT SCREENING'!AF188="","",IFERROR(INDEX('SCORING MASTER'!$D$41:$D$43,MATCH('STUDENT SCREENING'!AF188,'SCORING MASTER'!$C$41:$C$43,0)),""))</f>
        <v/>
      </c>
      <c r="AH188" s="57" t="str">
        <f aca="false">IF('STUDENT SCREENING'!AG188="","",IFERROR(INDEX('SCORING MASTER'!$D$45:$D$47,MATCH('STUDENT SCREENING'!AG188,'SCORING MASTER'!$C$45:$C$47,0)),""))</f>
        <v/>
      </c>
      <c r="AI188" s="57" t="str">
        <f aca="false">IF('STUDENT SCREENING'!AH188="","",IFERROR(INDEX('SCORING MASTER'!$D$49:$D$52,MATCH('STUDENT SCREENING'!AH188,'SCORING MASTER'!$C$49:$C$52,0)),""))</f>
        <v/>
      </c>
      <c r="AJ188" s="57" t="str">
        <f aca="false">IF('STUDENT SCREENING'!AI188="","",IFERROR(INDEX('SCORING MASTER'!$D$54:$D$57,MATCH('STUDENT SCREENING'!AI188,'SCORING MASTER'!$C$54:$C$57,0)),""))</f>
        <v/>
      </c>
      <c r="AK188" s="57" t="str">
        <f aca="false">IF('STUDENT SCREENING'!AJ188="","",IFERROR(INDEX('SCORING MASTER'!$D$59:$D$60,MATCH('STUDENT SCREENING'!AJ188,'SCORING MASTER'!$C$59:$C$60,0)),""))</f>
        <v/>
      </c>
      <c r="AL188" s="57" t="str">
        <f aca="false">IF('STUDENT SCREENING'!AK188="","",IFERROR(INDEX('SCORING MASTER'!$D$62:$D$63,MATCH('STUDENT SCREENING'!AK188,'SCORING MASTER'!$C$62:$C$63,0)),""))</f>
        <v/>
      </c>
      <c r="AM188" s="57" t="str">
        <f aca="false">IF('STUDENT SCREENING'!AL188="","",IFERROR(INDEX('SCORING MASTER'!$D$65:$D$66,MATCH('STUDENT SCREENING'!AL188,'SCORING MASTER'!$C$65:$C$66,0)),""))</f>
        <v/>
      </c>
      <c r="AN188" s="57" t="str">
        <f aca="false">IF('STUDENT SCREENING'!AM188="","",IFERROR(INDEX('SCORING MASTER'!$D$68:$D$69,MATCH('STUDENT SCREENING'!AM188,'SCORING MASTER'!$C$68:$C$69,0)),""))</f>
        <v/>
      </c>
      <c r="AO188" s="57" t="str">
        <f aca="false">IF('STUDENT SCREENING'!AN188="","",IFERROR(INDEX('SCORING MASTER'!$D$71:$D$72,MATCH('STUDENT SCREENING'!AN188,'SCORING MASTER'!$C$71:$C$72,0)),""))</f>
        <v/>
      </c>
      <c r="AP188" s="57" t="str">
        <f aca="false">IF('STUDENT SCREENING'!AO188="","",IFERROR(INDEX('SCORING MASTER'!$D$74:$D$75,MATCH('STUDENT SCREENING'!AO188,'SCORING MASTER'!$C$74:$C$75,0)),""))</f>
        <v/>
      </c>
      <c r="AQ188" s="57" t="str">
        <f aca="false">IF('STUDENT SCREENING'!AP188="","",IFERROR(INDEX('SCORING MASTER'!$D$77:$D$78,MATCH('STUDENT SCREENING'!AP188,'SCORING MASTER'!$C$77:$C$78,0)),""))</f>
        <v/>
      </c>
      <c r="AR188" s="57" t="str">
        <f aca="false">IF('STUDENT SCREENING'!AQ188="","",IFERROR(INDEX('SCORING MASTER'!$D$80:$D$82,MATCH('STUDENT SCREENING'!AQ188,'SCORING MASTER'!$C$80:$C$82,0)),""))</f>
        <v/>
      </c>
      <c r="AS188" s="57" t="str">
        <f aca="false">IF('STUDENT SCREENING'!AR188="","",IFERROR(INDEX('SCORING MASTER'!$D$84:$D$86,MATCH('STUDENT SCREENING'!AR188,'SCORING MASTER'!$C$84:$C$86,0)),""))</f>
        <v/>
      </c>
      <c r="AT188" s="57" t="str">
        <f aca="false">IF('STUDENT SCREENING'!AS188="","",IFERROR(INDEX('SCORING MASTER'!$D$88:$D$90,MATCH('STUDENT SCREENING'!AS188,'SCORING MASTER'!$C$88:$C$90,0)),""))</f>
        <v/>
      </c>
      <c r="AU188" s="57" t="str">
        <f aca="false">IF('STUDENT SCREENING'!AT188="","",IFERROR(INDEX('SCORING MASTER'!$D$92:$D$93,MATCH('STUDENT SCREENING'!AT188,'SCORING MASTER'!$C$92:$C$93,0)),""))</f>
        <v/>
      </c>
      <c r="AV188" s="57" t="str">
        <f aca="false">IF('STUDENT SCREENING'!AU188="","",IFERROR(INDEX('SCORING MASTER'!$D$95:$D$96,MATCH('STUDENT SCREENING'!AU188,'SCORING MASTER'!$C$95:$C$96,0)),""))</f>
        <v/>
      </c>
      <c r="AW188" s="57" t="str">
        <f aca="false">IF('STUDENT SCREENING'!AV188="","",IFERROR(INDEX('SCORING MASTER'!$D$98:$D$99,MATCH('STUDENT SCREENING'!AV188,'SCORING MASTER'!$C$98:$C$99,0)),""))</f>
        <v/>
      </c>
      <c r="AX188" s="57" t="str">
        <f aca="false">IF('STUDENT SCREENING'!AW188="","",IFERROR(INDEX('SCORING MASTER'!$D$101:$D$102,MATCH('STUDENT SCREENING'!AW188,'SCORING MASTER'!$C$101:$C$102,0)),""))</f>
        <v/>
      </c>
      <c r="AY188" s="57" t="str">
        <f aca="false">IF('STUDENT SCREENING'!AX188="","",IFERROR(INDEX('SCORING MASTER'!$D$104:$D$105,MATCH('STUDENT SCREENING'!AX188,'SCORING MASTER'!$C$104:$C$105,0)),""))</f>
        <v/>
      </c>
      <c r="AZ188" s="57" t="str">
        <f aca="false">IF('STUDENT SCREENING'!AY188="","",IFERROR(INDEX('SCORING MASTER'!$D$107:$D$108,MATCH('STUDENT SCREENING'!AY188,'SCORING MASTER'!$C$107:$C$108,0)),""))</f>
        <v/>
      </c>
      <c r="BA188" s="57" t="str">
        <f aca="false">IF('STUDENT SCREENING'!AZ188="","",IFERROR(INDEX('SCORING MASTER'!$D$110:$D$111,MATCH('STUDENT SCREENING'!AZ188,'SCORING MASTER'!$C$110:$C$111,0)),""))</f>
        <v/>
      </c>
      <c r="BB188" s="57" t="str">
        <f aca="false">IF('STUDENT SCREENING'!BA188="","",IFERROR(INDEX('SCORING MASTER'!$D$113:$D$115,MATCH('STUDENT SCREENING'!BA188,'SCORING MASTER'!$C$113:$C$115,0)),""))</f>
        <v/>
      </c>
      <c r="BC188" s="57" t="str">
        <f aca="false">IF('STUDENT SCREENING'!BB188="","",IFERROR(INDEX('SCORING MASTER'!$D$117:$D$119,MATCH('STUDENT SCREENING'!BB188,'SCORING MASTER'!$C$117:$C$119,0)),""))</f>
        <v/>
      </c>
      <c r="BD188" s="57" t="str">
        <f aca="false">IF('STUDENT SCREENING'!BC188="","",IFERROR(INDEX('SCORING MASTER'!$D$121:$D$123,MATCH('STUDENT SCREENING'!BC188,'SCORING MASTER'!$C$121:$C$123,0)),""))</f>
        <v/>
      </c>
      <c r="BE188" s="57" t="str">
        <f aca="false">IF('STUDENT SCREENING'!BD188="","",IFERROR(INDEX('SCORING MASTER'!$D$125:$D$126,MATCH('STUDENT SCREENING'!BD188,'SCORING MASTER'!$C$125:$C$126,0)),""))</f>
        <v/>
      </c>
      <c r="BF188" s="57" t="str">
        <f aca="false">IF('STUDENT SCREENING'!BE188="","",IFERROR(INDEX('SCORING MASTER'!$D$128:$D$129,MATCH('STUDENT SCREENING'!BE188,'SCORING MASTER'!$C$128:$C$129,0)),""))</f>
        <v/>
      </c>
      <c r="BG188" s="57" t="str">
        <f aca="false">IF('STUDENT SCREENING'!BP188="","",IFERROR(MATCH('STUDENT SCREENING'!BP188,{"Red - High Risk","Orange - Moderate Risk","Yellow - Mild Risk","Light Green - Mild Watch","Green - Healthy"},0)-1,""))</f>
        <v/>
      </c>
      <c r="BH188" s="57" t="str">
        <f aca="false">IF('STUDENT SCREENING'!BQ188="","",IF('STUDENT SCREENING'!BQ188="Yes",1,0))</f>
        <v/>
      </c>
      <c r="BI188" s="57" t="str">
        <f aca="false">IF('STUDENT SCREENING'!BR188="","",IF('STUDENT SCREENING'!BR188="Yes",1,0))</f>
        <v/>
      </c>
    </row>
    <row r="189" customFormat="false" ht="15" hidden="false" customHeight="false" outlineLevel="0" collapsed="false">
      <c r="A189" s="58" t="str">
        <f aca="false">'STUDENT SCREENING'!A189</f>
        <v/>
      </c>
      <c r="B189" s="58" t="n">
        <f aca="false">'STUDENT SCREENING'!C189</f>
        <v>0</v>
      </c>
      <c r="C189" s="58" t="n">
        <f aca="false">'STUDENT SCREENING'!D189</f>
        <v>0</v>
      </c>
      <c r="D189" s="58" t="n">
        <f aca="false">'STUDENT SCREENING'!E189</f>
        <v>0</v>
      </c>
      <c r="E189" s="58" t="n">
        <f aca="false">'STUDENT SCREENING'!F189</f>
        <v>0</v>
      </c>
      <c r="F189" s="58" t="n">
        <f aca="false">'STUDENT SCREENING'!K189</f>
        <v>0</v>
      </c>
      <c r="G189" s="58" t="n">
        <f aca="false">'STUDENT SCREENING'!J189</f>
        <v>0</v>
      </c>
      <c r="H189" s="58" t="str">
        <f aca="false">IF('STUDENT SCREENING'!K189="","",IFERROR(MATCH('STUDENT SCREENING'!K189,Adm_Gender,0),""))</f>
        <v/>
      </c>
      <c r="I189" s="58" t="n">
        <f aca="false">'STUDENT SCREENING'!Q189</f>
        <v>0</v>
      </c>
      <c r="J189" s="58" t="n">
        <f aca="false">'STUDENT SCREENING'!R189</f>
        <v>0</v>
      </c>
      <c r="K189" s="58" t="str">
        <f aca="false">'STUDENT SCREENING'!S189</f>
        <v/>
      </c>
      <c r="L189" s="58" t="n">
        <f aca="false">'STUDENT SCREENING'!U189</f>
        <v>0</v>
      </c>
      <c r="M189" s="58" t="n">
        <f aca="false">'STUDENT SCREENING'!V189</f>
        <v>0</v>
      </c>
      <c r="N189" s="58" t="str">
        <f aca="false">'STUDENT SCREENING'!BF189</f>
        <v/>
      </c>
      <c r="O189" s="58" t="str">
        <f aca="false">'STUDENT SCREENING'!BG189</f>
        <v/>
      </c>
      <c r="P189" s="58" t="str">
        <f aca="false">'STUDENT SCREENING'!BH189</f>
        <v/>
      </c>
      <c r="Q189" s="58" t="str">
        <f aca="false">'STUDENT SCREENING'!BI189</f>
        <v/>
      </c>
      <c r="R189" s="58" t="str">
        <f aca="false">'STUDENT SCREENING'!BJ189</f>
        <v/>
      </c>
      <c r="S189" s="58" t="str">
        <f aca="false">'STUDENT SCREENING'!BK189</f>
        <v/>
      </c>
      <c r="T189" s="58" t="str">
        <f aca="false">'STUDENT SCREENING'!BL189</f>
        <v/>
      </c>
      <c r="U189" s="58" t="str">
        <f aca="false">'STUDENT SCREENING'!BM189</f>
        <v/>
      </c>
      <c r="V189" s="58" t="str">
        <f aca="false">'STUDENT SCREENING'!BN189</f>
        <v/>
      </c>
      <c r="W189" s="58" t="str">
        <f aca="false">'STUDENT SCREENING'!BO189</f>
        <v/>
      </c>
      <c r="X189" s="58" t="str">
        <f aca="false">IF('STUDENT SCREENING'!W189="","",IFERROR(INDEX('SCORING MASTER'!$D$5:$D$7,MATCH('STUDENT SCREENING'!W189,'SCORING MASTER'!$C$5:$C$7,0)),""))</f>
        <v/>
      </c>
      <c r="Y189" s="58" t="str">
        <f aca="false">IF('STUDENT SCREENING'!X189="","",IFERROR(INDEX('SCORING MASTER'!$D$9:$D$11,MATCH('STUDENT SCREENING'!X189,'SCORING MASTER'!$C$9:$C$11,0)),""))</f>
        <v/>
      </c>
      <c r="Z189" s="58" t="str">
        <f aca="false">IF('STUDENT SCREENING'!Y189="","",IFERROR(INDEX('SCORING MASTER'!$D$13:$D$15,MATCH('STUDENT SCREENING'!Y189,'SCORING MASTER'!$C$13:$C$15,0)),""))</f>
        <v/>
      </c>
      <c r="AA189" s="58" t="str">
        <f aca="false">IF('STUDENT SCREENING'!Z189="","",IFERROR(INDEX('SCORING MASTER'!$D$17:$D$19,MATCH('STUDENT SCREENING'!Z189,'SCORING MASTER'!$C$17:$C$19,0)),""))</f>
        <v/>
      </c>
      <c r="AB189" s="58" t="str">
        <f aca="false">IF('STUDENT SCREENING'!AA189="","",IFERROR(INDEX('SCORING MASTER'!$D$21:$D$23,MATCH('STUDENT SCREENING'!AA189,'SCORING MASTER'!$C$21:$C$23,0)),""))</f>
        <v/>
      </c>
      <c r="AC189" s="58" t="str">
        <f aca="false">IF('STUDENT SCREENING'!AB189="","",IFERROR(INDEX('SCORING MASTER'!$D$25:$D$27,MATCH('STUDENT SCREENING'!AB189,'SCORING MASTER'!$C$25:$C$27,0)),""))</f>
        <v/>
      </c>
      <c r="AD189" s="58" t="str">
        <f aca="false">IF('STUDENT SCREENING'!AC189="","",IFERROR(INDEX('SCORING MASTER'!$D$29:$D$31,MATCH('STUDENT SCREENING'!AC189,'SCORING MASTER'!$C$29:$C$31,0)),""))</f>
        <v/>
      </c>
      <c r="AE189" s="58" t="str">
        <f aca="false">IF('STUDENT SCREENING'!AD189="","",IFERROR(INDEX('SCORING MASTER'!$D$33:$D$35,MATCH('STUDENT SCREENING'!AD189,'SCORING MASTER'!$C$33:$C$35,0)),""))</f>
        <v/>
      </c>
      <c r="AF189" s="58" t="str">
        <f aca="false">IF('STUDENT SCREENING'!AE189="","",IFERROR(INDEX('SCORING MASTER'!$D$37:$D$39,MATCH('STUDENT SCREENING'!AE189,'SCORING MASTER'!$C$37:$C$39,0)),""))</f>
        <v/>
      </c>
      <c r="AG189" s="58" t="str">
        <f aca="false">IF('STUDENT SCREENING'!AF189="","",IFERROR(INDEX('SCORING MASTER'!$D$41:$D$43,MATCH('STUDENT SCREENING'!AF189,'SCORING MASTER'!$C$41:$C$43,0)),""))</f>
        <v/>
      </c>
      <c r="AH189" s="58" t="str">
        <f aca="false">IF('STUDENT SCREENING'!AG189="","",IFERROR(INDEX('SCORING MASTER'!$D$45:$D$47,MATCH('STUDENT SCREENING'!AG189,'SCORING MASTER'!$C$45:$C$47,0)),""))</f>
        <v/>
      </c>
      <c r="AI189" s="58" t="str">
        <f aca="false">IF('STUDENT SCREENING'!AH189="","",IFERROR(INDEX('SCORING MASTER'!$D$49:$D$52,MATCH('STUDENT SCREENING'!AH189,'SCORING MASTER'!$C$49:$C$52,0)),""))</f>
        <v/>
      </c>
      <c r="AJ189" s="58" t="str">
        <f aca="false">IF('STUDENT SCREENING'!AI189="","",IFERROR(INDEX('SCORING MASTER'!$D$54:$D$57,MATCH('STUDENT SCREENING'!AI189,'SCORING MASTER'!$C$54:$C$57,0)),""))</f>
        <v/>
      </c>
      <c r="AK189" s="58" t="str">
        <f aca="false">IF('STUDENT SCREENING'!AJ189="","",IFERROR(INDEX('SCORING MASTER'!$D$59:$D$60,MATCH('STUDENT SCREENING'!AJ189,'SCORING MASTER'!$C$59:$C$60,0)),""))</f>
        <v/>
      </c>
      <c r="AL189" s="58" t="str">
        <f aca="false">IF('STUDENT SCREENING'!AK189="","",IFERROR(INDEX('SCORING MASTER'!$D$62:$D$63,MATCH('STUDENT SCREENING'!AK189,'SCORING MASTER'!$C$62:$C$63,0)),""))</f>
        <v/>
      </c>
      <c r="AM189" s="58" t="str">
        <f aca="false">IF('STUDENT SCREENING'!AL189="","",IFERROR(INDEX('SCORING MASTER'!$D$65:$D$66,MATCH('STUDENT SCREENING'!AL189,'SCORING MASTER'!$C$65:$C$66,0)),""))</f>
        <v/>
      </c>
      <c r="AN189" s="58" t="str">
        <f aca="false">IF('STUDENT SCREENING'!AM189="","",IFERROR(INDEX('SCORING MASTER'!$D$68:$D$69,MATCH('STUDENT SCREENING'!AM189,'SCORING MASTER'!$C$68:$C$69,0)),""))</f>
        <v/>
      </c>
      <c r="AO189" s="58" t="str">
        <f aca="false">IF('STUDENT SCREENING'!AN189="","",IFERROR(INDEX('SCORING MASTER'!$D$71:$D$72,MATCH('STUDENT SCREENING'!AN189,'SCORING MASTER'!$C$71:$C$72,0)),""))</f>
        <v/>
      </c>
      <c r="AP189" s="58" t="str">
        <f aca="false">IF('STUDENT SCREENING'!AO189="","",IFERROR(INDEX('SCORING MASTER'!$D$74:$D$75,MATCH('STUDENT SCREENING'!AO189,'SCORING MASTER'!$C$74:$C$75,0)),""))</f>
        <v/>
      </c>
      <c r="AQ189" s="58" t="str">
        <f aca="false">IF('STUDENT SCREENING'!AP189="","",IFERROR(INDEX('SCORING MASTER'!$D$77:$D$78,MATCH('STUDENT SCREENING'!AP189,'SCORING MASTER'!$C$77:$C$78,0)),""))</f>
        <v/>
      </c>
      <c r="AR189" s="58" t="str">
        <f aca="false">IF('STUDENT SCREENING'!AQ189="","",IFERROR(INDEX('SCORING MASTER'!$D$80:$D$82,MATCH('STUDENT SCREENING'!AQ189,'SCORING MASTER'!$C$80:$C$82,0)),""))</f>
        <v/>
      </c>
      <c r="AS189" s="58" t="str">
        <f aca="false">IF('STUDENT SCREENING'!AR189="","",IFERROR(INDEX('SCORING MASTER'!$D$84:$D$86,MATCH('STUDENT SCREENING'!AR189,'SCORING MASTER'!$C$84:$C$86,0)),""))</f>
        <v/>
      </c>
      <c r="AT189" s="58" t="str">
        <f aca="false">IF('STUDENT SCREENING'!AS189="","",IFERROR(INDEX('SCORING MASTER'!$D$88:$D$90,MATCH('STUDENT SCREENING'!AS189,'SCORING MASTER'!$C$88:$C$90,0)),""))</f>
        <v/>
      </c>
      <c r="AU189" s="58" t="str">
        <f aca="false">IF('STUDENT SCREENING'!AT189="","",IFERROR(INDEX('SCORING MASTER'!$D$92:$D$93,MATCH('STUDENT SCREENING'!AT189,'SCORING MASTER'!$C$92:$C$93,0)),""))</f>
        <v/>
      </c>
      <c r="AV189" s="58" t="str">
        <f aca="false">IF('STUDENT SCREENING'!AU189="","",IFERROR(INDEX('SCORING MASTER'!$D$95:$D$96,MATCH('STUDENT SCREENING'!AU189,'SCORING MASTER'!$C$95:$C$96,0)),""))</f>
        <v/>
      </c>
      <c r="AW189" s="58" t="str">
        <f aca="false">IF('STUDENT SCREENING'!AV189="","",IFERROR(INDEX('SCORING MASTER'!$D$98:$D$99,MATCH('STUDENT SCREENING'!AV189,'SCORING MASTER'!$C$98:$C$99,0)),""))</f>
        <v/>
      </c>
      <c r="AX189" s="58" t="str">
        <f aca="false">IF('STUDENT SCREENING'!AW189="","",IFERROR(INDEX('SCORING MASTER'!$D$101:$D$102,MATCH('STUDENT SCREENING'!AW189,'SCORING MASTER'!$C$101:$C$102,0)),""))</f>
        <v/>
      </c>
      <c r="AY189" s="58" t="str">
        <f aca="false">IF('STUDENT SCREENING'!AX189="","",IFERROR(INDEX('SCORING MASTER'!$D$104:$D$105,MATCH('STUDENT SCREENING'!AX189,'SCORING MASTER'!$C$104:$C$105,0)),""))</f>
        <v/>
      </c>
      <c r="AZ189" s="58" t="str">
        <f aca="false">IF('STUDENT SCREENING'!AY189="","",IFERROR(INDEX('SCORING MASTER'!$D$107:$D$108,MATCH('STUDENT SCREENING'!AY189,'SCORING MASTER'!$C$107:$C$108,0)),""))</f>
        <v/>
      </c>
      <c r="BA189" s="58" t="str">
        <f aca="false">IF('STUDENT SCREENING'!AZ189="","",IFERROR(INDEX('SCORING MASTER'!$D$110:$D$111,MATCH('STUDENT SCREENING'!AZ189,'SCORING MASTER'!$C$110:$C$111,0)),""))</f>
        <v/>
      </c>
      <c r="BB189" s="58" t="str">
        <f aca="false">IF('STUDENT SCREENING'!BA189="","",IFERROR(INDEX('SCORING MASTER'!$D$113:$D$115,MATCH('STUDENT SCREENING'!BA189,'SCORING MASTER'!$C$113:$C$115,0)),""))</f>
        <v/>
      </c>
      <c r="BC189" s="58" t="str">
        <f aca="false">IF('STUDENT SCREENING'!BB189="","",IFERROR(INDEX('SCORING MASTER'!$D$117:$D$119,MATCH('STUDENT SCREENING'!BB189,'SCORING MASTER'!$C$117:$C$119,0)),""))</f>
        <v/>
      </c>
      <c r="BD189" s="58" t="str">
        <f aca="false">IF('STUDENT SCREENING'!BC189="","",IFERROR(INDEX('SCORING MASTER'!$D$121:$D$123,MATCH('STUDENT SCREENING'!BC189,'SCORING MASTER'!$C$121:$C$123,0)),""))</f>
        <v/>
      </c>
      <c r="BE189" s="58" t="str">
        <f aca="false">IF('STUDENT SCREENING'!BD189="","",IFERROR(INDEX('SCORING MASTER'!$D$125:$D$126,MATCH('STUDENT SCREENING'!BD189,'SCORING MASTER'!$C$125:$C$126,0)),""))</f>
        <v/>
      </c>
      <c r="BF189" s="58" t="str">
        <f aca="false">IF('STUDENT SCREENING'!BE189="","",IFERROR(INDEX('SCORING MASTER'!$D$128:$D$129,MATCH('STUDENT SCREENING'!BE189,'SCORING MASTER'!$C$128:$C$129,0)),""))</f>
        <v/>
      </c>
      <c r="BG189" s="58" t="str">
        <f aca="false">IF('STUDENT SCREENING'!BP189="","",IFERROR(MATCH('STUDENT SCREENING'!BP189,{"Red - High Risk","Orange - Moderate Risk","Yellow - Mild Risk","Light Green - Mild Watch","Green - Healthy"},0)-1,""))</f>
        <v/>
      </c>
      <c r="BH189" s="58" t="str">
        <f aca="false">IF('STUDENT SCREENING'!BQ189="","",IF('STUDENT SCREENING'!BQ189="Yes",1,0))</f>
        <v/>
      </c>
      <c r="BI189" s="58" t="str">
        <f aca="false">IF('STUDENT SCREENING'!BR189="","",IF('STUDENT SCREENING'!BR189="Yes",1,0))</f>
        <v/>
      </c>
    </row>
    <row r="190" customFormat="false" ht="15" hidden="false" customHeight="false" outlineLevel="0" collapsed="false">
      <c r="A190" s="57" t="str">
        <f aca="false">'STUDENT SCREENING'!A190</f>
        <v/>
      </c>
      <c r="B190" s="57" t="n">
        <f aca="false">'STUDENT SCREENING'!C190</f>
        <v>0</v>
      </c>
      <c r="C190" s="57" t="n">
        <f aca="false">'STUDENT SCREENING'!D190</f>
        <v>0</v>
      </c>
      <c r="D190" s="57" t="n">
        <f aca="false">'STUDENT SCREENING'!E190</f>
        <v>0</v>
      </c>
      <c r="E190" s="57" t="n">
        <f aca="false">'STUDENT SCREENING'!F190</f>
        <v>0</v>
      </c>
      <c r="F190" s="57" t="n">
        <f aca="false">'STUDENT SCREENING'!K190</f>
        <v>0</v>
      </c>
      <c r="G190" s="57" t="n">
        <f aca="false">'STUDENT SCREENING'!J190</f>
        <v>0</v>
      </c>
      <c r="H190" s="57" t="str">
        <f aca="false">IF('STUDENT SCREENING'!K190="","",IFERROR(MATCH('STUDENT SCREENING'!K190,Adm_Gender,0),""))</f>
        <v/>
      </c>
      <c r="I190" s="57" t="n">
        <f aca="false">'STUDENT SCREENING'!Q190</f>
        <v>0</v>
      </c>
      <c r="J190" s="57" t="n">
        <f aca="false">'STUDENT SCREENING'!R190</f>
        <v>0</v>
      </c>
      <c r="K190" s="57" t="str">
        <f aca="false">'STUDENT SCREENING'!S190</f>
        <v/>
      </c>
      <c r="L190" s="57" t="n">
        <f aca="false">'STUDENT SCREENING'!U190</f>
        <v>0</v>
      </c>
      <c r="M190" s="57" t="n">
        <f aca="false">'STUDENT SCREENING'!V190</f>
        <v>0</v>
      </c>
      <c r="N190" s="57" t="str">
        <f aca="false">'STUDENT SCREENING'!BF190</f>
        <v/>
      </c>
      <c r="O190" s="57" t="str">
        <f aca="false">'STUDENT SCREENING'!BG190</f>
        <v/>
      </c>
      <c r="P190" s="57" t="str">
        <f aca="false">'STUDENT SCREENING'!BH190</f>
        <v/>
      </c>
      <c r="Q190" s="57" t="str">
        <f aca="false">'STUDENT SCREENING'!BI190</f>
        <v/>
      </c>
      <c r="R190" s="57" t="str">
        <f aca="false">'STUDENT SCREENING'!BJ190</f>
        <v/>
      </c>
      <c r="S190" s="57" t="str">
        <f aca="false">'STUDENT SCREENING'!BK190</f>
        <v/>
      </c>
      <c r="T190" s="57" t="str">
        <f aca="false">'STUDENT SCREENING'!BL190</f>
        <v/>
      </c>
      <c r="U190" s="57" t="str">
        <f aca="false">'STUDENT SCREENING'!BM190</f>
        <v/>
      </c>
      <c r="V190" s="57" t="str">
        <f aca="false">'STUDENT SCREENING'!BN190</f>
        <v/>
      </c>
      <c r="W190" s="57" t="str">
        <f aca="false">'STUDENT SCREENING'!BO190</f>
        <v/>
      </c>
      <c r="X190" s="57" t="str">
        <f aca="false">IF('STUDENT SCREENING'!W190="","",IFERROR(INDEX('SCORING MASTER'!$D$5:$D$7,MATCH('STUDENT SCREENING'!W190,'SCORING MASTER'!$C$5:$C$7,0)),""))</f>
        <v/>
      </c>
      <c r="Y190" s="57" t="str">
        <f aca="false">IF('STUDENT SCREENING'!X190="","",IFERROR(INDEX('SCORING MASTER'!$D$9:$D$11,MATCH('STUDENT SCREENING'!X190,'SCORING MASTER'!$C$9:$C$11,0)),""))</f>
        <v/>
      </c>
      <c r="Z190" s="57" t="str">
        <f aca="false">IF('STUDENT SCREENING'!Y190="","",IFERROR(INDEX('SCORING MASTER'!$D$13:$D$15,MATCH('STUDENT SCREENING'!Y190,'SCORING MASTER'!$C$13:$C$15,0)),""))</f>
        <v/>
      </c>
      <c r="AA190" s="57" t="str">
        <f aca="false">IF('STUDENT SCREENING'!Z190="","",IFERROR(INDEX('SCORING MASTER'!$D$17:$D$19,MATCH('STUDENT SCREENING'!Z190,'SCORING MASTER'!$C$17:$C$19,0)),""))</f>
        <v/>
      </c>
      <c r="AB190" s="57" t="str">
        <f aca="false">IF('STUDENT SCREENING'!AA190="","",IFERROR(INDEX('SCORING MASTER'!$D$21:$D$23,MATCH('STUDENT SCREENING'!AA190,'SCORING MASTER'!$C$21:$C$23,0)),""))</f>
        <v/>
      </c>
      <c r="AC190" s="57" t="str">
        <f aca="false">IF('STUDENT SCREENING'!AB190="","",IFERROR(INDEX('SCORING MASTER'!$D$25:$D$27,MATCH('STUDENT SCREENING'!AB190,'SCORING MASTER'!$C$25:$C$27,0)),""))</f>
        <v/>
      </c>
      <c r="AD190" s="57" t="str">
        <f aca="false">IF('STUDENT SCREENING'!AC190="","",IFERROR(INDEX('SCORING MASTER'!$D$29:$D$31,MATCH('STUDENT SCREENING'!AC190,'SCORING MASTER'!$C$29:$C$31,0)),""))</f>
        <v/>
      </c>
      <c r="AE190" s="57" t="str">
        <f aca="false">IF('STUDENT SCREENING'!AD190="","",IFERROR(INDEX('SCORING MASTER'!$D$33:$D$35,MATCH('STUDENT SCREENING'!AD190,'SCORING MASTER'!$C$33:$C$35,0)),""))</f>
        <v/>
      </c>
      <c r="AF190" s="57" t="str">
        <f aca="false">IF('STUDENT SCREENING'!AE190="","",IFERROR(INDEX('SCORING MASTER'!$D$37:$D$39,MATCH('STUDENT SCREENING'!AE190,'SCORING MASTER'!$C$37:$C$39,0)),""))</f>
        <v/>
      </c>
      <c r="AG190" s="57" t="str">
        <f aca="false">IF('STUDENT SCREENING'!AF190="","",IFERROR(INDEX('SCORING MASTER'!$D$41:$D$43,MATCH('STUDENT SCREENING'!AF190,'SCORING MASTER'!$C$41:$C$43,0)),""))</f>
        <v/>
      </c>
      <c r="AH190" s="57" t="str">
        <f aca="false">IF('STUDENT SCREENING'!AG190="","",IFERROR(INDEX('SCORING MASTER'!$D$45:$D$47,MATCH('STUDENT SCREENING'!AG190,'SCORING MASTER'!$C$45:$C$47,0)),""))</f>
        <v/>
      </c>
      <c r="AI190" s="57" t="str">
        <f aca="false">IF('STUDENT SCREENING'!AH190="","",IFERROR(INDEX('SCORING MASTER'!$D$49:$D$52,MATCH('STUDENT SCREENING'!AH190,'SCORING MASTER'!$C$49:$C$52,0)),""))</f>
        <v/>
      </c>
      <c r="AJ190" s="57" t="str">
        <f aca="false">IF('STUDENT SCREENING'!AI190="","",IFERROR(INDEX('SCORING MASTER'!$D$54:$D$57,MATCH('STUDENT SCREENING'!AI190,'SCORING MASTER'!$C$54:$C$57,0)),""))</f>
        <v/>
      </c>
      <c r="AK190" s="57" t="str">
        <f aca="false">IF('STUDENT SCREENING'!AJ190="","",IFERROR(INDEX('SCORING MASTER'!$D$59:$D$60,MATCH('STUDENT SCREENING'!AJ190,'SCORING MASTER'!$C$59:$C$60,0)),""))</f>
        <v/>
      </c>
      <c r="AL190" s="57" t="str">
        <f aca="false">IF('STUDENT SCREENING'!AK190="","",IFERROR(INDEX('SCORING MASTER'!$D$62:$D$63,MATCH('STUDENT SCREENING'!AK190,'SCORING MASTER'!$C$62:$C$63,0)),""))</f>
        <v/>
      </c>
      <c r="AM190" s="57" t="str">
        <f aca="false">IF('STUDENT SCREENING'!AL190="","",IFERROR(INDEX('SCORING MASTER'!$D$65:$D$66,MATCH('STUDENT SCREENING'!AL190,'SCORING MASTER'!$C$65:$C$66,0)),""))</f>
        <v/>
      </c>
      <c r="AN190" s="57" t="str">
        <f aca="false">IF('STUDENT SCREENING'!AM190="","",IFERROR(INDEX('SCORING MASTER'!$D$68:$D$69,MATCH('STUDENT SCREENING'!AM190,'SCORING MASTER'!$C$68:$C$69,0)),""))</f>
        <v/>
      </c>
      <c r="AO190" s="57" t="str">
        <f aca="false">IF('STUDENT SCREENING'!AN190="","",IFERROR(INDEX('SCORING MASTER'!$D$71:$D$72,MATCH('STUDENT SCREENING'!AN190,'SCORING MASTER'!$C$71:$C$72,0)),""))</f>
        <v/>
      </c>
      <c r="AP190" s="57" t="str">
        <f aca="false">IF('STUDENT SCREENING'!AO190="","",IFERROR(INDEX('SCORING MASTER'!$D$74:$D$75,MATCH('STUDENT SCREENING'!AO190,'SCORING MASTER'!$C$74:$C$75,0)),""))</f>
        <v/>
      </c>
      <c r="AQ190" s="57" t="str">
        <f aca="false">IF('STUDENT SCREENING'!AP190="","",IFERROR(INDEX('SCORING MASTER'!$D$77:$D$78,MATCH('STUDENT SCREENING'!AP190,'SCORING MASTER'!$C$77:$C$78,0)),""))</f>
        <v/>
      </c>
      <c r="AR190" s="57" t="str">
        <f aca="false">IF('STUDENT SCREENING'!AQ190="","",IFERROR(INDEX('SCORING MASTER'!$D$80:$D$82,MATCH('STUDENT SCREENING'!AQ190,'SCORING MASTER'!$C$80:$C$82,0)),""))</f>
        <v/>
      </c>
      <c r="AS190" s="57" t="str">
        <f aca="false">IF('STUDENT SCREENING'!AR190="","",IFERROR(INDEX('SCORING MASTER'!$D$84:$D$86,MATCH('STUDENT SCREENING'!AR190,'SCORING MASTER'!$C$84:$C$86,0)),""))</f>
        <v/>
      </c>
      <c r="AT190" s="57" t="str">
        <f aca="false">IF('STUDENT SCREENING'!AS190="","",IFERROR(INDEX('SCORING MASTER'!$D$88:$D$90,MATCH('STUDENT SCREENING'!AS190,'SCORING MASTER'!$C$88:$C$90,0)),""))</f>
        <v/>
      </c>
      <c r="AU190" s="57" t="str">
        <f aca="false">IF('STUDENT SCREENING'!AT190="","",IFERROR(INDEX('SCORING MASTER'!$D$92:$D$93,MATCH('STUDENT SCREENING'!AT190,'SCORING MASTER'!$C$92:$C$93,0)),""))</f>
        <v/>
      </c>
      <c r="AV190" s="57" t="str">
        <f aca="false">IF('STUDENT SCREENING'!AU190="","",IFERROR(INDEX('SCORING MASTER'!$D$95:$D$96,MATCH('STUDENT SCREENING'!AU190,'SCORING MASTER'!$C$95:$C$96,0)),""))</f>
        <v/>
      </c>
      <c r="AW190" s="57" t="str">
        <f aca="false">IF('STUDENT SCREENING'!AV190="","",IFERROR(INDEX('SCORING MASTER'!$D$98:$D$99,MATCH('STUDENT SCREENING'!AV190,'SCORING MASTER'!$C$98:$C$99,0)),""))</f>
        <v/>
      </c>
      <c r="AX190" s="57" t="str">
        <f aca="false">IF('STUDENT SCREENING'!AW190="","",IFERROR(INDEX('SCORING MASTER'!$D$101:$D$102,MATCH('STUDENT SCREENING'!AW190,'SCORING MASTER'!$C$101:$C$102,0)),""))</f>
        <v/>
      </c>
      <c r="AY190" s="57" t="str">
        <f aca="false">IF('STUDENT SCREENING'!AX190="","",IFERROR(INDEX('SCORING MASTER'!$D$104:$D$105,MATCH('STUDENT SCREENING'!AX190,'SCORING MASTER'!$C$104:$C$105,0)),""))</f>
        <v/>
      </c>
      <c r="AZ190" s="57" t="str">
        <f aca="false">IF('STUDENT SCREENING'!AY190="","",IFERROR(INDEX('SCORING MASTER'!$D$107:$D$108,MATCH('STUDENT SCREENING'!AY190,'SCORING MASTER'!$C$107:$C$108,0)),""))</f>
        <v/>
      </c>
      <c r="BA190" s="57" t="str">
        <f aca="false">IF('STUDENT SCREENING'!AZ190="","",IFERROR(INDEX('SCORING MASTER'!$D$110:$D$111,MATCH('STUDENT SCREENING'!AZ190,'SCORING MASTER'!$C$110:$C$111,0)),""))</f>
        <v/>
      </c>
      <c r="BB190" s="57" t="str">
        <f aca="false">IF('STUDENT SCREENING'!BA190="","",IFERROR(INDEX('SCORING MASTER'!$D$113:$D$115,MATCH('STUDENT SCREENING'!BA190,'SCORING MASTER'!$C$113:$C$115,0)),""))</f>
        <v/>
      </c>
      <c r="BC190" s="57" t="str">
        <f aca="false">IF('STUDENT SCREENING'!BB190="","",IFERROR(INDEX('SCORING MASTER'!$D$117:$D$119,MATCH('STUDENT SCREENING'!BB190,'SCORING MASTER'!$C$117:$C$119,0)),""))</f>
        <v/>
      </c>
      <c r="BD190" s="57" t="str">
        <f aca="false">IF('STUDENT SCREENING'!BC190="","",IFERROR(INDEX('SCORING MASTER'!$D$121:$D$123,MATCH('STUDENT SCREENING'!BC190,'SCORING MASTER'!$C$121:$C$123,0)),""))</f>
        <v/>
      </c>
      <c r="BE190" s="57" t="str">
        <f aca="false">IF('STUDENT SCREENING'!BD190="","",IFERROR(INDEX('SCORING MASTER'!$D$125:$D$126,MATCH('STUDENT SCREENING'!BD190,'SCORING MASTER'!$C$125:$C$126,0)),""))</f>
        <v/>
      </c>
      <c r="BF190" s="57" t="str">
        <f aca="false">IF('STUDENT SCREENING'!BE190="","",IFERROR(INDEX('SCORING MASTER'!$D$128:$D$129,MATCH('STUDENT SCREENING'!BE190,'SCORING MASTER'!$C$128:$C$129,0)),""))</f>
        <v/>
      </c>
      <c r="BG190" s="57" t="str">
        <f aca="false">IF('STUDENT SCREENING'!BP190="","",IFERROR(MATCH('STUDENT SCREENING'!BP190,{"Red - High Risk","Orange - Moderate Risk","Yellow - Mild Risk","Light Green - Mild Watch","Green - Healthy"},0)-1,""))</f>
        <v/>
      </c>
      <c r="BH190" s="57" t="str">
        <f aca="false">IF('STUDENT SCREENING'!BQ190="","",IF('STUDENT SCREENING'!BQ190="Yes",1,0))</f>
        <v/>
      </c>
      <c r="BI190" s="57" t="str">
        <f aca="false">IF('STUDENT SCREENING'!BR190="","",IF('STUDENT SCREENING'!BR190="Yes",1,0))</f>
        <v/>
      </c>
    </row>
    <row r="191" customFormat="false" ht="15" hidden="false" customHeight="false" outlineLevel="0" collapsed="false">
      <c r="A191" s="58" t="str">
        <f aca="false">'STUDENT SCREENING'!A191</f>
        <v/>
      </c>
      <c r="B191" s="58" t="n">
        <f aca="false">'STUDENT SCREENING'!C191</f>
        <v>0</v>
      </c>
      <c r="C191" s="58" t="n">
        <f aca="false">'STUDENT SCREENING'!D191</f>
        <v>0</v>
      </c>
      <c r="D191" s="58" t="n">
        <f aca="false">'STUDENT SCREENING'!E191</f>
        <v>0</v>
      </c>
      <c r="E191" s="58" t="n">
        <f aca="false">'STUDENT SCREENING'!F191</f>
        <v>0</v>
      </c>
      <c r="F191" s="58" t="n">
        <f aca="false">'STUDENT SCREENING'!K191</f>
        <v>0</v>
      </c>
      <c r="G191" s="58" t="n">
        <f aca="false">'STUDENT SCREENING'!J191</f>
        <v>0</v>
      </c>
      <c r="H191" s="58" t="str">
        <f aca="false">IF('STUDENT SCREENING'!K191="","",IFERROR(MATCH('STUDENT SCREENING'!K191,Adm_Gender,0),""))</f>
        <v/>
      </c>
      <c r="I191" s="58" t="n">
        <f aca="false">'STUDENT SCREENING'!Q191</f>
        <v>0</v>
      </c>
      <c r="J191" s="58" t="n">
        <f aca="false">'STUDENT SCREENING'!R191</f>
        <v>0</v>
      </c>
      <c r="K191" s="58" t="str">
        <f aca="false">'STUDENT SCREENING'!S191</f>
        <v/>
      </c>
      <c r="L191" s="58" t="n">
        <f aca="false">'STUDENT SCREENING'!U191</f>
        <v>0</v>
      </c>
      <c r="M191" s="58" t="n">
        <f aca="false">'STUDENT SCREENING'!V191</f>
        <v>0</v>
      </c>
      <c r="N191" s="58" t="str">
        <f aca="false">'STUDENT SCREENING'!BF191</f>
        <v/>
      </c>
      <c r="O191" s="58" t="str">
        <f aca="false">'STUDENT SCREENING'!BG191</f>
        <v/>
      </c>
      <c r="P191" s="58" t="str">
        <f aca="false">'STUDENT SCREENING'!BH191</f>
        <v/>
      </c>
      <c r="Q191" s="58" t="str">
        <f aca="false">'STUDENT SCREENING'!BI191</f>
        <v/>
      </c>
      <c r="R191" s="58" t="str">
        <f aca="false">'STUDENT SCREENING'!BJ191</f>
        <v/>
      </c>
      <c r="S191" s="58" t="str">
        <f aca="false">'STUDENT SCREENING'!BK191</f>
        <v/>
      </c>
      <c r="T191" s="58" t="str">
        <f aca="false">'STUDENT SCREENING'!BL191</f>
        <v/>
      </c>
      <c r="U191" s="58" t="str">
        <f aca="false">'STUDENT SCREENING'!BM191</f>
        <v/>
      </c>
      <c r="V191" s="58" t="str">
        <f aca="false">'STUDENT SCREENING'!BN191</f>
        <v/>
      </c>
      <c r="W191" s="58" t="str">
        <f aca="false">'STUDENT SCREENING'!BO191</f>
        <v/>
      </c>
      <c r="X191" s="58" t="str">
        <f aca="false">IF('STUDENT SCREENING'!W191="","",IFERROR(INDEX('SCORING MASTER'!$D$5:$D$7,MATCH('STUDENT SCREENING'!W191,'SCORING MASTER'!$C$5:$C$7,0)),""))</f>
        <v/>
      </c>
      <c r="Y191" s="58" t="str">
        <f aca="false">IF('STUDENT SCREENING'!X191="","",IFERROR(INDEX('SCORING MASTER'!$D$9:$D$11,MATCH('STUDENT SCREENING'!X191,'SCORING MASTER'!$C$9:$C$11,0)),""))</f>
        <v/>
      </c>
      <c r="Z191" s="58" t="str">
        <f aca="false">IF('STUDENT SCREENING'!Y191="","",IFERROR(INDEX('SCORING MASTER'!$D$13:$D$15,MATCH('STUDENT SCREENING'!Y191,'SCORING MASTER'!$C$13:$C$15,0)),""))</f>
        <v/>
      </c>
      <c r="AA191" s="58" t="str">
        <f aca="false">IF('STUDENT SCREENING'!Z191="","",IFERROR(INDEX('SCORING MASTER'!$D$17:$D$19,MATCH('STUDENT SCREENING'!Z191,'SCORING MASTER'!$C$17:$C$19,0)),""))</f>
        <v/>
      </c>
      <c r="AB191" s="58" t="str">
        <f aca="false">IF('STUDENT SCREENING'!AA191="","",IFERROR(INDEX('SCORING MASTER'!$D$21:$D$23,MATCH('STUDENT SCREENING'!AA191,'SCORING MASTER'!$C$21:$C$23,0)),""))</f>
        <v/>
      </c>
      <c r="AC191" s="58" t="str">
        <f aca="false">IF('STUDENT SCREENING'!AB191="","",IFERROR(INDEX('SCORING MASTER'!$D$25:$D$27,MATCH('STUDENT SCREENING'!AB191,'SCORING MASTER'!$C$25:$C$27,0)),""))</f>
        <v/>
      </c>
      <c r="AD191" s="58" t="str">
        <f aca="false">IF('STUDENT SCREENING'!AC191="","",IFERROR(INDEX('SCORING MASTER'!$D$29:$D$31,MATCH('STUDENT SCREENING'!AC191,'SCORING MASTER'!$C$29:$C$31,0)),""))</f>
        <v/>
      </c>
      <c r="AE191" s="58" t="str">
        <f aca="false">IF('STUDENT SCREENING'!AD191="","",IFERROR(INDEX('SCORING MASTER'!$D$33:$D$35,MATCH('STUDENT SCREENING'!AD191,'SCORING MASTER'!$C$33:$C$35,0)),""))</f>
        <v/>
      </c>
      <c r="AF191" s="58" t="str">
        <f aca="false">IF('STUDENT SCREENING'!AE191="","",IFERROR(INDEX('SCORING MASTER'!$D$37:$D$39,MATCH('STUDENT SCREENING'!AE191,'SCORING MASTER'!$C$37:$C$39,0)),""))</f>
        <v/>
      </c>
      <c r="AG191" s="58" t="str">
        <f aca="false">IF('STUDENT SCREENING'!AF191="","",IFERROR(INDEX('SCORING MASTER'!$D$41:$D$43,MATCH('STUDENT SCREENING'!AF191,'SCORING MASTER'!$C$41:$C$43,0)),""))</f>
        <v/>
      </c>
      <c r="AH191" s="58" t="str">
        <f aca="false">IF('STUDENT SCREENING'!AG191="","",IFERROR(INDEX('SCORING MASTER'!$D$45:$D$47,MATCH('STUDENT SCREENING'!AG191,'SCORING MASTER'!$C$45:$C$47,0)),""))</f>
        <v/>
      </c>
      <c r="AI191" s="58" t="str">
        <f aca="false">IF('STUDENT SCREENING'!AH191="","",IFERROR(INDEX('SCORING MASTER'!$D$49:$D$52,MATCH('STUDENT SCREENING'!AH191,'SCORING MASTER'!$C$49:$C$52,0)),""))</f>
        <v/>
      </c>
      <c r="AJ191" s="58" t="str">
        <f aca="false">IF('STUDENT SCREENING'!AI191="","",IFERROR(INDEX('SCORING MASTER'!$D$54:$D$57,MATCH('STUDENT SCREENING'!AI191,'SCORING MASTER'!$C$54:$C$57,0)),""))</f>
        <v/>
      </c>
      <c r="AK191" s="58" t="str">
        <f aca="false">IF('STUDENT SCREENING'!AJ191="","",IFERROR(INDEX('SCORING MASTER'!$D$59:$D$60,MATCH('STUDENT SCREENING'!AJ191,'SCORING MASTER'!$C$59:$C$60,0)),""))</f>
        <v/>
      </c>
      <c r="AL191" s="58" t="str">
        <f aca="false">IF('STUDENT SCREENING'!AK191="","",IFERROR(INDEX('SCORING MASTER'!$D$62:$D$63,MATCH('STUDENT SCREENING'!AK191,'SCORING MASTER'!$C$62:$C$63,0)),""))</f>
        <v/>
      </c>
      <c r="AM191" s="58" t="str">
        <f aca="false">IF('STUDENT SCREENING'!AL191="","",IFERROR(INDEX('SCORING MASTER'!$D$65:$D$66,MATCH('STUDENT SCREENING'!AL191,'SCORING MASTER'!$C$65:$C$66,0)),""))</f>
        <v/>
      </c>
      <c r="AN191" s="58" t="str">
        <f aca="false">IF('STUDENT SCREENING'!AM191="","",IFERROR(INDEX('SCORING MASTER'!$D$68:$D$69,MATCH('STUDENT SCREENING'!AM191,'SCORING MASTER'!$C$68:$C$69,0)),""))</f>
        <v/>
      </c>
      <c r="AO191" s="58" t="str">
        <f aca="false">IF('STUDENT SCREENING'!AN191="","",IFERROR(INDEX('SCORING MASTER'!$D$71:$D$72,MATCH('STUDENT SCREENING'!AN191,'SCORING MASTER'!$C$71:$C$72,0)),""))</f>
        <v/>
      </c>
      <c r="AP191" s="58" t="str">
        <f aca="false">IF('STUDENT SCREENING'!AO191="","",IFERROR(INDEX('SCORING MASTER'!$D$74:$D$75,MATCH('STUDENT SCREENING'!AO191,'SCORING MASTER'!$C$74:$C$75,0)),""))</f>
        <v/>
      </c>
      <c r="AQ191" s="58" t="str">
        <f aca="false">IF('STUDENT SCREENING'!AP191="","",IFERROR(INDEX('SCORING MASTER'!$D$77:$D$78,MATCH('STUDENT SCREENING'!AP191,'SCORING MASTER'!$C$77:$C$78,0)),""))</f>
        <v/>
      </c>
      <c r="AR191" s="58" t="str">
        <f aca="false">IF('STUDENT SCREENING'!AQ191="","",IFERROR(INDEX('SCORING MASTER'!$D$80:$D$82,MATCH('STUDENT SCREENING'!AQ191,'SCORING MASTER'!$C$80:$C$82,0)),""))</f>
        <v/>
      </c>
      <c r="AS191" s="58" t="str">
        <f aca="false">IF('STUDENT SCREENING'!AR191="","",IFERROR(INDEX('SCORING MASTER'!$D$84:$D$86,MATCH('STUDENT SCREENING'!AR191,'SCORING MASTER'!$C$84:$C$86,0)),""))</f>
        <v/>
      </c>
      <c r="AT191" s="58" t="str">
        <f aca="false">IF('STUDENT SCREENING'!AS191="","",IFERROR(INDEX('SCORING MASTER'!$D$88:$D$90,MATCH('STUDENT SCREENING'!AS191,'SCORING MASTER'!$C$88:$C$90,0)),""))</f>
        <v/>
      </c>
      <c r="AU191" s="58" t="str">
        <f aca="false">IF('STUDENT SCREENING'!AT191="","",IFERROR(INDEX('SCORING MASTER'!$D$92:$D$93,MATCH('STUDENT SCREENING'!AT191,'SCORING MASTER'!$C$92:$C$93,0)),""))</f>
        <v/>
      </c>
      <c r="AV191" s="58" t="str">
        <f aca="false">IF('STUDENT SCREENING'!AU191="","",IFERROR(INDEX('SCORING MASTER'!$D$95:$D$96,MATCH('STUDENT SCREENING'!AU191,'SCORING MASTER'!$C$95:$C$96,0)),""))</f>
        <v/>
      </c>
      <c r="AW191" s="58" t="str">
        <f aca="false">IF('STUDENT SCREENING'!AV191="","",IFERROR(INDEX('SCORING MASTER'!$D$98:$D$99,MATCH('STUDENT SCREENING'!AV191,'SCORING MASTER'!$C$98:$C$99,0)),""))</f>
        <v/>
      </c>
      <c r="AX191" s="58" t="str">
        <f aca="false">IF('STUDENT SCREENING'!AW191="","",IFERROR(INDEX('SCORING MASTER'!$D$101:$D$102,MATCH('STUDENT SCREENING'!AW191,'SCORING MASTER'!$C$101:$C$102,0)),""))</f>
        <v/>
      </c>
      <c r="AY191" s="58" t="str">
        <f aca="false">IF('STUDENT SCREENING'!AX191="","",IFERROR(INDEX('SCORING MASTER'!$D$104:$D$105,MATCH('STUDENT SCREENING'!AX191,'SCORING MASTER'!$C$104:$C$105,0)),""))</f>
        <v/>
      </c>
      <c r="AZ191" s="58" t="str">
        <f aca="false">IF('STUDENT SCREENING'!AY191="","",IFERROR(INDEX('SCORING MASTER'!$D$107:$D$108,MATCH('STUDENT SCREENING'!AY191,'SCORING MASTER'!$C$107:$C$108,0)),""))</f>
        <v/>
      </c>
      <c r="BA191" s="58" t="str">
        <f aca="false">IF('STUDENT SCREENING'!AZ191="","",IFERROR(INDEX('SCORING MASTER'!$D$110:$D$111,MATCH('STUDENT SCREENING'!AZ191,'SCORING MASTER'!$C$110:$C$111,0)),""))</f>
        <v/>
      </c>
      <c r="BB191" s="58" t="str">
        <f aca="false">IF('STUDENT SCREENING'!BA191="","",IFERROR(INDEX('SCORING MASTER'!$D$113:$D$115,MATCH('STUDENT SCREENING'!BA191,'SCORING MASTER'!$C$113:$C$115,0)),""))</f>
        <v/>
      </c>
      <c r="BC191" s="58" t="str">
        <f aca="false">IF('STUDENT SCREENING'!BB191="","",IFERROR(INDEX('SCORING MASTER'!$D$117:$D$119,MATCH('STUDENT SCREENING'!BB191,'SCORING MASTER'!$C$117:$C$119,0)),""))</f>
        <v/>
      </c>
      <c r="BD191" s="58" t="str">
        <f aca="false">IF('STUDENT SCREENING'!BC191="","",IFERROR(INDEX('SCORING MASTER'!$D$121:$D$123,MATCH('STUDENT SCREENING'!BC191,'SCORING MASTER'!$C$121:$C$123,0)),""))</f>
        <v/>
      </c>
      <c r="BE191" s="58" t="str">
        <f aca="false">IF('STUDENT SCREENING'!BD191="","",IFERROR(INDEX('SCORING MASTER'!$D$125:$D$126,MATCH('STUDENT SCREENING'!BD191,'SCORING MASTER'!$C$125:$C$126,0)),""))</f>
        <v/>
      </c>
      <c r="BF191" s="58" t="str">
        <f aca="false">IF('STUDENT SCREENING'!BE191="","",IFERROR(INDEX('SCORING MASTER'!$D$128:$D$129,MATCH('STUDENT SCREENING'!BE191,'SCORING MASTER'!$C$128:$C$129,0)),""))</f>
        <v/>
      </c>
      <c r="BG191" s="58" t="str">
        <f aca="false">IF('STUDENT SCREENING'!BP191="","",IFERROR(MATCH('STUDENT SCREENING'!BP191,{"Red - High Risk","Orange - Moderate Risk","Yellow - Mild Risk","Light Green - Mild Watch","Green - Healthy"},0)-1,""))</f>
        <v/>
      </c>
      <c r="BH191" s="58" t="str">
        <f aca="false">IF('STUDENT SCREENING'!BQ191="","",IF('STUDENT SCREENING'!BQ191="Yes",1,0))</f>
        <v/>
      </c>
      <c r="BI191" s="58" t="str">
        <f aca="false">IF('STUDENT SCREENING'!BR191="","",IF('STUDENT SCREENING'!BR191="Yes",1,0))</f>
        <v/>
      </c>
    </row>
    <row r="192" customFormat="false" ht="15" hidden="false" customHeight="false" outlineLevel="0" collapsed="false">
      <c r="A192" s="57" t="str">
        <f aca="false">'STUDENT SCREENING'!A192</f>
        <v/>
      </c>
      <c r="B192" s="57" t="n">
        <f aca="false">'STUDENT SCREENING'!C192</f>
        <v>0</v>
      </c>
      <c r="C192" s="57" t="n">
        <f aca="false">'STUDENT SCREENING'!D192</f>
        <v>0</v>
      </c>
      <c r="D192" s="57" t="n">
        <f aca="false">'STUDENT SCREENING'!E192</f>
        <v>0</v>
      </c>
      <c r="E192" s="57" t="n">
        <f aca="false">'STUDENT SCREENING'!F192</f>
        <v>0</v>
      </c>
      <c r="F192" s="57" t="n">
        <f aca="false">'STUDENT SCREENING'!K192</f>
        <v>0</v>
      </c>
      <c r="G192" s="57" t="n">
        <f aca="false">'STUDENT SCREENING'!J192</f>
        <v>0</v>
      </c>
      <c r="H192" s="57" t="str">
        <f aca="false">IF('STUDENT SCREENING'!K192="","",IFERROR(MATCH('STUDENT SCREENING'!K192,Adm_Gender,0),""))</f>
        <v/>
      </c>
      <c r="I192" s="57" t="n">
        <f aca="false">'STUDENT SCREENING'!Q192</f>
        <v>0</v>
      </c>
      <c r="J192" s="57" t="n">
        <f aca="false">'STUDENT SCREENING'!R192</f>
        <v>0</v>
      </c>
      <c r="K192" s="57" t="str">
        <f aca="false">'STUDENT SCREENING'!S192</f>
        <v/>
      </c>
      <c r="L192" s="57" t="n">
        <f aca="false">'STUDENT SCREENING'!U192</f>
        <v>0</v>
      </c>
      <c r="M192" s="57" t="n">
        <f aca="false">'STUDENT SCREENING'!V192</f>
        <v>0</v>
      </c>
      <c r="N192" s="57" t="str">
        <f aca="false">'STUDENT SCREENING'!BF192</f>
        <v/>
      </c>
      <c r="O192" s="57" t="str">
        <f aca="false">'STUDENT SCREENING'!BG192</f>
        <v/>
      </c>
      <c r="P192" s="57" t="str">
        <f aca="false">'STUDENT SCREENING'!BH192</f>
        <v/>
      </c>
      <c r="Q192" s="57" t="str">
        <f aca="false">'STUDENT SCREENING'!BI192</f>
        <v/>
      </c>
      <c r="R192" s="57" t="str">
        <f aca="false">'STUDENT SCREENING'!BJ192</f>
        <v/>
      </c>
      <c r="S192" s="57" t="str">
        <f aca="false">'STUDENT SCREENING'!BK192</f>
        <v/>
      </c>
      <c r="T192" s="57" t="str">
        <f aca="false">'STUDENT SCREENING'!BL192</f>
        <v/>
      </c>
      <c r="U192" s="57" t="str">
        <f aca="false">'STUDENT SCREENING'!BM192</f>
        <v/>
      </c>
      <c r="V192" s="57" t="str">
        <f aca="false">'STUDENT SCREENING'!BN192</f>
        <v/>
      </c>
      <c r="W192" s="57" t="str">
        <f aca="false">'STUDENT SCREENING'!BO192</f>
        <v/>
      </c>
      <c r="X192" s="57" t="str">
        <f aca="false">IF('STUDENT SCREENING'!W192="","",IFERROR(INDEX('SCORING MASTER'!$D$5:$D$7,MATCH('STUDENT SCREENING'!W192,'SCORING MASTER'!$C$5:$C$7,0)),""))</f>
        <v/>
      </c>
      <c r="Y192" s="57" t="str">
        <f aca="false">IF('STUDENT SCREENING'!X192="","",IFERROR(INDEX('SCORING MASTER'!$D$9:$D$11,MATCH('STUDENT SCREENING'!X192,'SCORING MASTER'!$C$9:$C$11,0)),""))</f>
        <v/>
      </c>
      <c r="Z192" s="57" t="str">
        <f aca="false">IF('STUDENT SCREENING'!Y192="","",IFERROR(INDEX('SCORING MASTER'!$D$13:$D$15,MATCH('STUDENT SCREENING'!Y192,'SCORING MASTER'!$C$13:$C$15,0)),""))</f>
        <v/>
      </c>
      <c r="AA192" s="57" t="str">
        <f aca="false">IF('STUDENT SCREENING'!Z192="","",IFERROR(INDEX('SCORING MASTER'!$D$17:$D$19,MATCH('STUDENT SCREENING'!Z192,'SCORING MASTER'!$C$17:$C$19,0)),""))</f>
        <v/>
      </c>
      <c r="AB192" s="57" t="str">
        <f aca="false">IF('STUDENT SCREENING'!AA192="","",IFERROR(INDEX('SCORING MASTER'!$D$21:$D$23,MATCH('STUDENT SCREENING'!AA192,'SCORING MASTER'!$C$21:$C$23,0)),""))</f>
        <v/>
      </c>
      <c r="AC192" s="57" t="str">
        <f aca="false">IF('STUDENT SCREENING'!AB192="","",IFERROR(INDEX('SCORING MASTER'!$D$25:$D$27,MATCH('STUDENT SCREENING'!AB192,'SCORING MASTER'!$C$25:$C$27,0)),""))</f>
        <v/>
      </c>
      <c r="AD192" s="57" t="str">
        <f aca="false">IF('STUDENT SCREENING'!AC192="","",IFERROR(INDEX('SCORING MASTER'!$D$29:$D$31,MATCH('STUDENT SCREENING'!AC192,'SCORING MASTER'!$C$29:$C$31,0)),""))</f>
        <v/>
      </c>
      <c r="AE192" s="57" t="str">
        <f aca="false">IF('STUDENT SCREENING'!AD192="","",IFERROR(INDEX('SCORING MASTER'!$D$33:$D$35,MATCH('STUDENT SCREENING'!AD192,'SCORING MASTER'!$C$33:$C$35,0)),""))</f>
        <v/>
      </c>
      <c r="AF192" s="57" t="str">
        <f aca="false">IF('STUDENT SCREENING'!AE192="","",IFERROR(INDEX('SCORING MASTER'!$D$37:$D$39,MATCH('STUDENT SCREENING'!AE192,'SCORING MASTER'!$C$37:$C$39,0)),""))</f>
        <v/>
      </c>
      <c r="AG192" s="57" t="str">
        <f aca="false">IF('STUDENT SCREENING'!AF192="","",IFERROR(INDEX('SCORING MASTER'!$D$41:$D$43,MATCH('STUDENT SCREENING'!AF192,'SCORING MASTER'!$C$41:$C$43,0)),""))</f>
        <v/>
      </c>
      <c r="AH192" s="57" t="str">
        <f aca="false">IF('STUDENT SCREENING'!AG192="","",IFERROR(INDEX('SCORING MASTER'!$D$45:$D$47,MATCH('STUDENT SCREENING'!AG192,'SCORING MASTER'!$C$45:$C$47,0)),""))</f>
        <v/>
      </c>
      <c r="AI192" s="57" t="str">
        <f aca="false">IF('STUDENT SCREENING'!AH192="","",IFERROR(INDEX('SCORING MASTER'!$D$49:$D$52,MATCH('STUDENT SCREENING'!AH192,'SCORING MASTER'!$C$49:$C$52,0)),""))</f>
        <v/>
      </c>
      <c r="AJ192" s="57" t="str">
        <f aca="false">IF('STUDENT SCREENING'!AI192="","",IFERROR(INDEX('SCORING MASTER'!$D$54:$D$57,MATCH('STUDENT SCREENING'!AI192,'SCORING MASTER'!$C$54:$C$57,0)),""))</f>
        <v/>
      </c>
      <c r="AK192" s="57" t="str">
        <f aca="false">IF('STUDENT SCREENING'!AJ192="","",IFERROR(INDEX('SCORING MASTER'!$D$59:$D$60,MATCH('STUDENT SCREENING'!AJ192,'SCORING MASTER'!$C$59:$C$60,0)),""))</f>
        <v/>
      </c>
      <c r="AL192" s="57" t="str">
        <f aca="false">IF('STUDENT SCREENING'!AK192="","",IFERROR(INDEX('SCORING MASTER'!$D$62:$D$63,MATCH('STUDENT SCREENING'!AK192,'SCORING MASTER'!$C$62:$C$63,0)),""))</f>
        <v/>
      </c>
      <c r="AM192" s="57" t="str">
        <f aca="false">IF('STUDENT SCREENING'!AL192="","",IFERROR(INDEX('SCORING MASTER'!$D$65:$D$66,MATCH('STUDENT SCREENING'!AL192,'SCORING MASTER'!$C$65:$C$66,0)),""))</f>
        <v/>
      </c>
      <c r="AN192" s="57" t="str">
        <f aca="false">IF('STUDENT SCREENING'!AM192="","",IFERROR(INDEX('SCORING MASTER'!$D$68:$D$69,MATCH('STUDENT SCREENING'!AM192,'SCORING MASTER'!$C$68:$C$69,0)),""))</f>
        <v/>
      </c>
      <c r="AO192" s="57" t="str">
        <f aca="false">IF('STUDENT SCREENING'!AN192="","",IFERROR(INDEX('SCORING MASTER'!$D$71:$D$72,MATCH('STUDENT SCREENING'!AN192,'SCORING MASTER'!$C$71:$C$72,0)),""))</f>
        <v/>
      </c>
      <c r="AP192" s="57" t="str">
        <f aca="false">IF('STUDENT SCREENING'!AO192="","",IFERROR(INDEX('SCORING MASTER'!$D$74:$D$75,MATCH('STUDENT SCREENING'!AO192,'SCORING MASTER'!$C$74:$C$75,0)),""))</f>
        <v/>
      </c>
      <c r="AQ192" s="57" t="str">
        <f aca="false">IF('STUDENT SCREENING'!AP192="","",IFERROR(INDEX('SCORING MASTER'!$D$77:$D$78,MATCH('STUDENT SCREENING'!AP192,'SCORING MASTER'!$C$77:$C$78,0)),""))</f>
        <v/>
      </c>
      <c r="AR192" s="57" t="str">
        <f aca="false">IF('STUDENT SCREENING'!AQ192="","",IFERROR(INDEX('SCORING MASTER'!$D$80:$D$82,MATCH('STUDENT SCREENING'!AQ192,'SCORING MASTER'!$C$80:$C$82,0)),""))</f>
        <v/>
      </c>
      <c r="AS192" s="57" t="str">
        <f aca="false">IF('STUDENT SCREENING'!AR192="","",IFERROR(INDEX('SCORING MASTER'!$D$84:$D$86,MATCH('STUDENT SCREENING'!AR192,'SCORING MASTER'!$C$84:$C$86,0)),""))</f>
        <v/>
      </c>
      <c r="AT192" s="57" t="str">
        <f aca="false">IF('STUDENT SCREENING'!AS192="","",IFERROR(INDEX('SCORING MASTER'!$D$88:$D$90,MATCH('STUDENT SCREENING'!AS192,'SCORING MASTER'!$C$88:$C$90,0)),""))</f>
        <v/>
      </c>
      <c r="AU192" s="57" t="str">
        <f aca="false">IF('STUDENT SCREENING'!AT192="","",IFERROR(INDEX('SCORING MASTER'!$D$92:$D$93,MATCH('STUDENT SCREENING'!AT192,'SCORING MASTER'!$C$92:$C$93,0)),""))</f>
        <v/>
      </c>
      <c r="AV192" s="57" t="str">
        <f aca="false">IF('STUDENT SCREENING'!AU192="","",IFERROR(INDEX('SCORING MASTER'!$D$95:$D$96,MATCH('STUDENT SCREENING'!AU192,'SCORING MASTER'!$C$95:$C$96,0)),""))</f>
        <v/>
      </c>
      <c r="AW192" s="57" t="str">
        <f aca="false">IF('STUDENT SCREENING'!AV192="","",IFERROR(INDEX('SCORING MASTER'!$D$98:$D$99,MATCH('STUDENT SCREENING'!AV192,'SCORING MASTER'!$C$98:$C$99,0)),""))</f>
        <v/>
      </c>
      <c r="AX192" s="57" t="str">
        <f aca="false">IF('STUDENT SCREENING'!AW192="","",IFERROR(INDEX('SCORING MASTER'!$D$101:$D$102,MATCH('STUDENT SCREENING'!AW192,'SCORING MASTER'!$C$101:$C$102,0)),""))</f>
        <v/>
      </c>
      <c r="AY192" s="57" t="str">
        <f aca="false">IF('STUDENT SCREENING'!AX192="","",IFERROR(INDEX('SCORING MASTER'!$D$104:$D$105,MATCH('STUDENT SCREENING'!AX192,'SCORING MASTER'!$C$104:$C$105,0)),""))</f>
        <v/>
      </c>
      <c r="AZ192" s="57" t="str">
        <f aca="false">IF('STUDENT SCREENING'!AY192="","",IFERROR(INDEX('SCORING MASTER'!$D$107:$D$108,MATCH('STUDENT SCREENING'!AY192,'SCORING MASTER'!$C$107:$C$108,0)),""))</f>
        <v/>
      </c>
      <c r="BA192" s="57" t="str">
        <f aca="false">IF('STUDENT SCREENING'!AZ192="","",IFERROR(INDEX('SCORING MASTER'!$D$110:$D$111,MATCH('STUDENT SCREENING'!AZ192,'SCORING MASTER'!$C$110:$C$111,0)),""))</f>
        <v/>
      </c>
      <c r="BB192" s="57" t="str">
        <f aca="false">IF('STUDENT SCREENING'!BA192="","",IFERROR(INDEX('SCORING MASTER'!$D$113:$D$115,MATCH('STUDENT SCREENING'!BA192,'SCORING MASTER'!$C$113:$C$115,0)),""))</f>
        <v/>
      </c>
      <c r="BC192" s="57" t="str">
        <f aca="false">IF('STUDENT SCREENING'!BB192="","",IFERROR(INDEX('SCORING MASTER'!$D$117:$D$119,MATCH('STUDENT SCREENING'!BB192,'SCORING MASTER'!$C$117:$C$119,0)),""))</f>
        <v/>
      </c>
      <c r="BD192" s="57" t="str">
        <f aca="false">IF('STUDENT SCREENING'!BC192="","",IFERROR(INDEX('SCORING MASTER'!$D$121:$D$123,MATCH('STUDENT SCREENING'!BC192,'SCORING MASTER'!$C$121:$C$123,0)),""))</f>
        <v/>
      </c>
      <c r="BE192" s="57" t="str">
        <f aca="false">IF('STUDENT SCREENING'!BD192="","",IFERROR(INDEX('SCORING MASTER'!$D$125:$D$126,MATCH('STUDENT SCREENING'!BD192,'SCORING MASTER'!$C$125:$C$126,0)),""))</f>
        <v/>
      </c>
      <c r="BF192" s="57" t="str">
        <f aca="false">IF('STUDENT SCREENING'!BE192="","",IFERROR(INDEX('SCORING MASTER'!$D$128:$D$129,MATCH('STUDENT SCREENING'!BE192,'SCORING MASTER'!$C$128:$C$129,0)),""))</f>
        <v/>
      </c>
      <c r="BG192" s="57" t="str">
        <f aca="false">IF('STUDENT SCREENING'!BP192="","",IFERROR(MATCH('STUDENT SCREENING'!BP192,{"Red - High Risk","Orange - Moderate Risk","Yellow - Mild Risk","Light Green - Mild Watch","Green - Healthy"},0)-1,""))</f>
        <v/>
      </c>
      <c r="BH192" s="57" t="str">
        <f aca="false">IF('STUDENT SCREENING'!BQ192="","",IF('STUDENT SCREENING'!BQ192="Yes",1,0))</f>
        <v/>
      </c>
      <c r="BI192" s="57" t="str">
        <f aca="false">IF('STUDENT SCREENING'!BR192="","",IF('STUDENT SCREENING'!BR192="Yes",1,0))</f>
        <v/>
      </c>
    </row>
    <row r="193" customFormat="false" ht="15" hidden="false" customHeight="false" outlineLevel="0" collapsed="false">
      <c r="A193" s="58" t="str">
        <f aca="false">'STUDENT SCREENING'!A193</f>
        <v/>
      </c>
      <c r="B193" s="58" t="n">
        <f aca="false">'STUDENT SCREENING'!C193</f>
        <v>0</v>
      </c>
      <c r="C193" s="58" t="n">
        <f aca="false">'STUDENT SCREENING'!D193</f>
        <v>0</v>
      </c>
      <c r="D193" s="58" t="n">
        <f aca="false">'STUDENT SCREENING'!E193</f>
        <v>0</v>
      </c>
      <c r="E193" s="58" t="n">
        <f aca="false">'STUDENT SCREENING'!F193</f>
        <v>0</v>
      </c>
      <c r="F193" s="58" t="n">
        <f aca="false">'STUDENT SCREENING'!K193</f>
        <v>0</v>
      </c>
      <c r="G193" s="58" t="n">
        <f aca="false">'STUDENT SCREENING'!J193</f>
        <v>0</v>
      </c>
      <c r="H193" s="58" t="str">
        <f aca="false">IF('STUDENT SCREENING'!K193="","",IFERROR(MATCH('STUDENT SCREENING'!K193,Adm_Gender,0),""))</f>
        <v/>
      </c>
      <c r="I193" s="58" t="n">
        <f aca="false">'STUDENT SCREENING'!Q193</f>
        <v>0</v>
      </c>
      <c r="J193" s="58" t="n">
        <f aca="false">'STUDENT SCREENING'!R193</f>
        <v>0</v>
      </c>
      <c r="K193" s="58" t="str">
        <f aca="false">'STUDENT SCREENING'!S193</f>
        <v/>
      </c>
      <c r="L193" s="58" t="n">
        <f aca="false">'STUDENT SCREENING'!U193</f>
        <v>0</v>
      </c>
      <c r="M193" s="58" t="n">
        <f aca="false">'STUDENT SCREENING'!V193</f>
        <v>0</v>
      </c>
      <c r="N193" s="58" t="str">
        <f aca="false">'STUDENT SCREENING'!BF193</f>
        <v/>
      </c>
      <c r="O193" s="58" t="str">
        <f aca="false">'STUDENT SCREENING'!BG193</f>
        <v/>
      </c>
      <c r="P193" s="58" t="str">
        <f aca="false">'STUDENT SCREENING'!BH193</f>
        <v/>
      </c>
      <c r="Q193" s="58" t="str">
        <f aca="false">'STUDENT SCREENING'!BI193</f>
        <v/>
      </c>
      <c r="R193" s="58" t="str">
        <f aca="false">'STUDENT SCREENING'!BJ193</f>
        <v/>
      </c>
      <c r="S193" s="58" t="str">
        <f aca="false">'STUDENT SCREENING'!BK193</f>
        <v/>
      </c>
      <c r="T193" s="58" t="str">
        <f aca="false">'STUDENT SCREENING'!BL193</f>
        <v/>
      </c>
      <c r="U193" s="58" t="str">
        <f aca="false">'STUDENT SCREENING'!BM193</f>
        <v/>
      </c>
      <c r="V193" s="58" t="str">
        <f aca="false">'STUDENT SCREENING'!BN193</f>
        <v/>
      </c>
      <c r="W193" s="58" t="str">
        <f aca="false">'STUDENT SCREENING'!BO193</f>
        <v/>
      </c>
      <c r="X193" s="58" t="str">
        <f aca="false">IF('STUDENT SCREENING'!W193="","",IFERROR(INDEX('SCORING MASTER'!$D$5:$D$7,MATCH('STUDENT SCREENING'!W193,'SCORING MASTER'!$C$5:$C$7,0)),""))</f>
        <v/>
      </c>
      <c r="Y193" s="58" t="str">
        <f aca="false">IF('STUDENT SCREENING'!X193="","",IFERROR(INDEX('SCORING MASTER'!$D$9:$D$11,MATCH('STUDENT SCREENING'!X193,'SCORING MASTER'!$C$9:$C$11,0)),""))</f>
        <v/>
      </c>
      <c r="Z193" s="58" t="str">
        <f aca="false">IF('STUDENT SCREENING'!Y193="","",IFERROR(INDEX('SCORING MASTER'!$D$13:$D$15,MATCH('STUDENT SCREENING'!Y193,'SCORING MASTER'!$C$13:$C$15,0)),""))</f>
        <v/>
      </c>
      <c r="AA193" s="58" t="str">
        <f aca="false">IF('STUDENT SCREENING'!Z193="","",IFERROR(INDEX('SCORING MASTER'!$D$17:$D$19,MATCH('STUDENT SCREENING'!Z193,'SCORING MASTER'!$C$17:$C$19,0)),""))</f>
        <v/>
      </c>
      <c r="AB193" s="58" t="str">
        <f aca="false">IF('STUDENT SCREENING'!AA193="","",IFERROR(INDEX('SCORING MASTER'!$D$21:$D$23,MATCH('STUDENT SCREENING'!AA193,'SCORING MASTER'!$C$21:$C$23,0)),""))</f>
        <v/>
      </c>
      <c r="AC193" s="58" t="str">
        <f aca="false">IF('STUDENT SCREENING'!AB193="","",IFERROR(INDEX('SCORING MASTER'!$D$25:$D$27,MATCH('STUDENT SCREENING'!AB193,'SCORING MASTER'!$C$25:$C$27,0)),""))</f>
        <v/>
      </c>
      <c r="AD193" s="58" t="str">
        <f aca="false">IF('STUDENT SCREENING'!AC193="","",IFERROR(INDEX('SCORING MASTER'!$D$29:$D$31,MATCH('STUDENT SCREENING'!AC193,'SCORING MASTER'!$C$29:$C$31,0)),""))</f>
        <v/>
      </c>
      <c r="AE193" s="58" t="str">
        <f aca="false">IF('STUDENT SCREENING'!AD193="","",IFERROR(INDEX('SCORING MASTER'!$D$33:$D$35,MATCH('STUDENT SCREENING'!AD193,'SCORING MASTER'!$C$33:$C$35,0)),""))</f>
        <v/>
      </c>
      <c r="AF193" s="58" t="str">
        <f aca="false">IF('STUDENT SCREENING'!AE193="","",IFERROR(INDEX('SCORING MASTER'!$D$37:$D$39,MATCH('STUDENT SCREENING'!AE193,'SCORING MASTER'!$C$37:$C$39,0)),""))</f>
        <v/>
      </c>
      <c r="AG193" s="58" t="str">
        <f aca="false">IF('STUDENT SCREENING'!AF193="","",IFERROR(INDEX('SCORING MASTER'!$D$41:$D$43,MATCH('STUDENT SCREENING'!AF193,'SCORING MASTER'!$C$41:$C$43,0)),""))</f>
        <v/>
      </c>
      <c r="AH193" s="58" t="str">
        <f aca="false">IF('STUDENT SCREENING'!AG193="","",IFERROR(INDEX('SCORING MASTER'!$D$45:$D$47,MATCH('STUDENT SCREENING'!AG193,'SCORING MASTER'!$C$45:$C$47,0)),""))</f>
        <v/>
      </c>
      <c r="AI193" s="58" t="str">
        <f aca="false">IF('STUDENT SCREENING'!AH193="","",IFERROR(INDEX('SCORING MASTER'!$D$49:$D$52,MATCH('STUDENT SCREENING'!AH193,'SCORING MASTER'!$C$49:$C$52,0)),""))</f>
        <v/>
      </c>
      <c r="AJ193" s="58" t="str">
        <f aca="false">IF('STUDENT SCREENING'!AI193="","",IFERROR(INDEX('SCORING MASTER'!$D$54:$D$57,MATCH('STUDENT SCREENING'!AI193,'SCORING MASTER'!$C$54:$C$57,0)),""))</f>
        <v/>
      </c>
      <c r="AK193" s="58" t="str">
        <f aca="false">IF('STUDENT SCREENING'!AJ193="","",IFERROR(INDEX('SCORING MASTER'!$D$59:$D$60,MATCH('STUDENT SCREENING'!AJ193,'SCORING MASTER'!$C$59:$C$60,0)),""))</f>
        <v/>
      </c>
      <c r="AL193" s="58" t="str">
        <f aca="false">IF('STUDENT SCREENING'!AK193="","",IFERROR(INDEX('SCORING MASTER'!$D$62:$D$63,MATCH('STUDENT SCREENING'!AK193,'SCORING MASTER'!$C$62:$C$63,0)),""))</f>
        <v/>
      </c>
      <c r="AM193" s="58" t="str">
        <f aca="false">IF('STUDENT SCREENING'!AL193="","",IFERROR(INDEX('SCORING MASTER'!$D$65:$D$66,MATCH('STUDENT SCREENING'!AL193,'SCORING MASTER'!$C$65:$C$66,0)),""))</f>
        <v/>
      </c>
      <c r="AN193" s="58" t="str">
        <f aca="false">IF('STUDENT SCREENING'!AM193="","",IFERROR(INDEX('SCORING MASTER'!$D$68:$D$69,MATCH('STUDENT SCREENING'!AM193,'SCORING MASTER'!$C$68:$C$69,0)),""))</f>
        <v/>
      </c>
      <c r="AO193" s="58" t="str">
        <f aca="false">IF('STUDENT SCREENING'!AN193="","",IFERROR(INDEX('SCORING MASTER'!$D$71:$D$72,MATCH('STUDENT SCREENING'!AN193,'SCORING MASTER'!$C$71:$C$72,0)),""))</f>
        <v/>
      </c>
      <c r="AP193" s="58" t="str">
        <f aca="false">IF('STUDENT SCREENING'!AO193="","",IFERROR(INDEX('SCORING MASTER'!$D$74:$D$75,MATCH('STUDENT SCREENING'!AO193,'SCORING MASTER'!$C$74:$C$75,0)),""))</f>
        <v/>
      </c>
      <c r="AQ193" s="58" t="str">
        <f aca="false">IF('STUDENT SCREENING'!AP193="","",IFERROR(INDEX('SCORING MASTER'!$D$77:$D$78,MATCH('STUDENT SCREENING'!AP193,'SCORING MASTER'!$C$77:$C$78,0)),""))</f>
        <v/>
      </c>
      <c r="AR193" s="58" t="str">
        <f aca="false">IF('STUDENT SCREENING'!AQ193="","",IFERROR(INDEX('SCORING MASTER'!$D$80:$D$82,MATCH('STUDENT SCREENING'!AQ193,'SCORING MASTER'!$C$80:$C$82,0)),""))</f>
        <v/>
      </c>
      <c r="AS193" s="58" t="str">
        <f aca="false">IF('STUDENT SCREENING'!AR193="","",IFERROR(INDEX('SCORING MASTER'!$D$84:$D$86,MATCH('STUDENT SCREENING'!AR193,'SCORING MASTER'!$C$84:$C$86,0)),""))</f>
        <v/>
      </c>
      <c r="AT193" s="58" t="str">
        <f aca="false">IF('STUDENT SCREENING'!AS193="","",IFERROR(INDEX('SCORING MASTER'!$D$88:$D$90,MATCH('STUDENT SCREENING'!AS193,'SCORING MASTER'!$C$88:$C$90,0)),""))</f>
        <v/>
      </c>
      <c r="AU193" s="58" t="str">
        <f aca="false">IF('STUDENT SCREENING'!AT193="","",IFERROR(INDEX('SCORING MASTER'!$D$92:$D$93,MATCH('STUDENT SCREENING'!AT193,'SCORING MASTER'!$C$92:$C$93,0)),""))</f>
        <v/>
      </c>
      <c r="AV193" s="58" t="str">
        <f aca="false">IF('STUDENT SCREENING'!AU193="","",IFERROR(INDEX('SCORING MASTER'!$D$95:$D$96,MATCH('STUDENT SCREENING'!AU193,'SCORING MASTER'!$C$95:$C$96,0)),""))</f>
        <v/>
      </c>
      <c r="AW193" s="58" t="str">
        <f aca="false">IF('STUDENT SCREENING'!AV193="","",IFERROR(INDEX('SCORING MASTER'!$D$98:$D$99,MATCH('STUDENT SCREENING'!AV193,'SCORING MASTER'!$C$98:$C$99,0)),""))</f>
        <v/>
      </c>
      <c r="AX193" s="58" t="str">
        <f aca="false">IF('STUDENT SCREENING'!AW193="","",IFERROR(INDEX('SCORING MASTER'!$D$101:$D$102,MATCH('STUDENT SCREENING'!AW193,'SCORING MASTER'!$C$101:$C$102,0)),""))</f>
        <v/>
      </c>
      <c r="AY193" s="58" t="str">
        <f aca="false">IF('STUDENT SCREENING'!AX193="","",IFERROR(INDEX('SCORING MASTER'!$D$104:$D$105,MATCH('STUDENT SCREENING'!AX193,'SCORING MASTER'!$C$104:$C$105,0)),""))</f>
        <v/>
      </c>
      <c r="AZ193" s="58" t="str">
        <f aca="false">IF('STUDENT SCREENING'!AY193="","",IFERROR(INDEX('SCORING MASTER'!$D$107:$D$108,MATCH('STUDENT SCREENING'!AY193,'SCORING MASTER'!$C$107:$C$108,0)),""))</f>
        <v/>
      </c>
      <c r="BA193" s="58" t="str">
        <f aca="false">IF('STUDENT SCREENING'!AZ193="","",IFERROR(INDEX('SCORING MASTER'!$D$110:$D$111,MATCH('STUDENT SCREENING'!AZ193,'SCORING MASTER'!$C$110:$C$111,0)),""))</f>
        <v/>
      </c>
      <c r="BB193" s="58" t="str">
        <f aca="false">IF('STUDENT SCREENING'!BA193="","",IFERROR(INDEX('SCORING MASTER'!$D$113:$D$115,MATCH('STUDENT SCREENING'!BA193,'SCORING MASTER'!$C$113:$C$115,0)),""))</f>
        <v/>
      </c>
      <c r="BC193" s="58" t="str">
        <f aca="false">IF('STUDENT SCREENING'!BB193="","",IFERROR(INDEX('SCORING MASTER'!$D$117:$D$119,MATCH('STUDENT SCREENING'!BB193,'SCORING MASTER'!$C$117:$C$119,0)),""))</f>
        <v/>
      </c>
      <c r="BD193" s="58" t="str">
        <f aca="false">IF('STUDENT SCREENING'!BC193="","",IFERROR(INDEX('SCORING MASTER'!$D$121:$D$123,MATCH('STUDENT SCREENING'!BC193,'SCORING MASTER'!$C$121:$C$123,0)),""))</f>
        <v/>
      </c>
      <c r="BE193" s="58" t="str">
        <f aca="false">IF('STUDENT SCREENING'!BD193="","",IFERROR(INDEX('SCORING MASTER'!$D$125:$D$126,MATCH('STUDENT SCREENING'!BD193,'SCORING MASTER'!$C$125:$C$126,0)),""))</f>
        <v/>
      </c>
      <c r="BF193" s="58" t="str">
        <f aca="false">IF('STUDENT SCREENING'!BE193="","",IFERROR(INDEX('SCORING MASTER'!$D$128:$D$129,MATCH('STUDENT SCREENING'!BE193,'SCORING MASTER'!$C$128:$C$129,0)),""))</f>
        <v/>
      </c>
      <c r="BG193" s="58" t="str">
        <f aca="false">IF('STUDENT SCREENING'!BP193="","",IFERROR(MATCH('STUDENT SCREENING'!BP193,{"Red - High Risk","Orange - Moderate Risk","Yellow - Mild Risk","Light Green - Mild Watch","Green - Healthy"},0)-1,""))</f>
        <v/>
      </c>
      <c r="BH193" s="58" t="str">
        <f aca="false">IF('STUDENT SCREENING'!BQ193="","",IF('STUDENT SCREENING'!BQ193="Yes",1,0))</f>
        <v/>
      </c>
      <c r="BI193" s="58" t="str">
        <f aca="false">IF('STUDENT SCREENING'!BR193="","",IF('STUDENT SCREENING'!BR193="Yes",1,0))</f>
        <v/>
      </c>
    </row>
    <row r="194" customFormat="false" ht="15" hidden="false" customHeight="false" outlineLevel="0" collapsed="false">
      <c r="A194" s="57" t="str">
        <f aca="false">'STUDENT SCREENING'!A194</f>
        <v/>
      </c>
      <c r="B194" s="57" t="n">
        <f aca="false">'STUDENT SCREENING'!C194</f>
        <v>0</v>
      </c>
      <c r="C194" s="57" t="n">
        <f aca="false">'STUDENT SCREENING'!D194</f>
        <v>0</v>
      </c>
      <c r="D194" s="57" t="n">
        <f aca="false">'STUDENT SCREENING'!E194</f>
        <v>0</v>
      </c>
      <c r="E194" s="57" t="n">
        <f aca="false">'STUDENT SCREENING'!F194</f>
        <v>0</v>
      </c>
      <c r="F194" s="57" t="n">
        <f aca="false">'STUDENT SCREENING'!K194</f>
        <v>0</v>
      </c>
      <c r="G194" s="57" t="n">
        <f aca="false">'STUDENT SCREENING'!J194</f>
        <v>0</v>
      </c>
      <c r="H194" s="57" t="str">
        <f aca="false">IF('STUDENT SCREENING'!K194="","",IFERROR(MATCH('STUDENT SCREENING'!K194,Adm_Gender,0),""))</f>
        <v/>
      </c>
      <c r="I194" s="57" t="n">
        <f aca="false">'STUDENT SCREENING'!Q194</f>
        <v>0</v>
      </c>
      <c r="J194" s="57" t="n">
        <f aca="false">'STUDENT SCREENING'!R194</f>
        <v>0</v>
      </c>
      <c r="K194" s="57" t="str">
        <f aca="false">'STUDENT SCREENING'!S194</f>
        <v/>
      </c>
      <c r="L194" s="57" t="n">
        <f aca="false">'STUDENT SCREENING'!U194</f>
        <v>0</v>
      </c>
      <c r="M194" s="57" t="n">
        <f aca="false">'STUDENT SCREENING'!V194</f>
        <v>0</v>
      </c>
      <c r="N194" s="57" t="str">
        <f aca="false">'STUDENT SCREENING'!BF194</f>
        <v/>
      </c>
      <c r="O194" s="57" t="str">
        <f aca="false">'STUDENT SCREENING'!BG194</f>
        <v/>
      </c>
      <c r="P194" s="57" t="str">
        <f aca="false">'STUDENT SCREENING'!BH194</f>
        <v/>
      </c>
      <c r="Q194" s="57" t="str">
        <f aca="false">'STUDENT SCREENING'!BI194</f>
        <v/>
      </c>
      <c r="R194" s="57" t="str">
        <f aca="false">'STUDENT SCREENING'!BJ194</f>
        <v/>
      </c>
      <c r="S194" s="57" t="str">
        <f aca="false">'STUDENT SCREENING'!BK194</f>
        <v/>
      </c>
      <c r="T194" s="57" t="str">
        <f aca="false">'STUDENT SCREENING'!BL194</f>
        <v/>
      </c>
      <c r="U194" s="57" t="str">
        <f aca="false">'STUDENT SCREENING'!BM194</f>
        <v/>
      </c>
      <c r="V194" s="57" t="str">
        <f aca="false">'STUDENT SCREENING'!BN194</f>
        <v/>
      </c>
      <c r="W194" s="57" t="str">
        <f aca="false">'STUDENT SCREENING'!BO194</f>
        <v/>
      </c>
      <c r="X194" s="57" t="str">
        <f aca="false">IF('STUDENT SCREENING'!W194="","",IFERROR(INDEX('SCORING MASTER'!$D$5:$D$7,MATCH('STUDENT SCREENING'!W194,'SCORING MASTER'!$C$5:$C$7,0)),""))</f>
        <v/>
      </c>
      <c r="Y194" s="57" t="str">
        <f aca="false">IF('STUDENT SCREENING'!X194="","",IFERROR(INDEX('SCORING MASTER'!$D$9:$D$11,MATCH('STUDENT SCREENING'!X194,'SCORING MASTER'!$C$9:$C$11,0)),""))</f>
        <v/>
      </c>
      <c r="Z194" s="57" t="str">
        <f aca="false">IF('STUDENT SCREENING'!Y194="","",IFERROR(INDEX('SCORING MASTER'!$D$13:$D$15,MATCH('STUDENT SCREENING'!Y194,'SCORING MASTER'!$C$13:$C$15,0)),""))</f>
        <v/>
      </c>
      <c r="AA194" s="57" t="str">
        <f aca="false">IF('STUDENT SCREENING'!Z194="","",IFERROR(INDEX('SCORING MASTER'!$D$17:$D$19,MATCH('STUDENT SCREENING'!Z194,'SCORING MASTER'!$C$17:$C$19,0)),""))</f>
        <v/>
      </c>
      <c r="AB194" s="57" t="str">
        <f aca="false">IF('STUDENT SCREENING'!AA194="","",IFERROR(INDEX('SCORING MASTER'!$D$21:$D$23,MATCH('STUDENT SCREENING'!AA194,'SCORING MASTER'!$C$21:$C$23,0)),""))</f>
        <v/>
      </c>
      <c r="AC194" s="57" t="str">
        <f aca="false">IF('STUDENT SCREENING'!AB194="","",IFERROR(INDEX('SCORING MASTER'!$D$25:$D$27,MATCH('STUDENT SCREENING'!AB194,'SCORING MASTER'!$C$25:$C$27,0)),""))</f>
        <v/>
      </c>
      <c r="AD194" s="57" t="str">
        <f aca="false">IF('STUDENT SCREENING'!AC194="","",IFERROR(INDEX('SCORING MASTER'!$D$29:$D$31,MATCH('STUDENT SCREENING'!AC194,'SCORING MASTER'!$C$29:$C$31,0)),""))</f>
        <v/>
      </c>
      <c r="AE194" s="57" t="str">
        <f aca="false">IF('STUDENT SCREENING'!AD194="","",IFERROR(INDEX('SCORING MASTER'!$D$33:$D$35,MATCH('STUDENT SCREENING'!AD194,'SCORING MASTER'!$C$33:$C$35,0)),""))</f>
        <v/>
      </c>
      <c r="AF194" s="57" t="str">
        <f aca="false">IF('STUDENT SCREENING'!AE194="","",IFERROR(INDEX('SCORING MASTER'!$D$37:$D$39,MATCH('STUDENT SCREENING'!AE194,'SCORING MASTER'!$C$37:$C$39,0)),""))</f>
        <v/>
      </c>
      <c r="AG194" s="57" t="str">
        <f aca="false">IF('STUDENT SCREENING'!AF194="","",IFERROR(INDEX('SCORING MASTER'!$D$41:$D$43,MATCH('STUDENT SCREENING'!AF194,'SCORING MASTER'!$C$41:$C$43,0)),""))</f>
        <v/>
      </c>
      <c r="AH194" s="57" t="str">
        <f aca="false">IF('STUDENT SCREENING'!AG194="","",IFERROR(INDEX('SCORING MASTER'!$D$45:$D$47,MATCH('STUDENT SCREENING'!AG194,'SCORING MASTER'!$C$45:$C$47,0)),""))</f>
        <v/>
      </c>
      <c r="AI194" s="57" t="str">
        <f aca="false">IF('STUDENT SCREENING'!AH194="","",IFERROR(INDEX('SCORING MASTER'!$D$49:$D$52,MATCH('STUDENT SCREENING'!AH194,'SCORING MASTER'!$C$49:$C$52,0)),""))</f>
        <v/>
      </c>
      <c r="AJ194" s="57" t="str">
        <f aca="false">IF('STUDENT SCREENING'!AI194="","",IFERROR(INDEX('SCORING MASTER'!$D$54:$D$57,MATCH('STUDENT SCREENING'!AI194,'SCORING MASTER'!$C$54:$C$57,0)),""))</f>
        <v/>
      </c>
      <c r="AK194" s="57" t="str">
        <f aca="false">IF('STUDENT SCREENING'!AJ194="","",IFERROR(INDEX('SCORING MASTER'!$D$59:$D$60,MATCH('STUDENT SCREENING'!AJ194,'SCORING MASTER'!$C$59:$C$60,0)),""))</f>
        <v/>
      </c>
      <c r="AL194" s="57" t="str">
        <f aca="false">IF('STUDENT SCREENING'!AK194="","",IFERROR(INDEX('SCORING MASTER'!$D$62:$D$63,MATCH('STUDENT SCREENING'!AK194,'SCORING MASTER'!$C$62:$C$63,0)),""))</f>
        <v/>
      </c>
      <c r="AM194" s="57" t="str">
        <f aca="false">IF('STUDENT SCREENING'!AL194="","",IFERROR(INDEX('SCORING MASTER'!$D$65:$D$66,MATCH('STUDENT SCREENING'!AL194,'SCORING MASTER'!$C$65:$C$66,0)),""))</f>
        <v/>
      </c>
      <c r="AN194" s="57" t="str">
        <f aca="false">IF('STUDENT SCREENING'!AM194="","",IFERROR(INDEX('SCORING MASTER'!$D$68:$D$69,MATCH('STUDENT SCREENING'!AM194,'SCORING MASTER'!$C$68:$C$69,0)),""))</f>
        <v/>
      </c>
      <c r="AO194" s="57" t="str">
        <f aca="false">IF('STUDENT SCREENING'!AN194="","",IFERROR(INDEX('SCORING MASTER'!$D$71:$D$72,MATCH('STUDENT SCREENING'!AN194,'SCORING MASTER'!$C$71:$C$72,0)),""))</f>
        <v/>
      </c>
      <c r="AP194" s="57" t="str">
        <f aca="false">IF('STUDENT SCREENING'!AO194="","",IFERROR(INDEX('SCORING MASTER'!$D$74:$D$75,MATCH('STUDENT SCREENING'!AO194,'SCORING MASTER'!$C$74:$C$75,0)),""))</f>
        <v/>
      </c>
      <c r="AQ194" s="57" t="str">
        <f aca="false">IF('STUDENT SCREENING'!AP194="","",IFERROR(INDEX('SCORING MASTER'!$D$77:$D$78,MATCH('STUDENT SCREENING'!AP194,'SCORING MASTER'!$C$77:$C$78,0)),""))</f>
        <v/>
      </c>
      <c r="AR194" s="57" t="str">
        <f aca="false">IF('STUDENT SCREENING'!AQ194="","",IFERROR(INDEX('SCORING MASTER'!$D$80:$D$82,MATCH('STUDENT SCREENING'!AQ194,'SCORING MASTER'!$C$80:$C$82,0)),""))</f>
        <v/>
      </c>
      <c r="AS194" s="57" t="str">
        <f aca="false">IF('STUDENT SCREENING'!AR194="","",IFERROR(INDEX('SCORING MASTER'!$D$84:$D$86,MATCH('STUDENT SCREENING'!AR194,'SCORING MASTER'!$C$84:$C$86,0)),""))</f>
        <v/>
      </c>
      <c r="AT194" s="57" t="str">
        <f aca="false">IF('STUDENT SCREENING'!AS194="","",IFERROR(INDEX('SCORING MASTER'!$D$88:$D$90,MATCH('STUDENT SCREENING'!AS194,'SCORING MASTER'!$C$88:$C$90,0)),""))</f>
        <v/>
      </c>
      <c r="AU194" s="57" t="str">
        <f aca="false">IF('STUDENT SCREENING'!AT194="","",IFERROR(INDEX('SCORING MASTER'!$D$92:$D$93,MATCH('STUDENT SCREENING'!AT194,'SCORING MASTER'!$C$92:$C$93,0)),""))</f>
        <v/>
      </c>
      <c r="AV194" s="57" t="str">
        <f aca="false">IF('STUDENT SCREENING'!AU194="","",IFERROR(INDEX('SCORING MASTER'!$D$95:$D$96,MATCH('STUDENT SCREENING'!AU194,'SCORING MASTER'!$C$95:$C$96,0)),""))</f>
        <v/>
      </c>
      <c r="AW194" s="57" t="str">
        <f aca="false">IF('STUDENT SCREENING'!AV194="","",IFERROR(INDEX('SCORING MASTER'!$D$98:$D$99,MATCH('STUDENT SCREENING'!AV194,'SCORING MASTER'!$C$98:$C$99,0)),""))</f>
        <v/>
      </c>
      <c r="AX194" s="57" t="str">
        <f aca="false">IF('STUDENT SCREENING'!AW194="","",IFERROR(INDEX('SCORING MASTER'!$D$101:$D$102,MATCH('STUDENT SCREENING'!AW194,'SCORING MASTER'!$C$101:$C$102,0)),""))</f>
        <v/>
      </c>
      <c r="AY194" s="57" t="str">
        <f aca="false">IF('STUDENT SCREENING'!AX194="","",IFERROR(INDEX('SCORING MASTER'!$D$104:$D$105,MATCH('STUDENT SCREENING'!AX194,'SCORING MASTER'!$C$104:$C$105,0)),""))</f>
        <v/>
      </c>
      <c r="AZ194" s="57" t="str">
        <f aca="false">IF('STUDENT SCREENING'!AY194="","",IFERROR(INDEX('SCORING MASTER'!$D$107:$D$108,MATCH('STUDENT SCREENING'!AY194,'SCORING MASTER'!$C$107:$C$108,0)),""))</f>
        <v/>
      </c>
      <c r="BA194" s="57" t="str">
        <f aca="false">IF('STUDENT SCREENING'!AZ194="","",IFERROR(INDEX('SCORING MASTER'!$D$110:$D$111,MATCH('STUDENT SCREENING'!AZ194,'SCORING MASTER'!$C$110:$C$111,0)),""))</f>
        <v/>
      </c>
      <c r="BB194" s="57" t="str">
        <f aca="false">IF('STUDENT SCREENING'!BA194="","",IFERROR(INDEX('SCORING MASTER'!$D$113:$D$115,MATCH('STUDENT SCREENING'!BA194,'SCORING MASTER'!$C$113:$C$115,0)),""))</f>
        <v/>
      </c>
      <c r="BC194" s="57" t="str">
        <f aca="false">IF('STUDENT SCREENING'!BB194="","",IFERROR(INDEX('SCORING MASTER'!$D$117:$D$119,MATCH('STUDENT SCREENING'!BB194,'SCORING MASTER'!$C$117:$C$119,0)),""))</f>
        <v/>
      </c>
      <c r="BD194" s="57" t="str">
        <f aca="false">IF('STUDENT SCREENING'!BC194="","",IFERROR(INDEX('SCORING MASTER'!$D$121:$D$123,MATCH('STUDENT SCREENING'!BC194,'SCORING MASTER'!$C$121:$C$123,0)),""))</f>
        <v/>
      </c>
      <c r="BE194" s="57" t="str">
        <f aca="false">IF('STUDENT SCREENING'!BD194="","",IFERROR(INDEX('SCORING MASTER'!$D$125:$D$126,MATCH('STUDENT SCREENING'!BD194,'SCORING MASTER'!$C$125:$C$126,0)),""))</f>
        <v/>
      </c>
      <c r="BF194" s="57" t="str">
        <f aca="false">IF('STUDENT SCREENING'!BE194="","",IFERROR(INDEX('SCORING MASTER'!$D$128:$D$129,MATCH('STUDENT SCREENING'!BE194,'SCORING MASTER'!$C$128:$C$129,0)),""))</f>
        <v/>
      </c>
      <c r="BG194" s="57" t="str">
        <f aca="false">IF('STUDENT SCREENING'!BP194="","",IFERROR(MATCH('STUDENT SCREENING'!BP194,{"Red - High Risk","Orange - Moderate Risk","Yellow - Mild Risk","Light Green - Mild Watch","Green - Healthy"},0)-1,""))</f>
        <v/>
      </c>
      <c r="BH194" s="57" t="str">
        <f aca="false">IF('STUDENT SCREENING'!BQ194="","",IF('STUDENT SCREENING'!BQ194="Yes",1,0))</f>
        <v/>
      </c>
      <c r="BI194" s="57" t="str">
        <f aca="false">IF('STUDENT SCREENING'!BR194="","",IF('STUDENT SCREENING'!BR194="Yes",1,0))</f>
        <v/>
      </c>
    </row>
    <row r="195" customFormat="false" ht="15" hidden="false" customHeight="false" outlineLevel="0" collapsed="false">
      <c r="A195" s="58" t="str">
        <f aca="false">'STUDENT SCREENING'!A195</f>
        <v/>
      </c>
      <c r="B195" s="58" t="n">
        <f aca="false">'STUDENT SCREENING'!C195</f>
        <v>0</v>
      </c>
      <c r="C195" s="58" t="n">
        <f aca="false">'STUDENT SCREENING'!D195</f>
        <v>0</v>
      </c>
      <c r="D195" s="58" t="n">
        <f aca="false">'STUDENT SCREENING'!E195</f>
        <v>0</v>
      </c>
      <c r="E195" s="58" t="n">
        <f aca="false">'STUDENT SCREENING'!F195</f>
        <v>0</v>
      </c>
      <c r="F195" s="58" t="n">
        <f aca="false">'STUDENT SCREENING'!K195</f>
        <v>0</v>
      </c>
      <c r="G195" s="58" t="n">
        <f aca="false">'STUDENT SCREENING'!J195</f>
        <v>0</v>
      </c>
      <c r="H195" s="58" t="str">
        <f aca="false">IF('STUDENT SCREENING'!K195="","",IFERROR(MATCH('STUDENT SCREENING'!K195,Adm_Gender,0),""))</f>
        <v/>
      </c>
      <c r="I195" s="58" t="n">
        <f aca="false">'STUDENT SCREENING'!Q195</f>
        <v>0</v>
      </c>
      <c r="J195" s="58" t="n">
        <f aca="false">'STUDENT SCREENING'!R195</f>
        <v>0</v>
      </c>
      <c r="K195" s="58" t="str">
        <f aca="false">'STUDENT SCREENING'!S195</f>
        <v/>
      </c>
      <c r="L195" s="58" t="n">
        <f aca="false">'STUDENT SCREENING'!U195</f>
        <v>0</v>
      </c>
      <c r="M195" s="58" t="n">
        <f aca="false">'STUDENT SCREENING'!V195</f>
        <v>0</v>
      </c>
      <c r="N195" s="58" t="str">
        <f aca="false">'STUDENT SCREENING'!BF195</f>
        <v/>
      </c>
      <c r="O195" s="58" t="str">
        <f aca="false">'STUDENT SCREENING'!BG195</f>
        <v/>
      </c>
      <c r="P195" s="58" t="str">
        <f aca="false">'STUDENT SCREENING'!BH195</f>
        <v/>
      </c>
      <c r="Q195" s="58" t="str">
        <f aca="false">'STUDENT SCREENING'!BI195</f>
        <v/>
      </c>
      <c r="R195" s="58" t="str">
        <f aca="false">'STUDENT SCREENING'!BJ195</f>
        <v/>
      </c>
      <c r="S195" s="58" t="str">
        <f aca="false">'STUDENT SCREENING'!BK195</f>
        <v/>
      </c>
      <c r="T195" s="58" t="str">
        <f aca="false">'STUDENT SCREENING'!BL195</f>
        <v/>
      </c>
      <c r="U195" s="58" t="str">
        <f aca="false">'STUDENT SCREENING'!BM195</f>
        <v/>
      </c>
      <c r="V195" s="58" t="str">
        <f aca="false">'STUDENT SCREENING'!BN195</f>
        <v/>
      </c>
      <c r="W195" s="58" t="str">
        <f aca="false">'STUDENT SCREENING'!BO195</f>
        <v/>
      </c>
      <c r="X195" s="58" t="str">
        <f aca="false">IF('STUDENT SCREENING'!W195="","",IFERROR(INDEX('SCORING MASTER'!$D$5:$D$7,MATCH('STUDENT SCREENING'!W195,'SCORING MASTER'!$C$5:$C$7,0)),""))</f>
        <v/>
      </c>
      <c r="Y195" s="58" t="str">
        <f aca="false">IF('STUDENT SCREENING'!X195="","",IFERROR(INDEX('SCORING MASTER'!$D$9:$D$11,MATCH('STUDENT SCREENING'!X195,'SCORING MASTER'!$C$9:$C$11,0)),""))</f>
        <v/>
      </c>
      <c r="Z195" s="58" t="str">
        <f aca="false">IF('STUDENT SCREENING'!Y195="","",IFERROR(INDEX('SCORING MASTER'!$D$13:$D$15,MATCH('STUDENT SCREENING'!Y195,'SCORING MASTER'!$C$13:$C$15,0)),""))</f>
        <v/>
      </c>
      <c r="AA195" s="58" t="str">
        <f aca="false">IF('STUDENT SCREENING'!Z195="","",IFERROR(INDEX('SCORING MASTER'!$D$17:$D$19,MATCH('STUDENT SCREENING'!Z195,'SCORING MASTER'!$C$17:$C$19,0)),""))</f>
        <v/>
      </c>
      <c r="AB195" s="58" t="str">
        <f aca="false">IF('STUDENT SCREENING'!AA195="","",IFERROR(INDEX('SCORING MASTER'!$D$21:$D$23,MATCH('STUDENT SCREENING'!AA195,'SCORING MASTER'!$C$21:$C$23,0)),""))</f>
        <v/>
      </c>
      <c r="AC195" s="58" t="str">
        <f aca="false">IF('STUDENT SCREENING'!AB195="","",IFERROR(INDEX('SCORING MASTER'!$D$25:$D$27,MATCH('STUDENT SCREENING'!AB195,'SCORING MASTER'!$C$25:$C$27,0)),""))</f>
        <v/>
      </c>
      <c r="AD195" s="58" t="str">
        <f aca="false">IF('STUDENT SCREENING'!AC195="","",IFERROR(INDEX('SCORING MASTER'!$D$29:$D$31,MATCH('STUDENT SCREENING'!AC195,'SCORING MASTER'!$C$29:$C$31,0)),""))</f>
        <v/>
      </c>
      <c r="AE195" s="58" t="str">
        <f aca="false">IF('STUDENT SCREENING'!AD195="","",IFERROR(INDEX('SCORING MASTER'!$D$33:$D$35,MATCH('STUDENT SCREENING'!AD195,'SCORING MASTER'!$C$33:$C$35,0)),""))</f>
        <v/>
      </c>
      <c r="AF195" s="58" t="str">
        <f aca="false">IF('STUDENT SCREENING'!AE195="","",IFERROR(INDEX('SCORING MASTER'!$D$37:$D$39,MATCH('STUDENT SCREENING'!AE195,'SCORING MASTER'!$C$37:$C$39,0)),""))</f>
        <v/>
      </c>
      <c r="AG195" s="58" t="str">
        <f aca="false">IF('STUDENT SCREENING'!AF195="","",IFERROR(INDEX('SCORING MASTER'!$D$41:$D$43,MATCH('STUDENT SCREENING'!AF195,'SCORING MASTER'!$C$41:$C$43,0)),""))</f>
        <v/>
      </c>
      <c r="AH195" s="58" t="str">
        <f aca="false">IF('STUDENT SCREENING'!AG195="","",IFERROR(INDEX('SCORING MASTER'!$D$45:$D$47,MATCH('STUDENT SCREENING'!AG195,'SCORING MASTER'!$C$45:$C$47,0)),""))</f>
        <v/>
      </c>
      <c r="AI195" s="58" t="str">
        <f aca="false">IF('STUDENT SCREENING'!AH195="","",IFERROR(INDEX('SCORING MASTER'!$D$49:$D$52,MATCH('STUDENT SCREENING'!AH195,'SCORING MASTER'!$C$49:$C$52,0)),""))</f>
        <v/>
      </c>
      <c r="AJ195" s="58" t="str">
        <f aca="false">IF('STUDENT SCREENING'!AI195="","",IFERROR(INDEX('SCORING MASTER'!$D$54:$D$57,MATCH('STUDENT SCREENING'!AI195,'SCORING MASTER'!$C$54:$C$57,0)),""))</f>
        <v/>
      </c>
      <c r="AK195" s="58" t="str">
        <f aca="false">IF('STUDENT SCREENING'!AJ195="","",IFERROR(INDEX('SCORING MASTER'!$D$59:$D$60,MATCH('STUDENT SCREENING'!AJ195,'SCORING MASTER'!$C$59:$C$60,0)),""))</f>
        <v/>
      </c>
      <c r="AL195" s="58" t="str">
        <f aca="false">IF('STUDENT SCREENING'!AK195="","",IFERROR(INDEX('SCORING MASTER'!$D$62:$D$63,MATCH('STUDENT SCREENING'!AK195,'SCORING MASTER'!$C$62:$C$63,0)),""))</f>
        <v/>
      </c>
      <c r="AM195" s="58" t="str">
        <f aca="false">IF('STUDENT SCREENING'!AL195="","",IFERROR(INDEX('SCORING MASTER'!$D$65:$D$66,MATCH('STUDENT SCREENING'!AL195,'SCORING MASTER'!$C$65:$C$66,0)),""))</f>
        <v/>
      </c>
      <c r="AN195" s="58" t="str">
        <f aca="false">IF('STUDENT SCREENING'!AM195="","",IFERROR(INDEX('SCORING MASTER'!$D$68:$D$69,MATCH('STUDENT SCREENING'!AM195,'SCORING MASTER'!$C$68:$C$69,0)),""))</f>
        <v/>
      </c>
      <c r="AO195" s="58" t="str">
        <f aca="false">IF('STUDENT SCREENING'!AN195="","",IFERROR(INDEX('SCORING MASTER'!$D$71:$D$72,MATCH('STUDENT SCREENING'!AN195,'SCORING MASTER'!$C$71:$C$72,0)),""))</f>
        <v/>
      </c>
      <c r="AP195" s="58" t="str">
        <f aca="false">IF('STUDENT SCREENING'!AO195="","",IFERROR(INDEX('SCORING MASTER'!$D$74:$D$75,MATCH('STUDENT SCREENING'!AO195,'SCORING MASTER'!$C$74:$C$75,0)),""))</f>
        <v/>
      </c>
      <c r="AQ195" s="58" t="str">
        <f aca="false">IF('STUDENT SCREENING'!AP195="","",IFERROR(INDEX('SCORING MASTER'!$D$77:$D$78,MATCH('STUDENT SCREENING'!AP195,'SCORING MASTER'!$C$77:$C$78,0)),""))</f>
        <v/>
      </c>
      <c r="AR195" s="58" t="str">
        <f aca="false">IF('STUDENT SCREENING'!AQ195="","",IFERROR(INDEX('SCORING MASTER'!$D$80:$D$82,MATCH('STUDENT SCREENING'!AQ195,'SCORING MASTER'!$C$80:$C$82,0)),""))</f>
        <v/>
      </c>
      <c r="AS195" s="58" t="str">
        <f aca="false">IF('STUDENT SCREENING'!AR195="","",IFERROR(INDEX('SCORING MASTER'!$D$84:$D$86,MATCH('STUDENT SCREENING'!AR195,'SCORING MASTER'!$C$84:$C$86,0)),""))</f>
        <v/>
      </c>
      <c r="AT195" s="58" t="str">
        <f aca="false">IF('STUDENT SCREENING'!AS195="","",IFERROR(INDEX('SCORING MASTER'!$D$88:$D$90,MATCH('STUDENT SCREENING'!AS195,'SCORING MASTER'!$C$88:$C$90,0)),""))</f>
        <v/>
      </c>
      <c r="AU195" s="58" t="str">
        <f aca="false">IF('STUDENT SCREENING'!AT195="","",IFERROR(INDEX('SCORING MASTER'!$D$92:$D$93,MATCH('STUDENT SCREENING'!AT195,'SCORING MASTER'!$C$92:$C$93,0)),""))</f>
        <v/>
      </c>
      <c r="AV195" s="58" t="str">
        <f aca="false">IF('STUDENT SCREENING'!AU195="","",IFERROR(INDEX('SCORING MASTER'!$D$95:$D$96,MATCH('STUDENT SCREENING'!AU195,'SCORING MASTER'!$C$95:$C$96,0)),""))</f>
        <v/>
      </c>
      <c r="AW195" s="58" t="str">
        <f aca="false">IF('STUDENT SCREENING'!AV195="","",IFERROR(INDEX('SCORING MASTER'!$D$98:$D$99,MATCH('STUDENT SCREENING'!AV195,'SCORING MASTER'!$C$98:$C$99,0)),""))</f>
        <v/>
      </c>
      <c r="AX195" s="58" t="str">
        <f aca="false">IF('STUDENT SCREENING'!AW195="","",IFERROR(INDEX('SCORING MASTER'!$D$101:$D$102,MATCH('STUDENT SCREENING'!AW195,'SCORING MASTER'!$C$101:$C$102,0)),""))</f>
        <v/>
      </c>
      <c r="AY195" s="58" t="str">
        <f aca="false">IF('STUDENT SCREENING'!AX195="","",IFERROR(INDEX('SCORING MASTER'!$D$104:$D$105,MATCH('STUDENT SCREENING'!AX195,'SCORING MASTER'!$C$104:$C$105,0)),""))</f>
        <v/>
      </c>
      <c r="AZ195" s="58" t="str">
        <f aca="false">IF('STUDENT SCREENING'!AY195="","",IFERROR(INDEX('SCORING MASTER'!$D$107:$D$108,MATCH('STUDENT SCREENING'!AY195,'SCORING MASTER'!$C$107:$C$108,0)),""))</f>
        <v/>
      </c>
      <c r="BA195" s="58" t="str">
        <f aca="false">IF('STUDENT SCREENING'!AZ195="","",IFERROR(INDEX('SCORING MASTER'!$D$110:$D$111,MATCH('STUDENT SCREENING'!AZ195,'SCORING MASTER'!$C$110:$C$111,0)),""))</f>
        <v/>
      </c>
      <c r="BB195" s="58" t="str">
        <f aca="false">IF('STUDENT SCREENING'!BA195="","",IFERROR(INDEX('SCORING MASTER'!$D$113:$D$115,MATCH('STUDENT SCREENING'!BA195,'SCORING MASTER'!$C$113:$C$115,0)),""))</f>
        <v/>
      </c>
      <c r="BC195" s="58" t="str">
        <f aca="false">IF('STUDENT SCREENING'!BB195="","",IFERROR(INDEX('SCORING MASTER'!$D$117:$D$119,MATCH('STUDENT SCREENING'!BB195,'SCORING MASTER'!$C$117:$C$119,0)),""))</f>
        <v/>
      </c>
      <c r="BD195" s="58" t="str">
        <f aca="false">IF('STUDENT SCREENING'!BC195="","",IFERROR(INDEX('SCORING MASTER'!$D$121:$D$123,MATCH('STUDENT SCREENING'!BC195,'SCORING MASTER'!$C$121:$C$123,0)),""))</f>
        <v/>
      </c>
      <c r="BE195" s="58" t="str">
        <f aca="false">IF('STUDENT SCREENING'!BD195="","",IFERROR(INDEX('SCORING MASTER'!$D$125:$D$126,MATCH('STUDENT SCREENING'!BD195,'SCORING MASTER'!$C$125:$C$126,0)),""))</f>
        <v/>
      </c>
      <c r="BF195" s="58" t="str">
        <f aca="false">IF('STUDENT SCREENING'!BE195="","",IFERROR(INDEX('SCORING MASTER'!$D$128:$D$129,MATCH('STUDENT SCREENING'!BE195,'SCORING MASTER'!$C$128:$C$129,0)),""))</f>
        <v/>
      </c>
      <c r="BG195" s="58" t="str">
        <f aca="false">IF('STUDENT SCREENING'!BP195="","",IFERROR(MATCH('STUDENT SCREENING'!BP195,{"Red - High Risk","Orange - Moderate Risk","Yellow - Mild Risk","Light Green - Mild Watch","Green - Healthy"},0)-1,""))</f>
        <v/>
      </c>
      <c r="BH195" s="58" t="str">
        <f aca="false">IF('STUDENT SCREENING'!BQ195="","",IF('STUDENT SCREENING'!BQ195="Yes",1,0))</f>
        <v/>
      </c>
      <c r="BI195" s="58" t="str">
        <f aca="false">IF('STUDENT SCREENING'!BR195="","",IF('STUDENT SCREENING'!BR195="Yes",1,0))</f>
        <v/>
      </c>
    </row>
    <row r="196" customFormat="false" ht="15" hidden="false" customHeight="false" outlineLevel="0" collapsed="false">
      <c r="A196" s="57" t="str">
        <f aca="false">'STUDENT SCREENING'!A196</f>
        <v/>
      </c>
      <c r="B196" s="57" t="n">
        <f aca="false">'STUDENT SCREENING'!C196</f>
        <v>0</v>
      </c>
      <c r="C196" s="57" t="n">
        <f aca="false">'STUDENT SCREENING'!D196</f>
        <v>0</v>
      </c>
      <c r="D196" s="57" t="n">
        <f aca="false">'STUDENT SCREENING'!E196</f>
        <v>0</v>
      </c>
      <c r="E196" s="57" t="n">
        <f aca="false">'STUDENT SCREENING'!F196</f>
        <v>0</v>
      </c>
      <c r="F196" s="57" t="n">
        <f aca="false">'STUDENT SCREENING'!K196</f>
        <v>0</v>
      </c>
      <c r="G196" s="57" t="n">
        <f aca="false">'STUDENT SCREENING'!J196</f>
        <v>0</v>
      </c>
      <c r="H196" s="57" t="str">
        <f aca="false">IF('STUDENT SCREENING'!K196="","",IFERROR(MATCH('STUDENT SCREENING'!K196,Adm_Gender,0),""))</f>
        <v/>
      </c>
      <c r="I196" s="57" t="n">
        <f aca="false">'STUDENT SCREENING'!Q196</f>
        <v>0</v>
      </c>
      <c r="J196" s="57" t="n">
        <f aca="false">'STUDENT SCREENING'!R196</f>
        <v>0</v>
      </c>
      <c r="K196" s="57" t="str">
        <f aca="false">'STUDENT SCREENING'!S196</f>
        <v/>
      </c>
      <c r="L196" s="57" t="n">
        <f aca="false">'STUDENT SCREENING'!U196</f>
        <v>0</v>
      </c>
      <c r="M196" s="57" t="n">
        <f aca="false">'STUDENT SCREENING'!V196</f>
        <v>0</v>
      </c>
      <c r="N196" s="57" t="str">
        <f aca="false">'STUDENT SCREENING'!BF196</f>
        <v/>
      </c>
      <c r="O196" s="57" t="str">
        <f aca="false">'STUDENT SCREENING'!BG196</f>
        <v/>
      </c>
      <c r="P196" s="57" t="str">
        <f aca="false">'STUDENT SCREENING'!BH196</f>
        <v/>
      </c>
      <c r="Q196" s="57" t="str">
        <f aca="false">'STUDENT SCREENING'!BI196</f>
        <v/>
      </c>
      <c r="R196" s="57" t="str">
        <f aca="false">'STUDENT SCREENING'!BJ196</f>
        <v/>
      </c>
      <c r="S196" s="57" t="str">
        <f aca="false">'STUDENT SCREENING'!BK196</f>
        <v/>
      </c>
      <c r="T196" s="57" t="str">
        <f aca="false">'STUDENT SCREENING'!BL196</f>
        <v/>
      </c>
      <c r="U196" s="57" t="str">
        <f aca="false">'STUDENT SCREENING'!BM196</f>
        <v/>
      </c>
      <c r="V196" s="57" t="str">
        <f aca="false">'STUDENT SCREENING'!BN196</f>
        <v/>
      </c>
      <c r="W196" s="57" t="str">
        <f aca="false">'STUDENT SCREENING'!BO196</f>
        <v/>
      </c>
      <c r="X196" s="57" t="str">
        <f aca="false">IF('STUDENT SCREENING'!W196="","",IFERROR(INDEX('SCORING MASTER'!$D$5:$D$7,MATCH('STUDENT SCREENING'!W196,'SCORING MASTER'!$C$5:$C$7,0)),""))</f>
        <v/>
      </c>
      <c r="Y196" s="57" t="str">
        <f aca="false">IF('STUDENT SCREENING'!X196="","",IFERROR(INDEX('SCORING MASTER'!$D$9:$D$11,MATCH('STUDENT SCREENING'!X196,'SCORING MASTER'!$C$9:$C$11,0)),""))</f>
        <v/>
      </c>
      <c r="Z196" s="57" t="str">
        <f aca="false">IF('STUDENT SCREENING'!Y196="","",IFERROR(INDEX('SCORING MASTER'!$D$13:$D$15,MATCH('STUDENT SCREENING'!Y196,'SCORING MASTER'!$C$13:$C$15,0)),""))</f>
        <v/>
      </c>
      <c r="AA196" s="57" t="str">
        <f aca="false">IF('STUDENT SCREENING'!Z196="","",IFERROR(INDEX('SCORING MASTER'!$D$17:$D$19,MATCH('STUDENT SCREENING'!Z196,'SCORING MASTER'!$C$17:$C$19,0)),""))</f>
        <v/>
      </c>
      <c r="AB196" s="57" t="str">
        <f aca="false">IF('STUDENT SCREENING'!AA196="","",IFERROR(INDEX('SCORING MASTER'!$D$21:$D$23,MATCH('STUDENT SCREENING'!AA196,'SCORING MASTER'!$C$21:$C$23,0)),""))</f>
        <v/>
      </c>
      <c r="AC196" s="57" t="str">
        <f aca="false">IF('STUDENT SCREENING'!AB196="","",IFERROR(INDEX('SCORING MASTER'!$D$25:$D$27,MATCH('STUDENT SCREENING'!AB196,'SCORING MASTER'!$C$25:$C$27,0)),""))</f>
        <v/>
      </c>
      <c r="AD196" s="57" t="str">
        <f aca="false">IF('STUDENT SCREENING'!AC196="","",IFERROR(INDEX('SCORING MASTER'!$D$29:$D$31,MATCH('STUDENT SCREENING'!AC196,'SCORING MASTER'!$C$29:$C$31,0)),""))</f>
        <v/>
      </c>
      <c r="AE196" s="57" t="str">
        <f aca="false">IF('STUDENT SCREENING'!AD196="","",IFERROR(INDEX('SCORING MASTER'!$D$33:$D$35,MATCH('STUDENT SCREENING'!AD196,'SCORING MASTER'!$C$33:$C$35,0)),""))</f>
        <v/>
      </c>
      <c r="AF196" s="57" t="str">
        <f aca="false">IF('STUDENT SCREENING'!AE196="","",IFERROR(INDEX('SCORING MASTER'!$D$37:$D$39,MATCH('STUDENT SCREENING'!AE196,'SCORING MASTER'!$C$37:$C$39,0)),""))</f>
        <v/>
      </c>
      <c r="AG196" s="57" t="str">
        <f aca="false">IF('STUDENT SCREENING'!AF196="","",IFERROR(INDEX('SCORING MASTER'!$D$41:$D$43,MATCH('STUDENT SCREENING'!AF196,'SCORING MASTER'!$C$41:$C$43,0)),""))</f>
        <v/>
      </c>
      <c r="AH196" s="57" t="str">
        <f aca="false">IF('STUDENT SCREENING'!AG196="","",IFERROR(INDEX('SCORING MASTER'!$D$45:$D$47,MATCH('STUDENT SCREENING'!AG196,'SCORING MASTER'!$C$45:$C$47,0)),""))</f>
        <v/>
      </c>
      <c r="AI196" s="57" t="str">
        <f aca="false">IF('STUDENT SCREENING'!AH196="","",IFERROR(INDEX('SCORING MASTER'!$D$49:$D$52,MATCH('STUDENT SCREENING'!AH196,'SCORING MASTER'!$C$49:$C$52,0)),""))</f>
        <v/>
      </c>
      <c r="AJ196" s="57" t="str">
        <f aca="false">IF('STUDENT SCREENING'!AI196="","",IFERROR(INDEX('SCORING MASTER'!$D$54:$D$57,MATCH('STUDENT SCREENING'!AI196,'SCORING MASTER'!$C$54:$C$57,0)),""))</f>
        <v/>
      </c>
      <c r="AK196" s="57" t="str">
        <f aca="false">IF('STUDENT SCREENING'!AJ196="","",IFERROR(INDEX('SCORING MASTER'!$D$59:$D$60,MATCH('STUDENT SCREENING'!AJ196,'SCORING MASTER'!$C$59:$C$60,0)),""))</f>
        <v/>
      </c>
      <c r="AL196" s="57" t="str">
        <f aca="false">IF('STUDENT SCREENING'!AK196="","",IFERROR(INDEX('SCORING MASTER'!$D$62:$D$63,MATCH('STUDENT SCREENING'!AK196,'SCORING MASTER'!$C$62:$C$63,0)),""))</f>
        <v/>
      </c>
      <c r="AM196" s="57" t="str">
        <f aca="false">IF('STUDENT SCREENING'!AL196="","",IFERROR(INDEX('SCORING MASTER'!$D$65:$D$66,MATCH('STUDENT SCREENING'!AL196,'SCORING MASTER'!$C$65:$C$66,0)),""))</f>
        <v/>
      </c>
      <c r="AN196" s="57" t="str">
        <f aca="false">IF('STUDENT SCREENING'!AM196="","",IFERROR(INDEX('SCORING MASTER'!$D$68:$D$69,MATCH('STUDENT SCREENING'!AM196,'SCORING MASTER'!$C$68:$C$69,0)),""))</f>
        <v/>
      </c>
      <c r="AO196" s="57" t="str">
        <f aca="false">IF('STUDENT SCREENING'!AN196="","",IFERROR(INDEX('SCORING MASTER'!$D$71:$D$72,MATCH('STUDENT SCREENING'!AN196,'SCORING MASTER'!$C$71:$C$72,0)),""))</f>
        <v/>
      </c>
      <c r="AP196" s="57" t="str">
        <f aca="false">IF('STUDENT SCREENING'!AO196="","",IFERROR(INDEX('SCORING MASTER'!$D$74:$D$75,MATCH('STUDENT SCREENING'!AO196,'SCORING MASTER'!$C$74:$C$75,0)),""))</f>
        <v/>
      </c>
      <c r="AQ196" s="57" t="str">
        <f aca="false">IF('STUDENT SCREENING'!AP196="","",IFERROR(INDEX('SCORING MASTER'!$D$77:$D$78,MATCH('STUDENT SCREENING'!AP196,'SCORING MASTER'!$C$77:$C$78,0)),""))</f>
        <v/>
      </c>
      <c r="AR196" s="57" t="str">
        <f aca="false">IF('STUDENT SCREENING'!AQ196="","",IFERROR(INDEX('SCORING MASTER'!$D$80:$D$82,MATCH('STUDENT SCREENING'!AQ196,'SCORING MASTER'!$C$80:$C$82,0)),""))</f>
        <v/>
      </c>
      <c r="AS196" s="57" t="str">
        <f aca="false">IF('STUDENT SCREENING'!AR196="","",IFERROR(INDEX('SCORING MASTER'!$D$84:$D$86,MATCH('STUDENT SCREENING'!AR196,'SCORING MASTER'!$C$84:$C$86,0)),""))</f>
        <v/>
      </c>
      <c r="AT196" s="57" t="str">
        <f aca="false">IF('STUDENT SCREENING'!AS196="","",IFERROR(INDEX('SCORING MASTER'!$D$88:$D$90,MATCH('STUDENT SCREENING'!AS196,'SCORING MASTER'!$C$88:$C$90,0)),""))</f>
        <v/>
      </c>
      <c r="AU196" s="57" t="str">
        <f aca="false">IF('STUDENT SCREENING'!AT196="","",IFERROR(INDEX('SCORING MASTER'!$D$92:$D$93,MATCH('STUDENT SCREENING'!AT196,'SCORING MASTER'!$C$92:$C$93,0)),""))</f>
        <v/>
      </c>
      <c r="AV196" s="57" t="str">
        <f aca="false">IF('STUDENT SCREENING'!AU196="","",IFERROR(INDEX('SCORING MASTER'!$D$95:$D$96,MATCH('STUDENT SCREENING'!AU196,'SCORING MASTER'!$C$95:$C$96,0)),""))</f>
        <v/>
      </c>
      <c r="AW196" s="57" t="str">
        <f aca="false">IF('STUDENT SCREENING'!AV196="","",IFERROR(INDEX('SCORING MASTER'!$D$98:$D$99,MATCH('STUDENT SCREENING'!AV196,'SCORING MASTER'!$C$98:$C$99,0)),""))</f>
        <v/>
      </c>
      <c r="AX196" s="57" t="str">
        <f aca="false">IF('STUDENT SCREENING'!AW196="","",IFERROR(INDEX('SCORING MASTER'!$D$101:$D$102,MATCH('STUDENT SCREENING'!AW196,'SCORING MASTER'!$C$101:$C$102,0)),""))</f>
        <v/>
      </c>
      <c r="AY196" s="57" t="str">
        <f aca="false">IF('STUDENT SCREENING'!AX196="","",IFERROR(INDEX('SCORING MASTER'!$D$104:$D$105,MATCH('STUDENT SCREENING'!AX196,'SCORING MASTER'!$C$104:$C$105,0)),""))</f>
        <v/>
      </c>
      <c r="AZ196" s="57" t="str">
        <f aca="false">IF('STUDENT SCREENING'!AY196="","",IFERROR(INDEX('SCORING MASTER'!$D$107:$D$108,MATCH('STUDENT SCREENING'!AY196,'SCORING MASTER'!$C$107:$C$108,0)),""))</f>
        <v/>
      </c>
      <c r="BA196" s="57" t="str">
        <f aca="false">IF('STUDENT SCREENING'!AZ196="","",IFERROR(INDEX('SCORING MASTER'!$D$110:$D$111,MATCH('STUDENT SCREENING'!AZ196,'SCORING MASTER'!$C$110:$C$111,0)),""))</f>
        <v/>
      </c>
      <c r="BB196" s="57" t="str">
        <f aca="false">IF('STUDENT SCREENING'!BA196="","",IFERROR(INDEX('SCORING MASTER'!$D$113:$D$115,MATCH('STUDENT SCREENING'!BA196,'SCORING MASTER'!$C$113:$C$115,0)),""))</f>
        <v/>
      </c>
      <c r="BC196" s="57" t="str">
        <f aca="false">IF('STUDENT SCREENING'!BB196="","",IFERROR(INDEX('SCORING MASTER'!$D$117:$D$119,MATCH('STUDENT SCREENING'!BB196,'SCORING MASTER'!$C$117:$C$119,0)),""))</f>
        <v/>
      </c>
      <c r="BD196" s="57" t="str">
        <f aca="false">IF('STUDENT SCREENING'!BC196="","",IFERROR(INDEX('SCORING MASTER'!$D$121:$D$123,MATCH('STUDENT SCREENING'!BC196,'SCORING MASTER'!$C$121:$C$123,0)),""))</f>
        <v/>
      </c>
      <c r="BE196" s="57" t="str">
        <f aca="false">IF('STUDENT SCREENING'!BD196="","",IFERROR(INDEX('SCORING MASTER'!$D$125:$D$126,MATCH('STUDENT SCREENING'!BD196,'SCORING MASTER'!$C$125:$C$126,0)),""))</f>
        <v/>
      </c>
      <c r="BF196" s="57" t="str">
        <f aca="false">IF('STUDENT SCREENING'!BE196="","",IFERROR(INDEX('SCORING MASTER'!$D$128:$D$129,MATCH('STUDENT SCREENING'!BE196,'SCORING MASTER'!$C$128:$C$129,0)),""))</f>
        <v/>
      </c>
      <c r="BG196" s="57" t="str">
        <f aca="false">IF('STUDENT SCREENING'!BP196="","",IFERROR(MATCH('STUDENT SCREENING'!BP196,{"Red - High Risk","Orange - Moderate Risk","Yellow - Mild Risk","Light Green - Mild Watch","Green - Healthy"},0)-1,""))</f>
        <v/>
      </c>
      <c r="BH196" s="57" t="str">
        <f aca="false">IF('STUDENT SCREENING'!BQ196="","",IF('STUDENT SCREENING'!BQ196="Yes",1,0))</f>
        <v/>
      </c>
      <c r="BI196" s="57" t="str">
        <f aca="false">IF('STUDENT SCREENING'!BR196="","",IF('STUDENT SCREENING'!BR196="Yes",1,0))</f>
        <v/>
      </c>
    </row>
    <row r="197" customFormat="false" ht="15" hidden="false" customHeight="false" outlineLevel="0" collapsed="false">
      <c r="A197" s="58" t="str">
        <f aca="false">'STUDENT SCREENING'!A197</f>
        <v/>
      </c>
      <c r="B197" s="58" t="n">
        <f aca="false">'STUDENT SCREENING'!C197</f>
        <v>0</v>
      </c>
      <c r="C197" s="58" t="n">
        <f aca="false">'STUDENT SCREENING'!D197</f>
        <v>0</v>
      </c>
      <c r="D197" s="58" t="n">
        <f aca="false">'STUDENT SCREENING'!E197</f>
        <v>0</v>
      </c>
      <c r="E197" s="58" t="n">
        <f aca="false">'STUDENT SCREENING'!F197</f>
        <v>0</v>
      </c>
      <c r="F197" s="58" t="n">
        <f aca="false">'STUDENT SCREENING'!K197</f>
        <v>0</v>
      </c>
      <c r="G197" s="58" t="n">
        <f aca="false">'STUDENT SCREENING'!J197</f>
        <v>0</v>
      </c>
      <c r="H197" s="58" t="str">
        <f aca="false">IF('STUDENT SCREENING'!K197="","",IFERROR(MATCH('STUDENT SCREENING'!K197,Adm_Gender,0),""))</f>
        <v/>
      </c>
      <c r="I197" s="58" t="n">
        <f aca="false">'STUDENT SCREENING'!Q197</f>
        <v>0</v>
      </c>
      <c r="J197" s="58" t="n">
        <f aca="false">'STUDENT SCREENING'!R197</f>
        <v>0</v>
      </c>
      <c r="K197" s="58" t="str">
        <f aca="false">'STUDENT SCREENING'!S197</f>
        <v/>
      </c>
      <c r="L197" s="58" t="n">
        <f aca="false">'STUDENT SCREENING'!U197</f>
        <v>0</v>
      </c>
      <c r="M197" s="58" t="n">
        <f aca="false">'STUDENT SCREENING'!V197</f>
        <v>0</v>
      </c>
      <c r="N197" s="58" t="str">
        <f aca="false">'STUDENT SCREENING'!BF197</f>
        <v/>
      </c>
      <c r="O197" s="58" t="str">
        <f aca="false">'STUDENT SCREENING'!BG197</f>
        <v/>
      </c>
      <c r="P197" s="58" t="str">
        <f aca="false">'STUDENT SCREENING'!BH197</f>
        <v/>
      </c>
      <c r="Q197" s="58" t="str">
        <f aca="false">'STUDENT SCREENING'!BI197</f>
        <v/>
      </c>
      <c r="R197" s="58" t="str">
        <f aca="false">'STUDENT SCREENING'!BJ197</f>
        <v/>
      </c>
      <c r="S197" s="58" t="str">
        <f aca="false">'STUDENT SCREENING'!BK197</f>
        <v/>
      </c>
      <c r="T197" s="58" t="str">
        <f aca="false">'STUDENT SCREENING'!BL197</f>
        <v/>
      </c>
      <c r="U197" s="58" t="str">
        <f aca="false">'STUDENT SCREENING'!BM197</f>
        <v/>
      </c>
      <c r="V197" s="58" t="str">
        <f aca="false">'STUDENT SCREENING'!BN197</f>
        <v/>
      </c>
      <c r="W197" s="58" t="str">
        <f aca="false">'STUDENT SCREENING'!BO197</f>
        <v/>
      </c>
      <c r="X197" s="58" t="str">
        <f aca="false">IF('STUDENT SCREENING'!W197="","",IFERROR(INDEX('SCORING MASTER'!$D$5:$D$7,MATCH('STUDENT SCREENING'!W197,'SCORING MASTER'!$C$5:$C$7,0)),""))</f>
        <v/>
      </c>
      <c r="Y197" s="58" t="str">
        <f aca="false">IF('STUDENT SCREENING'!X197="","",IFERROR(INDEX('SCORING MASTER'!$D$9:$D$11,MATCH('STUDENT SCREENING'!X197,'SCORING MASTER'!$C$9:$C$11,0)),""))</f>
        <v/>
      </c>
      <c r="Z197" s="58" t="str">
        <f aca="false">IF('STUDENT SCREENING'!Y197="","",IFERROR(INDEX('SCORING MASTER'!$D$13:$D$15,MATCH('STUDENT SCREENING'!Y197,'SCORING MASTER'!$C$13:$C$15,0)),""))</f>
        <v/>
      </c>
      <c r="AA197" s="58" t="str">
        <f aca="false">IF('STUDENT SCREENING'!Z197="","",IFERROR(INDEX('SCORING MASTER'!$D$17:$D$19,MATCH('STUDENT SCREENING'!Z197,'SCORING MASTER'!$C$17:$C$19,0)),""))</f>
        <v/>
      </c>
      <c r="AB197" s="58" t="str">
        <f aca="false">IF('STUDENT SCREENING'!AA197="","",IFERROR(INDEX('SCORING MASTER'!$D$21:$D$23,MATCH('STUDENT SCREENING'!AA197,'SCORING MASTER'!$C$21:$C$23,0)),""))</f>
        <v/>
      </c>
      <c r="AC197" s="58" t="str">
        <f aca="false">IF('STUDENT SCREENING'!AB197="","",IFERROR(INDEX('SCORING MASTER'!$D$25:$D$27,MATCH('STUDENT SCREENING'!AB197,'SCORING MASTER'!$C$25:$C$27,0)),""))</f>
        <v/>
      </c>
      <c r="AD197" s="58" t="str">
        <f aca="false">IF('STUDENT SCREENING'!AC197="","",IFERROR(INDEX('SCORING MASTER'!$D$29:$D$31,MATCH('STUDENT SCREENING'!AC197,'SCORING MASTER'!$C$29:$C$31,0)),""))</f>
        <v/>
      </c>
      <c r="AE197" s="58" t="str">
        <f aca="false">IF('STUDENT SCREENING'!AD197="","",IFERROR(INDEX('SCORING MASTER'!$D$33:$D$35,MATCH('STUDENT SCREENING'!AD197,'SCORING MASTER'!$C$33:$C$35,0)),""))</f>
        <v/>
      </c>
      <c r="AF197" s="58" t="str">
        <f aca="false">IF('STUDENT SCREENING'!AE197="","",IFERROR(INDEX('SCORING MASTER'!$D$37:$D$39,MATCH('STUDENT SCREENING'!AE197,'SCORING MASTER'!$C$37:$C$39,0)),""))</f>
        <v/>
      </c>
      <c r="AG197" s="58" t="str">
        <f aca="false">IF('STUDENT SCREENING'!AF197="","",IFERROR(INDEX('SCORING MASTER'!$D$41:$D$43,MATCH('STUDENT SCREENING'!AF197,'SCORING MASTER'!$C$41:$C$43,0)),""))</f>
        <v/>
      </c>
      <c r="AH197" s="58" t="str">
        <f aca="false">IF('STUDENT SCREENING'!AG197="","",IFERROR(INDEX('SCORING MASTER'!$D$45:$D$47,MATCH('STUDENT SCREENING'!AG197,'SCORING MASTER'!$C$45:$C$47,0)),""))</f>
        <v/>
      </c>
      <c r="AI197" s="58" t="str">
        <f aca="false">IF('STUDENT SCREENING'!AH197="","",IFERROR(INDEX('SCORING MASTER'!$D$49:$D$52,MATCH('STUDENT SCREENING'!AH197,'SCORING MASTER'!$C$49:$C$52,0)),""))</f>
        <v/>
      </c>
      <c r="AJ197" s="58" t="str">
        <f aca="false">IF('STUDENT SCREENING'!AI197="","",IFERROR(INDEX('SCORING MASTER'!$D$54:$D$57,MATCH('STUDENT SCREENING'!AI197,'SCORING MASTER'!$C$54:$C$57,0)),""))</f>
        <v/>
      </c>
      <c r="AK197" s="58" t="str">
        <f aca="false">IF('STUDENT SCREENING'!AJ197="","",IFERROR(INDEX('SCORING MASTER'!$D$59:$D$60,MATCH('STUDENT SCREENING'!AJ197,'SCORING MASTER'!$C$59:$C$60,0)),""))</f>
        <v/>
      </c>
      <c r="AL197" s="58" t="str">
        <f aca="false">IF('STUDENT SCREENING'!AK197="","",IFERROR(INDEX('SCORING MASTER'!$D$62:$D$63,MATCH('STUDENT SCREENING'!AK197,'SCORING MASTER'!$C$62:$C$63,0)),""))</f>
        <v/>
      </c>
      <c r="AM197" s="58" t="str">
        <f aca="false">IF('STUDENT SCREENING'!AL197="","",IFERROR(INDEX('SCORING MASTER'!$D$65:$D$66,MATCH('STUDENT SCREENING'!AL197,'SCORING MASTER'!$C$65:$C$66,0)),""))</f>
        <v/>
      </c>
      <c r="AN197" s="58" t="str">
        <f aca="false">IF('STUDENT SCREENING'!AM197="","",IFERROR(INDEX('SCORING MASTER'!$D$68:$D$69,MATCH('STUDENT SCREENING'!AM197,'SCORING MASTER'!$C$68:$C$69,0)),""))</f>
        <v/>
      </c>
      <c r="AO197" s="58" t="str">
        <f aca="false">IF('STUDENT SCREENING'!AN197="","",IFERROR(INDEX('SCORING MASTER'!$D$71:$D$72,MATCH('STUDENT SCREENING'!AN197,'SCORING MASTER'!$C$71:$C$72,0)),""))</f>
        <v/>
      </c>
      <c r="AP197" s="58" t="str">
        <f aca="false">IF('STUDENT SCREENING'!AO197="","",IFERROR(INDEX('SCORING MASTER'!$D$74:$D$75,MATCH('STUDENT SCREENING'!AO197,'SCORING MASTER'!$C$74:$C$75,0)),""))</f>
        <v/>
      </c>
      <c r="AQ197" s="58" t="str">
        <f aca="false">IF('STUDENT SCREENING'!AP197="","",IFERROR(INDEX('SCORING MASTER'!$D$77:$D$78,MATCH('STUDENT SCREENING'!AP197,'SCORING MASTER'!$C$77:$C$78,0)),""))</f>
        <v/>
      </c>
      <c r="AR197" s="58" t="str">
        <f aca="false">IF('STUDENT SCREENING'!AQ197="","",IFERROR(INDEX('SCORING MASTER'!$D$80:$D$82,MATCH('STUDENT SCREENING'!AQ197,'SCORING MASTER'!$C$80:$C$82,0)),""))</f>
        <v/>
      </c>
      <c r="AS197" s="58" t="str">
        <f aca="false">IF('STUDENT SCREENING'!AR197="","",IFERROR(INDEX('SCORING MASTER'!$D$84:$D$86,MATCH('STUDENT SCREENING'!AR197,'SCORING MASTER'!$C$84:$C$86,0)),""))</f>
        <v/>
      </c>
      <c r="AT197" s="58" t="str">
        <f aca="false">IF('STUDENT SCREENING'!AS197="","",IFERROR(INDEX('SCORING MASTER'!$D$88:$D$90,MATCH('STUDENT SCREENING'!AS197,'SCORING MASTER'!$C$88:$C$90,0)),""))</f>
        <v/>
      </c>
      <c r="AU197" s="58" t="str">
        <f aca="false">IF('STUDENT SCREENING'!AT197="","",IFERROR(INDEX('SCORING MASTER'!$D$92:$D$93,MATCH('STUDENT SCREENING'!AT197,'SCORING MASTER'!$C$92:$C$93,0)),""))</f>
        <v/>
      </c>
      <c r="AV197" s="58" t="str">
        <f aca="false">IF('STUDENT SCREENING'!AU197="","",IFERROR(INDEX('SCORING MASTER'!$D$95:$D$96,MATCH('STUDENT SCREENING'!AU197,'SCORING MASTER'!$C$95:$C$96,0)),""))</f>
        <v/>
      </c>
      <c r="AW197" s="58" t="str">
        <f aca="false">IF('STUDENT SCREENING'!AV197="","",IFERROR(INDEX('SCORING MASTER'!$D$98:$D$99,MATCH('STUDENT SCREENING'!AV197,'SCORING MASTER'!$C$98:$C$99,0)),""))</f>
        <v/>
      </c>
      <c r="AX197" s="58" t="str">
        <f aca="false">IF('STUDENT SCREENING'!AW197="","",IFERROR(INDEX('SCORING MASTER'!$D$101:$D$102,MATCH('STUDENT SCREENING'!AW197,'SCORING MASTER'!$C$101:$C$102,0)),""))</f>
        <v/>
      </c>
      <c r="AY197" s="58" t="str">
        <f aca="false">IF('STUDENT SCREENING'!AX197="","",IFERROR(INDEX('SCORING MASTER'!$D$104:$D$105,MATCH('STUDENT SCREENING'!AX197,'SCORING MASTER'!$C$104:$C$105,0)),""))</f>
        <v/>
      </c>
      <c r="AZ197" s="58" t="str">
        <f aca="false">IF('STUDENT SCREENING'!AY197="","",IFERROR(INDEX('SCORING MASTER'!$D$107:$D$108,MATCH('STUDENT SCREENING'!AY197,'SCORING MASTER'!$C$107:$C$108,0)),""))</f>
        <v/>
      </c>
      <c r="BA197" s="58" t="str">
        <f aca="false">IF('STUDENT SCREENING'!AZ197="","",IFERROR(INDEX('SCORING MASTER'!$D$110:$D$111,MATCH('STUDENT SCREENING'!AZ197,'SCORING MASTER'!$C$110:$C$111,0)),""))</f>
        <v/>
      </c>
      <c r="BB197" s="58" t="str">
        <f aca="false">IF('STUDENT SCREENING'!BA197="","",IFERROR(INDEX('SCORING MASTER'!$D$113:$D$115,MATCH('STUDENT SCREENING'!BA197,'SCORING MASTER'!$C$113:$C$115,0)),""))</f>
        <v/>
      </c>
      <c r="BC197" s="58" t="str">
        <f aca="false">IF('STUDENT SCREENING'!BB197="","",IFERROR(INDEX('SCORING MASTER'!$D$117:$D$119,MATCH('STUDENT SCREENING'!BB197,'SCORING MASTER'!$C$117:$C$119,0)),""))</f>
        <v/>
      </c>
      <c r="BD197" s="58" t="str">
        <f aca="false">IF('STUDENT SCREENING'!BC197="","",IFERROR(INDEX('SCORING MASTER'!$D$121:$D$123,MATCH('STUDENT SCREENING'!BC197,'SCORING MASTER'!$C$121:$C$123,0)),""))</f>
        <v/>
      </c>
      <c r="BE197" s="58" t="str">
        <f aca="false">IF('STUDENT SCREENING'!BD197="","",IFERROR(INDEX('SCORING MASTER'!$D$125:$D$126,MATCH('STUDENT SCREENING'!BD197,'SCORING MASTER'!$C$125:$C$126,0)),""))</f>
        <v/>
      </c>
      <c r="BF197" s="58" t="str">
        <f aca="false">IF('STUDENT SCREENING'!BE197="","",IFERROR(INDEX('SCORING MASTER'!$D$128:$D$129,MATCH('STUDENT SCREENING'!BE197,'SCORING MASTER'!$C$128:$C$129,0)),""))</f>
        <v/>
      </c>
      <c r="BG197" s="58" t="str">
        <f aca="false">IF('STUDENT SCREENING'!BP197="","",IFERROR(MATCH('STUDENT SCREENING'!BP197,{"Red - High Risk","Orange - Moderate Risk","Yellow - Mild Risk","Light Green - Mild Watch","Green - Healthy"},0)-1,""))</f>
        <v/>
      </c>
      <c r="BH197" s="58" t="str">
        <f aca="false">IF('STUDENT SCREENING'!BQ197="","",IF('STUDENT SCREENING'!BQ197="Yes",1,0))</f>
        <v/>
      </c>
      <c r="BI197" s="58" t="str">
        <f aca="false">IF('STUDENT SCREENING'!BR197="","",IF('STUDENT SCREENING'!BR197="Yes",1,0))</f>
        <v/>
      </c>
    </row>
    <row r="198" customFormat="false" ht="15" hidden="false" customHeight="false" outlineLevel="0" collapsed="false">
      <c r="A198" s="57" t="str">
        <f aca="false">'STUDENT SCREENING'!A198</f>
        <v/>
      </c>
      <c r="B198" s="57" t="n">
        <f aca="false">'STUDENT SCREENING'!C198</f>
        <v>0</v>
      </c>
      <c r="C198" s="57" t="n">
        <f aca="false">'STUDENT SCREENING'!D198</f>
        <v>0</v>
      </c>
      <c r="D198" s="57" t="n">
        <f aca="false">'STUDENT SCREENING'!E198</f>
        <v>0</v>
      </c>
      <c r="E198" s="57" t="n">
        <f aca="false">'STUDENT SCREENING'!F198</f>
        <v>0</v>
      </c>
      <c r="F198" s="57" t="n">
        <f aca="false">'STUDENT SCREENING'!K198</f>
        <v>0</v>
      </c>
      <c r="G198" s="57" t="n">
        <f aca="false">'STUDENT SCREENING'!J198</f>
        <v>0</v>
      </c>
      <c r="H198" s="57" t="str">
        <f aca="false">IF('STUDENT SCREENING'!K198="","",IFERROR(MATCH('STUDENT SCREENING'!K198,Adm_Gender,0),""))</f>
        <v/>
      </c>
      <c r="I198" s="57" t="n">
        <f aca="false">'STUDENT SCREENING'!Q198</f>
        <v>0</v>
      </c>
      <c r="J198" s="57" t="n">
        <f aca="false">'STUDENT SCREENING'!R198</f>
        <v>0</v>
      </c>
      <c r="K198" s="57" t="str">
        <f aca="false">'STUDENT SCREENING'!S198</f>
        <v/>
      </c>
      <c r="L198" s="57" t="n">
        <f aca="false">'STUDENT SCREENING'!U198</f>
        <v>0</v>
      </c>
      <c r="M198" s="57" t="n">
        <f aca="false">'STUDENT SCREENING'!V198</f>
        <v>0</v>
      </c>
      <c r="N198" s="57" t="str">
        <f aca="false">'STUDENT SCREENING'!BF198</f>
        <v/>
      </c>
      <c r="O198" s="57" t="str">
        <f aca="false">'STUDENT SCREENING'!BG198</f>
        <v/>
      </c>
      <c r="P198" s="57" t="str">
        <f aca="false">'STUDENT SCREENING'!BH198</f>
        <v/>
      </c>
      <c r="Q198" s="57" t="str">
        <f aca="false">'STUDENT SCREENING'!BI198</f>
        <v/>
      </c>
      <c r="R198" s="57" t="str">
        <f aca="false">'STUDENT SCREENING'!BJ198</f>
        <v/>
      </c>
      <c r="S198" s="57" t="str">
        <f aca="false">'STUDENT SCREENING'!BK198</f>
        <v/>
      </c>
      <c r="T198" s="57" t="str">
        <f aca="false">'STUDENT SCREENING'!BL198</f>
        <v/>
      </c>
      <c r="U198" s="57" t="str">
        <f aca="false">'STUDENT SCREENING'!BM198</f>
        <v/>
      </c>
      <c r="V198" s="57" t="str">
        <f aca="false">'STUDENT SCREENING'!BN198</f>
        <v/>
      </c>
      <c r="W198" s="57" t="str">
        <f aca="false">'STUDENT SCREENING'!BO198</f>
        <v/>
      </c>
      <c r="X198" s="57" t="str">
        <f aca="false">IF('STUDENT SCREENING'!W198="","",IFERROR(INDEX('SCORING MASTER'!$D$5:$D$7,MATCH('STUDENT SCREENING'!W198,'SCORING MASTER'!$C$5:$C$7,0)),""))</f>
        <v/>
      </c>
      <c r="Y198" s="57" t="str">
        <f aca="false">IF('STUDENT SCREENING'!X198="","",IFERROR(INDEX('SCORING MASTER'!$D$9:$D$11,MATCH('STUDENT SCREENING'!X198,'SCORING MASTER'!$C$9:$C$11,0)),""))</f>
        <v/>
      </c>
      <c r="Z198" s="57" t="str">
        <f aca="false">IF('STUDENT SCREENING'!Y198="","",IFERROR(INDEX('SCORING MASTER'!$D$13:$D$15,MATCH('STUDENT SCREENING'!Y198,'SCORING MASTER'!$C$13:$C$15,0)),""))</f>
        <v/>
      </c>
      <c r="AA198" s="57" t="str">
        <f aca="false">IF('STUDENT SCREENING'!Z198="","",IFERROR(INDEX('SCORING MASTER'!$D$17:$D$19,MATCH('STUDENT SCREENING'!Z198,'SCORING MASTER'!$C$17:$C$19,0)),""))</f>
        <v/>
      </c>
      <c r="AB198" s="57" t="str">
        <f aca="false">IF('STUDENT SCREENING'!AA198="","",IFERROR(INDEX('SCORING MASTER'!$D$21:$D$23,MATCH('STUDENT SCREENING'!AA198,'SCORING MASTER'!$C$21:$C$23,0)),""))</f>
        <v/>
      </c>
      <c r="AC198" s="57" t="str">
        <f aca="false">IF('STUDENT SCREENING'!AB198="","",IFERROR(INDEX('SCORING MASTER'!$D$25:$D$27,MATCH('STUDENT SCREENING'!AB198,'SCORING MASTER'!$C$25:$C$27,0)),""))</f>
        <v/>
      </c>
      <c r="AD198" s="57" t="str">
        <f aca="false">IF('STUDENT SCREENING'!AC198="","",IFERROR(INDEX('SCORING MASTER'!$D$29:$D$31,MATCH('STUDENT SCREENING'!AC198,'SCORING MASTER'!$C$29:$C$31,0)),""))</f>
        <v/>
      </c>
      <c r="AE198" s="57" t="str">
        <f aca="false">IF('STUDENT SCREENING'!AD198="","",IFERROR(INDEX('SCORING MASTER'!$D$33:$D$35,MATCH('STUDENT SCREENING'!AD198,'SCORING MASTER'!$C$33:$C$35,0)),""))</f>
        <v/>
      </c>
      <c r="AF198" s="57" t="str">
        <f aca="false">IF('STUDENT SCREENING'!AE198="","",IFERROR(INDEX('SCORING MASTER'!$D$37:$D$39,MATCH('STUDENT SCREENING'!AE198,'SCORING MASTER'!$C$37:$C$39,0)),""))</f>
        <v/>
      </c>
      <c r="AG198" s="57" t="str">
        <f aca="false">IF('STUDENT SCREENING'!AF198="","",IFERROR(INDEX('SCORING MASTER'!$D$41:$D$43,MATCH('STUDENT SCREENING'!AF198,'SCORING MASTER'!$C$41:$C$43,0)),""))</f>
        <v/>
      </c>
      <c r="AH198" s="57" t="str">
        <f aca="false">IF('STUDENT SCREENING'!AG198="","",IFERROR(INDEX('SCORING MASTER'!$D$45:$D$47,MATCH('STUDENT SCREENING'!AG198,'SCORING MASTER'!$C$45:$C$47,0)),""))</f>
        <v/>
      </c>
      <c r="AI198" s="57" t="str">
        <f aca="false">IF('STUDENT SCREENING'!AH198="","",IFERROR(INDEX('SCORING MASTER'!$D$49:$D$52,MATCH('STUDENT SCREENING'!AH198,'SCORING MASTER'!$C$49:$C$52,0)),""))</f>
        <v/>
      </c>
      <c r="AJ198" s="57" t="str">
        <f aca="false">IF('STUDENT SCREENING'!AI198="","",IFERROR(INDEX('SCORING MASTER'!$D$54:$D$57,MATCH('STUDENT SCREENING'!AI198,'SCORING MASTER'!$C$54:$C$57,0)),""))</f>
        <v/>
      </c>
      <c r="AK198" s="57" t="str">
        <f aca="false">IF('STUDENT SCREENING'!AJ198="","",IFERROR(INDEX('SCORING MASTER'!$D$59:$D$60,MATCH('STUDENT SCREENING'!AJ198,'SCORING MASTER'!$C$59:$C$60,0)),""))</f>
        <v/>
      </c>
      <c r="AL198" s="57" t="str">
        <f aca="false">IF('STUDENT SCREENING'!AK198="","",IFERROR(INDEX('SCORING MASTER'!$D$62:$D$63,MATCH('STUDENT SCREENING'!AK198,'SCORING MASTER'!$C$62:$C$63,0)),""))</f>
        <v/>
      </c>
      <c r="AM198" s="57" t="str">
        <f aca="false">IF('STUDENT SCREENING'!AL198="","",IFERROR(INDEX('SCORING MASTER'!$D$65:$D$66,MATCH('STUDENT SCREENING'!AL198,'SCORING MASTER'!$C$65:$C$66,0)),""))</f>
        <v/>
      </c>
      <c r="AN198" s="57" t="str">
        <f aca="false">IF('STUDENT SCREENING'!AM198="","",IFERROR(INDEX('SCORING MASTER'!$D$68:$D$69,MATCH('STUDENT SCREENING'!AM198,'SCORING MASTER'!$C$68:$C$69,0)),""))</f>
        <v/>
      </c>
      <c r="AO198" s="57" t="str">
        <f aca="false">IF('STUDENT SCREENING'!AN198="","",IFERROR(INDEX('SCORING MASTER'!$D$71:$D$72,MATCH('STUDENT SCREENING'!AN198,'SCORING MASTER'!$C$71:$C$72,0)),""))</f>
        <v/>
      </c>
      <c r="AP198" s="57" t="str">
        <f aca="false">IF('STUDENT SCREENING'!AO198="","",IFERROR(INDEX('SCORING MASTER'!$D$74:$D$75,MATCH('STUDENT SCREENING'!AO198,'SCORING MASTER'!$C$74:$C$75,0)),""))</f>
        <v/>
      </c>
      <c r="AQ198" s="57" t="str">
        <f aca="false">IF('STUDENT SCREENING'!AP198="","",IFERROR(INDEX('SCORING MASTER'!$D$77:$D$78,MATCH('STUDENT SCREENING'!AP198,'SCORING MASTER'!$C$77:$C$78,0)),""))</f>
        <v/>
      </c>
      <c r="AR198" s="57" t="str">
        <f aca="false">IF('STUDENT SCREENING'!AQ198="","",IFERROR(INDEX('SCORING MASTER'!$D$80:$D$82,MATCH('STUDENT SCREENING'!AQ198,'SCORING MASTER'!$C$80:$C$82,0)),""))</f>
        <v/>
      </c>
      <c r="AS198" s="57" t="str">
        <f aca="false">IF('STUDENT SCREENING'!AR198="","",IFERROR(INDEX('SCORING MASTER'!$D$84:$D$86,MATCH('STUDENT SCREENING'!AR198,'SCORING MASTER'!$C$84:$C$86,0)),""))</f>
        <v/>
      </c>
      <c r="AT198" s="57" t="str">
        <f aca="false">IF('STUDENT SCREENING'!AS198="","",IFERROR(INDEX('SCORING MASTER'!$D$88:$D$90,MATCH('STUDENT SCREENING'!AS198,'SCORING MASTER'!$C$88:$C$90,0)),""))</f>
        <v/>
      </c>
      <c r="AU198" s="57" t="str">
        <f aca="false">IF('STUDENT SCREENING'!AT198="","",IFERROR(INDEX('SCORING MASTER'!$D$92:$D$93,MATCH('STUDENT SCREENING'!AT198,'SCORING MASTER'!$C$92:$C$93,0)),""))</f>
        <v/>
      </c>
      <c r="AV198" s="57" t="str">
        <f aca="false">IF('STUDENT SCREENING'!AU198="","",IFERROR(INDEX('SCORING MASTER'!$D$95:$D$96,MATCH('STUDENT SCREENING'!AU198,'SCORING MASTER'!$C$95:$C$96,0)),""))</f>
        <v/>
      </c>
      <c r="AW198" s="57" t="str">
        <f aca="false">IF('STUDENT SCREENING'!AV198="","",IFERROR(INDEX('SCORING MASTER'!$D$98:$D$99,MATCH('STUDENT SCREENING'!AV198,'SCORING MASTER'!$C$98:$C$99,0)),""))</f>
        <v/>
      </c>
      <c r="AX198" s="57" t="str">
        <f aca="false">IF('STUDENT SCREENING'!AW198="","",IFERROR(INDEX('SCORING MASTER'!$D$101:$D$102,MATCH('STUDENT SCREENING'!AW198,'SCORING MASTER'!$C$101:$C$102,0)),""))</f>
        <v/>
      </c>
      <c r="AY198" s="57" t="str">
        <f aca="false">IF('STUDENT SCREENING'!AX198="","",IFERROR(INDEX('SCORING MASTER'!$D$104:$D$105,MATCH('STUDENT SCREENING'!AX198,'SCORING MASTER'!$C$104:$C$105,0)),""))</f>
        <v/>
      </c>
      <c r="AZ198" s="57" t="str">
        <f aca="false">IF('STUDENT SCREENING'!AY198="","",IFERROR(INDEX('SCORING MASTER'!$D$107:$D$108,MATCH('STUDENT SCREENING'!AY198,'SCORING MASTER'!$C$107:$C$108,0)),""))</f>
        <v/>
      </c>
      <c r="BA198" s="57" t="str">
        <f aca="false">IF('STUDENT SCREENING'!AZ198="","",IFERROR(INDEX('SCORING MASTER'!$D$110:$D$111,MATCH('STUDENT SCREENING'!AZ198,'SCORING MASTER'!$C$110:$C$111,0)),""))</f>
        <v/>
      </c>
      <c r="BB198" s="57" t="str">
        <f aca="false">IF('STUDENT SCREENING'!BA198="","",IFERROR(INDEX('SCORING MASTER'!$D$113:$D$115,MATCH('STUDENT SCREENING'!BA198,'SCORING MASTER'!$C$113:$C$115,0)),""))</f>
        <v/>
      </c>
      <c r="BC198" s="57" t="str">
        <f aca="false">IF('STUDENT SCREENING'!BB198="","",IFERROR(INDEX('SCORING MASTER'!$D$117:$D$119,MATCH('STUDENT SCREENING'!BB198,'SCORING MASTER'!$C$117:$C$119,0)),""))</f>
        <v/>
      </c>
      <c r="BD198" s="57" t="str">
        <f aca="false">IF('STUDENT SCREENING'!BC198="","",IFERROR(INDEX('SCORING MASTER'!$D$121:$D$123,MATCH('STUDENT SCREENING'!BC198,'SCORING MASTER'!$C$121:$C$123,0)),""))</f>
        <v/>
      </c>
      <c r="BE198" s="57" t="str">
        <f aca="false">IF('STUDENT SCREENING'!BD198="","",IFERROR(INDEX('SCORING MASTER'!$D$125:$D$126,MATCH('STUDENT SCREENING'!BD198,'SCORING MASTER'!$C$125:$C$126,0)),""))</f>
        <v/>
      </c>
      <c r="BF198" s="57" t="str">
        <f aca="false">IF('STUDENT SCREENING'!BE198="","",IFERROR(INDEX('SCORING MASTER'!$D$128:$D$129,MATCH('STUDENT SCREENING'!BE198,'SCORING MASTER'!$C$128:$C$129,0)),""))</f>
        <v/>
      </c>
      <c r="BG198" s="57" t="str">
        <f aca="false">IF('STUDENT SCREENING'!BP198="","",IFERROR(MATCH('STUDENT SCREENING'!BP198,{"Red - High Risk","Orange - Moderate Risk","Yellow - Mild Risk","Light Green - Mild Watch","Green - Healthy"},0)-1,""))</f>
        <v/>
      </c>
      <c r="BH198" s="57" t="str">
        <f aca="false">IF('STUDENT SCREENING'!BQ198="","",IF('STUDENT SCREENING'!BQ198="Yes",1,0))</f>
        <v/>
      </c>
      <c r="BI198" s="57" t="str">
        <f aca="false">IF('STUDENT SCREENING'!BR198="","",IF('STUDENT SCREENING'!BR198="Yes",1,0))</f>
        <v/>
      </c>
    </row>
    <row r="199" customFormat="false" ht="15" hidden="false" customHeight="false" outlineLevel="0" collapsed="false">
      <c r="A199" s="58" t="str">
        <f aca="false">'STUDENT SCREENING'!A199</f>
        <v/>
      </c>
      <c r="B199" s="58" t="n">
        <f aca="false">'STUDENT SCREENING'!C199</f>
        <v>0</v>
      </c>
      <c r="C199" s="58" t="n">
        <f aca="false">'STUDENT SCREENING'!D199</f>
        <v>0</v>
      </c>
      <c r="D199" s="58" t="n">
        <f aca="false">'STUDENT SCREENING'!E199</f>
        <v>0</v>
      </c>
      <c r="E199" s="58" t="n">
        <f aca="false">'STUDENT SCREENING'!F199</f>
        <v>0</v>
      </c>
      <c r="F199" s="58" t="n">
        <f aca="false">'STUDENT SCREENING'!K199</f>
        <v>0</v>
      </c>
      <c r="G199" s="58" t="n">
        <f aca="false">'STUDENT SCREENING'!J199</f>
        <v>0</v>
      </c>
      <c r="H199" s="58" t="str">
        <f aca="false">IF('STUDENT SCREENING'!K199="","",IFERROR(MATCH('STUDENT SCREENING'!K199,Adm_Gender,0),""))</f>
        <v/>
      </c>
      <c r="I199" s="58" t="n">
        <f aca="false">'STUDENT SCREENING'!Q199</f>
        <v>0</v>
      </c>
      <c r="J199" s="58" t="n">
        <f aca="false">'STUDENT SCREENING'!R199</f>
        <v>0</v>
      </c>
      <c r="K199" s="58" t="str">
        <f aca="false">'STUDENT SCREENING'!S199</f>
        <v/>
      </c>
      <c r="L199" s="58" t="n">
        <f aca="false">'STUDENT SCREENING'!U199</f>
        <v>0</v>
      </c>
      <c r="M199" s="58" t="n">
        <f aca="false">'STUDENT SCREENING'!V199</f>
        <v>0</v>
      </c>
      <c r="N199" s="58" t="str">
        <f aca="false">'STUDENT SCREENING'!BF199</f>
        <v/>
      </c>
      <c r="O199" s="58" t="str">
        <f aca="false">'STUDENT SCREENING'!BG199</f>
        <v/>
      </c>
      <c r="P199" s="58" t="str">
        <f aca="false">'STUDENT SCREENING'!BH199</f>
        <v/>
      </c>
      <c r="Q199" s="58" t="str">
        <f aca="false">'STUDENT SCREENING'!BI199</f>
        <v/>
      </c>
      <c r="R199" s="58" t="str">
        <f aca="false">'STUDENT SCREENING'!BJ199</f>
        <v/>
      </c>
      <c r="S199" s="58" t="str">
        <f aca="false">'STUDENT SCREENING'!BK199</f>
        <v/>
      </c>
      <c r="T199" s="58" t="str">
        <f aca="false">'STUDENT SCREENING'!BL199</f>
        <v/>
      </c>
      <c r="U199" s="58" t="str">
        <f aca="false">'STUDENT SCREENING'!BM199</f>
        <v/>
      </c>
      <c r="V199" s="58" t="str">
        <f aca="false">'STUDENT SCREENING'!BN199</f>
        <v/>
      </c>
      <c r="W199" s="58" t="str">
        <f aca="false">'STUDENT SCREENING'!BO199</f>
        <v/>
      </c>
      <c r="X199" s="58" t="str">
        <f aca="false">IF('STUDENT SCREENING'!W199="","",IFERROR(INDEX('SCORING MASTER'!$D$5:$D$7,MATCH('STUDENT SCREENING'!W199,'SCORING MASTER'!$C$5:$C$7,0)),""))</f>
        <v/>
      </c>
      <c r="Y199" s="58" t="str">
        <f aca="false">IF('STUDENT SCREENING'!X199="","",IFERROR(INDEX('SCORING MASTER'!$D$9:$D$11,MATCH('STUDENT SCREENING'!X199,'SCORING MASTER'!$C$9:$C$11,0)),""))</f>
        <v/>
      </c>
      <c r="Z199" s="58" t="str">
        <f aca="false">IF('STUDENT SCREENING'!Y199="","",IFERROR(INDEX('SCORING MASTER'!$D$13:$D$15,MATCH('STUDENT SCREENING'!Y199,'SCORING MASTER'!$C$13:$C$15,0)),""))</f>
        <v/>
      </c>
      <c r="AA199" s="58" t="str">
        <f aca="false">IF('STUDENT SCREENING'!Z199="","",IFERROR(INDEX('SCORING MASTER'!$D$17:$D$19,MATCH('STUDENT SCREENING'!Z199,'SCORING MASTER'!$C$17:$C$19,0)),""))</f>
        <v/>
      </c>
      <c r="AB199" s="58" t="str">
        <f aca="false">IF('STUDENT SCREENING'!AA199="","",IFERROR(INDEX('SCORING MASTER'!$D$21:$D$23,MATCH('STUDENT SCREENING'!AA199,'SCORING MASTER'!$C$21:$C$23,0)),""))</f>
        <v/>
      </c>
      <c r="AC199" s="58" t="str">
        <f aca="false">IF('STUDENT SCREENING'!AB199="","",IFERROR(INDEX('SCORING MASTER'!$D$25:$D$27,MATCH('STUDENT SCREENING'!AB199,'SCORING MASTER'!$C$25:$C$27,0)),""))</f>
        <v/>
      </c>
      <c r="AD199" s="58" t="str">
        <f aca="false">IF('STUDENT SCREENING'!AC199="","",IFERROR(INDEX('SCORING MASTER'!$D$29:$D$31,MATCH('STUDENT SCREENING'!AC199,'SCORING MASTER'!$C$29:$C$31,0)),""))</f>
        <v/>
      </c>
      <c r="AE199" s="58" t="str">
        <f aca="false">IF('STUDENT SCREENING'!AD199="","",IFERROR(INDEX('SCORING MASTER'!$D$33:$D$35,MATCH('STUDENT SCREENING'!AD199,'SCORING MASTER'!$C$33:$C$35,0)),""))</f>
        <v/>
      </c>
      <c r="AF199" s="58" t="str">
        <f aca="false">IF('STUDENT SCREENING'!AE199="","",IFERROR(INDEX('SCORING MASTER'!$D$37:$D$39,MATCH('STUDENT SCREENING'!AE199,'SCORING MASTER'!$C$37:$C$39,0)),""))</f>
        <v/>
      </c>
      <c r="AG199" s="58" t="str">
        <f aca="false">IF('STUDENT SCREENING'!AF199="","",IFERROR(INDEX('SCORING MASTER'!$D$41:$D$43,MATCH('STUDENT SCREENING'!AF199,'SCORING MASTER'!$C$41:$C$43,0)),""))</f>
        <v/>
      </c>
      <c r="AH199" s="58" t="str">
        <f aca="false">IF('STUDENT SCREENING'!AG199="","",IFERROR(INDEX('SCORING MASTER'!$D$45:$D$47,MATCH('STUDENT SCREENING'!AG199,'SCORING MASTER'!$C$45:$C$47,0)),""))</f>
        <v/>
      </c>
      <c r="AI199" s="58" t="str">
        <f aca="false">IF('STUDENT SCREENING'!AH199="","",IFERROR(INDEX('SCORING MASTER'!$D$49:$D$52,MATCH('STUDENT SCREENING'!AH199,'SCORING MASTER'!$C$49:$C$52,0)),""))</f>
        <v/>
      </c>
      <c r="AJ199" s="58" t="str">
        <f aca="false">IF('STUDENT SCREENING'!AI199="","",IFERROR(INDEX('SCORING MASTER'!$D$54:$D$57,MATCH('STUDENT SCREENING'!AI199,'SCORING MASTER'!$C$54:$C$57,0)),""))</f>
        <v/>
      </c>
      <c r="AK199" s="58" t="str">
        <f aca="false">IF('STUDENT SCREENING'!AJ199="","",IFERROR(INDEX('SCORING MASTER'!$D$59:$D$60,MATCH('STUDENT SCREENING'!AJ199,'SCORING MASTER'!$C$59:$C$60,0)),""))</f>
        <v/>
      </c>
      <c r="AL199" s="58" t="str">
        <f aca="false">IF('STUDENT SCREENING'!AK199="","",IFERROR(INDEX('SCORING MASTER'!$D$62:$D$63,MATCH('STUDENT SCREENING'!AK199,'SCORING MASTER'!$C$62:$C$63,0)),""))</f>
        <v/>
      </c>
      <c r="AM199" s="58" t="str">
        <f aca="false">IF('STUDENT SCREENING'!AL199="","",IFERROR(INDEX('SCORING MASTER'!$D$65:$D$66,MATCH('STUDENT SCREENING'!AL199,'SCORING MASTER'!$C$65:$C$66,0)),""))</f>
        <v/>
      </c>
      <c r="AN199" s="58" t="str">
        <f aca="false">IF('STUDENT SCREENING'!AM199="","",IFERROR(INDEX('SCORING MASTER'!$D$68:$D$69,MATCH('STUDENT SCREENING'!AM199,'SCORING MASTER'!$C$68:$C$69,0)),""))</f>
        <v/>
      </c>
      <c r="AO199" s="58" t="str">
        <f aca="false">IF('STUDENT SCREENING'!AN199="","",IFERROR(INDEX('SCORING MASTER'!$D$71:$D$72,MATCH('STUDENT SCREENING'!AN199,'SCORING MASTER'!$C$71:$C$72,0)),""))</f>
        <v/>
      </c>
      <c r="AP199" s="58" t="str">
        <f aca="false">IF('STUDENT SCREENING'!AO199="","",IFERROR(INDEX('SCORING MASTER'!$D$74:$D$75,MATCH('STUDENT SCREENING'!AO199,'SCORING MASTER'!$C$74:$C$75,0)),""))</f>
        <v/>
      </c>
      <c r="AQ199" s="58" t="str">
        <f aca="false">IF('STUDENT SCREENING'!AP199="","",IFERROR(INDEX('SCORING MASTER'!$D$77:$D$78,MATCH('STUDENT SCREENING'!AP199,'SCORING MASTER'!$C$77:$C$78,0)),""))</f>
        <v/>
      </c>
      <c r="AR199" s="58" t="str">
        <f aca="false">IF('STUDENT SCREENING'!AQ199="","",IFERROR(INDEX('SCORING MASTER'!$D$80:$D$82,MATCH('STUDENT SCREENING'!AQ199,'SCORING MASTER'!$C$80:$C$82,0)),""))</f>
        <v/>
      </c>
      <c r="AS199" s="58" t="str">
        <f aca="false">IF('STUDENT SCREENING'!AR199="","",IFERROR(INDEX('SCORING MASTER'!$D$84:$D$86,MATCH('STUDENT SCREENING'!AR199,'SCORING MASTER'!$C$84:$C$86,0)),""))</f>
        <v/>
      </c>
      <c r="AT199" s="58" t="str">
        <f aca="false">IF('STUDENT SCREENING'!AS199="","",IFERROR(INDEX('SCORING MASTER'!$D$88:$D$90,MATCH('STUDENT SCREENING'!AS199,'SCORING MASTER'!$C$88:$C$90,0)),""))</f>
        <v/>
      </c>
      <c r="AU199" s="58" t="str">
        <f aca="false">IF('STUDENT SCREENING'!AT199="","",IFERROR(INDEX('SCORING MASTER'!$D$92:$D$93,MATCH('STUDENT SCREENING'!AT199,'SCORING MASTER'!$C$92:$C$93,0)),""))</f>
        <v/>
      </c>
      <c r="AV199" s="58" t="str">
        <f aca="false">IF('STUDENT SCREENING'!AU199="","",IFERROR(INDEX('SCORING MASTER'!$D$95:$D$96,MATCH('STUDENT SCREENING'!AU199,'SCORING MASTER'!$C$95:$C$96,0)),""))</f>
        <v/>
      </c>
      <c r="AW199" s="58" t="str">
        <f aca="false">IF('STUDENT SCREENING'!AV199="","",IFERROR(INDEX('SCORING MASTER'!$D$98:$D$99,MATCH('STUDENT SCREENING'!AV199,'SCORING MASTER'!$C$98:$C$99,0)),""))</f>
        <v/>
      </c>
      <c r="AX199" s="58" t="str">
        <f aca="false">IF('STUDENT SCREENING'!AW199="","",IFERROR(INDEX('SCORING MASTER'!$D$101:$D$102,MATCH('STUDENT SCREENING'!AW199,'SCORING MASTER'!$C$101:$C$102,0)),""))</f>
        <v/>
      </c>
      <c r="AY199" s="58" t="str">
        <f aca="false">IF('STUDENT SCREENING'!AX199="","",IFERROR(INDEX('SCORING MASTER'!$D$104:$D$105,MATCH('STUDENT SCREENING'!AX199,'SCORING MASTER'!$C$104:$C$105,0)),""))</f>
        <v/>
      </c>
      <c r="AZ199" s="58" t="str">
        <f aca="false">IF('STUDENT SCREENING'!AY199="","",IFERROR(INDEX('SCORING MASTER'!$D$107:$D$108,MATCH('STUDENT SCREENING'!AY199,'SCORING MASTER'!$C$107:$C$108,0)),""))</f>
        <v/>
      </c>
      <c r="BA199" s="58" t="str">
        <f aca="false">IF('STUDENT SCREENING'!AZ199="","",IFERROR(INDEX('SCORING MASTER'!$D$110:$D$111,MATCH('STUDENT SCREENING'!AZ199,'SCORING MASTER'!$C$110:$C$111,0)),""))</f>
        <v/>
      </c>
      <c r="BB199" s="58" t="str">
        <f aca="false">IF('STUDENT SCREENING'!BA199="","",IFERROR(INDEX('SCORING MASTER'!$D$113:$D$115,MATCH('STUDENT SCREENING'!BA199,'SCORING MASTER'!$C$113:$C$115,0)),""))</f>
        <v/>
      </c>
      <c r="BC199" s="58" t="str">
        <f aca="false">IF('STUDENT SCREENING'!BB199="","",IFERROR(INDEX('SCORING MASTER'!$D$117:$D$119,MATCH('STUDENT SCREENING'!BB199,'SCORING MASTER'!$C$117:$C$119,0)),""))</f>
        <v/>
      </c>
      <c r="BD199" s="58" t="str">
        <f aca="false">IF('STUDENT SCREENING'!BC199="","",IFERROR(INDEX('SCORING MASTER'!$D$121:$D$123,MATCH('STUDENT SCREENING'!BC199,'SCORING MASTER'!$C$121:$C$123,0)),""))</f>
        <v/>
      </c>
      <c r="BE199" s="58" t="str">
        <f aca="false">IF('STUDENT SCREENING'!BD199="","",IFERROR(INDEX('SCORING MASTER'!$D$125:$D$126,MATCH('STUDENT SCREENING'!BD199,'SCORING MASTER'!$C$125:$C$126,0)),""))</f>
        <v/>
      </c>
      <c r="BF199" s="58" t="str">
        <f aca="false">IF('STUDENT SCREENING'!BE199="","",IFERROR(INDEX('SCORING MASTER'!$D$128:$D$129,MATCH('STUDENT SCREENING'!BE199,'SCORING MASTER'!$C$128:$C$129,0)),""))</f>
        <v/>
      </c>
      <c r="BG199" s="58" t="str">
        <f aca="false">IF('STUDENT SCREENING'!BP199="","",IFERROR(MATCH('STUDENT SCREENING'!BP199,{"Red - High Risk","Orange - Moderate Risk","Yellow - Mild Risk","Light Green - Mild Watch","Green - Healthy"},0)-1,""))</f>
        <v/>
      </c>
      <c r="BH199" s="58" t="str">
        <f aca="false">IF('STUDENT SCREENING'!BQ199="","",IF('STUDENT SCREENING'!BQ199="Yes",1,0))</f>
        <v/>
      </c>
      <c r="BI199" s="58" t="str">
        <f aca="false">IF('STUDENT SCREENING'!BR199="","",IF('STUDENT SCREENING'!BR199="Yes",1,0))</f>
        <v/>
      </c>
    </row>
    <row r="200" customFormat="false" ht="15" hidden="false" customHeight="false" outlineLevel="0" collapsed="false">
      <c r="A200" s="57" t="str">
        <f aca="false">'STUDENT SCREENING'!A200</f>
        <v/>
      </c>
      <c r="B200" s="57" t="n">
        <f aca="false">'STUDENT SCREENING'!C200</f>
        <v>0</v>
      </c>
      <c r="C200" s="57" t="n">
        <f aca="false">'STUDENT SCREENING'!D200</f>
        <v>0</v>
      </c>
      <c r="D200" s="57" t="n">
        <f aca="false">'STUDENT SCREENING'!E200</f>
        <v>0</v>
      </c>
      <c r="E200" s="57" t="n">
        <f aca="false">'STUDENT SCREENING'!F200</f>
        <v>0</v>
      </c>
      <c r="F200" s="57" t="n">
        <f aca="false">'STUDENT SCREENING'!K200</f>
        <v>0</v>
      </c>
      <c r="G200" s="57" t="n">
        <f aca="false">'STUDENT SCREENING'!J200</f>
        <v>0</v>
      </c>
      <c r="H200" s="57" t="str">
        <f aca="false">IF('STUDENT SCREENING'!K200="","",IFERROR(MATCH('STUDENT SCREENING'!K200,Adm_Gender,0),""))</f>
        <v/>
      </c>
      <c r="I200" s="57" t="n">
        <f aca="false">'STUDENT SCREENING'!Q200</f>
        <v>0</v>
      </c>
      <c r="J200" s="57" t="n">
        <f aca="false">'STUDENT SCREENING'!R200</f>
        <v>0</v>
      </c>
      <c r="K200" s="57" t="str">
        <f aca="false">'STUDENT SCREENING'!S200</f>
        <v/>
      </c>
      <c r="L200" s="57" t="n">
        <f aca="false">'STUDENT SCREENING'!U200</f>
        <v>0</v>
      </c>
      <c r="M200" s="57" t="n">
        <f aca="false">'STUDENT SCREENING'!V200</f>
        <v>0</v>
      </c>
      <c r="N200" s="57" t="str">
        <f aca="false">'STUDENT SCREENING'!BF200</f>
        <v/>
      </c>
      <c r="O200" s="57" t="str">
        <f aca="false">'STUDENT SCREENING'!BG200</f>
        <v/>
      </c>
      <c r="P200" s="57" t="str">
        <f aca="false">'STUDENT SCREENING'!BH200</f>
        <v/>
      </c>
      <c r="Q200" s="57" t="str">
        <f aca="false">'STUDENT SCREENING'!BI200</f>
        <v/>
      </c>
      <c r="R200" s="57" t="str">
        <f aca="false">'STUDENT SCREENING'!BJ200</f>
        <v/>
      </c>
      <c r="S200" s="57" t="str">
        <f aca="false">'STUDENT SCREENING'!BK200</f>
        <v/>
      </c>
      <c r="T200" s="57" t="str">
        <f aca="false">'STUDENT SCREENING'!BL200</f>
        <v/>
      </c>
      <c r="U200" s="57" t="str">
        <f aca="false">'STUDENT SCREENING'!BM200</f>
        <v/>
      </c>
      <c r="V200" s="57" t="str">
        <f aca="false">'STUDENT SCREENING'!BN200</f>
        <v/>
      </c>
      <c r="W200" s="57" t="str">
        <f aca="false">'STUDENT SCREENING'!BO200</f>
        <v/>
      </c>
      <c r="X200" s="57" t="str">
        <f aca="false">IF('STUDENT SCREENING'!W200="","",IFERROR(INDEX('SCORING MASTER'!$D$5:$D$7,MATCH('STUDENT SCREENING'!W200,'SCORING MASTER'!$C$5:$C$7,0)),""))</f>
        <v/>
      </c>
      <c r="Y200" s="57" t="str">
        <f aca="false">IF('STUDENT SCREENING'!X200="","",IFERROR(INDEX('SCORING MASTER'!$D$9:$D$11,MATCH('STUDENT SCREENING'!X200,'SCORING MASTER'!$C$9:$C$11,0)),""))</f>
        <v/>
      </c>
      <c r="Z200" s="57" t="str">
        <f aca="false">IF('STUDENT SCREENING'!Y200="","",IFERROR(INDEX('SCORING MASTER'!$D$13:$D$15,MATCH('STUDENT SCREENING'!Y200,'SCORING MASTER'!$C$13:$C$15,0)),""))</f>
        <v/>
      </c>
      <c r="AA200" s="57" t="str">
        <f aca="false">IF('STUDENT SCREENING'!Z200="","",IFERROR(INDEX('SCORING MASTER'!$D$17:$D$19,MATCH('STUDENT SCREENING'!Z200,'SCORING MASTER'!$C$17:$C$19,0)),""))</f>
        <v/>
      </c>
      <c r="AB200" s="57" t="str">
        <f aca="false">IF('STUDENT SCREENING'!AA200="","",IFERROR(INDEX('SCORING MASTER'!$D$21:$D$23,MATCH('STUDENT SCREENING'!AA200,'SCORING MASTER'!$C$21:$C$23,0)),""))</f>
        <v/>
      </c>
      <c r="AC200" s="57" t="str">
        <f aca="false">IF('STUDENT SCREENING'!AB200="","",IFERROR(INDEX('SCORING MASTER'!$D$25:$D$27,MATCH('STUDENT SCREENING'!AB200,'SCORING MASTER'!$C$25:$C$27,0)),""))</f>
        <v/>
      </c>
      <c r="AD200" s="57" t="str">
        <f aca="false">IF('STUDENT SCREENING'!AC200="","",IFERROR(INDEX('SCORING MASTER'!$D$29:$D$31,MATCH('STUDENT SCREENING'!AC200,'SCORING MASTER'!$C$29:$C$31,0)),""))</f>
        <v/>
      </c>
      <c r="AE200" s="57" t="str">
        <f aca="false">IF('STUDENT SCREENING'!AD200="","",IFERROR(INDEX('SCORING MASTER'!$D$33:$D$35,MATCH('STUDENT SCREENING'!AD200,'SCORING MASTER'!$C$33:$C$35,0)),""))</f>
        <v/>
      </c>
      <c r="AF200" s="57" t="str">
        <f aca="false">IF('STUDENT SCREENING'!AE200="","",IFERROR(INDEX('SCORING MASTER'!$D$37:$D$39,MATCH('STUDENT SCREENING'!AE200,'SCORING MASTER'!$C$37:$C$39,0)),""))</f>
        <v/>
      </c>
      <c r="AG200" s="57" t="str">
        <f aca="false">IF('STUDENT SCREENING'!AF200="","",IFERROR(INDEX('SCORING MASTER'!$D$41:$D$43,MATCH('STUDENT SCREENING'!AF200,'SCORING MASTER'!$C$41:$C$43,0)),""))</f>
        <v/>
      </c>
      <c r="AH200" s="57" t="str">
        <f aca="false">IF('STUDENT SCREENING'!AG200="","",IFERROR(INDEX('SCORING MASTER'!$D$45:$D$47,MATCH('STUDENT SCREENING'!AG200,'SCORING MASTER'!$C$45:$C$47,0)),""))</f>
        <v/>
      </c>
      <c r="AI200" s="57" t="str">
        <f aca="false">IF('STUDENT SCREENING'!AH200="","",IFERROR(INDEX('SCORING MASTER'!$D$49:$D$52,MATCH('STUDENT SCREENING'!AH200,'SCORING MASTER'!$C$49:$C$52,0)),""))</f>
        <v/>
      </c>
      <c r="AJ200" s="57" t="str">
        <f aca="false">IF('STUDENT SCREENING'!AI200="","",IFERROR(INDEX('SCORING MASTER'!$D$54:$D$57,MATCH('STUDENT SCREENING'!AI200,'SCORING MASTER'!$C$54:$C$57,0)),""))</f>
        <v/>
      </c>
      <c r="AK200" s="57" t="str">
        <f aca="false">IF('STUDENT SCREENING'!AJ200="","",IFERROR(INDEX('SCORING MASTER'!$D$59:$D$60,MATCH('STUDENT SCREENING'!AJ200,'SCORING MASTER'!$C$59:$C$60,0)),""))</f>
        <v/>
      </c>
      <c r="AL200" s="57" t="str">
        <f aca="false">IF('STUDENT SCREENING'!AK200="","",IFERROR(INDEX('SCORING MASTER'!$D$62:$D$63,MATCH('STUDENT SCREENING'!AK200,'SCORING MASTER'!$C$62:$C$63,0)),""))</f>
        <v/>
      </c>
      <c r="AM200" s="57" t="str">
        <f aca="false">IF('STUDENT SCREENING'!AL200="","",IFERROR(INDEX('SCORING MASTER'!$D$65:$D$66,MATCH('STUDENT SCREENING'!AL200,'SCORING MASTER'!$C$65:$C$66,0)),""))</f>
        <v/>
      </c>
      <c r="AN200" s="57" t="str">
        <f aca="false">IF('STUDENT SCREENING'!AM200="","",IFERROR(INDEX('SCORING MASTER'!$D$68:$D$69,MATCH('STUDENT SCREENING'!AM200,'SCORING MASTER'!$C$68:$C$69,0)),""))</f>
        <v/>
      </c>
      <c r="AO200" s="57" t="str">
        <f aca="false">IF('STUDENT SCREENING'!AN200="","",IFERROR(INDEX('SCORING MASTER'!$D$71:$D$72,MATCH('STUDENT SCREENING'!AN200,'SCORING MASTER'!$C$71:$C$72,0)),""))</f>
        <v/>
      </c>
      <c r="AP200" s="57" t="str">
        <f aca="false">IF('STUDENT SCREENING'!AO200="","",IFERROR(INDEX('SCORING MASTER'!$D$74:$D$75,MATCH('STUDENT SCREENING'!AO200,'SCORING MASTER'!$C$74:$C$75,0)),""))</f>
        <v/>
      </c>
      <c r="AQ200" s="57" t="str">
        <f aca="false">IF('STUDENT SCREENING'!AP200="","",IFERROR(INDEX('SCORING MASTER'!$D$77:$D$78,MATCH('STUDENT SCREENING'!AP200,'SCORING MASTER'!$C$77:$C$78,0)),""))</f>
        <v/>
      </c>
      <c r="AR200" s="57" t="str">
        <f aca="false">IF('STUDENT SCREENING'!AQ200="","",IFERROR(INDEX('SCORING MASTER'!$D$80:$D$82,MATCH('STUDENT SCREENING'!AQ200,'SCORING MASTER'!$C$80:$C$82,0)),""))</f>
        <v/>
      </c>
      <c r="AS200" s="57" t="str">
        <f aca="false">IF('STUDENT SCREENING'!AR200="","",IFERROR(INDEX('SCORING MASTER'!$D$84:$D$86,MATCH('STUDENT SCREENING'!AR200,'SCORING MASTER'!$C$84:$C$86,0)),""))</f>
        <v/>
      </c>
      <c r="AT200" s="57" t="str">
        <f aca="false">IF('STUDENT SCREENING'!AS200="","",IFERROR(INDEX('SCORING MASTER'!$D$88:$D$90,MATCH('STUDENT SCREENING'!AS200,'SCORING MASTER'!$C$88:$C$90,0)),""))</f>
        <v/>
      </c>
      <c r="AU200" s="57" t="str">
        <f aca="false">IF('STUDENT SCREENING'!AT200="","",IFERROR(INDEX('SCORING MASTER'!$D$92:$D$93,MATCH('STUDENT SCREENING'!AT200,'SCORING MASTER'!$C$92:$C$93,0)),""))</f>
        <v/>
      </c>
      <c r="AV200" s="57" t="str">
        <f aca="false">IF('STUDENT SCREENING'!AU200="","",IFERROR(INDEX('SCORING MASTER'!$D$95:$D$96,MATCH('STUDENT SCREENING'!AU200,'SCORING MASTER'!$C$95:$C$96,0)),""))</f>
        <v/>
      </c>
      <c r="AW200" s="57" t="str">
        <f aca="false">IF('STUDENT SCREENING'!AV200="","",IFERROR(INDEX('SCORING MASTER'!$D$98:$D$99,MATCH('STUDENT SCREENING'!AV200,'SCORING MASTER'!$C$98:$C$99,0)),""))</f>
        <v/>
      </c>
      <c r="AX200" s="57" t="str">
        <f aca="false">IF('STUDENT SCREENING'!AW200="","",IFERROR(INDEX('SCORING MASTER'!$D$101:$D$102,MATCH('STUDENT SCREENING'!AW200,'SCORING MASTER'!$C$101:$C$102,0)),""))</f>
        <v/>
      </c>
      <c r="AY200" s="57" t="str">
        <f aca="false">IF('STUDENT SCREENING'!AX200="","",IFERROR(INDEX('SCORING MASTER'!$D$104:$D$105,MATCH('STUDENT SCREENING'!AX200,'SCORING MASTER'!$C$104:$C$105,0)),""))</f>
        <v/>
      </c>
      <c r="AZ200" s="57" t="str">
        <f aca="false">IF('STUDENT SCREENING'!AY200="","",IFERROR(INDEX('SCORING MASTER'!$D$107:$D$108,MATCH('STUDENT SCREENING'!AY200,'SCORING MASTER'!$C$107:$C$108,0)),""))</f>
        <v/>
      </c>
      <c r="BA200" s="57" t="str">
        <f aca="false">IF('STUDENT SCREENING'!AZ200="","",IFERROR(INDEX('SCORING MASTER'!$D$110:$D$111,MATCH('STUDENT SCREENING'!AZ200,'SCORING MASTER'!$C$110:$C$111,0)),""))</f>
        <v/>
      </c>
      <c r="BB200" s="57" t="str">
        <f aca="false">IF('STUDENT SCREENING'!BA200="","",IFERROR(INDEX('SCORING MASTER'!$D$113:$D$115,MATCH('STUDENT SCREENING'!BA200,'SCORING MASTER'!$C$113:$C$115,0)),""))</f>
        <v/>
      </c>
      <c r="BC200" s="57" t="str">
        <f aca="false">IF('STUDENT SCREENING'!BB200="","",IFERROR(INDEX('SCORING MASTER'!$D$117:$D$119,MATCH('STUDENT SCREENING'!BB200,'SCORING MASTER'!$C$117:$C$119,0)),""))</f>
        <v/>
      </c>
      <c r="BD200" s="57" t="str">
        <f aca="false">IF('STUDENT SCREENING'!BC200="","",IFERROR(INDEX('SCORING MASTER'!$D$121:$D$123,MATCH('STUDENT SCREENING'!BC200,'SCORING MASTER'!$C$121:$C$123,0)),""))</f>
        <v/>
      </c>
      <c r="BE200" s="57" t="str">
        <f aca="false">IF('STUDENT SCREENING'!BD200="","",IFERROR(INDEX('SCORING MASTER'!$D$125:$D$126,MATCH('STUDENT SCREENING'!BD200,'SCORING MASTER'!$C$125:$C$126,0)),""))</f>
        <v/>
      </c>
      <c r="BF200" s="57" t="str">
        <f aca="false">IF('STUDENT SCREENING'!BE200="","",IFERROR(INDEX('SCORING MASTER'!$D$128:$D$129,MATCH('STUDENT SCREENING'!BE200,'SCORING MASTER'!$C$128:$C$129,0)),""))</f>
        <v/>
      </c>
      <c r="BG200" s="57" t="str">
        <f aca="false">IF('STUDENT SCREENING'!BP200="","",IFERROR(MATCH('STUDENT SCREENING'!BP200,{"Red - High Risk","Orange - Moderate Risk","Yellow - Mild Risk","Light Green - Mild Watch","Green - Healthy"},0)-1,""))</f>
        <v/>
      </c>
      <c r="BH200" s="57" t="str">
        <f aca="false">IF('STUDENT SCREENING'!BQ200="","",IF('STUDENT SCREENING'!BQ200="Yes",1,0))</f>
        <v/>
      </c>
      <c r="BI200" s="57" t="str">
        <f aca="false">IF('STUDENT SCREENING'!BR200="","",IF('STUDENT SCREENING'!BR200="Yes",1,0))</f>
        <v/>
      </c>
    </row>
    <row r="201" customFormat="false" ht="15" hidden="false" customHeight="false" outlineLevel="0" collapsed="false">
      <c r="A201" s="58" t="str">
        <f aca="false">'STUDENT SCREENING'!A201</f>
        <v/>
      </c>
      <c r="B201" s="58" t="n">
        <f aca="false">'STUDENT SCREENING'!C201</f>
        <v>0</v>
      </c>
      <c r="C201" s="58" t="n">
        <f aca="false">'STUDENT SCREENING'!D201</f>
        <v>0</v>
      </c>
      <c r="D201" s="58" t="n">
        <f aca="false">'STUDENT SCREENING'!E201</f>
        <v>0</v>
      </c>
      <c r="E201" s="58" t="n">
        <f aca="false">'STUDENT SCREENING'!F201</f>
        <v>0</v>
      </c>
      <c r="F201" s="58" t="n">
        <f aca="false">'STUDENT SCREENING'!K201</f>
        <v>0</v>
      </c>
      <c r="G201" s="58" t="n">
        <f aca="false">'STUDENT SCREENING'!J201</f>
        <v>0</v>
      </c>
      <c r="H201" s="58" t="str">
        <f aca="false">IF('STUDENT SCREENING'!K201="","",IFERROR(MATCH('STUDENT SCREENING'!K201,Adm_Gender,0),""))</f>
        <v/>
      </c>
      <c r="I201" s="58" t="n">
        <f aca="false">'STUDENT SCREENING'!Q201</f>
        <v>0</v>
      </c>
      <c r="J201" s="58" t="n">
        <f aca="false">'STUDENT SCREENING'!R201</f>
        <v>0</v>
      </c>
      <c r="K201" s="58" t="str">
        <f aca="false">'STUDENT SCREENING'!S201</f>
        <v/>
      </c>
      <c r="L201" s="58" t="n">
        <f aca="false">'STUDENT SCREENING'!U201</f>
        <v>0</v>
      </c>
      <c r="M201" s="58" t="n">
        <f aca="false">'STUDENT SCREENING'!V201</f>
        <v>0</v>
      </c>
      <c r="N201" s="58" t="str">
        <f aca="false">'STUDENT SCREENING'!BF201</f>
        <v/>
      </c>
      <c r="O201" s="58" t="str">
        <f aca="false">'STUDENT SCREENING'!BG201</f>
        <v/>
      </c>
      <c r="P201" s="58" t="str">
        <f aca="false">'STUDENT SCREENING'!BH201</f>
        <v/>
      </c>
      <c r="Q201" s="58" t="str">
        <f aca="false">'STUDENT SCREENING'!BI201</f>
        <v/>
      </c>
      <c r="R201" s="58" t="str">
        <f aca="false">'STUDENT SCREENING'!BJ201</f>
        <v/>
      </c>
      <c r="S201" s="58" t="str">
        <f aca="false">'STUDENT SCREENING'!BK201</f>
        <v/>
      </c>
      <c r="T201" s="58" t="str">
        <f aca="false">'STUDENT SCREENING'!BL201</f>
        <v/>
      </c>
      <c r="U201" s="58" t="str">
        <f aca="false">'STUDENT SCREENING'!BM201</f>
        <v/>
      </c>
      <c r="V201" s="58" t="str">
        <f aca="false">'STUDENT SCREENING'!BN201</f>
        <v/>
      </c>
      <c r="W201" s="58" t="str">
        <f aca="false">'STUDENT SCREENING'!BO201</f>
        <v/>
      </c>
      <c r="X201" s="58" t="str">
        <f aca="false">IF('STUDENT SCREENING'!W201="","",IFERROR(INDEX('SCORING MASTER'!$D$5:$D$7,MATCH('STUDENT SCREENING'!W201,'SCORING MASTER'!$C$5:$C$7,0)),""))</f>
        <v/>
      </c>
      <c r="Y201" s="58" t="str">
        <f aca="false">IF('STUDENT SCREENING'!X201="","",IFERROR(INDEX('SCORING MASTER'!$D$9:$D$11,MATCH('STUDENT SCREENING'!X201,'SCORING MASTER'!$C$9:$C$11,0)),""))</f>
        <v/>
      </c>
      <c r="Z201" s="58" t="str">
        <f aca="false">IF('STUDENT SCREENING'!Y201="","",IFERROR(INDEX('SCORING MASTER'!$D$13:$D$15,MATCH('STUDENT SCREENING'!Y201,'SCORING MASTER'!$C$13:$C$15,0)),""))</f>
        <v/>
      </c>
      <c r="AA201" s="58" t="str">
        <f aca="false">IF('STUDENT SCREENING'!Z201="","",IFERROR(INDEX('SCORING MASTER'!$D$17:$D$19,MATCH('STUDENT SCREENING'!Z201,'SCORING MASTER'!$C$17:$C$19,0)),""))</f>
        <v/>
      </c>
      <c r="AB201" s="58" t="str">
        <f aca="false">IF('STUDENT SCREENING'!AA201="","",IFERROR(INDEX('SCORING MASTER'!$D$21:$D$23,MATCH('STUDENT SCREENING'!AA201,'SCORING MASTER'!$C$21:$C$23,0)),""))</f>
        <v/>
      </c>
      <c r="AC201" s="58" t="str">
        <f aca="false">IF('STUDENT SCREENING'!AB201="","",IFERROR(INDEX('SCORING MASTER'!$D$25:$D$27,MATCH('STUDENT SCREENING'!AB201,'SCORING MASTER'!$C$25:$C$27,0)),""))</f>
        <v/>
      </c>
      <c r="AD201" s="58" t="str">
        <f aca="false">IF('STUDENT SCREENING'!AC201="","",IFERROR(INDEX('SCORING MASTER'!$D$29:$D$31,MATCH('STUDENT SCREENING'!AC201,'SCORING MASTER'!$C$29:$C$31,0)),""))</f>
        <v/>
      </c>
      <c r="AE201" s="58" t="str">
        <f aca="false">IF('STUDENT SCREENING'!AD201="","",IFERROR(INDEX('SCORING MASTER'!$D$33:$D$35,MATCH('STUDENT SCREENING'!AD201,'SCORING MASTER'!$C$33:$C$35,0)),""))</f>
        <v/>
      </c>
      <c r="AF201" s="58" t="str">
        <f aca="false">IF('STUDENT SCREENING'!AE201="","",IFERROR(INDEX('SCORING MASTER'!$D$37:$D$39,MATCH('STUDENT SCREENING'!AE201,'SCORING MASTER'!$C$37:$C$39,0)),""))</f>
        <v/>
      </c>
      <c r="AG201" s="58" t="str">
        <f aca="false">IF('STUDENT SCREENING'!AF201="","",IFERROR(INDEX('SCORING MASTER'!$D$41:$D$43,MATCH('STUDENT SCREENING'!AF201,'SCORING MASTER'!$C$41:$C$43,0)),""))</f>
        <v/>
      </c>
      <c r="AH201" s="58" t="str">
        <f aca="false">IF('STUDENT SCREENING'!AG201="","",IFERROR(INDEX('SCORING MASTER'!$D$45:$D$47,MATCH('STUDENT SCREENING'!AG201,'SCORING MASTER'!$C$45:$C$47,0)),""))</f>
        <v/>
      </c>
      <c r="AI201" s="58" t="str">
        <f aca="false">IF('STUDENT SCREENING'!AH201="","",IFERROR(INDEX('SCORING MASTER'!$D$49:$D$52,MATCH('STUDENT SCREENING'!AH201,'SCORING MASTER'!$C$49:$C$52,0)),""))</f>
        <v/>
      </c>
      <c r="AJ201" s="58" t="str">
        <f aca="false">IF('STUDENT SCREENING'!AI201="","",IFERROR(INDEX('SCORING MASTER'!$D$54:$D$57,MATCH('STUDENT SCREENING'!AI201,'SCORING MASTER'!$C$54:$C$57,0)),""))</f>
        <v/>
      </c>
      <c r="AK201" s="58" t="str">
        <f aca="false">IF('STUDENT SCREENING'!AJ201="","",IFERROR(INDEX('SCORING MASTER'!$D$59:$D$60,MATCH('STUDENT SCREENING'!AJ201,'SCORING MASTER'!$C$59:$C$60,0)),""))</f>
        <v/>
      </c>
      <c r="AL201" s="58" t="str">
        <f aca="false">IF('STUDENT SCREENING'!AK201="","",IFERROR(INDEX('SCORING MASTER'!$D$62:$D$63,MATCH('STUDENT SCREENING'!AK201,'SCORING MASTER'!$C$62:$C$63,0)),""))</f>
        <v/>
      </c>
      <c r="AM201" s="58" t="str">
        <f aca="false">IF('STUDENT SCREENING'!AL201="","",IFERROR(INDEX('SCORING MASTER'!$D$65:$D$66,MATCH('STUDENT SCREENING'!AL201,'SCORING MASTER'!$C$65:$C$66,0)),""))</f>
        <v/>
      </c>
      <c r="AN201" s="58" t="str">
        <f aca="false">IF('STUDENT SCREENING'!AM201="","",IFERROR(INDEX('SCORING MASTER'!$D$68:$D$69,MATCH('STUDENT SCREENING'!AM201,'SCORING MASTER'!$C$68:$C$69,0)),""))</f>
        <v/>
      </c>
      <c r="AO201" s="58" t="str">
        <f aca="false">IF('STUDENT SCREENING'!AN201="","",IFERROR(INDEX('SCORING MASTER'!$D$71:$D$72,MATCH('STUDENT SCREENING'!AN201,'SCORING MASTER'!$C$71:$C$72,0)),""))</f>
        <v/>
      </c>
      <c r="AP201" s="58" t="str">
        <f aca="false">IF('STUDENT SCREENING'!AO201="","",IFERROR(INDEX('SCORING MASTER'!$D$74:$D$75,MATCH('STUDENT SCREENING'!AO201,'SCORING MASTER'!$C$74:$C$75,0)),""))</f>
        <v/>
      </c>
      <c r="AQ201" s="58" t="str">
        <f aca="false">IF('STUDENT SCREENING'!AP201="","",IFERROR(INDEX('SCORING MASTER'!$D$77:$D$78,MATCH('STUDENT SCREENING'!AP201,'SCORING MASTER'!$C$77:$C$78,0)),""))</f>
        <v/>
      </c>
      <c r="AR201" s="58" t="str">
        <f aca="false">IF('STUDENT SCREENING'!AQ201="","",IFERROR(INDEX('SCORING MASTER'!$D$80:$D$82,MATCH('STUDENT SCREENING'!AQ201,'SCORING MASTER'!$C$80:$C$82,0)),""))</f>
        <v/>
      </c>
      <c r="AS201" s="58" t="str">
        <f aca="false">IF('STUDENT SCREENING'!AR201="","",IFERROR(INDEX('SCORING MASTER'!$D$84:$D$86,MATCH('STUDENT SCREENING'!AR201,'SCORING MASTER'!$C$84:$C$86,0)),""))</f>
        <v/>
      </c>
      <c r="AT201" s="58" t="str">
        <f aca="false">IF('STUDENT SCREENING'!AS201="","",IFERROR(INDEX('SCORING MASTER'!$D$88:$D$90,MATCH('STUDENT SCREENING'!AS201,'SCORING MASTER'!$C$88:$C$90,0)),""))</f>
        <v/>
      </c>
      <c r="AU201" s="58" t="str">
        <f aca="false">IF('STUDENT SCREENING'!AT201="","",IFERROR(INDEX('SCORING MASTER'!$D$92:$D$93,MATCH('STUDENT SCREENING'!AT201,'SCORING MASTER'!$C$92:$C$93,0)),""))</f>
        <v/>
      </c>
      <c r="AV201" s="58" t="str">
        <f aca="false">IF('STUDENT SCREENING'!AU201="","",IFERROR(INDEX('SCORING MASTER'!$D$95:$D$96,MATCH('STUDENT SCREENING'!AU201,'SCORING MASTER'!$C$95:$C$96,0)),""))</f>
        <v/>
      </c>
      <c r="AW201" s="58" t="str">
        <f aca="false">IF('STUDENT SCREENING'!AV201="","",IFERROR(INDEX('SCORING MASTER'!$D$98:$D$99,MATCH('STUDENT SCREENING'!AV201,'SCORING MASTER'!$C$98:$C$99,0)),""))</f>
        <v/>
      </c>
      <c r="AX201" s="58" t="str">
        <f aca="false">IF('STUDENT SCREENING'!AW201="","",IFERROR(INDEX('SCORING MASTER'!$D$101:$D$102,MATCH('STUDENT SCREENING'!AW201,'SCORING MASTER'!$C$101:$C$102,0)),""))</f>
        <v/>
      </c>
      <c r="AY201" s="58" t="str">
        <f aca="false">IF('STUDENT SCREENING'!AX201="","",IFERROR(INDEX('SCORING MASTER'!$D$104:$D$105,MATCH('STUDENT SCREENING'!AX201,'SCORING MASTER'!$C$104:$C$105,0)),""))</f>
        <v/>
      </c>
      <c r="AZ201" s="58" t="str">
        <f aca="false">IF('STUDENT SCREENING'!AY201="","",IFERROR(INDEX('SCORING MASTER'!$D$107:$D$108,MATCH('STUDENT SCREENING'!AY201,'SCORING MASTER'!$C$107:$C$108,0)),""))</f>
        <v/>
      </c>
      <c r="BA201" s="58" t="str">
        <f aca="false">IF('STUDENT SCREENING'!AZ201="","",IFERROR(INDEX('SCORING MASTER'!$D$110:$D$111,MATCH('STUDENT SCREENING'!AZ201,'SCORING MASTER'!$C$110:$C$111,0)),""))</f>
        <v/>
      </c>
      <c r="BB201" s="58" t="str">
        <f aca="false">IF('STUDENT SCREENING'!BA201="","",IFERROR(INDEX('SCORING MASTER'!$D$113:$D$115,MATCH('STUDENT SCREENING'!BA201,'SCORING MASTER'!$C$113:$C$115,0)),""))</f>
        <v/>
      </c>
      <c r="BC201" s="58" t="str">
        <f aca="false">IF('STUDENT SCREENING'!BB201="","",IFERROR(INDEX('SCORING MASTER'!$D$117:$D$119,MATCH('STUDENT SCREENING'!BB201,'SCORING MASTER'!$C$117:$C$119,0)),""))</f>
        <v/>
      </c>
      <c r="BD201" s="58" t="str">
        <f aca="false">IF('STUDENT SCREENING'!BC201="","",IFERROR(INDEX('SCORING MASTER'!$D$121:$D$123,MATCH('STUDENT SCREENING'!BC201,'SCORING MASTER'!$C$121:$C$123,0)),""))</f>
        <v/>
      </c>
      <c r="BE201" s="58" t="str">
        <f aca="false">IF('STUDENT SCREENING'!BD201="","",IFERROR(INDEX('SCORING MASTER'!$D$125:$D$126,MATCH('STUDENT SCREENING'!BD201,'SCORING MASTER'!$C$125:$C$126,0)),""))</f>
        <v/>
      </c>
      <c r="BF201" s="58" t="str">
        <f aca="false">IF('STUDENT SCREENING'!BE201="","",IFERROR(INDEX('SCORING MASTER'!$D$128:$D$129,MATCH('STUDENT SCREENING'!BE201,'SCORING MASTER'!$C$128:$C$129,0)),""))</f>
        <v/>
      </c>
      <c r="BG201" s="58" t="str">
        <f aca="false">IF('STUDENT SCREENING'!BP201="","",IFERROR(MATCH('STUDENT SCREENING'!BP201,{"Red - High Risk","Orange - Moderate Risk","Yellow - Mild Risk","Light Green - Mild Watch","Green - Healthy"},0)-1,""))</f>
        <v/>
      </c>
      <c r="BH201" s="58" t="str">
        <f aca="false">IF('STUDENT SCREENING'!BQ201="","",IF('STUDENT SCREENING'!BQ201="Yes",1,0))</f>
        <v/>
      </c>
      <c r="BI201" s="58" t="str">
        <f aca="false">IF('STUDENT SCREENING'!BR201="","",IF('STUDENT SCREENING'!BR201="Yes",1,0))</f>
        <v/>
      </c>
    </row>
    <row r="202" customFormat="false" ht="15" hidden="false" customHeight="false" outlineLevel="0" collapsed="false">
      <c r="A202" s="57" t="str">
        <f aca="false">'STUDENT SCREENING'!A202</f>
        <v/>
      </c>
      <c r="B202" s="57" t="n">
        <f aca="false">'STUDENT SCREENING'!C202</f>
        <v>0</v>
      </c>
      <c r="C202" s="57" t="n">
        <f aca="false">'STUDENT SCREENING'!D202</f>
        <v>0</v>
      </c>
      <c r="D202" s="57" t="n">
        <f aca="false">'STUDENT SCREENING'!E202</f>
        <v>0</v>
      </c>
      <c r="E202" s="57" t="n">
        <f aca="false">'STUDENT SCREENING'!F202</f>
        <v>0</v>
      </c>
      <c r="F202" s="57" t="n">
        <f aca="false">'STUDENT SCREENING'!K202</f>
        <v>0</v>
      </c>
      <c r="G202" s="57" t="n">
        <f aca="false">'STUDENT SCREENING'!J202</f>
        <v>0</v>
      </c>
      <c r="H202" s="57" t="str">
        <f aca="false">IF('STUDENT SCREENING'!K202="","",IFERROR(MATCH('STUDENT SCREENING'!K202,Adm_Gender,0),""))</f>
        <v/>
      </c>
      <c r="I202" s="57" t="n">
        <f aca="false">'STUDENT SCREENING'!Q202</f>
        <v>0</v>
      </c>
      <c r="J202" s="57" t="n">
        <f aca="false">'STUDENT SCREENING'!R202</f>
        <v>0</v>
      </c>
      <c r="K202" s="57" t="str">
        <f aca="false">'STUDENT SCREENING'!S202</f>
        <v/>
      </c>
      <c r="L202" s="57" t="n">
        <f aca="false">'STUDENT SCREENING'!U202</f>
        <v>0</v>
      </c>
      <c r="M202" s="57" t="n">
        <f aca="false">'STUDENT SCREENING'!V202</f>
        <v>0</v>
      </c>
      <c r="N202" s="57" t="str">
        <f aca="false">'STUDENT SCREENING'!BF202</f>
        <v/>
      </c>
      <c r="O202" s="57" t="str">
        <f aca="false">'STUDENT SCREENING'!BG202</f>
        <v/>
      </c>
      <c r="P202" s="57" t="str">
        <f aca="false">'STUDENT SCREENING'!BH202</f>
        <v/>
      </c>
      <c r="Q202" s="57" t="str">
        <f aca="false">'STUDENT SCREENING'!BI202</f>
        <v/>
      </c>
      <c r="R202" s="57" t="str">
        <f aca="false">'STUDENT SCREENING'!BJ202</f>
        <v/>
      </c>
      <c r="S202" s="57" t="str">
        <f aca="false">'STUDENT SCREENING'!BK202</f>
        <v/>
      </c>
      <c r="T202" s="57" t="str">
        <f aca="false">'STUDENT SCREENING'!BL202</f>
        <v/>
      </c>
      <c r="U202" s="57" t="str">
        <f aca="false">'STUDENT SCREENING'!BM202</f>
        <v/>
      </c>
      <c r="V202" s="57" t="str">
        <f aca="false">'STUDENT SCREENING'!BN202</f>
        <v/>
      </c>
      <c r="W202" s="57" t="str">
        <f aca="false">'STUDENT SCREENING'!BO202</f>
        <v/>
      </c>
      <c r="X202" s="57" t="str">
        <f aca="false">IF('STUDENT SCREENING'!W202="","",IFERROR(INDEX('SCORING MASTER'!$D$5:$D$7,MATCH('STUDENT SCREENING'!W202,'SCORING MASTER'!$C$5:$C$7,0)),""))</f>
        <v/>
      </c>
      <c r="Y202" s="57" t="str">
        <f aca="false">IF('STUDENT SCREENING'!X202="","",IFERROR(INDEX('SCORING MASTER'!$D$9:$D$11,MATCH('STUDENT SCREENING'!X202,'SCORING MASTER'!$C$9:$C$11,0)),""))</f>
        <v/>
      </c>
      <c r="Z202" s="57" t="str">
        <f aca="false">IF('STUDENT SCREENING'!Y202="","",IFERROR(INDEX('SCORING MASTER'!$D$13:$D$15,MATCH('STUDENT SCREENING'!Y202,'SCORING MASTER'!$C$13:$C$15,0)),""))</f>
        <v/>
      </c>
      <c r="AA202" s="57" t="str">
        <f aca="false">IF('STUDENT SCREENING'!Z202="","",IFERROR(INDEX('SCORING MASTER'!$D$17:$D$19,MATCH('STUDENT SCREENING'!Z202,'SCORING MASTER'!$C$17:$C$19,0)),""))</f>
        <v/>
      </c>
      <c r="AB202" s="57" t="str">
        <f aca="false">IF('STUDENT SCREENING'!AA202="","",IFERROR(INDEX('SCORING MASTER'!$D$21:$D$23,MATCH('STUDENT SCREENING'!AA202,'SCORING MASTER'!$C$21:$C$23,0)),""))</f>
        <v/>
      </c>
      <c r="AC202" s="57" t="str">
        <f aca="false">IF('STUDENT SCREENING'!AB202="","",IFERROR(INDEX('SCORING MASTER'!$D$25:$D$27,MATCH('STUDENT SCREENING'!AB202,'SCORING MASTER'!$C$25:$C$27,0)),""))</f>
        <v/>
      </c>
      <c r="AD202" s="57" t="str">
        <f aca="false">IF('STUDENT SCREENING'!AC202="","",IFERROR(INDEX('SCORING MASTER'!$D$29:$D$31,MATCH('STUDENT SCREENING'!AC202,'SCORING MASTER'!$C$29:$C$31,0)),""))</f>
        <v/>
      </c>
      <c r="AE202" s="57" t="str">
        <f aca="false">IF('STUDENT SCREENING'!AD202="","",IFERROR(INDEX('SCORING MASTER'!$D$33:$D$35,MATCH('STUDENT SCREENING'!AD202,'SCORING MASTER'!$C$33:$C$35,0)),""))</f>
        <v/>
      </c>
      <c r="AF202" s="57" t="str">
        <f aca="false">IF('STUDENT SCREENING'!AE202="","",IFERROR(INDEX('SCORING MASTER'!$D$37:$D$39,MATCH('STUDENT SCREENING'!AE202,'SCORING MASTER'!$C$37:$C$39,0)),""))</f>
        <v/>
      </c>
      <c r="AG202" s="57" t="str">
        <f aca="false">IF('STUDENT SCREENING'!AF202="","",IFERROR(INDEX('SCORING MASTER'!$D$41:$D$43,MATCH('STUDENT SCREENING'!AF202,'SCORING MASTER'!$C$41:$C$43,0)),""))</f>
        <v/>
      </c>
      <c r="AH202" s="57" t="str">
        <f aca="false">IF('STUDENT SCREENING'!AG202="","",IFERROR(INDEX('SCORING MASTER'!$D$45:$D$47,MATCH('STUDENT SCREENING'!AG202,'SCORING MASTER'!$C$45:$C$47,0)),""))</f>
        <v/>
      </c>
      <c r="AI202" s="57" t="str">
        <f aca="false">IF('STUDENT SCREENING'!AH202="","",IFERROR(INDEX('SCORING MASTER'!$D$49:$D$52,MATCH('STUDENT SCREENING'!AH202,'SCORING MASTER'!$C$49:$C$52,0)),""))</f>
        <v/>
      </c>
      <c r="AJ202" s="57" t="str">
        <f aca="false">IF('STUDENT SCREENING'!AI202="","",IFERROR(INDEX('SCORING MASTER'!$D$54:$D$57,MATCH('STUDENT SCREENING'!AI202,'SCORING MASTER'!$C$54:$C$57,0)),""))</f>
        <v/>
      </c>
      <c r="AK202" s="57" t="str">
        <f aca="false">IF('STUDENT SCREENING'!AJ202="","",IFERROR(INDEX('SCORING MASTER'!$D$59:$D$60,MATCH('STUDENT SCREENING'!AJ202,'SCORING MASTER'!$C$59:$C$60,0)),""))</f>
        <v/>
      </c>
      <c r="AL202" s="57" t="str">
        <f aca="false">IF('STUDENT SCREENING'!AK202="","",IFERROR(INDEX('SCORING MASTER'!$D$62:$D$63,MATCH('STUDENT SCREENING'!AK202,'SCORING MASTER'!$C$62:$C$63,0)),""))</f>
        <v/>
      </c>
      <c r="AM202" s="57" t="str">
        <f aca="false">IF('STUDENT SCREENING'!AL202="","",IFERROR(INDEX('SCORING MASTER'!$D$65:$D$66,MATCH('STUDENT SCREENING'!AL202,'SCORING MASTER'!$C$65:$C$66,0)),""))</f>
        <v/>
      </c>
      <c r="AN202" s="57" t="str">
        <f aca="false">IF('STUDENT SCREENING'!AM202="","",IFERROR(INDEX('SCORING MASTER'!$D$68:$D$69,MATCH('STUDENT SCREENING'!AM202,'SCORING MASTER'!$C$68:$C$69,0)),""))</f>
        <v/>
      </c>
      <c r="AO202" s="57" t="str">
        <f aca="false">IF('STUDENT SCREENING'!AN202="","",IFERROR(INDEX('SCORING MASTER'!$D$71:$D$72,MATCH('STUDENT SCREENING'!AN202,'SCORING MASTER'!$C$71:$C$72,0)),""))</f>
        <v/>
      </c>
      <c r="AP202" s="57" t="str">
        <f aca="false">IF('STUDENT SCREENING'!AO202="","",IFERROR(INDEX('SCORING MASTER'!$D$74:$D$75,MATCH('STUDENT SCREENING'!AO202,'SCORING MASTER'!$C$74:$C$75,0)),""))</f>
        <v/>
      </c>
      <c r="AQ202" s="57" t="str">
        <f aca="false">IF('STUDENT SCREENING'!AP202="","",IFERROR(INDEX('SCORING MASTER'!$D$77:$D$78,MATCH('STUDENT SCREENING'!AP202,'SCORING MASTER'!$C$77:$C$78,0)),""))</f>
        <v/>
      </c>
      <c r="AR202" s="57" t="str">
        <f aca="false">IF('STUDENT SCREENING'!AQ202="","",IFERROR(INDEX('SCORING MASTER'!$D$80:$D$82,MATCH('STUDENT SCREENING'!AQ202,'SCORING MASTER'!$C$80:$C$82,0)),""))</f>
        <v/>
      </c>
      <c r="AS202" s="57" t="str">
        <f aca="false">IF('STUDENT SCREENING'!AR202="","",IFERROR(INDEX('SCORING MASTER'!$D$84:$D$86,MATCH('STUDENT SCREENING'!AR202,'SCORING MASTER'!$C$84:$C$86,0)),""))</f>
        <v/>
      </c>
      <c r="AT202" s="57" t="str">
        <f aca="false">IF('STUDENT SCREENING'!AS202="","",IFERROR(INDEX('SCORING MASTER'!$D$88:$D$90,MATCH('STUDENT SCREENING'!AS202,'SCORING MASTER'!$C$88:$C$90,0)),""))</f>
        <v/>
      </c>
      <c r="AU202" s="57" t="str">
        <f aca="false">IF('STUDENT SCREENING'!AT202="","",IFERROR(INDEX('SCORING MASTER'!$D$92:$D$93,MATCH('STUDENT SCREENING'!AT202,'SCORING MASTER'!$C$92:$C$93,0)),""))</f>
        <v/>
      </c>
      <c r="AV202" s="57" t="str">
        <f aca="false">IF('STUDENT SCREENING'!AU202="","",IFERROR(INDEX('SCORING MASTER'!$D$95:$D$96,MATCH('STUDENT SCREENING'!AU202,'SCORING MASTER'!$C$95:$C$96,0)),""))</f>
        <v/>
      </c>
      <c r="AW202" s="57" t="str">
        <f aca="false">IF('STUDENT SCREENING'!AV202="","",IFERROR(INDEX('SCORING MASTER'!$D$98:$D$99,MATCH('STUDENT SCREENING'!AV202,'SCORING MASTER'!$C$98:$C$99,0)),""))</f>
        <v/>
      </c>
      <c r="AX202" s="57" t="str">
        <f aca="false">IF('STUDENT SCREENING'!AW202="","",IFERROR(INDEX('SCORING MASTER'!$D$101:$D$102,MATCH('STUDENT SCREENING'!AW202,'SCORING MASTER'!$C$101:$C$102,0)),""))</f>
        <v/>
      </c>
      <c r="AY202" s="57" t="str">
        <f aca="false">IF('STUDENT SCREENING'!AX202="","",IFERROR(INDEX('SCORING MASTER'!$D$104:$D$105,MATCH('STUDENT SCREENING'!AX202,'SCORING MASTER'!$C$104:$C$105,0)),""))</f>
        <v/>
      </c>
      <c r="AZ202" s="57" t="str">
        <f aca="false">IF('STUDENT SCREENING'!AY202="","",IFERROR(INDEX('SCORING MASTER'!$D$107:$D$108,MATCH('STUDENT SCREENING'!AY202,'SCORING MASTER'!$C$107:$C$108,0)),""))</f>
        <v/>
      </c>
      <c r="BA202" s="57" t="str">
        <f aca="false">IF('STUDENT SCREENING'!AZ202="","",IFERROR(INDEX('SCORING MASTER'!$D$110:$D$111,MATCH('STUDENT SCREENING'!AZ202,'SCORING MASTER'!$C$110:$C$111,0)),""))</f>
        <v/>
      </c>
      <c r="BB202" s="57" t="str">
        <f aca="false">IF('STUDENT SCREENING'!BA202="","",IFERROR(INDEX('SCORING MASTER'!$D$113:$D$115,MATCH('STUDENT SCREENING'!BA202,'SCORING MASTER'!$C$113:$C$115,0)),""))</f>
        <v/>
      </c>
      <c r="BC202" s="57" t="str">
        <f aca="false">IF('STUDENT SCREENING'!BB202="","",IFERROR(INDEX('SCORING MASTER'!$D$117:$D$119,MATCH('STUDENT SCREENING'!BB202,'SCORING MASTER'!$C$117:$C$119,0)),""))</f>
        <v/>
      </c>
      <c r="BD202" s="57" t="str">
        <f aca="false">IF('STUDENT SCREENING'!BC202="","",IFERROR(INDEX('SCORING MASTER'!$D$121:$D$123,MATCH('STUDENT SCREENING'!BC202,'SCORING MASTER'!$C$121:$C$123,0)),""))</f>
        <v/>
      </c>
      <c r="BE202" s="57" t="str">
        <f aca="false">IF('STUDENT SCREENING'!BD202="","",IFERROR(INDEX('SCORING MASTER'!$D$125:$D$126,MATCH('STUDENT SCREENING'!BD202,'SCORING MASTER'!$C$125:$C$126,0)),""))</f>
        <v/>
      </c>
      <c r="BF202" s="57" t="str">
        <f aca="false">IF('STUDENT SCREENING'!BE202="","",IFERROR(INDEX('SCORING MASTER'!$D$128:$D$129,MATCH('STUDENT SCREENING'!BE202,'SCORING MASTER'!$C$128:$C$129,0)),""))</f>
        <v/>
      </c>
      <c r="BG202" s="57" t="str">
        <f aca="false">IF('STUDENT SCREENING'!BP202="","",IFERROR(MATCH('STUDENT SCREENING'!BP202,{"Red - High Risk","Orange - Moderate Risk","Yellow - Mild Risk","Light Green - Mild Watch","Green - Healthy"},0)-1,""))</f>
        <v/>
      </c>
      <c r="BH202" s="57" t="str">
        <f aca="false">IF('STUDENT SCREENING'!BQ202="","",IF('STUDENT SCREENING'!BQ202="Yes",1,0))</f>
        <v/>
      </c>
      <c r="BI202" s="57" t="str">
        <f aca="false">IF('STUDENT SCREENING'!BR202="","",IF('STUDENT SCREENING'!BR202="Yes",1,0))</f>
        <v/>
      </c>
    </row>
    <row r="203" customFormat="false" ht="15" hidden="false" customHeight="false" outlineLevel="0" collapsed="false">
      <c r="A203" s="58" t="str">
        <f aca="false">'STUDENT SCREENING'!A203</f>
        <v/>
      </c>
      <c r="B203" s="58" t="n">
        <f aca="false">'STUDENT SCREENING'!C203</f>
        <v>0</v>
      </c>
      <c r="C203" s="58" t="n">
        <f aca="false">'STUDENT SCREENING'!D203</f>
        <v>0</v>
      </c>
      <c r="D203" s="58" t="n">
        <f aca="false">'STUDENT SCREENING'!E203</f>
        <v>0</v>
      </c>
      <c r="E203" s="58" t="n">
        <f aca="false">'STUDENT SCREENING'!F203</f>
        <v>0</v>
      </c>
      <c r="F203" s="58" t="n">
        <f aca="false">'STUDENT SCREENING'!K203</f>
        <v>0</v>
      </c>
      <c r="G203" s="58" t="n">
        <f aca="false">'STUDENT SCREENING'!J203</f>
        <v>0</v>
      </c>
      <c r="H203" s="58" t="str">
        <f aca="false">IF('STUDENT SCREENING'!K203="","",IFERROR(MATCH('STUDENT SCREENING'!K203,Adm_Gender,0),""))</f>
        <v/>
      </c>
      <c r="I203" s="58" t="n">
        <f aca="false">'STUDENT SCREENING'!Q203</f>
        <v>0</v>
      </c>
      <c r="J203" s="58" t="n">
        <f aca="false">'STUDENT SCREENING'!R203</f>
        <v>0</v>
      </c>
      <c r="K203" s="58" t="str">
        <f aca="false">'STUDENT SCREENING'!S203</f>
        <v/>
      </c>
      <c r="L203" s="58" t="n">
        <f aca="false">'STUDENT SCREENING'!U203</f>
        <v>0</v>
      </c>
      <c r="M203" s="58" t="n">
        <f aca="false">'STUDENT SCREENING'!V203</f>
        <v>0</v>
      </c>
      <c r="N203" s="58" t="str">
        <f aca="false">'STUDENT SCREENING'!BF203</f>
        <v/>
      </c>
      <c r="O203" s="58" t="str">
        <f aca="false">'STUDENT SCREENING'!BG203</f>
        <v/>
      </c>
      <c r="P203" s="58" t="str">
        <f aca="false">'STUDENT SCREENING'!BH203</f>
        <v/>
      </c>
      <c r="Q203" s="58" t="str">
        <f aca="false">'STUDENT SCREENING'!BI203</f>
        <v/>
      </c>
      <c r="R203" s="58" t="str">
        <f aca="false">'STUDENT SCREENING'!BJ203</f>
        <v/>
      </c>
      <c r="S203" s="58" t="str">
        <f aca="false">'STUDENT SCREENING'!BK203</f>
        <v/>
      </c>
      <c r="T203" s="58" t="str">
        <f aca="false">'STUDENT SCREENING'!BL203</f>
        <v/>
      </c>
      <c r="U203" s="58" t="str">
        <f aca="false">'STUDENT SCREENING'!BM203</f>
        <v/>
      </c>
      <c r="V203" s="58" t="str">
        <f aca="false">'STUDENT SCREENING'!BN203</f>
        <v/>
      </c>
      <c r="W203" s="58" t="str">
        <f aca="false">'STUDENT SCREENING'!BO203</f>
        <v/>
      </c>
      <c r="X203" s="58" t="str">
        <f aca="false">IF('STUDENT SCREENING'!W203="","",IFERROR(INDEX('SCORING MASTER'!$D$5:$D$7,MATCH('STUDENT SCREENING'!W203,'SCORING MASTER'!$C$5:$C$7,0)),""))</f>
        <v/>
      </c>
      <c r="Y203" s="58" t="str">
        <f aca="false">IF('STUDENT SCREENING'!X203="","",IFERROR(INDEX('SCORING MASTER'!$D$9:$D$11,MATCH('STUDENT SCREENING'!X203,'SCORING MASTER'!$C$9:$C$11,0)),""))</f>
        <v/>
      </c>
      <c r="Z203" s="58" t="str">
        <f aca="false">IF('STUDENT SCREENING'!Y203="","",IFERROR(INDEX('SCORING MASTER'!$D$13:$D$15,MATCH('STUDENT SCREENING'!Y203,'SCORING MASTER'!$C$13:$C$15,0)),""))</f>
        <v/>
      </c>
      <c r="AA203" s="58" t="str">
        <f aca="false">IF('STUDENT SCREENING'!Z203="","",IFERROR(INDEX('SCORING MASTER'!$D$17:$D$19,MATCH('STUDENT SCREENING'!Z203,'SCORING MASTER'!$C$17:$C$19,0)),""))</f>
        <v/>
      </c>
      <c r="AB203" s="58" t="str">
        <f aca="false">IF('STUDENT SCREENING'!AA203="","",IFERROR(INDEX('SCORING MASTER'!$D$21:$D$23,MATCH('STUDENT SCREENING'!AA203,'SCORING MASTER'!$C$21:$C$23,0)),""))</f>
        <v/>
      </c>
      <c r="AC203" s="58" t="str">
        <f aca="false">IF('STUDENT SCREENING'!AB203="","",IFERROR(INDEX('SCORING MASTER'!$D$25:$D$27,MATCH('STUDENT SCREENING'!AB203,'SCORING MASTER'!$C$25:$C$27,0)),""))</f>
        <v/>
      </c>
      <c r="AD203" s="58" t="str">
        <f aca="false">IF('STUDENT SCREENING'!AC203="","",IFERROR(INDEX('SCORING MASTER'!$D$29:$D$31,MATCH('STUDENT SCREENING'!AC203,'SCORING MASTER'!$C$29:$C$31,0)),""))</f>
        <v/>
      </c>
      <c r="AE203" s="58" t="str">
        <f aca="false">IF('STUDENT SCREENING'!AD203="","",IFERROR(INDEX('SCORING MASTER'!$D$33:$D$35,MATCH('STUDENT SCREENING'!AD203,'SCORING MASTER'!$C$33:$C$35,0)),""))</f>
        <v/>
      </c>
      <c r="AF203" s="58" t="str">
        <f aca="false">IF('STUDENT SCREENING'!AE203="","",IFERROR(INDEX('SCORING MASTER'!$D$37:$D$39,MATCH('STUDENT SCREENING'!AE203,'SCORING MASTER'!$C$37:$C$39,0)),""))</f>
        <v/>
      </c>
      <c r="AG203" s="58" t="str">
        <f aca="false">IF('STUDENT SCREENING'!AF203="","",IFERROR(INDEX('SCORING MASTER'!$D$41:$D$43,MATCH('STUDENT SCREENING'!AF203,'SCORING MASTER'!$C$41:$C$43,0)),""))</f>
        <v/>
      </c>
      <c r="AH203" s="58" t="str">
        <f aca="false">IF('STUDENT SCREENING'!AG203="","",IFERROR(INDEX('SCORING MASTER'!$D$45:$D$47,MATCH('STUDENT SCREENING'!AG203,'SCORING MASTER'!$C$45:$C$47,0)),""))</f>
        <v/>
      </c>
      <c r="AI203" s="58" t="str">
        <f aca="false">IF('STUDENT SCREENING'!AH203="","",IFERROR(INDEX('SCORING MASTER'!$D$49:$D$52,MATCH('STUDENT SCREENING'!AH203,'SCORING MASTER'!$C$49:$C$52,0)),""))</f>
        <v/>
      </c>
      <c r="AJ203" s="58" t="str">
        <f aca="false">IF('STUDENT SCREENING'!AI203="","",IFERROR(INDEX('SCORING MASTER'!$D$54:$D$57,MATCH('STUDENT SCREENING'!AI203,'SCORING MASTER'!$C$54:$C$57,0)),""))</f>
        <v/>
      </c>
      <c r="AK203" s="58" t="str">
        <f aca="false">IF('STUDENT SCREENING'!AJ203="","",IFERROR(INDEX('SCORING MASTER'!$D$59:$D$60,MATCH('STUDENT SCREENING'!AJ203,'SCORING MASTER'!$C$59:$C$60,0)),""))</f>
        <v/>
      </c>
      <c r="AL203" s="58" t="str">
        <f aca="false">IF('STUDENT SCREENING'!AK203="","",IFERROR(INDEX('SCORING MASTER'!$D$62:$D$63,MATCH('STUDENT SCREENING'!AK203,'SCORING MASTER'!$C$62:$C$63,0)),""))</f>
        <v/>
      </c>
      <c r="AM203" s="58" t="str">
        <f aca="false">IF('STUDENT SCREENING'!AL203="","",IFERROR(INDEX('SCORING MASTER'!$D$65:$D$66,MATCH('STUDENT SCREENING'!AL203,'SCORING MASTER'!$C$65:$C$66,0)),""))</f>
        <v/>
      </c>
      <c r="AN203" s="58" t="str">
        <f aca="false">IF('STUDENT SCREENING'!AM203="","",IFERROR(INDEX('SCORING MASTER'!$D$68:$D$69,MATCH('STUDENT SCREENING'!AM203,'SCORING MASTER'!$C$68:$C$69,0)),""))</f>
        <v/>
      </c>
      <c r="AO203" s="58" t="str">
        <f aca="false">IF('STUDENT SCREENING'!AN203="","",IFERROR(INDEX('SCORING MASTER'!$D$71:$D$72,MATCH('STUDENT SCREENING'!AN203,'SCORING MASTER'!$C$71:$C$72,0)),""))</f>
        <v/>
      </c>
      <c r="AP203" s="58" t="str">
        <f aca="false">IF('STUDENT SCREENING'!AO203="","",IFERROR(INDEX('SCORING MASTER'!$D$74:$D$75,MATCH('STUDENT SCREENING'!AO203,'SCORING MASTER'!$C$74:$C$75,0)),""))</f>
        <v/>
      </c>
      <c r="AQ203" s="58" t="str">
        <f aca="false">IF('STUDENT SCREENING'!AP203="","",IFERROR(INDEX('SCORING MASTER'!$D$77:$D$78,MATCH('STUDENT SCREENING'!AP203,'SCORING MASTER'!$C$77:$C$78,0)),""))</f>
        <v/>
      </c>
      <c r="AR203" s="58" t="str">
        <f aca="false">IF('STUDENT SCREENING'!AQ203="","",IFERROR(INDEX('SCORING MASTER'!$D$80:$D$82,MATCH('STUDENT SCREENING'!AQ203,'SCORING MASTER'!$C$80:$C$82,0)),""))</f>
        <v/>
      </c>
      <c r="AS203" s="58" t="str">
        <f aca="false">IF('STUDENT SCREENING'!AR203="","",IFERROR(INDEX('SCORING MASTER'!$D$84:$D$86,MATCH('STUDENT SCREENING'!AR203,'SCORING MASTER'!$C$84:$C$86,0)),""))</f>
        <v/>
      </c>
      <c r="AT203" s="58" t="str">
        <f aca="false">IF('STUDENT SCREENING'!AS203="","",IFERROR(INDEX('SCORING MASTER'!$D$88:$D$90,MATCH('STUDENT SCREENING'!AS203,'SCORING MASTER'!$C$88:$C$90,0)),""))</f>
        <v/>
      </c>
      <c r="AU203" s="58" t="str">
        <f aca="false">IF('STUDENT SCREENING'!AT203="","",IFERROR(INDEX('SCORING MASTER'!$D$92:$D$93,MATCH('STUDENT SCREENING'!AT203,'SCORING MASTER'!$C$92:$C$93,0)),""))</f>
        <v/>
      </c>
      <c r="AV203" s="58" t="str">
        <f aca="false">IF('STUDENT SCREENING'!AU203="","",IFERROR(INDEX('SCORING MASTER'!$D$95:$D$96,MATCH('STUDENT SCREENING'!AU203,'SCORING MASTER'!$C$95:$C$96,0)),""))</f>
        <v/>
      </c>
      <c r="AW203" s="58" t="str">
        <f aca="false">IF('STUDENT SCREENING'!AV203="","",IFERROR(INDEX('SCORING MASTER'!$D$98:$D$99,MATCH('STUDENT SCREENING'!AV203,'SCORING MASTER'!$C$98:$C$99,0)),""))</f>
        <v/>
      </c>
      <c r="AX203" s="58" t="str">
        <f aca="false">IF('STUDENT SCREENING'!AW203="","",IFERROR(INDEX('SCORING MASTER'!$D$101:$D$102,MATCH('STUDENT SCREENING'!AW203,'SCORING MASTER'!$C$101:$C$102,0)),""))</f>
        <v/>
      </c>
      <c r="AY203" s="58" t="str">
        <f aca="false">IF('STUDENT SCREENING'!AX203="","",IFERROR(INDEX('SCORING MASTER'!$D$104:$D$105,MATCH('STUDENT SCREENING'!AX203,'SCORING MASTER'!$C$104:$C$105,0)),""))</f>
        <v/>
      </c>
      <c r="AZ203" s="58" t="str">
        <f aca="false">IF('STUDENT SCREENING'!AY203="","",IFERROR(INDEX('SCORING MASTER'!$D$107:$D$108,MATCH('STUDENT SCREENING'!AY203,'SCORING MASTER'!$C$107:$C$108,0)),""))</f>
        <v/>
      </c>
      <c r="BA203" s="58" t="str">
        <f aca="false">IF('STUDENT SCREENING'!AZ203="","",IFERROR(INDEX('SCORING MASTER'!$D$110:$D$111,MATCH('STUDENT SCREENING'!AZ203,'SCORING MASTER'!$C$110:$C$111,0)),""))</f>
        <v/>
      </c>
      <c r="BB203" s="58" t="str">
        <f aca="false">IF('STUDENT SCREENING'!BA203="","",IFERROR(INDEX('SCORING MASTER'!$D$113:$D$115,MATCH('STUDENT SCREENING'!BA203,'SCORING MASTER'!$C$113:$C$115,0)),""))</f>
        <v/>
      </c>
      <c r="BC203" s="58" t="str">
        <f aca="false">IF('STUDENT SCREENING'!BB203="","",IFERROR(INDEX('SCORING MASTER'!$D$117:$D$119,MATCH('STUDENT SCREENING'!BB203,'SCORING MASTER'!$C$117:$C$119,0)),""))</f>
        <v/>
      </c>
      <c r="BD203" s="58" t="str">
        <f aca="false">IF('STUDENT SCREENING'!BC203="","",IFERROR(INDEX('SCORING MASTER'!$D$121:$D$123,MATCH('STUDENT SCREENING'!BC203,'SCORING MASTER'!$C$121:$C$123,0)),""))</f>
        <v/>
      </c>
      <c r="BE203" s="58" t="str">
        <f aca="false">IF('STUDENT SCREENING'!BD203="","",IFERROR(INDEX('SCORING MASTER'!$D$125:$D$126,MATCH('STUDENT SCREENING'!BD203,'SCORING MASTER'!$C$125:$C$126,0)),""))</f>
        <v/>
      </c>
      <c r="BF203" s="58" t="str">
        <f aca="false">IF('STUDENT SCREENING'!BE203="","",IFERROR(INDEX('SCORING MASTER'!$D$128:$D$129,MATCH('STUDENT SCREENING'!BE203,'SCORING MASTER'!$C$128:$C$129,0)),""))</f>
        <v/>
      </c>
      <c r="BG203" s="58" t="str">
        <f aca="false">IF('STUDENT SCREENING'!BP203="","",IFERROR(MATCH('STUDENT SCREENING'!BP203,{"Red - High Risk","Orange - Moderate Risk","Yellow - Mild Risk","Light Green - Mild Watch","Green - Healthy"},0)-1,""))</f>
        <v/>
      </c>
      <c r="BH203" s="58" t="str">
        <f aca="false">IF('STUDENT SCREENING'!BQ203="","",IF('STUDENT SCREENING'!BQ203="Yes",1,0))</f>
        <v/>
      </c>
      <c r="BI203" s="58" t="str">
        <f aca="false">IF('STUDENT SCREENING'!BR203="","",IF('STUDENT SCREENING'!BR203="Yes",1,0))</f>
        <v/>
      </c>
    </row>
    <row r="204" customFormat="false" ht="15" hidden="false" customHeight="false" outlineLevel="0" collapsed="false">
      <c r="A204" s="57" t="str">
        <f aca="false">'STUDENT SCREENING'!A204</f>
        <v/>
      </c>
      <c r="B204" s="57" t="n">
        <f aca="false">'STUDENT SCREENING'!C204</f>
        <v>0</v>
      </c>
      <c r="C204" s="57" t="n">
        <f aca="false">'STUDENT SCREENING'!D204</f>
        <v>0</v>
      </c>
      <c r="D204" s="57" t="n">
        <f aca="false">'STUDENT SCREENING'!E204</f>
        <v>0</v>
      </c>
      <c r="E204" s="57" t="n">
        <f aca="false">'STUDENT SCREENING'!F204</f>
        <v>0</v>
      </c>
      <c r="F204" s="57" t="n">
        <f aca="false">'STUDENT SCREENING'!K204</f>
        <v>0</v>
      </c>
      <c r="G204" s="57" t="n">
        <f aca="false">'STUDENT SCREENING'!J204</f>
        <v>0</v>
      </c>
      <c r="H204" s="57" t="str">
        <f aca="false">IF('STUDENT SCREENING'!K204="","",IFERROR(MATCH('STUDENT SCREENING'!K204,Adm_Gender,0),""))</f>
        <v/>
      </c>
      <c r="I204" s="57" t="n">
        <f aca="false">'STUDENT SCREENING'!Q204</f>
        <v>0</v>
      </c>
      <c r="J204" s="57" t="n">
        <f aca="false">'STUDENT SCREENING'!R204</f>
        <v>0</v>
      </c>
      <c r="K204" s="57" t="str">
        <f aca="false">'STUDENT SCREENING'!S204</f>
        <v/>
      </c>
      <c r="L204" s="57" t="n">
        <f aca="false">'STUDENT SCREENING'!U204</f>
        <v>0</v>
      </c>
      <c r="M204" s="57" t="n">
        <f aca="false">'STUDENT SCREENING'!V204</f>
        <v>0</v>
      </c>
      <c r="N204" s="57" t="str">
        <f aca="false">'STUDENT SCREENING'!BF204</f>
        <v/>
      </c>
      <c r="O204" s="57" t="str">
        <f aca="false">'STUDENT SCREENING'!BG204</f>
        <v/>
      </c>
      <c r="P204" s="57" t="str">
        <f aca="false">'STUDENT SCREENING'!BH204</f>
        <v/>
      </c>
      <c r="Q204" s="57" t="str">
        <f aca="false">'STUDENT SCREENING'!BI204</f>
        <v/>
      </c>
      <c r="R204" s="57" t="str">
        <f aca="false">'STUDENT SCREENING'!BJ204</f>
        <v/>
      </c>
      <c r="S204" s="57" t="str">
        <f aca="false">'STUDENT SCREENING'!BK204</f>
        <v/>
      </c>
      <c r="T204" s="57" t="str">
        <f aca="false">'STUDENT SCREENING'!BL204</f>
        <v/>
      </c>
      <c r="U204" s="57" t="str">
        <f aca="false">'STUDENT SCREENING'!BM204</f>
        <v/>
      </c>
      <c r="V204" s="57" t="str">
        <f aca="false">'STUDENT SCREENING'!BN204</f>
        <v/>
      </c>
      <c r="W204" s="57" t="str">
        <f aca="false">'STUDENT SCREENING'!BO204</f>
        <v/>
      </c>
      <c r="X204" s="57" t="str">
        <f aca="false">IF('STUDENT SCREENING'!W204="","",IFERROR(INDEX('SCORING MASTER'!$D$5:$D$7,MATCH('STUDENT SCREENING'!W204,'SCORING MASTER'!$C$5:$C$7,0)),""))</f>
        <v/>
      </c>
      <c r="Y204" s="57" t="str">
        <f aca="false">IF('STUDENT SCREENING'!X204="","",IFERROR(INDEX('SCORING MASTER'!$D$9:$D$11,MATCH('STUDENT SCREENING'!X204,'SCORING MASTER'!$C$9:$C$11,0)),""))</f>
        <v/>
      </c>
      <c r="Z204" s="57" t="str">
        <f aca="false">IF('STUDENT SCREENING'!Y204="","",IFERROR(INDEX('SCORING MASTER'!$D$13:$D$15,MATCH('STUDENT SCREENING'!Y204,'SCORING MASTER'!$C$13:$C$15,0)),""))</f>
        <v/>
      </c>
      <c r="AA204" s="57" t="str">
        <f aca="false">IF('STUDENT SCREENING'!Z204="","",IFERROR(INDEX('SCORING MASTER'!$D$17:$D$19,MATCH('STUDENT SCREENING'!Z204,'SCORING MASTER'!$C$17:$C$19,0)),""))</f>
        <v/>
      </c>
      <c r="AB204" s="57" t="str">
        <f aca="false">IF('STUDENT SCREENING'!AA204="","",IFERROR(INDEX('SCORING MASTER'!$D$21:$D$23,MATCH('STUDENT SCREENING'!AA204,'SCORING MASTER'!$C$21:$C$23,0)),""))</f>
        <v/>
      </c>
      <c r="AC204" s="57" t="str">
        <f aca="false">IF('STUDENT SCREENING'!AB204="","",IFERROR(INDEX('SCORING MASTER'!$D$25:$D$27,MATCH('STUDENT SCREENING'!AB204,'SCORING MASTER'!$C$25:$C$27,0)),""))</f>
        <v/>
      </c>
      <c r="AD204" s="57" t="str">
        <f aca="false">IF('STUDENT SCREENING'!AC204="","",IFERROR(INDEX('SCORING MASTER'!$D$29:$D$31,MATCH('STUDENT SCREENING'!AC204,'SCORING MASTER'!$C$29:$C$31,0)),""))</f>
        <v/>
      </c>
      <c r="AE204" s="57" t="str">
        <f aca="false">IF('STUDENT SCREENING'!AD204="","",IFERROR(INDEX('SCORING MASTER'!$D$33:$D$35,MATCH('STUDENT SCREENING'!AD204,'SCORING MASTER'!$C$33:$C$35,0)),""))</f>
        <v/>
      </c>
      <c r="AF204" s="57" t="str">
        <f aca="false">IF('STUDENT SCREENING'!AE204="","",IFERROR(INDEX('SCORING MASTER'!$D$37:$D$39,MATCH('STUDENT SCREENING'!AE204,'SCORING MASTER'!$C$37:$C$39,0)),""))</f>
        <v/>
      </c>
      <c r="AG204" s="57" t="str">
        <f aca="false">IF('STUDENT SCREENING'!AF204="","",IFERROR(INDEX('SCORING MASTER'!$D$41:$D$43,MATCH('STUDENT SCREENING'!AF204,'SCORING MASTER'!$C$41:$C$43,0)),""))</f>
        <v/>
      </c>
      <c r="AH204" s="57" t="str">
        <f aca="false">IF('STUDENT SCREENING'!AG204="","",IFERROR(INDEX('SCORING MASTER'!$D$45:$D$47,MATCH('STUDENT SCREENING'!AG204,'SCORING MASTER'!$C$45:$C$47,0)),""))</f>
        <v/>
      </c>
      <c r="AI204" s="57" t="str">
        <f aca="false">IF('STUDENT SCREENING'!AH204="","",IFERROR(INDEX('SCORING MASTER'!$D$49:$D$52,MATCH('STUDENT SCREENING'!AH204,'SCORING MASTER'!$C$49:$C$52,0)),""))</f>
        <v/>
      </c>
      <c r="AJ204" s="57" t="str">
        <f aca="false">IF('STUDENT SCREENING'!AI204="","",IFERROR(INDEX('SCORING MASTER'!$D$54:$D$57,MATCH('STUDENT SCREENING'!AI204,'SCORING MASTER'!$C$54:$C$57,0)),""))</f>
        <v/>
      </c>
      <c r="AK204" s="57" t="str">
        <f aca="false">IF('STUDENT SCREENING'!AJ204="","",IFERROR(INDEX('SCORING MASTER'!$D$59:$D$60,MATCH('STUDENT SCREENING'!AJ204,'SCORING MASTER'!$C$59:$C$60,0)),""))</f>
        <v/>
      </c>
      <c r="AL204" s="57" t="str">
        <f aca="false">IF('STUDENT SCREENING'!AK204="","",IFERROR(INDEX('SCORING MASTER'!$D$62:$D$63,MATCH('STUDENT SCREENING'!AK204,'SCORING MASTER'!$C$62:$C$63,0)),""))</f>
        <v/>
      </c>
      <c r="AM204" s="57" t="str">
        <f aca="false">IF('STUDENT SCREENING'!AL204="","",IFERROR(INDEX('SCORING MASTER'!$D$65:$D$66,MATCH('STUDENT SCREENING'!AL204,'SCORING MASTER'!$C$65:$C$66,0)),""))</f>
        <v/>
      </c>
      <c r="AN204" s="57" t="str">
        <f aca="false">IF('STUDENT SCREENING'!AM204="","",IFERROR(INDEX('SCORING MASTER'!$D$68:$D$69,MATCH('STUDENT SCREENING'!AM204,'SCORING MASTER'!$C$68:$C$69,0)),""))</f>
        <v/>
      </c>
      <c r="AO204" s="57" t="str">
        <f aca="false">IF('STUDENT SCREENING'!AN204="","",IFERROR(INDEX('SCORING MASTER'!$D$71:$D$72,MATCH('STUDENT SCREENING'!AN204,'SCORING MASTER'!$C$71:$C$72,0)),""))</f>
        <v/>
      </c>
      <c r="AP204" s="57" t="str">
        <f aca="false">IF('STUDENT SCREENING'!AO204="","",IFERROR(INDEX('SCORING MASTER'!$D$74:$D$75,MATCH('STUDENT SCREENING'!AO204,'SCORING MASTER'!$C$74:$C$75,0)),""))</f>
        <v/>
      </c>
      <c r="AQ204" s="57" t="str">
        <f aca="false">IF('STUDENT SCREENING'!AP204="","",IFERROR(INDEX('SCORING MASTER'!$D$77:$D$78,MATCH('STUDENT SCREENING'!AP204,'SCORING MASTER'!$C$77:$C$78,0)),""))</f>
        <v/>
      </c>
      <c r="AR204" s="57" t="str">
        <f aca="false">IF('STUDENT SCREENING'!AQ204="","",IFERROR(INDEX('SCORING MASTER'!$D$80:$D$82,MATCH('STUDENT SCREENING'!AQ204,'SCORING MASTER'!$C$80:$C$82,0)),""))</f>
        <v/>
      </c>
      <c r="AS204" s="57" t="str">
        <f aca="false">IF('STUDENT SCREENING'!AR204="","",IFERROR(INDEX('SCORING MASTER'!$D$84:$D$86,MATCH('STUDENT SCREENING'!AR204,'SCORING MASTER'!$C$84:$C$86,0)),""))</f>
        <v/>
      </c>
      <c r="AT204" s="57" t="str">
        <f aca="false">IF('STUDENT SCREENING'!AS204="","",IFERROR(INDEX('SCORING MASTER'!$D$88:$D$90,MATCH('STUDENT SCREENING'!AS204,'SCORING MASTER'!$C$88:$C$90,0)),""))</f>
        <v/>
      </c>
      <c r="AU204" s="57" t="str">
        <f aca="false">IF('STUDENT SCREENING'!AT204="","",IFERROR(INDEX('SCORING MASTER'!$D$92:$D$93,MATCH('STUDENT SCREENING'!AT204,'SCORING MASTER'!$C$92:$C$93,0)),""))</f>
        <v/>
      </c>
      <c r="AV204" s="57" t="str">
        <f aca="false">IF('STUDENT SCREENING'!AU204="","",IFERROR(INDEX('SCORING MASTER'!$D$95:$D$96,MATCH('STUDENT SCREENING'!AU204,'SCORING MASTER'!$C$95:$C$96,0)),""))</f>
        <v/>
      </c>
      <c r="AW204" s="57" t="str">
        <f aca="false">IF('STUDENT SCREENING'!AV204="","",IFERROR(INDEX('SCORING MASTER'!$D$98:$D$99,MATCH('STUDENT SCREENING'!AV204,'SCORING MASTER'!$C$98:$C$99,0)),""))</f>
        <v/>
      </c>
      <c r="AX204" s="57" t="str">
        <f aca="false">IF('STUDENT SCREENING'!AW204="","",IFERROR(INDEX('SCORING MASTER'!$D$101:$D$102,MATCH('STUDENT SCREENING'!AW204,'SCORING MASTER'!$C$101:$C$102,0)),""))</f>
        <v/>
      </c>
      <c r="AY204" s="57" t="str">
        <f aca="false">IF('STUDENT SCREENING'!AX204="","",IFERROR(INDEX('SCORING MASTER'!$D$104:$D$105,MATCH('STUDENT SCREENING'!AX204,'SCORING MASTER'!$C$104:$C$105,0)),""))</f>
        <v/>
      </c>
      <c r="AZ204" s="57" t="str">
        <f aca="false">IF('STUDENT SCREENING'!AY204="","",IFERROR(INDEX('SCORING MASTER'!$D$107:$D$108,MATCH('STUDENT SCREENING'!AY204,'SCORING MASTER'!$C$107:$C$108,0)),""))</f>
        <v/>
      </c>
      <c r="BA204" s="57" t="str">
        <f aca="false">IF('STUDENT SCREENING'!AZ204="","",IFERROR(INDEX('SCORING MASTER'!$D$110:$D$111,MATCH('STUDENT SCREENING'!AZ204,'SCORING MASTER'!$C$110:$C$111,0)),""))</f>
        <v/>
      </c>
      <c r="BB204" s="57" t="str">
        <f aca="false">IF('STUDENT SCREENING'!BA204="","",IFERROR(INDEX('SCORING MASTER'!$D$113:$D$115,MATCH('STUDENT SCREENING'!BA204,'SCORING MASTER'!$C$113:$C$115,0)),""))</f>
        <v/>
      </c>
      <c r="BC204" s="57" t="str">
        <f aca="false">IF('STUDENT SCREENING'!BB204="","",IFERROR(INDEX('SCORING MASTER'!$D$117:$D$119,MATCH('STUDENT SCREENING'!BB204,'SCORING MASTER'!$C$117:$C$119,0)),""))</f>
        <v/>
      </c>
      <c r="BD204" s="57" t="str">
        <f aca="false">IF('STUDENT SCREENING'!BC204="","",IFERROR(INDEX('SCORING MASTER'!$D$121:$D$123,MATCH('STUDENT SCREENING'!BC204,'SCORING MASTER'!$C$121:$C$123,0)),""))</f>
        <v/>
      </c>
      <c r="BE204" s="57" t="str">
        <f aca="false">IF('STUDENT SCREENING'!BD204="","",IFERROR(INDEX('SCORING MASTER'!$D$125:$D$126,MATCH('STUDENT SCREENING'!BD204,'SCORING MASTER'!$C$125:$C$126,0)),""))</f>
        <v/>
      </c>
      <c r="BF204" s="57" t="str">
        <f aca="false">IF('STUDENT SCREENING'!BE204="","",IFERROR(INDEX('SCORING MASTER'!$D$128:$D$129,MATCH('STUDENT SCREENING'!BE204,'SCORING MASTER'!$C$128:$C$129,0)),""))</f>
        <v/>
      </c>
      <c r="BG204" s="57" t="str">
        <f aca="false">IF('STUDENT SCREENING'!BP204="","",IFERROR(MATCH('STUDENT SCREENING'!BP204,{"Red - High Risk","Orange - Moderate Risk","Yellow - Mild Risk","Light Green - Mild Watch","Green - Healthy"},0)-1,""))</f>
        <v/>
      </c>
      <c r="BH204" s="57" t="str">
        <f aca="false">IF('STUDENT SCREENING'!BQ204="","",IF('STUDENT SCREENING'!BQ204="Yes",1,0))</f>
        <v/>
      </c>
      <c r="BI204" s="57" t="str">
        <f aca="false">IF('STUDENT SCREENING'!BR204="","",IF('STUDENT SCREENING'!BR204="Yes",1,0))</f>
        <v/>
      </c>
    </row>
    <row r="205" customFormat="false" ht="15" hidden="false" customHeight="false" outlineLevel="0" collapsed="false">
      <c r="A205" s="58" t="str">
        <f aca="false">'STUDENT SCREENING'!A205</f>
        <v/>
      </c>
      <c r="B205" s="58" t="n">
        <f aca="false">'STUDENT SCREENING'!C205</f>
        <v>0</v>
      </c>
      <c r="C205" s="58" t="n">
        <f aca="false">'STUDENT SCREENING'!D205</f>
        <v>0</v>
      </c>
      <c r="D205" s="58" t="n">
        <f aca="false">'STUDENT SCREENING'!E205</f>
        <v>0</v>
      </c>
      <c r="E205" s="58" t="n">
        <f aca="false">'STUDENT SCREENING'!F205</f>
        <v>0</v>
      </c>
      <c r="F205" s="58" t="n">
        <f aca="false">'STUDENT SCREENING'!K205</f>
        <v>0</v>
      </c>
      <c r="G205" s="58" t="n">
        <f aca="false">'STUDENT SCREENING'!J205</f>
        <v>0</v>
      </c>
      <c r="H205" s="58" t="str">
        <f aca="false">IF('STUDENT SCREENING'!K205="","",IFERROR(MATCH('STUDENT SCREENING'!K205,Adm_Gender,0),""))</f>
        <v/>
      </c>
      <c r="I205" s="58" t="n">
        <f aca="false">'STUDENT SCREENING'!Q205</f>
        <v>0</v>
      </c>
      <c r="J205" s="58" t="n">
        <f aca="false">'STUDENT SCREENING'!R205</f>
        <v>0</v>
      </c>
      <c r="K205" s="58" t="str">
        <f aca="false">'STUDENT SCREENING'!S205</f>
        <v/>
      </c>
      <c r="L205" s="58" t="n">
        <f aca="false">'STUDENT SCREENING'!U205</f>
        <v>0</v>
      </c>
      <c r="M205" s="58" t="n">
        <f aca="false">'STUDENT SCREENING'!V205</f>
        <v>0</v>
      </c>
      <c r="N205" s="58" t="str">
        <f aca="false">'STUDENT SCREENING'!BF205</f>
        <v/>
      </c>
      <c r="O205" s="58" t="str">
        <f aca="false">'STUDENT SCREENING'!BG205</f>
        <v/>
      </c>
      <c r="P205" s="58" t="str">
        <f aca="false">'STUDENT SCREENING'!BH205</f>
        <v/>
      </c>
      <c r="Q205" s="58" t="str">
        <f aca="false">'STUDENT SCREENING'!BI205</f>
        <v/>
      </c>
      <c r="R205" s="58" t="str">
        <f aca="false">'STUDENT SCREENING'!BJ205</f>
        <v/>
      </c>
      <c r="S205" s="58" t="str">
        <f aca="false">'STUDENT SCREENING'!BK205</f>
        <v/>
      </c>
      <c r="T205" s="58" t="str">
        <f aca="false">'STUDENT SCREENING'!BL205</f>
        <v/>
      </c>
      <c r="U205" s="58" t="str">
        <f aca="false">'STUDENT SCREENING'!BM205</f>
        <v/>
      </c>
      <c r="V205" s="58" t="str">
        <f aca="false">'STUDENT SCREENING'!BN205</f>
        <v/>
      </c>
      <c r="W205" s="58" t="str">
        <f aca="false">'STUDENT SCREENING'!BO205</f>
        <v/>
      </c>
      <c r="X205" s="58" t="str">
        <f aca="false">IF('STUDENT SCREENING'!W205="","",IFERROR(INDEX('SCORING MASTER'!$D$5:$D$7,MATCH('STUDENT SCREENING'!W205,'SCORING MASTER'!$C$5:$C$7,0)),""))</f>
        <v/>
      </c>
      <c r="Y205" s="58" t="str">
        <f aca="false">IF('STUDENT SCREENING'!X205="","",IFERROR(INDEX('SCORING MASTER'!$D$9:$D$11,MATCH('STUDENT SCREENING'!X205,'SCORING MASTER'!$C$9:$C$11,0)),""))</f>
        <v/>
      </c>
      <c r="Z205" s="58" t="str">
        <f aca="false">IF('STUDENT SCREENING'!Y205="","",IFERROR(INDEX('SCORING MASTER'!$D$13:$D$15,MATCH('STUDENT SCREENING'!Y205,'SCORING MASTER'!$C$13:$C$15,0)),""))</f>
        <v/>
      </c>
      <c r="AA205" s="58" t="str">
        <f aca="false">IF('STUDENT SCREENING'!Z205="","",IFERROR(INDEX('SCORING MASTER'!$D$17:$D$19,MATCH('STUDENT SCREENING'!Z205,'SCORING MASTER'!$C$17:$C$19,0)),""))</f>
        <v/>
      </c>
      <c r="AB205" s="58" t="str">
        <f aca="false">IF('STUDENT SCREENING'!AA205="","",IFERROR(INDEX('SCORING MASTER'!$D$21:$D$23,MATCH('STUDENT SCREENING'!AA205,'SCORING MASTER'!$C$21:$C$23,0)),""))</f>
        <v/>
      </c>
      <c r="AC205" s="58" t="str">
        <f aca="false">IF('STUDENT SCREENING'!AB205="","",IFERROR(INDEX('SCORING MASTER'!$D$25:$D$27,MATCH('STUDENT SCREENING'!AB205,'SCORING MASTER'!$C$25:$C$27,0)),""))</f>
        <v/>
      </c>
      <c r="AD205" s="58" t="str">
        <f aca="false">IF('STUDENT SCREENING'!AC205="","",IFERROR(INDEX('SCORING MASTER'!$D$29:$D$31,MATCH('STUDENT SCREENING'!AC205,'SCORING MASTER'!$C$29:$C$31,0)),""))</f>
        <v/>
      </c>
      <c r="AE205" s="58" t="str">
        <f aca="false">IF('STUDENT SCREENING'!AD205="","",IFERROR(INDEX('SCORING MASTER'!$D$33:$D$35,MATCH('STUDENT SCREENING'!AD205,'SCORING MASTER'!$C$33:$C$35,0)),""))</f>
        <v/>
      </c>
      <c r="AF205" s="58" t="str">
        <f aca="false">IF('STUDENT SCREENING'!AE205="","",IFERROR(INDEX('SCORING MASTER'!$D$37:$D$39,MATCH('STUDENT SCREENING'!AE205,'SCORING MASTER'!$C$37:$C$39,0)),""))</f>
        <v/>
      </c>
      <c r="AG205" s="58" t="str">
        <f aca="false">IF('STUDENT SCREENING'!AF205="","",IFERROR(INDEX('SCORING MASTER'!$D$41:$D$43,MATCH('STUDENT SCREENING'!AF205,'SCORING MASTER'!$C$41:$C$43,0)),""))</f>
        <v/>
      </c>
      <c r="AH205" s="58" t="str">
        <f aca="false">IF('STUDENT SCREENING'!AG205="","",IFERROR(INDEX('SCORING MASTER'!$D$45:$D$47,MATCH('STUDENT SCREENING'!AG205,'SCORING MASTER'!$C$45:$C$47,0)),""))</f>
        <v/>
      </c>
      <c r="AI205" s="58" t="str">
        <f aca="false">IF('STUDENT SCREENING'!AH205="","",IFERROR(INDEX('SCORING MASTER'!$D$49:$D$52,MATCH('STUDENT SCREENING'!AH205,'SCORING MASTER'!$C$49:$C$52,0)),""))</f>
        <v/>
      </c>
      <c r="AJ205" s="58" t="str">
        <f aca="false">IF('STUDENT SCREENING'!AI205="","",IFERROR(INDEX('SCORING MASTER'!$D$54:$D$57,MATCH('STUDENT SCREENING'!AI205,'SCORING MASTER'!$C$54:$C$57,0)),""))</f>
        <v/>
      </c>
      <c r="AK205" s="58" t="str">
        <f aca="false">IF('STUDENT SCREENING'!AJ205="","",IFERROR(INDEX('SCORING MASTER'!$D$59:$D$60,MATCH('STUDENT SCREENING'!AJ205,'SCORING MASTER'!$C$59:$C$60,0)),""))</f>
        <v/>
      </c>
      <c r="AL205" s="58" t="str">
        <f aca="false">IF('STUDENT SCREENING'!AK205="","",IFERROR(INDEX('SCORING MASTER'!$D$62:$D$63,MATCH('STUDENT SCREENING'!AK205,'SCORING MASTER'!$C$62:$C$63,0)),""))</f>
        <v/>
      </c>
      <c r="AM205" s="58" t="str">
        <f aca="false">IF('STUDENT SCREENING'!AL205="","",IFERROR(INDEX('SCORING MASTER'!$D$65:$D$66,MATCH('STUDENT SCREENING'!AL205,'SCORING MASTER'!$C$65:$C$66,0)),""))</f>
        <v/>
      </c>
      <c r="AN205" s="58" t="str">
        <f aca="false">IF('STUDENT SCREENING'!AM205="","",IFERROR(INDEX('SCORING MASTER'!$D$68:$D$69,MATCH('STUDENT SCREENING'!AM205,'SCORING MASTER'!$C$68:$C$69,0)),""))</f>
        <v/>
      </c>
      <c r="AO205" s="58" t="str">
        <f aca="false">IF('STUDENT SCREENING'!AN205="","",IFERROR(INDEX('SCORING MASTER'!$D$71:$D$72,MATCH('STUDENT SCREENING'!AN205,'SCORING MASTER'!$C$71:$C$72,0)),""))</f>
        <v/>
      </c>
      <c r="AP205" s="58" t="str">
        <f aca="false">IF('STUDENT SCREENING'!AO205="","",IFERROR(INDEX('SCORING MASTER'!$D$74:$D$75,MATCH('STUDENT SCREENING'!AO205,'SCORING MASTER'!$C$74:$C$75,0)),""))</f>
        <v/>
      </c>
      <c r="AQ205" s="58" t="str">
        <f aca="false">IF('STUDENT SCREENING'!AP205="","",IFERROR(INDEX('SCORING MASTER'!$D$77:$D$78,MATCH('STUDENT SCREENING'!AP205,'SCORING MASTER'!$C$77:$C$78,0)),""))</f>
        <v/>
      </c>
      <c r="AR205" s="58" t="str">
        <f aca="false">IF('STUDENT SCREENING'!AQ205="","",IFERROR(INDEX('SCORING MASTER'!$D$80:$D$82,MATCH('STUDENT SCREENING'!AQ205,'SCORING MASTER'!$C$80:$C$82,0)),""))</f>
        <v/>
      </c>
      <c r="AS205" s="58" t="str">
        <f aca="false">IF('STUDENT SCREENING'!AR205="","",IFERROR(INDEX('SCORING MASTER'!$D$84:$D$86,MATCH('STUDENT SCREENING'!AR205,'SCORING MASTER'!$C$84:$C$86,0)),""))</f>
        <v/>
      </c>
      <c r="AT205" s="58" t="str">
        <f aca="false">IF('STUDENT SCREENING'!AS205="","",IFERROR(INDEX('SCORING MASTER'!$D$88:$D$90,MATCH('STUDENT SCREENING'!AS205,'SCORING MASTER'!$C$88:$C$90,0)),""))</f>
        <v/>
      </c>
      <c r="AU205" s="58" t="str">
        <f aca="false">IF('STUDENT SCREENING'!AT205="","",IFERROR(INDEX('SCORING MASTER'!$D$92:$D$93,MATCH('STUDENT SCREENING'!AT205,'SCORING MASTER'!$C$92:$C$93,0)),""))</f>
        <v/>
      </c>
      <c r="AV205" s="58" t="str">
        <f aca="false">IF('STUDENT SCREENING'!AU205="","",IFERROR(INDEX('SCORING MASTER'!$D$95:$D$96,MATCH('STUDENT SCREENING'!AU205,'SCORING MASTER'!$C$95:$C$96,0)),""))</f>
        <v/>
      </c>
      <c r="AW205" s="58" t="str">
        <f aca="false">IF('STUDENT SCREENING'!AV205="","",IFERROR(INDEX('SCORING MASTER'!$D$98:$D$99,MATCH('STUDENT SCREENING'!AV205,'SCORING MASTER'!$C$98:$C$99,0)),""))</f>
        <v/>
      </c>
      <c r="AX205" s="58" t="str">
        <f aca="false">IF('STUDENT SCREENING'!AW205="","",IFERROR(INDEX('SCORING MASTER'!$D$101:$D$102,MATCH('STUDENT SCREENING'!AW205,'SCORING MASTER'!$C$101:$C$102,0)),""))</f>
        <v/>
      </c>
      <c r="AY205" s="58" t="str">
        <f aca="false">IF('STUDENT SCREENING'!AX205="","",IFERROR(INDEX('SCORING MASTER'!$D$104:$D$105,MATCH('STUDENT SCREENING'!AX205,'SCORING MASTER'!$C$104:$C$105,0)),""))</f>
        <v/>
      </c>
      <c r="AZ205" s="58" t="str">
        <f aca="false">IF('STUDENT SCREENING'!AY205="","",IFERROR(INDEX('SCORING MASTER'!$D$107:$D$108,MATCH('STUDENT SCREENING'!AY205,'SCORING MASTER'!$C$107:$C$108,0)),""))</f>
        <v/>
      </c>
      <c r="BA205" s="58" t="str">
        <f aca="false">IF('STUDENT SCREENING'!AZ205="","",IFERROR(INDEX('SCORING MASTER'!$D$110:$D$111,MATCH('STUDENT SCREENING'!AZ205,'SCORING MASTER'!$C$110:$C$111,0)),""))</f>
        <v/>
      </c>
      <c r="BB205" s="58" t="str">
        <f aca="false">IF('STUDENT SCREENING'!BA205="","",IFERROR(INDEX('SCORING MASTER'!$D$113:$D$115,MATCH('STUDENT SCREENING'!BA205,'SCORING MASTER'!$C$113:$C$115,0)),""))</f>
        <v/>
      </c>
      <c r="BC205" s="58" t="str">
        <f aca="false">IF('STUDENT SCREENING'!BB205="","",IFERROR(INDEX('SCORING MASTER'!$D$117:$D$119,MATCH('STUDENT SCREENING'!BB205,'SCORING MASTER'!$C$117:$C$119,0)),""))</f>
        <v/>
      </c>
      <c r="BD205" s="58" t="str">
        <f aca="false">IF('STUDENT SCREENING'!BC205="","",IFERROR(INDEX('SCORING MASTER'!$D$121:$D$123,MATCH('STUDENT SCREENING'!BC205,'SCORING MASTER'!$C$121:$C$123,0)),""))</f>
        <v/>
      </c>
      <c r="BE205" s="58" t="str">
        <f aca="false">IF('STUDENT SCREENING'!BD205="","",IFERROR(INDEX('SCORING MASTER'!$D$125:$D$126,MATCH('STUDENT SCREENING'!BD205,'SCORING MASTER'!$C$125:$C$126,0)),""))</f>
        <v/>
      </c>
      <c r="BF205" s="58" t="str">
        <f aca="false">IF('STUDENT SCREENING'!BE205="","",IFERROR(INDEX('SCORING MASTER'!$D$128:$D$129,MATCH('STUDENT SCREENING'!BE205,'SCORING MASTER'!$C$128:$C$129,0)),""))</f>
        <v/>
      </c>
      <c r="BG205" s="58" t="str">
        <f aca="false">IF('STUDENT SCREENING'!BP205="","",IFERROR(MATCH('STUDENT SCREENING'!BP205,{"Red - High Risk","Orange - Moderate Risk","Yellow - Mild Risk","Light Green - Mild Watch","Green - Healthy"},0)-1,""))</f>
        <v/>
      </c>
      <c r="BH205" s="58" t="str">
        <f aca="false">IF('STUDENT SCREENING'!BQ205="","",IF('STUDENT SCREENING'!BQ205="Yes",1,0))</f>
        <v/>
      </c>
      <c r="BI205" s="58" t="str">
        <f aca="false">IF('STUDENT SCREENING'!BR205="","",IF('STUDENT SCREENING'!BR205="Yes",1,0))</f>
        <v/>
      </c>
    </row>
    <row r="206" customFormat="false" ht="15" hidden="false" customHeight="false" outlineLevel="0" collapsed="false">
      <c r="A206" s="57" t="str">
        <f aca="false">'STUDENT SCREENING'!A206</f>
        <v/>
      </c>
      <c r="B206" s="57" t="n">
        <f aca="false">'STUDENT SCREENING'!C206</f>
        <v>0</v>
      </c>
      <c r="C206" s="57" t="n">
        <f aca="false">'STUDENT SCREENING'!D206</f>
        <v>0</v>
      </c>
      <c r="D206" s="57" t="n">
        <f aca="false">'STUDENT SCREENING'!E206</f>
        <v>0</v>
      </c>
      <c r="E206" s="57" t="n">
        <f aca="false">'STUDENT SCREENING'!F206</f>
        <v>0</v>
      </c>
      <c r="F206" s="57" t="n">
        <f aca="false">'STUDENT SCREENING'!K206</f>
        <v>0</v>
      </c>
      <c r="G206" s="57" t="n">
        <f aca="false">'STUDENT SCREENING'!J206</f>
        <v>0</v>
      </c>
      <c r="H206" s="57" t="str">
        <f aca="false">IF('STUDENT SCREENING'!K206="","",IFERROR(MATCH('STUDENT SCREENING'!K206,Adm_Gender,0),""))</f>
        <v/>
      </c>
      <c r="I206" s="57" t="n">
        <f aca="false">'STUDENT SCREENING'!Q206</f>
        <v>0</v>
      </c>
      <c r="J206" s="57" t="n">
        <f aca="false">'STUDENT SCREENING'!R206</f>
        <v>0</v>
      </c>
      <c r="K206" s="57" t="str">
        <f aca="false">'STUDENT SCREENING'!S206</f>
        <v/>
      </c>
      <c r="L206" s="57" t="n">
        <f aca="false">'STUDENT SCREENING'!U206</f>
        <v>0</v>
      </c>
      <c r="M206" s="57" t="n">
        <f aca="false">'STUDENT SCREENING'!V206</f>
        <v>0</v>
      </c>
      <c r="N206" s="57" t="str">
        <f aca="false">'STUDENT SCREENING'!BF206</f>
        <v/>
      </c>
      <c r="O206" s="57" t="str">
        <f aca="false">'STUDENT SCREENING'!BG206</f>
        <v/>
      </c>
      <c r="P206" s="57" t="str">
        <f aca="false">'STUDENT SCREENING'!BH206</f>
        <v/>
      </c>
      <c r="Q206" s="57" t="str">
        <f aca="false">'STUDENT SCREENING'!BI206</f>
        <v/>
      </c>
      <c r="R206" s="57" t="str">
        <f aca="false">'STUDENT SCREENING'!BJ206</f>
        <v/>
      </c>
      <c r="S206" s="57" t="str">
        <f aca="false">'STUDENT SCREENING'!BK206</f>
        <v/>
      </c>
      <c r="T206" s="57" t="str">
        <f aca="false">'STUDENT SCREENING'!BL206</f>
        <v/>
      </c>
      <c r="U206" s="57" t="str">
        <f aca="false">'STUDENT SCREENING'!BM206</f>
        <v/>
      </c>
      <c r="V206" s="57" t="str">
        <f aca="false">'STUDENT SCREENING'!BN206</f>
        <v/>
      </c>
      <c r="W206" s="57" t="str">
        <f aca="false">'STUDENT SCREENING'!BO206</f>
        <v/>
      </c>
      <c r="X206" s="57" t="str">
        <f aca="false">IF('STUDENT SCREENING'!W206="","",IFERROR(INDEX('SCORING MASTER'!$D$5:$D$7,MATCH('STUDENT SCREENING'!W206,'SCORING MASTER'!$C$5:$C$7,0)),""))</f>
        <v/>
      </c>
      <c r="Y206" s="57" t="str">
        <f aca="false">IF('STUDENT SCREENING'!X206="","",IFERROR(INDEX('SCORING MASTER'!$D$9:$D$11,MATCH('STUDENT SCREENING'!X206,'SCORING MASTER'!$C$9:$C$11,0)),""))</f>
        <v/>
      </c>
      <c r="Z206" s="57" t="str">
        <f aca="false">IF('STUDENT SCREENING'!Y206="","",IFERROR(INDEX('SCORING MASTER'!$D$13:$D$15,MATCH('STUDENT SCREENING'!Y206,'SCORING MASTER'!$C$13:$C$15,0)),""))</f>
        <v/>
      </c>
      <c r="AA206" s="57" t="str">
        <f aca="false">IF('STUDENT SCREENING'!Z206="","",IFERROR(INDEX('SCORING MASTER'!$D$17:$D$19,MATCH('STUDENT SCREENING'!Z206,'SCORING MASTER'!$C$17:$C$19,0)),""))</f>
        <v/>
      </c>
      <c r="AB206" s="57" t="str">
        <f aca="false">IF('STUDENT SCREENING'!AA206="","",IFERROR(INDEX('SCORING MASTER'!$D$21:$D$23,MATCH('STUDENT SCREENING'!AA206,'SCORING MASTER'!$C$21:$C$23,0)),""))</f>
        <v/>
      </c>
      <c r="AC206" s="57" t="str">
        <f aca="false">IF('STUDENT SCREENING'!AB206="","",IFERROR(INDEX('SCORING MASTER'!$D$25:$D$27,MATCH('STUDENT SCREENING'!AB206,'SCORING MASTER'!$C$25:$C$27,0)),""))</f>
        <v/>
      </c>
      <c r="AD206" s="57" t="str">
        <f aca="false">IF('STUDENT SCREENING'!AC206="","",IFERROR(INDEX('SCORING MASTER'!$D$29:$D$31,MATCH('STUDENT SCREENING'!AC206,'SCORING MASTER'!$C$29:$C$31,0)),""))</f>
        <v/>
      </c>
      <c r="AE206" s="57" t="str">
        <f aca="false">IF('STUDENT SCREENING'!AD206="","",IFERROR(INDEX('SCORING MASTER'!$D$33:$D$35,MATCH('STUDENT SCREENING'!AD206,'SCORING MASTER'!$C$33:$C$35,0)),""))</f>
        <v/>
      </c>
      <c r="AF206" s="57" t="str">
        <f aca="false">IF('STUDENT SCREENING'!AE206="","",IFERROR(INDEX('SCORING MASTER'!$D$37:$D$39,MATCH('STUDENT SCREENING'!AE206,'SCORING MASTER'!$C$37:$C$39,0)),""))</f>
        <v/>
      </c>
      <c r="AG206" s="57" t="str">
        <f aca="false">IF('STUDENT SCREENING'!AF206="","",IFERROR(INDEX('SCORING MASTER'!$D$41:$D$43,MATCH('STUDENT SCREENING'!AF206,'SCORING MASTER'!$C$41:$C$43,0)),""))</f>
        <v/>
      </c>
      <c r="AH206" s="57" t="str">
        <f aca="false">IF('STUDENT SCREENING'!AG206="","",IFERROR(INDEX('SCORING MASTER'!$D$45:$D$47,MATCH('STUDENT SCREENING'!AG206,'SCORING MASTER'!$C$45:$C$47,0)),""))</f>
        <v/>
      </c>
      <c r="AI206" s="57" t="str">
        <f aca="false">IF('STUDENT SCREENING'!AH206="","",IFERROR(INDEX('SCORING MASTER'!$D$49:$D$52,MATCH('STUDENT SCREENING'!AH206,'SCORING MASTER'!$C$49:$C$52,0)),""))</f>
        <v/>
      </c>
      <c r="AJ206" s="57" t="str">
        <f aca="false">IF('STUDENT SCREENING'!AI206="","",IFERROR(INDEX('SCORING MASTER'!$D$54:$D$57,MATCH('STUDENT SCREENING'!AI206,'SCORING MASTER'!$C$54:$C$57,0)),""))</f>
        <v/>
      </c>
      <c r="AK206" s="57" t="str">
        <f aca="false">IF('STUDENT SCREENING'!AJ206="","",IFERROR(INDEX('SCORING MASTER'!$D$59:$D$60,MATCH('STUDENT SCREENING'!AJ206,'SCORING MASTER'!$C$59:$C$60,0)),""))</f>
        <v/>
      </c>
      <c r="AL206" s="57" t="str">
        <f aca="false">IF('STUDENT SCREENING'!AK206="","",IFERROR(INDEX('SCORING MASTER'!$D$62:$D$63,MATCH('STUDENT SCREENING'!AK206,'SCORING MASTER'!$C$62:$C$63,0)),""))</f>
        <v/>
      </c>
      <c r="AM206" s="57" t="str">
        <f aca="false">IF('STUDENT SCREENING'!AL206="","",IFERROR(INDEX('SCORING MASTER'!$D$65:$D$66,MATCH('STUDENT SCREENING'!AL206,'SCORING MASTER'!$C$65:$C$66,0)),""))</f>
        <v/>
      </c>
      <c r="AN206" s="57" t="str">
        <f aca="false">IF('STUDENT SCREENING'!AM206="","",IFERROR(INDEX('SCORING MASTER'!$D$68:$D$69,MATCH('STUDENT SCREENING'!AM206,'SCORING MASTER'!$C$68:$C$69,0)),""))</f>
        <v/>
      </c>
      <c r="AO206" s="57" t="str">
        <f aca="false">IF('STUDENT SCREENING'!AN206="","",IFERROR(INDEX('SCORING MASTER'!$D$71:$D$72,MATCH('STUDENT SCREENING'!AN206,'SCORING MASTER'!$C$71:$C$72,0)),""))</f>
        <v/>
      </c>
      <c r="AP206" s="57" t="str">
        <f aca="false">IF('STUDENT SCREENING'!AO206="","",IFERROR(INDEX('SCORING MASTER'!$D$74:$D$75,MATCH('STUDENT SCREENING'!AO206,'SCORING MASTER'!$C$74:$C$75,0)),""))</f>
        <v/>
      </c>
      <c r="AQ206" s="57" t="str">
        <f aca="false">IF('STUDENT SCREENING'!AP206="","",IFERROR(INDEX('SCORING MASTER'!$D$77:$D$78,MATCH('STUDENT SCREENING'!AP206,'SCORING MASTER'!$C$77:$C$78,0)),""))</f>
        <v/>
      </c>
      <c r="AR206" s="57" t="str">
        <f aca="false">IF('STUDENT SCREENING'!AQ206="","",IFERROR(INDEX('SCORING MASTER'!$D$80:$D$82,MATCH('STUDENT SCREENING'!AQ206,'SCORING MASTER'!$C$80:$C$82,0)),""))</f>
        <v/>
      </c>
      <c r="AS206" s="57" t="str">
        <f aca="false">IF('STUDENT SCREENING'!AR206="","",IFERROR(INDEX('SCORING MASTER'!$D$84:$D$86,MATCH('STUDENT SCREENING'!AR206,'SCORING MASTER'!$C$84:$C$86,0)),""))</f>
        <v/>
      </c>
      <c r="AT206" s="57" t="str">
        <f aca="false">IF('STUDENT SCREENING'!AS206="","",IFERROR(INDEX('SCORING MASTER'!$D$88:$D$90,MATCH('STUDENT SCREENING'!AS206,'SCORING MASTER'!$C$88:$C$90,0)),""))</f>
        <v/>
      </c>
      <c r="AU206" s="57" t="str">
        <f aca="false">IF('STUDENT SCREENING'!AT206="","",IFERROR(INDEX('SCORING MASTER'!$D$92:$D$93,MATCH('STUDENT SCREENING'!AT206,'SCORING MASTER'!$C$92:$C$93,0)),""))</f>
        <v/>
      </c>
      <c r="AV206" s="57" t="str">
        <f aca="false">IF('STUDENT SCREENING'!AU206="","",IFERROR(INDEX('SCORING MASTER'!$D$95:$D$96,MATCH('STUDENT SCREENING'!AU206,'SCORING MASTER'!$C$95:$C$96,0)),""))</f>
        <v/>
      </c>
      <c r="AW206" s="57" t="str">
        <f aca="false">IF('STUDENT SCREENING'!AV206="","",IFERROR(INDEX('SCORING MASTER'!$D$98:$D$99,MATCH('STUDENT SCREENING'!AV206,'SCORING MASTER'!$C$98:$C$99,0)),""))</f>
        <v/>
      </c>
      <c r="AX206" s="57" t="str">
        <f aca="false">IF('STUDENT SCREENING'!AW206="","",IFERROR(INDEX('SCORING MASTER'!$D$101:$D$102,MATCH('STUDENT SCREENING'!AW206,'SCORING MASTER'!$C$101:$C$102,0)),""))</f>
        <v/>
      </c>
      <c r="AY206" s="57" t="str">
        <f aca="false">IF('STUDENT SCREENING'!AX206="","",IFERROR(INDEX('SCORING MASTER'!$D$104:$D$105,MATCH('STUDENT SCREENING'!AX206,'SCORING MASTER'!$C$104:$C$105,0)),""))</f>
        <v/>
      </c>
      <c r="AZ206" s="57" t="str">
        <f aca="false">IF('STUDENT SCREENING'!AY206="","",IFERROR(INDEX('SCORING MASTER'!$D$107:$D$108,MATCH('STUDENT SCREENING'!AY206,'SCORING MASTER'!$C$107:$C$108,0)),""))</f>
        <v/>
      </c>
      <c r="BA206" s="57" t="str">
        <f aca="false">IF('STUDENT SCREENING'!AZ206="","",IFERROR(INDEX('SCORING MASTER'!$D$110:$D$111,MATCH('STUDENT SCREENING'!AZ206,'SCORING MASTER'!$C$110:$C$111,0)),""))</f>
        <v/>
      </c>
      <c r="BB206" s="57" t="str">
        <f aca="false">IF('STUDENT SCREENING'!BA206="","",IFERROR(INDEX('SCORING MASTER'!$D$113:$D$115,MATCH('STUDENT SCREENING'!BA206,'SCORING MASTER'!$C$113:$C$115,0)),""))</f>
        <v/>
      </c>
      <c r="BC206" s="57" t="str">
        <f aca="false">IF('STUDENT SCREENING'!BB206="","",IFERROR(INDEX('SCORING MASTER'!$D$117:$D$119,MATCH('STUDENT SCREENING'!BB206,'SCORING MASTER'!$C$117:$C$119,0)),""))</f>
        <v/>
      </c>
      <c r="BD206" s="57" t="str">
        <f aca="false">IF('STUDENT SCREENING'!BC206="","",IFERROR(INDEX('SCORING MASTER'!$D$121:$D$123,MATCH('STUDENT SCREENING'!BC206,'SCORING MASTER'!$C$121:$C$123,0)),""))</f>
        <v/>
      </c>
      <c r="BE206" s="57" t="str">
        <f aca="false">IF('STUDENT SCREENING'!BD206="","",IFERROR(INDEX('SCORING MASTER'!$D$125:$D$126,MATCH('STUDENT SCREENING'!BD206,'SCORING MASTER'!$C$125:$C$126,0)),""))</f>
        <v/>
      </c>
      <c r="BF206" s="57" t="str">
        <f aca="false">IF('STUDENT SCREENING'!BE206="","",IFERROR(INDEX('SCORING MASTER'!$D$128:$D$129,MATCH('STUDENT SCREENING'!BE206,'SCORING MASTER'!$C$128:$C$129,0)),""))</f>
        <v/>
      </c>
      <c r="BG206" s="57" t="str">
        <f aca="false">IF('STUDENT SCREENING'!BP206="","",IFERROR(MATCH('STUDENT SCREENING'!BP206,{"Red - High Risk","Orange - Moderate Risk","Yellow - Mild Risk","Light Green - Mild Watch","Green - Healthy"},0)-1,""))</f>
        <v/>
      </c>
      <c r="BH206" s="57" t="str">
        <f aca="false">IF('STUDENT SCREENING'!BQ206="","",IF('STUDENT SCREENING'!BQ206="Yes",1,0))</f>
        <v/>
      </c>
      <c r="BI206" s="57" t="str">
        <f aca="false">IF('STUDENT SCREENING'!BR206="","",IF('STUDENT SCREENING'!BR206="Yes",1,0))</f>
        <v/>
      </c>
    </row>
    <row r="207" customFormat="false" ht="15" hidden="false" customHeight="false" outlineLevel="0" collapsed="false">
      <c r="A207" s="58" t="str">
        <f aca="false">'STUDENT SCREENING'!A207</f>
        <v/>
      </c>
      <c r="B207" s="58" t="n">
        <f aca="false">'STUDENT SCREENING'!C207</f>
        <v>0</v>
      </c>
      <c r="C207" s="58" t="n">
        <f aca="false">'STUDENT SCREENING'!D207</f>
        <v>0</v>
      </c>
      <c r="D207" s="58" t="n">
        <f aca="false">'STUDENT SCREENING'!E207</f>
        <v>0</v>
      </c>
      <c r="E207" s="58" t="n">
        <f aca="false">'STUDENT SCREENING'!F207</f>
        <v>0</v>
      </c>
      <c r="F207" s="58" t="n">
        <f aca="false">'STUDENT SCREENING'!K207</f>
        <v>0</v>
      </c>
      <c r="G207" s="58" t="n">
        <f aca="false">'STUDENT SCREENING'!J207</f>
        <v>0</v>
      </c>
      <c r="H207" s="58" t="str">
        <f aca="false">IF('STUDENT SCREENING'!K207="","",IFERROR(MATCH('STUDENT SCREENING'!K207,Adm_Gender,0),""))</f>
        <v/>
      </c>
      <c r="I207" s="58" t="n">
        <f aca="false">'STUDENT SCREENING'!Q207</f>
        <v>0</v>
      </c>
      <c r="J207" s="58" t="n">
        <f aca="false">'STUDENT SCREENING'!R207</f>
        <v>0</v>
      </c>
      <c r="K207" s="58" t="str">
        <f aca="false">'STUDENT SCREENING'!S207</f>
        <v/>
      </c>
      <c r="L207" s="58" t="n">
        <f aca="false">'STUDENT SCREENING'!U207</f>
        <v>0</v>
      </c>
      <c r="M207" s="58" t="n">
        <f aca="false">'STUDENT SCREENING'!V207</f>
        <v>0</v>
      </c>
      <c r="N207" s="58" t="str">
        <f aca="false">'STUDENT SCREENING'!BF207</f>
        <v/>
      </c>
      <c r="O207" s="58" t="str">
        <f aca="false">'STUDENT SCREENING'!BG207</f>
        <v/>
      </c>
      <c r="P207" s="58" t="str">
        <f aca="false">'STUDENT SCREENING'!BH207</f>
        <v/>
      </c>
      <c r="Q207" s="58" t="str">
        <f aca="false">'STUDENT SCREENING'!BI207</f>
        <v/>
      </c>
      <c r="R207" s="58" t="str">
        <f aca="false">'STUDENT SCREENING'!BJ207</f>
        <v/>
      </c>
      <c r="S207" s="58" t="str">
        <f aca="false">'STUDENT SCREENING'!BK207</f>
        <v/>
      </c>
      <c r="T207" s="58" t="str">
        <f aca="false">'STUDENT SCREENING'!BL207</f>
        <v/>
      </c>
      <c r="U207" s="58" t="str">
        <f aca="false">'STUDENT SCREENING'!BM207</f>
        <v/>
      </c>
      <c r="V207" s="58" t="str">
        <f aca="false">'STUDENT SCREENING'!BN207</f>
        <v/>
      </c>
      <c r="W207" s="58" t="str">
        <f aca="false">'STUDENT SCREENING'!BO207</f>
        <v/>
      </c>
      <c r="X207" s="58" t="str">
        <f aca="false">IF('STUDENT SCREENING'!W207="","",IFERROR(INDEX('SCORING MASTER'!$D$5:$D$7,MATCH('STUDENT SCREENING'!W207,'SCORING MASTER'!$C$5:$C$7,0)),""))</f>
        <v/>
      </c>
      <c r="Y207" s="58" t="str">
        <f aca="false">IF('STUDENT SCREENING'!X207="","",IFERROR(INDEX('SCORING MASTER'!$D$9:$D$11,MATCH('STUDENT SCREENING'!X207,'SCORING MASTER'!$C$9:$C$11,0)),""))</f>
        <v/>
      </c>
      <c r="Z207" s="58" t="str">
        <f aca="false">IF('STUDENT SCREENING'!Y207="","",IFERROR(INDEX('SCORING MASTER'!$D$13:$D$15,MATCH('STUDENT SCREENING'!Y207,'SCORING MASTER'!$C$13:$C$15,0)),""))</f>
        <v/>
      </c>
      <c r="AA207" s="58" t="str">
        <f aca="false">IF('STUDENT SCREENING'!Z207="","",IFERROR(INDEX('SCORING MASTER'!$D$17:$D$19,MATCH('STUDENT SCREENING'!Z207,'SCORING MASTER'!$C$17:$C$19,0)),""))</f>
        <v/>
      </c>
      <c r="AB207" s="58" t="str">
        <f aca="false">IF('STUDENT SCREENING'!AA207="","",IFERROR(INDEX('SCORING MASTER'!$D$21:$D$23,MATCH('STUDENT SCREENING'!AA207,'SCORING MASTER'!$C$21:$C$23,0)),""))</f>
        <v/>
      </c>
      <c r="AC207" s="58" t="str">
        <f aca="false">IF('STUDENT SCREENING'!AB207="","",IFERROR(INDEX('SCORING MASTER'!$D$25:$D$27,MATCH('STUDENT SCREENING'!AB207,'SCORING MASTER'!$C$25:$C$27,0)),""))</f>
        <v/>
      </c>
      <c r="AD207" s="58" t="str">
        <f aca="false">IF('STUDENT SCREENING'!AC207="","",IFERROR(INDEX('SCORING MASTER'!$D$29:$D$31,MATCH('STUDENT SCREENING'!AC207,'SCORING MASTER'!$C$29:$C$31,0)),""))</f>
        <v/>
      </c>
      <c r="AE207" s="58" t="str">
        <f aca="false">IF('STUDENT SCREENING'!AD207="","",IFERROR(INDEX('SCORING MASTER'!$D$33:$D$35,MATCH('STUDENT SCREENING'!AD207,'SCORING MASTER'!$C$33:$C$35,0)),""))</f>
        <v/>
      </c>
      <c r="AF207" s="58" t="str">
        <f aca="false">IF('STUDENT SCREENING'!AE207="","",IFERROR(INDEX('SCORING MASTER'!$D$37:$D$39,MATCH('STUDENT SCREENING'!AE207,'SCORING MASTER'!$C$37:$C$39,0)),""))</f>
        <v/>
      </c>
      <c r="AG207" s="58" t="str">
        <f aca="false">IF('STUDENT SCREENING'!AF207="","",IFERROR(INDEX('SCORING MASTER'!$D$41:$D$43,MATCH('STUDENT SCREENING'!AF207,'SCORING MASTER'!$C$41:$C$43,0)),""))</f>
        <v/>
      </c>
      <c r="AH207" s="58" t="str">
        <f aca="false">IF('STUDENT SCREENING'!AG207="","",IFERROR(INDEX('SCORING MASTER'!$D$45:$D$47,MATCH('STUDENT SCREENING'!AG207,'SCORING MASTER'!$C$45:$C$47,0)),""))</f>
        <v/>
      </c>
      <c r="AI207" s="58" t="str">
        <f aca="false">IF('STUDENT SCREENING'!AH207="","",IFERROR(INDEX('SCORING MASTER'!$D$49:$D$52,MATCH('STUDENT SCREENING'!AH207,'SCORING MASTER'!$C$49:$C$52,0)),""))</f>
        <v/>
      </c>
      <c r="AJ207" s="58" t="str">
        <f aca="false">IF('STUDENT SCREENING'!AI207="","",IFERROR(INDEX('SCORING MASTER'!$D$54:$D$57,MATCH('STUDENT SCREENING'!AI207,'SCORING MASTER'!$C$54:$C$57,0)),""))</f>
        <v/>
      </c>
      <c r="AK207" s="58" t="str">
        <f aca="false">IF('STUDENT SCREENING'!AJ207="","",IFERROR(INDEX('SCORING MASTER'!$D$59:$D$60,MATCH('STUDENT SCREENING'!AJ207,'SCORING MASTER'!$C$59:$C$60,0)),""))</f>
        <v/>
      </c>
      <c r="AL207" s="58" t="str">
        <f aca="false">IF('STUDENT SCREENING'!AK207="","",IFERROR(INDEX('SCORING MASTER'!$D$62:$D$63,MATCH('STUDENT SCREENING'!AK207,'SCORING MASTER'!$C$62:$C$63,0)),""))</f>
        <v/>
      </c>
      <c r="AM207" s="58" t="str">
        <f aca="false">IF('STUDENT SCREENING'!AL207="","",IFERROR(INDEX('SCORING MASTER'!$D$65:$D$66,MATCH('STUDENT SCREENING'!AL207,'SCORING MASTER'!$C$65:$C$66,0)),""))</f>
        <v/>
      </c>
      <c r="AN207" s="58" t="str">
        <f aca="false">IF('STUDENT SCREENING'!AM207="","",IFERROR(INDEX('SCORING MASTER'!$D$68:$D$69,MATCH('STUDENT SCREENING'!AM207,'SCORING MASTER'!$C$68:$C$69,0)),""))</f>
        <v/>
      </c>
      <c r="AO207" s="58" t="str">
        <f aca="false">IF('STUDENT SCREENING'!AN207="","",IFERROR(INDEX('SCORING MASTER'!$D$71:$D$72,MATCH('STUDENT SCREENING'!AN207,'SCORING MASTER'!$C$71:$C$72,0)),""))</f>
        <v/>
      </c>
      <c r="AP207" s="58" t="str">
        <f aca="false">IF('STUDENT SCREENING'!AO207="","",IFERROR(INDEX('SCORING MASTER'!$D$74:$D$75,MATCH('STUDENT SCREENING'!AO207,'SCORING MASTER'!$C$74:$C$75,0)),""))</f>
        <v/>
      </c>
      <c r="AQ207" s="58" t="str">
        <f aca="false">IF('STUDENT SCREENING'!AP207="","",IFERROR(INDEX('SCORING MASTER'!$D$77:$D$78,MATCH('STUDENT SCREENING'!AP207,'SCORING MASTER'!$C$77:$C$78,0)),""))</f>
        <v/>
      </c>
      <c r="AR207" s="58" t="str">
        <f aca="false">IF('STUDENT SCREENING'!AQ207="","",IFERROR(INDEX('SCORING MASTER'!$D$80:$D$82,MATCH('STUDENT SCREENING'!AQ207,'SCORING MASTER'!$C$80:$C$82,0)),""))</f>
        <v/>
      </c>
      <c r="AS207" s="58" t="str">
        <f aca="false">IF('STUDENT SCREENING'!AR207="","",IFERROR(INDEX('SCORING MASTER'!$D$84:$D$86,MATCH('STUDENT SCREENING'!AR207,'SCORING MASTER'!$C$84:$C$86,0)),""))</f>
        <v/>
      </c>
      <c r="AT207" s="58" t="str">
        <f aca="false">IF('STUDENT SCREENING'!AS207="","",IFERROR(INDEX('SCORING MASTER'!$D$88:$D$90,MATCH('STUDENT SCREENING'!AS207,'SCORING MASTER'!$C$88:$C$90,0)),""))</f>
        <v/>
      </c>
      <c r="AU207" s="58" t="str">
        <f aca="false">IF('STUDENT SCREENING'!AT207="","",IFERROR(INDEX('SCORING MASTER'!$D$92:$D$93,MATCH('STUDENT SCREENING'!AT207,'SCORING MASTER'!$C$92:$C$93,0)),""))</f>
        <v/>
      </c>
      <c r="AV207" s="58" t="str">
        <f aca="false">IF('STUDENT SCREENING'!AU207="","",IFERROR(INDEX('SCORING MASTER'!$D$95:$D$96,MATCH('STUDENT SCREENING'!AU207,'SCORING MASTER'!$C$95:$C$96,0)),""))</f>
        <v/>
      </c>
      <c r="AW207" s="58" t="str">
        <f aca="false">IF('STUDENT SCREENING'!AV207="","",IFERROR(INDEX('SCORING MASTER'!$D$98:$D$99,MATCH('STUDENT SCREENING'!AV207,'SCORING MASTER'!$C$98:$C$99,0)),""))</f>
        <v/>
      </c>
      <c r="AX207" s="58" t="str">
        <f aca="false">IF('STUDENT SCREENING'!AW207="","",IFERROR(INDEX('SCORING MASTER'!$D$101:$D$102,MATCH('STUDENT SCREENING'!AW207,'SCORING MASTER'!$C$101:$C$102,0)),""))</f>
        <v/>
      </c>
      <c r="AY207" s="58" t="str">
        <f aca="false">IF('STUDENT SCREENING'!AX207="","",IFERROR(INDEX('SCORING MASTER'!$D$104:$D$105,MATCH('STUDENT SCREENING'!AX207,'SCORING MASTER'!$C$104:$C$105,0)),""))</f>
        <v/>
      </c>
      <c r="AZ207" s="58" t="str">
        <f aca="false">IF('STUDENT SCREENING'!AY207="","",IFERROR(INDEX('SCORING MASTER'!$D$107:$D$108,MATCH('STUDENT SCREENING'!AY207,'SCORING MASTER'!$C$107:$C$108,0)),""))</f>
        <v/>
      </c>
      <c r="BA207" s="58" t="str">
        <f aca="false">IF('STUDENT SCREENING'!AZ207="","",IFERROR(INDEX('SCORING MASTER'!$D$110:$D$111,MATCH('STUDENT SCREENING'!AZ207,'SCORING MASTER'!$C$110:$C$111,0)),""))</f>
        <v/>
      </c>
      <c r="BB207" s="58" t="str">
        <f aca="false">IF('STUDENT SCREENING'!BA207="","",IFERROR(INDEX('SCORING MASTER'!$D$113:$D$115,MATCH('STUDENT SCREENING'!BA207,'SCORING MASTER'!$C$113:$C$115,0)),""))</f>
        <v/>
      </c>
      <c r="BC207" s="58" t="str">
        <f aca="false">IF('STUDENT SCREENING'!BB207="","",IFERROR(INDEX('SCORING MASTER'!$D$117:$D$119,MATCH('STUDENT SCREENING'!BB207,'SCORING MASTER'!$C$117:$C$119,0)),""))</f>
        <v/>
      </c>
      <c r="BD207" s="58" t="str">
        <f aca="false">IF('STUDENT SCREENING'!BC207="","",IFERROR(INDEX('SCORING MASTER'!$D$121:$D$123,MATCH('STUDENT SCREENING'!BC207,'SCORING MASTER'!$C$121:$C$123,0)),""))</f>
        <v/>
      </c>
      <c r="BE207" s="58" t="str">
        <f aca="false">IF('STUDENT SCREENING'!BD207="","",IFERROR(INDEX('SCORING MASTER'!$D$125:$D$126,MATCH('STUDENT SCREENING'!BD207,'SCORING MASTER'!$C$125:$C$126,0)),""))</f>
        <v/>
      </c>
      <c r="BF207" s="58" t="str">
        <f aca="false">IF('STUDENT SCREENING'!BE207="","",IFERROR(INDEX('SCORING MASTER'!$D$128:$D$129,MATCH('STUDENT SCREENING'!BE207,'SCORING MASTER'!$C$128:$C$129,0)),""))</f>
        <v/>
      </c>
      <c r="BG207" s="58" t="str">
        <f aca="false">IF('STUDENT SCREENING'!BP207="","",IFERROR(MATCH('STUDENT SCREENING'!BP207,{"Red - High Risk","Orange - Moderate Risk","Yellow - Mild Risk","Light Green - Mild Watch","Green - Healthy"},0)-1,""))</f>
        <v/>
      </c>
      <c r="BH207" s="58" t="str">
        <f aca="false">IF('STUDENT SCREENING'!BQ207="","",IF('STUDENT SCREENING'!BQ207="Yes",1,0))</f>
        <v/>
      </c>
      <c r="BI207" s="58" t="str">
        <f aca="false">IF('STUDENT SCREENING'!BR207="","",IF('STUDENT SCREENING'!BR207="Yes",1,0))</f>
        <v/>
      </c>
    </row>
    <row r="208" customFormat="false" ht="15" hidden="false" customHeight="false" outlineLevel="0" collapsed="false">
      <c r="A208" s="57" t="str">
        <f aca="false">'STUDENT SCREENING'!A208</f>
        <v/>
      </c>
      <c r="B208" s="57" t="n">
        <f aca="false">'STUDENT SCREENING'!C208</f>
        <v>0</v>
      </c>
      <c r="C208" s="57" t="n">
        <f aca="false">'STUDENT SCREENING'!D208</f>
        <v>0</v>
      </c>
      <c r="D208" s="57" t="n">
        <f aca="false">'STUDENT SCREENING'!E208</f>
        <v>0</v>
      </c>
      <c r="E208" s="57" t="n">
        <f aca="false">'STUDENT SCREENING'!F208</f>
        <v>0</v>
      </c>
      <c r="F208" s="57" t="n">
        <f aca="false">'STUDENT SCREENING'!K208</f>
        <v>0</v>
      </c>
      <c r="G208" s="57" t="n">
        <f aca="false">'STUDENT SCREENING'!J208</f>
        <v>0</v>
      </c>
      <c r="H208" s="57" t="str">
        <f aca="false">IF('STUDENT SCREENING'!K208="","",IFERROR(MATCH('STUDENT SCREENING'!K208,Adm_Gender,0),""))</f>
        <v/>
      </c>
      <c r="I208" s="57" t="n">
        <f aca="false">'STUDENT SCREENING'!Q208</f>
        <v>0</v>
      </c>
      <c r="J208" s="57" t="n">
        <f aca="false">'STUDENT SCREENING'!R208</f>
        <v>0</v>
      </c>
      <c r="K208" s="57" t="str">
        <f aca="false">'STUDENT SCREENING'!S208</f>
        <v/>
      </c>
      <c r="L208" s="57" t="n">
        <f aca="false">'STUDENT SCREENING'!U208</f>
        <v>0</v>
      </c>
      <c r="M208" s="57" t="n">
        <f aca="false">'STUDENT SCREENING'!V208</f>
        <v>0</v>
      </c>
      <c r="N208" s="57" t="str">
        <f aca="false">'STUDENT SCREENING'!BF208</f>
        <v/>
      </c>
      <c r="O208" s="57" t="str">
        <f aca="false">'STUDENT SCREENING'!BG208</f>
        <v/>
      </c>
      <c r="P208" s="57" t="str">
        <f aca="false">'STUDENT SCREENING'!BH208</f>
        <v/>
      </c>
      <c r="Q208" s="57" t="str">
        <f aca="false">'STUDENT SCREENING'!BI208</f>
        <v/>
      </c>
      <c r="R208" s="57" t="str">
        <f aca="false">'STUDENT SCREENING'!BJ208</f>
        <v/>
      </c>
      <c r="S208" s="57" t="str">
        <f aca="false">'STUDENT SCREENING'!BK208</f>
        <v/>
      </c>
      <c r="T208" s="57" t="str">
        <f aca="false">'STUDENT SCREENING'!BL208</f>
        <v/>
      </c>
      <c r="U208" s="57" t="str">
        <f aca="false">'STUDENT SCREENING'!BM208</f>
        <v/>
      </c>
      <c r="V208" s="57" t="str">
        <f aca="false">'STUDENT SCREENING'!BN208</f>
        <v/>
      </c>
      <c r="W208" s="57" t="str">
        <f aca="false">'STUDENT SCREENING'!BO208</f>
        <v/>
      </c>
      <c r="X208" s="57" t="str">
        <f aca="false">IF('STUDENT SCREENING'!W208="","",IFERROR(INDEX('SCORING MASTER'!$D$5:$D$7,MATCH('STUDENT SCREENING'!W208,'SCORING MASTER'!$C$5:$C$7,0)),""))</f>
        <v/>
      </c>
      <c r="Y208" s="57" t="str">
        <f aca="false">IF('STUDENT SCREENING'!X208="","",IFERROR(INDEX('SCORING MASTER'!$D$9:$D$11,MATCH('STUDENT SCREENING'!X208,'SCORING MASTER'!$C$9:$C$11,0)),""))</f>
        <v/>
      </c>
      <c r="Z208" s="57" t="str">
        <f aca="false">IF('STUDENT SCREENING'!Y208="","",IFERROR(INDEX('SCORING MASTER'!$D$13:$D$15,MATCH('STUDENT SCREENING'!Y208,'SCORING MASTER'!$C$13:$C$15,0)),""))</f>
        <v/>
      </c>
      <c r="AA208" s="57" t="str">
        <f aca="false">IF('STUDENT SCREENING'!Z208="","",IFERROR(INDEX('SCORING MASTER'!$D$17:$D$19,MATCH('STUDENT SCREENING'!Z208,'SCORING MASTER'!$C$17:$C$19,0)),""))</f>
        <v/>
      </c>
      <c r="AB208" s="57" t="str">
        <f aca="false">IF('STUDENT SCREENING'!AA208="","",IFERROR(INDEX('SCORING MASTER'!$D$21:$D$23,MATCH('STUDENT SCREENING'!AA208,'SCORING MASTER'!$C$21:$C$23,0)),""))</f>
        <v/>
      </c>
      <c r="AC208" s="57" t="str">
        <f aca="false">IF('STUDENT SCREENING'!AB208="","",IFERROR(INDEX('SCORING MASTER'!$D$25:$D$27,MATCH('STUDENT SCREENING'!AB208,'SCORING MASTER'!$C$25:$C$27,0)),""))</f>
        <v/>
      </c>
      <c r="AD208" s="57" t="str">
        <f aca="false">IF('STUDENT SCREENING'!AC208="","",IFERROR(INDEX('SCORING MASTER'!$D$29:$D$31,MATCH('STUDENT SCREENING'!AC208,'SCORING MASTER'!$C$29:$C$31,0)),""))</f>
        <v/>
      </c>
      <c r="AE208" s="57" t="str">
        <f aca="false">IF('STUDENT SCREENING'!AD208="","",IFERROR(INDEX('SCORING MASTER'!$D$33:$D$35,MATCH('STUDENT SCREENING'!AD208,'SCORING MASTER'!$C$33:$C$35,0)),""))</f>
        <v/>
      </c>
      <c r="AF208" s="57" t="str">
        <f aca="false">IF('STUDENT SCREENING'!AE208="","",IFERROR(INDEX('SCORING MASTER'!$D$37:$D$39,MATCH('STUDENT SCREENING'!AE208,'SCORING MASTER'!$C$37:$C$39,0)),""))</f>
        <v/>
      </c>
      <c r="AG208" s="57" t="str">
        <f aca="false">IF('STUDENT SCREENING'!AF208="","",IFERROR(INDEX('SCORING MASTER'!$D$41:$D$43,MATCH('STUDENT SCREENING'!AF208,'SCORING MASTER'!$C$41:$C$43,0)),""))</f>
        <v/>
      </c>
      <c r="AH208" s="57" t="str">
        <f aca="false">IF('STUDENT SCREENING'!AG208="","",IFERROR(INDEX('SCORING MASTER'!$D$45:$D$47,MATCH('STUDENT SCREENING'!AG208,'SCORING MASTER'!$C$45:$C$47,0)),""))</f>
        <v/>
      </c>
      <c r="AI208" s="57" t="str">
        <f aca="false">IF('STUDENT SCREENING'!AH208="","",IFERROR(INDEX('SCORING MASTER'!$D$49:$D$52,MATCH('STUDENT SCREENING'!AH208,'SCORING MASTER'!$C$49:$C$52,0)),""))</f>
        <v/>
      </c>
      <c r="AJ208" s="57" t="str">
        <f aca="false">IF('STUDENT SCREENING'!AI208="","",IFERROR(INDEX('SCORING MASTER'!$D$54:$D$57,MATCH('STUDENT SCREENING'!AI208,'SCORING MASTER'!$C$54:$C$57,0)),""))</f>
        <v/>
      </c>
      <c r="AK208" s="57" t="str">
        <f aca="false">IF('STUDENT SCREENING'!AJ208="","",IFERROR(INDEX('SCORING MASTER'!$D$59:$D$60,MATCH('STUDENT SCREENING'!AJ208,'SCORING MASTER'!$C$59:$C$60,0)),""))</f>
        <v/>
      </c>
      <c r="AL208" s="57" t="str">
        <f aca="false">IF('STUDENT SCREENING'!AK208="","",IFERROR(INDEX('SCORING MASTER'!$D$62:$D$63,MATCH('STUDENT SCREENING'!AK208,'SCORING MASTER'!$C$62:$C$63,0)),""))</f>
        <v/>
      </c>
      <c r="AM208" s="57" t="str">
        <f aca="false">IF('STUDENT SCREENING'!AL208="","",IFERROR(INDEX('SCORING MASTER'!$D$65:$D$66,MATCH('STUDENT SCREENING'!AL208,'SCORING MASTER'!$C$65:$C$66,0)),""))</f>
        <v/>
      </c>
      <c r="AN208" s="57" t="str">
        <f aca="false">IF('STUDENT SCREENING'!AM208="","",IFERROR(INDEX('SCORING MASTER'!$D$68:$D$69,MATCH('STUDENT SCREENING'!AM208,'SCORING MASTER'!$C$68:$C$69,0)),""))</f>
        <v/>
      </c>
      <c r="AO208" s="57" t="str">
        <f aca="false">IF('STUDENT SCREENING'!AN208="","",IFERROR(INDEX('SCORING MASTER'!$D$71:$D$72,MATCH('STUDENT SCREENING'!AN208,'SCORING MASTER'!$C$71:$C$72,0)),""))</f>
        <v/>
      </c>
      <c r="AP208" s="57" t="str">
        <f aca="false">IF('STUDENT SCREENING'!AO208="","",IFERROR(INDEX('SCORING MASTER'!$D$74:$D$75,MATCH('STUDENT SCREENING'!AO208,'SCORING MASTER'!$C$74:$C$75,0)),""))</f>
        <v/>
      </c>
      <c r="AQ208" s="57" t="str">
        <f aca="false">IF('STUDENT SCREENING'!AP208="","",IFERROR(INDEX('SCORING MASTER'!$D$77:$D$78,MATCH('STUDENT SCREENING'!AP208,'SCORING MASTER'!$C$77:$C$78,0)),""))</f>
        <v/>
      </c>
      <c r="AR208" s="57" t="str">
        <f aca="false">IF('STUDENT SCREENING'!AQ208="","",IFERROR(INDEX('SCORING MASTER'!$D$80:$D$82,MATCH('STUDENT SCREENING'!AQ208,'SCORING MASTER'!$C$80:$C$82,0)),""))</f>
        <v/>
      </c>
      <c r="AS208" s="57" t="str">
        <f aca="false">IF('STUDENT SCREENING'!AR208="","",IFERROR(INDEX('SCORING MASTER'!$D$84:$D$86,MATCH('STUDENT SCREENING'!AR208,'SCORING MASTER'!$C$84:$C$86,0)),""))</f>
        <v/>
      </c>
      <c r="AT208" s="57" t="str">
        <f aca="false">IF('STUDENT SCREENING'!AS208="","",IFERROR(INDEX('SCORING MASTER'!$D$88:$D$90,MATCH('STUDENT SCREENING'!AS208,'SCORING MASTER'!$C$88:$C$90,0)),""))</f>
        <v/>
      </c>
      <c r="AU208" s="57" t="str">
        <f aca="false">IF('STUDENT SCREENING'!AT208="","",IFERROR(INDEX('SCORING MASTER'!$D$92:$D$93,MATCH('STUDENT SCREENING'!AT208,'SCORING MASTER'!$C$92:$C$93,0)),""))</f>
        <v/>
      </c>
      <c r="AV208" s="57" t="str">
        <f aca="false">IF('STUDENT SCREENING'!AU208="","",IFERROR(INDEX('SCORING MASTER'!$D$95:$D$96,MATCH('STUDENT SCREENING'!AU208,'SCORING MASTER'!$C$95:$C$96,0)),""))</f>
        <v/>
      </c>
      <c r="AW208" s="57" t="str">
        <f aca="false">IF('STUDENT SCREENING'!AV208="","",IFERROR(INDEX('SCORING MASTER'!$D$98:$D$99,MATCH('STUDENT SCREENING'!AV208,'SCORING MASTER'!$C$98:$C$99,0)),""))</f>
        <v/>
      </c>
      <c r="AX208" s="57" t="str">
        <f aca="false">IF('STUDENT SCREENING'!AW208="","",IFERROR(INDEX('SCORING MASTER'!$D$101:$D$102,MATCH('STUDENT SCREENING'!AW208,'SCORING MASTER'!$C$101:$C$102,0)),""))</f>
        <v/>
      </c>
      <c r="AY208" s="57" t="str">
        <f aca="false">IF('STUDENT SCREENING'!AX208="","",IFERROR(INDEX('SCORING MASTER'!$D$104:$D$105,MATCH('STUDENT SCREENING'!AX208,'SCORING MASTER'!$C$104:$C$105,0)),""))</f>
        <v/>
      </c>
      <c r="AZ208" s="57" t="str">
        <f aca="false">IF('STUDENT SCREENING'!AY208="","",IFERROR(INDEX('SCORING MASTER'!$D$107:$D$108,MATCH('STUDENT SCREENING'!AY208,'SCORING MASTER'!$C$107:$C$108,0)),""))</f>
        <v/>
      </c>
      <c r="BA208" s="57" t="str">
        <f aca="false">IF('STUDENT SCREENING'!AZ208="","",IFERROR(INDEX('SCORING MASTER'!$D$110:$D$111,MATCH('STUDENT SCREENING'!AZ208,'SCORING MASTER'!$C$110:$C$111,0)),""))</f>
        <v/>
      </c>
      <c r="BB208" s="57" t="str">
        <f aca="false">IF('STUDENT SCREENING'!BA208="","",IFERROR(INDEX('SCORING MASTER'!$D$113:$D$115,MATCH('STUDENT SCREENING'!BA208,'SCORING MASTER'!$C$113:$C$115,0)),""))</f>
        <v/>
      </c>
      <c r="BC208" s="57" t="str">
        <f aca="false">IF('STUDENT SCREENING'!BB208="","",IFERROR(INDEX('SCORING MASTER'!$D$117:$D$119,MATCH('STUDENT SCREENING'!BB208,'SCORING MASTER'!$C$117:$C$119,0)),""))</f>
        <v/>
      </c>
      <c r="BD208" s="57" t="str">
        <f aca="false">IF('STUDENT SCREENING'!BC208="","",IFERROR(INDEX('SCORING MASTER'!$D$121:$D$123,MATCH('STUDENT SCREENING'!BC208,'SCORING MASTER'!$C$121:$C$123,0)),""))</f>
        <v/>
      </c>
      <c r="BE208" s="57" t="str">
        <f aca="false">IF('STUDENT SCREENING'!BD208="","",IFERROR(INDEX('SCORING MASTER'!$D$125:$D$126,MATCH('STUDENT SCREENING'!BD208,'SCORING MASTER'!$C$125:$C$126,0)),""))</f>
        <v/>
      </c>
      <c r="BF208" s="57" t="str">
        <f aca="false">IF('STUDENT SCREENING'!BE208="","",IFERROR(INDEX('SCORING MASTER'!$D$128:$D$129,MATCH('STUDENT SCREENING'!BE208,'SCORING MASTER'!$C$128:$C$129,0)),""))</f>
        <v/>
      </c>
      <c r="BG208" s="57" t="str">
        <f aca="false">IF('STUDENT SCREENING'!BP208="","",IFERROR(MATCH('STUDENT SCREENING'!BP208,{"Red - High Risk","Orange - Moderate Risk","Yellow - Mild Risk","Light Green - Mild Watch","Green - Healthy"},0)-1,""))</f>
        <v/>
      </c>
      <c r="BH208" s="57" t="str">
        <f aca="false">IF('STUDENT SCREENING'!BQ208="","",IF('STUDENT SCREENING'!BQ208="Yes",1,0))</f>
        <v/>
      </c>
      <c r="BI208" s="57" t="str">
        <f aca="false">IF('STUDENT SCREENING'!BR208="","",IF('STUDENT SCREENING'!BR208="Yes",1,0))</f>
        <v/>
      </c>
    </row>
    <row r="209" customFormat="false" ht="15" hidden="false" customHeight="false" outlineLevel="0" collapsed="false">
      <c r="A209" s="58" t="str">
        <f aca="false">'STUDENT SCREENING'!A209</f>
        <v/>
      </c>
      <c r="B209" s="58" t="n">
        <f aca="false">'STUDENT SCREENING'!C209</f>
        <v>0</v>
      </c>
      <c r="C209" s="58" t="n">
        <f aca="false">'STUDENT SCREENING'!D209</f>
        <v>0</v>
      </c>
      <c r="D209" s="58" t="n">
        <f aca="false">'STUDENT SCREENING'!E209</f>
        <v>0</v>
      </c>
      <c r="E209" s="58" t="n">
        <f aca="false">'STUDENT SCREENING'!F209</f>
        <v>0</v>
      </c>
      <c r="F209" s="58" t="n">
        <f aca="false">'STUDENT SCREENING'!K209</f>
        <v>0</v>
      </c>
      <c r="G209" s="58" t="n">
        <f aca="false">'STUDENT SCREENING'!J209</f>
        <v>0</v>
      </c>
      <c r="H209" s="58" t="str">
        <f aca="false">IF('STUDENT SCREENING'!K209="","",IFERROR(MATCH('STUDENT SCREENING'!K209,Adm_Gender,0),""))</f>
        <v/>
      </c>
      <c r="I209" s="58" t="n">
        <f aca="false">'STUDENT SCREENING'!Q209</f>
        <v>0</v>
      </c>
      <c r="J209" s="58" t="n">
        <f aca="false">'STUDENT SCREENING'!R209</f>
        <v>0</v>
      </c>
      <c r="K209" s="58" t="str">
        <f aca="false">'STUDENT SCREENING'!S209</f>
        <v/>
      </c>
      <c r="L209" s="58" t="n">
        <f aca="false">'STUDENT SCREENING'!U209</f>
        <v>0</v>
      </c>
      <c r="M209" s="58" t="n">
        <f aca="false">'STUDENT SCREENING'!V209</f>
        <v>0</v>
      </c>
      <c r="N209" s="58" t="str">
        <f aca="false">'STUDENT SCREENING'!BF209</f>
        <v/>
      </c>
      <c r="O209" s="58" t="str">
        <f aca="false">'STUDENT SCREENING'!BG209</f>
        <v/>
      </c>
      <c r="P209" s="58" t="str">
        <f aca="false">'STUDENT SCREENING'!BH209</f>
        <v/>
      </c>
      <c r="Q209" s="58" t="str">
        <f aca="false">'STUDENT SCREENING'!BI209</f>
        <v/>
      </c>
      <c r="R209" s="58" t="str">
        <f aca="false">'STUDENT SCREENING'!BJ209</f>
        <v/>
      </c>
      <c r="S209" s="58" t="str">
        <f aca="false">'STUDENT SCREENING'!BK209</f>
        <v/>
      </c>
      <c r="T209" s="58" t="str">
        <f aca="false">'STUDENT SCREENING'!BL209</f>
        <v/>
      </c>
      <c r="U209" s="58" t="str">
        <f aca="false">'STUDENT SCREENING'!BM209</f>
        <v/>
      </c>
      <c r="V209" s="58" t="str">
        <f aca="false">'STUDENT SCREENING'!BN209</f>
        <v/>
      </c>
      <c r="W209" s="58" t="str">
        <f aca="false">'STUDENT SCREENING'!BO209</f>
        <v/>
      </c>
      <c r="X209" s="58" t="str">
        <f aca="false">IF('STUDENT SCREENING'!W209="","",IFERROR(INDEX('SCORING MASTER'!$D$5:$D$7,MATCH('STUDENT SCREENING'!W209,'SCORING MASTER'!$C$5:$C$7,0)),""))</f>
        <v/>
      </c>
      <c r="Y209" s="58" t="str">
        <f aca="false">IF('STUDENT SCREENING'!X209="","",IFERROR(INDEX('SCORING MASTER'!$D$9:$D$11,MATCH('STUDENT SCREENING'!X209,'SCORING MASTER'!$C$9:$C$11,0)),""))</f>
        <v/>
      </c>
      <c r="Z209" s="58" t="str">
        <f aca="false">IF('STUDENT SCREENING'!Y209="","",IFERROR(INDEX('SCORING MASTER'!$D$13:$D$15,MATCH('STUDENT SCREENING'!Y209,'SCORING MASTER'!$C$13:$C$15,0)),""))</f>
        <v/>
      </c>
      <c r="AA209" s="58" t="str">
        <f aca="false">IF('STUDENT SCREENING'!Z209="","",IFERROR(INDEX('SCORING MASTER'!$D$17:$D$19,MATCH('STUDENT SCREENING'!Z209,'SCORING MASTER'!$C$17:$C$19,0)),""))</f>
        <v/>
      </c>
      <c r="AB209" s="58" t="str">
        <f aca="false">IF('STUDENT SCREENING'!AA209="","",IFERROR(INDEX('SCORING MASTER'!$D$21:$D$23,MATCH('STUDENT SCREENING'!AA209,'SCORING MASTER'!$C$21:$C$23,0)),""))</f>
        <v/>
      </c>
      <c r="AC209" s="58" t="str">
        <f aca="false">IF('STUDENT SCREENING'!AB209="","",IFERROR(INDEX('SCORING MASTER'!$D$25:$D$27,MATCH('STUDENT SCREENING'!AB209,'SCORING MASTER'!$C$25:$C$27,0)),""))</f>
        <v/>
      </c>
      <c r="AD209" s="58" t="str">
        <f aca="false">IF('STUDENT SCREENING'!AC209="","",IFERROR(INDEX('SCORING MASTER'!$D$29:$D$31,MATCH('STUDENT SCREENING'!AC209,'SCORING MASTER'!$C$29:$C$31,0)),""))</f>
        <v/>
      </c>
      <c r="AE209" s="58" t="str">
        <f aca="false">IF('STUDENT SCREENING'!AD209="","",IFERROR(INDEX('SCORING MASTER'!$D$33:$D$35,MATCH('STUDENT SCREENING'!AD209,'SCORING MASTER'!$C$33:$C$35,0)),""))</f>
        <v/>
      </c>
      <c r="AF209" s="58" t="str">
        <f aca="false">IF('STUDENT SCREENING'!AE209="","",IFERROR(INDEX('SCORING MASTER'!$D$37:$D$39,MATCH('STUDENT SCREENING'!AE209,'SCORING MASTER'!$C$37:$C$39,0)),""))</f>
        <v/>
      </c>
      <c r="AG209" s="58" t="str">
        <f aca="false">IF('STUDENT SCREENING'!AF209="","",IFERROR(INDEX('SCORING MASTER'!$D$41:$D$43,MATCH('STUDENT SCREENING'!AF209,'SCORING MASTER'!$C$41:$C$43,0)),""))</f>
        <v/>
      </c>
      <c r="AH209" s="58" t="str">
        <f aca="false">IF('STUDENT SCREENING'!AG209="","",IFERROR(INDEX('SCORING MASTER'!$D$45:$D$47,MATCH('STUDENT SCREENING'!AG209,'SCORING MASTER'!$C$45:$C$47,0)),""))</f>
        <v/>
      </c>
      <c r="AI209" s="58" t="str">
        <f aca="false">IF('STUDENT SCREENING'!AH209="","",IFERROR(INDEX('SCORING MASTER'!$D$49:$D$52,MATCH('STUDENT SCREENING'!AH209,'SCORING MASTER'!$C$49:$C$52,0)),""))</f>
        <v/>
      </c>
      <c r="AJ209" s="58" t="str">
        <f aca="false">IF('STUDENT SCREENING'!AI209="","",IFERROR(INDEX('SCORING MASTER'!$D$54:$D$57,MATCH('STUDENT SCREENING'!AI209,'SCORING MASTER'!$C$54:$C$57,0)),""))</f>
        <v/>
      </c>
      <c r="AK209" s="58" t="str">
        <f aca="false">IF('STUDENT SCREENING'!AJ209="","",IFERROR(INDEX('SCORING MASTER'!$D$59:$D$60,MATCH('STUDENT SCREENING'!AJ209,'SCORING MASTER'!$C$59:$C$60,0)),""))</f>
        <v/>
      </c>
      <c r="AL209" s="58" t="str">
        <f aca="false">IF('STUDENT SCREENING'!AK209="","",IFERROR(INDEX('SCORING MASTER'!$D$62:$D$63,MATCH('STUDENT SCREENING'!AK209,'SCORING MASTER'!$C$62:$C$63,0)),""))</f>
        <v/>
      </c>
      <c r="AM209" s="58" t="str">
        <f aca="false">IF('STUDENT SCREENING'!AL209="","",IFERROR(INDEX('SCORING MASTER'!$D$65:$D$66,MATCH('STUDENT SCREENING'!AL209,'SCORING MASTER'!$C$65:$C$66,0)),""))</f>
        <v/>
      </c>
      <c r="AN209" s="58" t="str">
        <f aca="false">IF('STUDENT SCREENING'!AM209="","",IFERROR(INDEX('SCORING MASTER'!$D$68:$D$69,MATCH('STUDENT SCREENING'!AM209,'SCORING MASTER'!$C$68:$C$69,0)),""))</f>
        <v/>
      </c>
      <c r="AO209" s="58" t="str">
        <f aca="false">IF('STUDENT SCREENING'!AN209="","",IFERROR(INDEX('SCORING MASTER'!$D$71:$D$72,MATCH('STUDENT SCREENING'!AN209,'SCORING MASTER'!$C$71:$C$72,0)),""))</f>
        <v/>
      </c>
      <c r="AP209" s="58" t="str">
        <f aca="false">IF('STUDENT SCREENING'!AO209="","",IFERROR(INDEX('SCORING MASTER'!$D$74:$D$75,MATCH('STUDENT SCREENING'!AO209,'SCORING MASTER'!$C$74:$C$75,0)),""))</f>
        <v/>
      </c>
      <c r="AQ209" s="58" t="str">
        <f aca="false">IF('STUDENT SCREENING'!AP209="","",IFERROR(INDEX('SCORING MASTER'!$D$77:$D$78,MATCH('STUDENT SCREENING'!AP209,'SCORING MASTER'!$C$77:$C$78,0)),""))</f>
        <v/>
      </c>
      <c r="AR209" s="58" t="str">
        <f aca="false">IF('STUDENT SCREENING'!AQ209="","",IFERROR(INDEX('SCORING MASTER'!$D$80:$D$82,MATCH('STUDENT SCREENING'!AQ209,'SCORING MASTER'!$C$80:$C$82,0)),""))</f>
        <v/>
      </c>
      <c r="AS209" s="58" t="str">
        <f aca="false">IF('STUDENT SCREENING'!AR209="","",IFERROR(INDEX('SCORING MASTER'!$D$84:$D$86,MATCH('STUDENT SCREENING'!AR209,'SCORING MASTER'!$C$84:$C$86,0)),""))</f>
        <v/>
      </c>
      <c r="AT209" s="58" t="str">
        <f aca="false">IF('STUDENT SCREENING'!AS209="","",IFERROR(INDEX('SCORING MASTER'!$D$88:$D$90,MATCH('STUDENT SCREENING'!AS209,'SCORING MASTER'!$C$88:$C$90,0)),""))</f>
        <v/>
      </c>
      <c r="AU209" s="58" t="str">
        <f aca="false">IF('STUDENT SCREENING'!AT209="","",IFERROR(INDEX('SCORING MASTER'!$D$92:$D$93,MATCH('STUDENT SCREENING'!AT209,'SCORING MASTER'!$C$92:$C$93,0)),""))</f>
        <v/>
      </c>
      <c r="AV209" s="58" t="str">
        <f aca="false">IF('STUDENT SCREENING'!AU209="","",IFERROR(INDEX('SCORING MASTER'!$D$95:$D$96,MATCH('STUDENT SCREENING'!AU209,'SCORING MASTER'!$C$95:$C$96,0)),""))</f>
        <v/>
      </c>
      <c r="AW209" s="58" t="str">
        <f aca="false">IF('STUDENT SCREENING'!AV209="","",IFERROR(INDEX('SCORING MASTER'!$D$98:$D$99,MATCH('STUDENT SCREENING'!AV209,'SCORING MASTER'!$C$98:$C$99,0)),""))</f>
        <v/>
      </c>
      <c r="AX209" s="58" t="str">
        <f aca="false">IF('STUDENT SCREENING'!AW209="","",IFERROR(INDEX('SCORING MASTER'!$D$101:$D$102,MATCH('STUDENT SCREENING'!AW209,'SCORING MASTER'!$C$101:$C$102,0)),""))</f>
        <v/>
      </c>
      <c r="AY209" s="58" t="str">
        <f aca="false">IF('STUDENT SCREENING'!AX209="","",IFERROR(INDEX('SCORING MASTER'!$D$104:$D$105,MATCH('STUDENT SCREENING'!AX209,'SCORING MASTER'!$C$104:$C$105,0)),""))</f>
        <v/>
      </c>
      <c r="AZ209" s="58" t="str">
        <f aca="false">IF('STUDENT SCREENING'!AY209="","",IFERROR(INDEX('SCORING MASTER'!$D$107:$D$108,MATCH('STUDENT SCREENING'!AY209,'SCORING MASTER'!$C$107:$C$108,0)),""))</f>
        <v/>
      </c>
      <c r="BA209" s="58" t="str">
        <f aca="false">IF('STUDENT SCREENING'!AZ209="","",IFERROR(INDEX('SCORING MASTER'!$D$110:$D$111,MATCH('STUDENT SCREENING'!AZ209,'SCORING MASTER'!$C$110:$C$111,0)),""))</f>
        <v/>
      </c>
      <c r="BB209" s="58" t="str">
        <f aca="false">IF('STUDENT SCREENING'!BA209="","",IFERROR(INDEX('SCORING MASTER'!$D$113:$D$115,MATCH('STUDENT SCREENING'!BA209,'SCORING MASTER'!$C$113:$C$115,0)),""))</f>
        <v/>
      </c>
      <c r="BC209" s="58" t="str">
        <f aca="false">IF('STUDENT SCREENING'!BB209="","",IFERROR(INDEX('SCORING MASTER'!$D$117:$D$119,MATCH('STUDENT SCREENING'!BB209,'SCORING MASTER'!$C$117:$C$119,0)),""))</f>
        <v/>
      </c>
      <c r="BD209" s="58" t="str">
        <f aca="false">IF('STUDENT SCREENING'!BC209="","",IFERROR(INDEX('SCORING MASTER'!$D$121:$D$123,MATCH('STUDENT SCREENING'!BC209,'SCORING MASTER'!$C$121:$C$123,0)),""))</f>
        <v/>
      </c>
      <c r="BE209" s="58" t="str">
        <f aca="false">IF('STUDENT SCREENING'!BD209="","",IFERROR(INDEX('SCORING MASTER'!$D$125:$D$126,MATCH('STUDENT SCREENING'!BD209,'SCORING MASTER'!$C$125:$C$126,0)),""))</f>
        <v/>
      </c>
      <c r="BF209" s="58" t="str">
        <f aca="false">IF('STUDENT SCREENING'!BE209="","",IFERROR(INDEX('SCORING MASTER'!$D$128:$D$129,MATCH('STUDENT SCREENING'!BE209,'SCORING MASTER'!$C$128:$C$129,0)),""))</f>
        <v/>
      </c>
      <c r="BG209" s="58" t="str">
        <f aca="false">IF('STUDENT SCREENING'!BP209="","",IFERROR(MATCH('STUDENT SCREENING'!BP209,{"Red - High Risk","Orange - Moderate Risk","Yellow - Mild Risk","Light Green - Mild Watch","Green - Healthy"},0)-1,""))</f>
        <v/>
      </c>
      <c r="BH209" s="58" t="str">
        <f aca="false">IF('STUDENT SCREENING'!BQ209="","",IF('STUDENT SCREENING'!BQ209="Yes",1,0))</f>
        <v/>
      </c>
      <c r="BI209" s="58" t="str">
        <f aca="false">IF('STUDENT SCREENING'!BR209="","",IF('STUDENT SCREENING'!BR209="Yes",1,0))</f>
        <v/>
      </c>
    </row>
    <row r="210" customFormat="false" ht="15" hidden="false" customHeight="false" outlineLevel="0" collapsed="false">
      <c r="A210" s="57" t="str">
        <f aca="false">'STUDENT SCREENING'!A210</f>
        <v/>
      </c>
      <c r="B210" s="57" t="n">
        <f aca="false">'STUDENT SCREENING'!C210</f>
        <v>0</v>
      </c>
      <c r="C210" s="57" t="n">
        <f aca="false">'STUDENT SCREENING'!D210</f>
        <v>0</v>
      </c>
      <c r="D210" s="57" t="n">
        <f aca="false">'STUDENT SCREENING'!E210</f>
        <v>0</v>
      </c>
      <c r="E210" s="57" t="n">
        <f aca="false">'STUDENT SCREENING'!F210</f>
        <v>0</v>
      </c>
      <c r="F210" s="57" t="n">
        <f aca="false">'STUDENT SCREENING'!K210</f>
        <v>0</v>
      </c>
      <c r="G210" s="57" t="n">
        <f aca="false">'STUDENT SCREENING'!J210</f>
        <v>0</v>
      </c>
      <c r="H210" s="57" t="str">
        <f aca="false">IF('STUDENT SCREENING'!K210="","",IFERROR(MATCH('STUDENT SCREENING'!K210,Adm_Gender,0),""))</f>
        <v/>
      </c>
      <c r="I210" s="57" t="n">
        <f aca="false">'STUDENT SCREENING'!Q210</f>
        <v>0</v>
      </c>
      <c r="J210" s="57" t="n">
        <f aca="false">'STUDENT SCREENING'!R210</f>
        <v>0</v>
      </c>
      <c r="K210" s="57" t="str">
        <f aca="false">'STUDENT SCREENING'!S210</f>
        <v/>
      </c>
      <c r="L210" s="57" t="n">
        <f aca="false">'STUDENT SCREENING'!U210</f>
        <v>0</v>
      </c>
      <c r="M210" s="57" t="n">
        <f aca="false">'STUDENT SCREENING'!V210</f>
        <v>0</v>
      </c>
      <c r="N210" s="57" t="str">
        <f aca="false">'STUDENT SCREENING'!BF210</f>
        <v/>
      </c>
      <c r="O210" s="57" t="str">
        <f aca="false">'STUDENT SCREENING'!BG210</f>
        <v/>
      </c>
      <c r="P210" s="57" t="str">
        <f aca="false">'STUDENT SCREENING'!BH210</f>
        <v/>
      </c>
      <c r="Q210" s="57" t="str">
        <f aca="false">'STUDENT SCREENING'!BI210</f>
        <v/>
      </c>
      <c r="R210" s="57" t="str">
        <f aca="false">'STUDENT SCREENING'!BJ210</f>
        <v/>
      </c>
      <c r="S210" s="57" t="str">
        <f aca="false">'STUDENT SCREENING'!BK210</f>
        <v/>
      </c>
      <c r="T210" s="57" t="str">
        <f aca="false">'STUDENT SCREENING'!BL210</f>
        <v/>
      </c>
      <c r="U210" s="57" t="str">
        <f aca="false">'STUDENT SCREENING'!BM210</f>
        <v/>
      </c>
      <c r="V210" s="57" t="str">
        <f aca="false">'STUDENT SCREENING'!BN210</f>
        <v/>
      </c>
      <c r="W210" s="57" t="str">
        <f aca="false">'STUDENT SCREENING'!BO210</f>
        <v/>
      </c>
      <c r="X210" s="57" t="str">
        <f aca="false">IF('STUDENT SCREENING'!W210="","",IFERROR(INDEX('SCORING MASTER'!$D$5:$D$7,MATCH('STUDENT SCREENING'!W210,'SCORING MASTER'!$C$5:$C$7,0)),""))</f>
        <v/>
      </c>
      <c r="Y210" s="57" t="str">
        <f aca="false">IF('STUDENT SCREENING'!X210="","",IFERROR(INDEX('SCORING MASTER'!$D$9:$D$11,MATCH('STUDENT SCREENING'!X210,'SCORING MASTER'!$C$9:$C$11,0)),""))</f>
        <v/>
      </c>
      <c r="Z210" s="57" t="str">
        <f aca="false">IF('STUDENT SCREENING'!Y210="","",IFERROR(INDEX('SCORING MASTER'!$D$13:$D$15,MATCH('STUDENT SCREENING'!Y210,'SCORING MASTER'!$C$13:$C$15,0)),""))</f>
        <v/>
      </c>
      <c r="AA210" s="57" t="str">
        <f aca="false">IF('STUDENT SCREENING'!Z210="","",IFERROR(INDEX('SCORING MASTER'!$D$17:$D$19,MATCH('STUDENT SCREENING'!Z210,'SCORING MASTER'!$C$17:$C$19,0)),""))</f>
        <v/>
      </c>
      <c r="AB210" s="57" t="str">
        <f aca="false">IF('STUDENT SCREENING'!AA210="","",IFERROR(INDEX('SCORING MASTER'!$D$21:$D$23,MATCH('STUDENT SCREENING'!AA210,'SCORING MASTER'!$C$21:$C$23,0)),""))</f>
        <v/>
      </c>
      <c r="AC210" s="57" t="str">
        <f aca="false">IF('STUDENT SCREENING'!AB210="","",IFERROR(INDEX('SCORING MASTER'!$D$25:$D$27,MATCH('STUDENT SCREENING'!AB210,'SCORING MASTER'!$C$25:$C$27,0)),""))</f>
        <v/>
      </c>
      <c r="AD210" s="57" t="str">
        <f aca="false">IF('STUDENT SCREENING'!AC210="","",IFERROR(INDEX('SCORING MASTER'!$D$29:$D$31,MATCH('STUDENT SCREENING'!AC210,'SCORING MASTER'!$C$29:$C$31,0)),""))</f>
        <v/>
      </c>
      <c r="AE210" s="57" t="str">
        <f aca="false">IF('STUDENT SCREENING'!AD210="","",IFERROR(INDEX('SCORING MASTER'!$D$33:$D$35,MATCH('STUDENT SCREENING'!AD210,'SCORING MASTER'!$C$33:$C$35,0)),""))</f>
        <v/>
      </c>
      <c r="AF210" s="57" t="str">
        <f aca="false">IF('STUDENT SCREENING'!AE210="","",IFERROR(INDEX('SCORING MASTER'!$D$37:$D$39,MATCH('STUDENT SCREENING'!AE210,'SCORING MASTER'!$C$37:$C$39,0)),""))</f>
        <v/>
      </c>
      <c r="AG210" s="57" t="str">
        <f aca="false">IF('STUDENT SCREENING'!AF210="","",IFERROR(INDEX('SCORING MASTER'!$D$41:$D$43,MATCH('STUDENT SCREENING'!AF210,'SCORING MASTER'!$C$41:$C$43,0)),""))</f>
        <v/>
      </c>
      <c r="AH210" s="57" t="str">
        <f aca="false">IF('STUDENT SCREENING'!AG210="","",IFERROR(INDEX('SCORING MASTER'!$D$45:$D$47,MATCH('STUDENT SCREENING'!AG210,'SCORING MASTER'!$C$45:$C$47,0)),""))</f>
        <v/>
      </c>
      <c r="AI210" s="57" t="str">
        <f aca="false">IF('STUDENT SCREENING'!AH210="","",IFERROR(INDEX('SCORING MASTER'!$D$49:$D$52,MATCH('STUDENT SCREENING'!AH210,'SCORING MASTER'!$C$49:$C$52,0)),""))</f>
        <v/>
      </c>
      <c r="AJ210" s="57" t="str">
        <f aca="false">IF('STUDENT SCREENING'!AI210="","",IFERROR(INDEX('SCORING MASTER'!$D$54:$D$57,MATCH('STUDENT SCREENING'!AI210,'SCORING MASTER'!$C$54:$C$57,0)),""))</f>
        <v/>
      </c>
      <c r="AK210" s="57" t="str">
        <f aca="false">IF('STUDENT SCREENING'!AJ210="","",IFERROR(INDEX('SCORING MASTER'!$D$59:$D$60,MATCH('STUDENT SCREENING'!AJ210,'SCORING MASTER'!$C$59:$C$60,0)),""))</f>
        <v/>
      </c>
      <c r="AL210" s="57" t="str">
        <f aca="false">IF('STUDENT SCREENING'!AK210="","",IFERROR(INDEX('SCORING MASTER'!$D$62:$D$63,MATCH('STUDENT SCREENING'!AK210,'SCORING MASTER'!$C$62:$C$63,0)),""))</f>
        <v/>
      </c>
      <c r="AM210" s="57" t="str">
        <f aca="false">IF('STUDENT SCREENING'!AL210="","",IFERROR(INDEX('SCORING MASTER'!$D$65:$D$66,MATCH('STUDENT SCREENING'!AL210,'SCORING MASTER'!$C$65:$C$66,0)),""))</f>
        <v/>
      </c>
      <c r="AN210" s="57" t="str">
        <f aca="false">IF('STUDENT SCREENING'!AM210="","",IFERROR(INDEX('SCORING MASTER'!$D$68:$D$69,MATCH('STUDENT SCREENING'!AM210,'SCORING MASTER'!$C$68:$C$69,0)),""))</f>
        <v/>
      </c>
      <c r="AO210" s="57" t="str">
        <f aca="false">IF('STUDENT SCREENING'!AN210="","",IFERROR(INDEX('SCORING MASTER'!$D$71:$D$72,MATCH('STUDENT SCREENING'!AN210,'SCORING MASTER'!$C$71:$C$72,0)),""))</f>
        <v/>
      </c>
      <c r="AP210" s="57" t="str">
        <f aca="false">IF('STUDENT SCREENING'!AO210="","",IFERROR(INDEX('SCORING MASTER'!$D$74:$D$75,MATCH('STUDENT SCREENING'!AO210,'SCORING MASTER'!$C$74:$C$75,0)),""))</f>
        <v/>
      </c>
      <c r="AQ210" s="57" t="str">
        <f aca="false">IF('STUDENT SCREENING'!AP210="","",IFERROR(INDEX('SCORING MASTER'!$D$77:$D$78,MATCH('STUDENT SCREENING'!AP210,'SCORING MASTER'!$C$77:$C$78,0)),""))</f>
        <v/>
      </c>
      <c r="AR210" s="57" t="str">
        <f aca="false">IF('STUDENT SCREENING'!AQ210="","",IFERROR(INDEX('SCORING MASTER'!$D$80:$D$82,MATCH('STUDENT SCREENING'!AQ210,'SCORING MASTER'!$C$80:$C$82,0)),""))</f>
        <v/>
      </c>
      <c r="AS210" s="57" t="str">
        <f aca="false">IF('STUDENT SCREENING'!AR210="","",IFERROR(INDEX('SCORING MASTER'!$D$84:$D$86,MATCH('STUDENT SCREENING'!AR210,'SCORING MASTER'!$C$84:$C$86,0)),""))</f>
        <v/>
      </c>
      <c r="AT210" s="57" t="str">
        <f aca="false">IF('STUDENT SCREENING'!AS210="","",IFERROR(INDEX('SCORING MASTER'!$D$88:$D$90,MATCH('STUDENT SCREENING'!AS210,'SCORING MASTER'!$C$88:$C$90,0)),""))</f>
        <v/>
      </c>
      <c r="AU210" s="57" t="str">
        <f aca="false">IF('STUDENT SCREENING'!AT210="","",IFERROR(INDEX('SCORING MASTER'!$D$92:$D$93,MATCH('STUDENT SCREENING'!AT210,'SCORING MASTER'!$C$92:$C$93,0)),""))</f>
        <v/>
      </c>
      <c r="AV210" s="57" t="str">
        <f aca="false">IF('STUDENT SCREENING'!AU210="","",IFERROR(INDEX('SCORING MASTER'!$D$95:$D$96,MATCH('STUDENT SCREENING'!AU210,'SCORING MASTER'!$C$95:$C$96,0)),""))</f>
        <v/>
      </c>
      <c r="AW210" s="57" t="str">
        <f aca="false">IF('STUDENT SCREENING'!AV210="","",IFERROR(INDEX('SCORING MASTER'!$D$98:$D$99,MATCH('STUDENT SCREENING'!AV210,'SCORING MASTER'!$C$98:$C$99,0)),""))</f>
        <v/>
      </c>
      <c r="AX210" s="57" t="str">
        <f aca="false">IF('STUDENT SCREENING'!AW210="","",IFERROR(INDEX('SCORING MASTER'!$D$101:$D$102,MATCH('STUDENT SCREENING'!AW210,'SCORING MASTER'!$C$101:$C$102,0)),""))</f>
        <v/>
      </c>
      <c r="AY210" s="57" t="str">
        <f aca="false">IF('STUDENT SCREENING'!AX210="","",IFERROR(INDEX('SCORING MASTER'!$D$104:$D$105,MATCH('STUDENT SCREENING'!AX210,'SCORING MASTER'!$C$104:$C$105,0)),""))</f>
        <v/>
      </c>
      <c r="AZ210" s="57" t="str">
        <f aca="false">IF('STUDENT SCREENING'!AY210="","",IFERROR(INDEX('SCORING MASTER'!$D$107:$D$108,MATCH('STUDENT SCREENING'!AY210,'SCORING MASTER'!$C$107:$C$108,0)),""))</f>
        <v/>
      </c>
      <c r="BA210" s="57" t="str">
        <f aca="false">IF('STUDENT SCREENING'!AZ210="","",IFERROR(INDEX('SCORING MASTER'!$D$110:$D$111,MATCH('STUDENT SCREENING'!AZ210,'SCORING MASTER'!$C$110:$C$111,0)),""))</f>
        <v/>
      </c>
      <c r="BB210" s="57" t="str">
        <f aca="false">IF('STUDENT SCREENING'!BA210="","",IFERROR(INDEX('SCORING MASTER'!$D$113:$D$115,MATCH('STUDENT SCREENING'!BA210,'SCORING MASTER'!$C$113:$C$115,0)),""))</f>
        <v/>
      </c>
      <c r="BC210" s="57" t="str">
        <f aca="false">IF('STUDENT SCREENING'!BB210="","",IFERROR(INDEX('SCORING MASTER'!$D$117:$D$119,MATCH('STUDENT SCREENING'!BB210,'SCORING MASTER'!$C$117:$C$119,0)),""))</f>
        <v/>
      </c>
      <c r="BD210" s="57" t="str">
        <f aca="false">IF('STUDENT SCREENING'!BC210="","",IFERROR(INDEX('SCORING MASTER'!$D$121:$D$123,MATCH('STUDENT SCREENING'!BC210,'SCORING MASTER'!$C$121:$C$123,0)),""))</f>
        <v/>
      </c>
      <c r="BE210" s="57" t="str">
        <f aca="false">IF('STUDENT SCREENING'!BD210="","",IFERROR(INDEX('SCORING MASTER'!$D$125:$D$126,MATCH('STUDENT SCREENING'!BD210,'SCORING MASTER'!$C$125:$C$126,0)),""))</f>
        <v/>
      </c>
      <c r="BF210" s="57" t="str">
        <f aca="false">IF('STUDENT SCREENING'!BE210="","",IFERROR(INDEX('SCORING MASTER'!$D$128:$D$129,MATCH('STUDENT SCREENING'!BE210,'SCORING MASTER'!$C$128:$C$129,0)),""))</f>
        <v/>
      </c>
      <c r="BG210" s="57" t="str">
        <f aca="false">IF('STUDENT SCREENING'!BP210="","",IFERROR(MATCH('STUDENT SCREENING'!BP210,{"Red - High Risk","Orange - Moderate Risk","Yellow - Mild Risk","Light Green - Mild Watch","Green - Healthy"},0)-1,""))</f>
        <v/>
      </c>
      <c r="BH210" s="57" t="str">
        <f aca="false">IF('STUDENT SCREENING'!BQ210="","",IF('STUDENT SCREENING'!BQ210="Yes",1,0))</f>
        <v/>
      </c>
      <c r="BI210" s="57" t="str">
        <f aca="false">IF('STUDENT SCREENING'!BR210="","",IF('STUDENT SCREENING'!BR210="Yes",1,0))</f>
        <v/>
      </c>
    </row>
    <row r="211" customFormat="false" ht="15" hidden="false" customHeight="false" outlineLevel="0" collapsed="false">
      <c r="A211" s="58" t="str">
        <f aca="false">'STUDENT SCREENING'!A211</f>
        <v/>
      </c>
      <c r="B211" s="58" t="n">
        <f aca="false">'STUDENT SCREENING'!C211</f>
        <v>0</v>
      </c>
      <c r="C211" s="58" t="n">
        <f aca="false">'STUDENT SCREENING'!D211</f>
        <v>0</v>
      </c>
      <c r="D211" s="58" t="n">
        <f aca="false">'STUDENT SCREENING'!E211</f>
        <v>0</v>
      </c>
      <c r="E211" s="58" t="n">
        <f aca="false">'STUDENT SCREENING'!F211</f>
        <v>0</v>
      </c>
      <c r="F211" s="58" t="n">
        <f aca="false">'STUDENT SCREENING'!K211</f>
        <v>0</v>
      </c>
      <c r="G211" s="58" t="n">
        <f aca="false">'STUDENT SCREENING'!J211</f>
        <v>0</v>
      </c>
      <c r="H211" s="58" t="str">
        <f aca="false">IF('STUDENT SCREENING'!K211="","",IFERROR(MATCH('STUDENT SCREENING'!K211,Adm_Gender,0),""))</f>
        <v/>
      </c>
      <c r="I211" s="58" t="n">
        <f aca="false">'STUDENT SCREENING'!Q211</f>
        <v>0</v>
      </c>
      <c r="J211" s="58" t="n">
        <f aca="false">'STUDENT SCREENING'!R211</f>
        <v>0</v>
      </c>
      <c r="K211" s="58" t="str">
        <f aca="false">'STUDENT SCREENING'!S211</f>
        <v/>
      </c>
      <c r="L211" s="58" t="n">
        <f aca="false">'STUDENT SCREENING'!U211</f>
        <v>0</v>
      </c>
      <c r="M211" s="58" t="n">
        <f aca="false">'STUDENT SCREENING'!V211</f>
        <v>0</v>
      </c>
      <c r="N211" s="58" t="str">
        <f aca="false">'STUDENT SCREENING'!BF211</f>
        <v/>
      </c>
      <c r="O211" s="58" t="str">
        <f aca="false">'STUDENT SCREENING'!BG211</f>
        <v/>
      </c>
      <c r="P211" s="58" t="str">
        <f aca="false">'STUDENT SCREENING'!BH211</f>
        <v/>
      </c>
      <c r="Q211" s="58" t="str">
        <f aca="false">'STUDENT SCREENING'!BI211</f>
        <v/>
      </c>
      <c r="R211" s="58" t="str">
        <f aca="false">'STUDENT SCREENING'!BJ211</f>
        <v/>
      </c>
      <c r="S211" s="58" t="str">
        <f aca="false">'STUDENT SCREENING'!BK211</f>
        <v/>
      </c>
      <c r="T211" s="58" t="str">
        <f aca="false">'STUDENT SCREENING'!BL211</f>
        <v/>
      </c>
      <c r="U211" s="58" t="str">
        <f aca="false">'STUDENT SCREENING'!BM211</f>
        <v/>
      </c>
      <c r="V211" s="58" t="str">
        <f aca="false">'STUDENT SCREENING'!BN211</f>
        <v/>
      </c>
      <c r="W211" s="58" t="str">
        <f aca="false">'STUDENT SCREENING'!BO211</f>
        <v/>
      </c>
      <c r="X211" s="58" t="str">
        <f aca="false">IF('STUDENT SCREENING'!W211="","",IFERROR(INDEX('SCORING MASTER'!$D$5:$D$7,MATCH('STUDENT SCREENING'!W211,'SCORING MASTER'!$C$5:$C$7,0)),""))</f>
        <v/>
      </c>
      <c r="Y211" s="58" t="str">
        <f aca="false">IF('STUDENT SCREENING'!X211="","",IFERROR(INDEX('SCORING MASTER'!$D$9:$D$11,MATCH('STUDENT SCREENING'!X211,'SCORING MASTER'!$C$9:$C$11,0)),""))</f>
        <v/>
      </c>
      <c r="Z211" s="58" t="str">
        <f aca="false">IF('STUDENT SCREENING'!Y211="","",IFERROR(INDEX('SCORING MASTER'!$D$13:$D$15,MATCH('STUDENT SCREENING'!Y211,'SCORING MASTER'!$C$13:$C$15,0)),""))</f>
        <v/>
      </c>
      <c r="AA211" s="58" t="str">
        <f aca="false">IF('STUDENT SCREENING'!Z211="","",IFERROR(INDEX('SCORING MASTER'!$D$17:$D$19,MATCH('STUDENT SCREENING'!Z211,'SCORING MASTER'!$C$17:$C$19,0)),""))</f>
        <v/>
      </c>
      <c r="AB211" s="58" t="str">
        <f aca="false">IF('STUDENT SCREENING'!AA211="","",IFERROR(INDEX('SCORING MASTER'!$D$21:$D$23,MATCH('STUDENT SCREENING'!AA211,'SCORING MASTER'!$C$21:$C$23,0)),""))</f>
        <v/>
      </c>
      <c r="AC211" s="58" t="str">
        <f aca="false">IF('STUDENT SCREENING'!AB211="","",IFERROR(INDEX('SCORING MASTER'!$D$25:$D$27,MATCH('STUDENT SCREENING'!AB211,'SCORING MASTER'!$C$25:$C$27,0)),""))</f>
        <v/>
      </c>
      <c r="AD211" s="58" t="str">
        <f aca="false">IF('STUDENT SCREENING'!AC211="","",IFERROR(INDEX('SCORING MASTER'!$D$29:$D$31,MATCH('STUDENT SCREENING'!AC211,'SCORING MASTER'!$C$29:$C$31,0)),""))</f>
        <v/>
      </c>
      <c r="AE211" s="58" t="str">
        <f aca="false">IF('STUDENT SCREENING'!AD211="","",IFERROR(INDEX('SCORING MASTER'!$D$33:$D$35,MATCH('STUDENT SCREENING'!AD211,'SCORING MASTER'!$C$33:$C$35,0)),""))</f>
        <v/>
      </c>
      <c r="AF211" s="58" t="str">
        <f aca="false">IF('STUDENT SCREENING'!AE211="","",IFERROR(INDEX('SCORING MASTER'!$D$37:$D$39,MATCH('STUDENT SCREENING'!AE211,'SCORING MASTER'!$C$37:$C$39,0)),""))</f>
        <v/>
      </c>
      <c r="AG211" s="58" t="str">
        <f aca="false">IF('STUDENT SCREENING'!AF211="","",IFERROR(INDEX('SCORING MASTER'!$D$41:$D$43,MATCH('STUDENT SCREENING'!AF211,'SCORING MASTER'!$C$41:$C$43,0)),""))</f>
        <v/>
      </c>
      <c r="AH211" s="58" t="str">
        <f aca="false">IF('STUDENT SCREENING'!AG211="","",IFERROR(INDEX('SCORING MASTER'!$D$45:$D$47,MATCH('STUDENT SCREENING'!AG211,'SCORING MASTER'!$C$45:$C$47,0)),""))</f>
        <v/>
      </c>
      <c r="AI211" s="58" t="str">
        <f aca="false">IF('STUDENT SCREENING'!AH211="","",IFERROR(INDEX('SCORING MASTER'!$D$49:$D$52,MATCH('STUDENT SCREENING'!AH211,'SCORING MASTER'!$C$49:$C$52,0)),""))</f>
        <v/>
      </c>
      <c r="AJ211" s="58" t="str">
        <f aca="false">IF('STUDENT SCREENING'!AI211="","",IFERROR(INDEX('SCORING MASTER'!$D$54:$D$57,MATCH('STUDENT SCREENING'!AI211,'SCORING MASTER'!$C$54:$C$57,0)),""))</f>
        <v/>
      </c>
      <c r="AK211" s="58" t="str">
        <f aca="false">IF('STUDENT SCREENING'!AJ211="","",IFERROR(INDEX('SCORING MASTER'!$D$59:$D$60,MATCH('STUDENT SCREENING'!AJ211,'SCORING MASTER'!$C$59:$C$60,0)),""))</f>
        <v/>
      </c>
      <c r="AL211" s="58" t="str">
        <f aca="false">IF('STUDENT SCREENING'!AK211="","",IFERROR(INDEX('SCORING MASTER'!$D$62:$D$63,MATCH('STUDENT SCREENING'!AK211,'SCORING MASTER'!$C$62:$C$63,0)),""))</f>
        <v/>
      </c>
      <c r="AM211" s="58" t="str">
        <f aca="false">IF('STUDENT SCREENING'!AL211="","",IFERROR(INDEX('SCORING MASTER'!$D$65:$D$66,MATCH('STUDENT SCREENING'!AL211,'SCORING MASTER'!$C$65:$C$66,0)),""))</f>
        <v/>
      </c>
      <c r="AN211" s="58" t="str">
        <f aca="false">IF('STUDENT SCREENING'!AM211="","",IFERROR(INDEX('SCORING MASTER'!$D$68:$D$69,MATCH('STUDENT SCREENING'!AM211,'SCORING MASTER'!$C$68:$C$69,0)),""))</f>
        <v/>
      </c>
      <c r="AO211" s="58" t="str">
        <f aca="false">IF('STUDENT SCREENING'!AN211="","",IFERROR(INDEX('SCORING MASTER'!$D$71:$D$72,MATCH('STUDENT SCREENING'!AN211,'SCORING MASTER'!$C$71:$C$72,0)),""))</f>
        <v/>
      </c>
      <c r="AP211" s="58" t="str">
        <f aca="false">IF('STUDENT SCREENING'!AO211="","",IFERROR(INDEX('SCORING MASTER'!$D$74:$D$75,MATCH('STUDENT SCREENING'!AO211,'SCORING MASTER'!$C$74:$C$75,0)),""))</f>
        <v/>
      </c>
      <c r="AQ211" s="58" t="str">
        <f aca="false">IF('STUDENT SCREENING'!AP211="","",IFERROR(INDEX('SCORING MASTER'!$D$77:$D$78,MATCH('STUDENT SCREENING'!AP211,'SCORING MASTER'!$C$77:$C$78,0)),""))</f>
        <v/>
      </c>
      <c r="AR211" s="58" t="str">
        <f aca="false">IF('STUDENT SCREENING'!AQ211="","",IFERROR(INDEX('SCORING MASTER'!$D$80:$D$82,MATCH('STUDENT SCREENING'!AQ211,'SCORING MASTER'!$C$80:$C$82,0)),""))</f>
        <v/>
      </c>
      <c r="AS211" s="58" t="str">
        <f aca="false">IF('STUDENT SCREENING'!AR211="","",IFERROR(INDEX('SCORING MASTER'!$D$84:$D$86,MATCH('STUDENT SCREENING'!AR211,'SCORING MASTER'!$C$84:$C$86,0)),""))</f>
        <v/>
      </c>
      <c r="AT211" s="58" t="str">
        <f aca="false">IF('STUDENT SCREENING'!AS211="","",IFERROR(INDEX('SCORING MASTER'!$D$88:$D$90,MATCH('STUDENT SCREENING'!AS211,'SCORING MASTER'!$C$88:$C$90,0)),""))</f>
        <v/>
      </c>
      <c r="AU211" s="58" t="str">
        <f aca="false">IF('STUDENT SCREENING'!AT211="","",IFERROR(INDEX('SCORING MASTER'!$D$92:$D$93,MATCH('STUDENT SCREENING'!AT211,'SCORING MASTER'!$C$92:$C$93,0)),""))</f>
        <v/>
      </c>
      <c r="AV211" s="58" t="str">
        <f aca="false">IF('STUDENT SCREENING'!AU211="","",IFERROR(INDEX('SCORING MASTER'!$D$95:$D$96,MATCH('STUDENT SCREENING'!AU211,'SCORING MASTER'!$C$95:$C$96,0)),""))</f>
        <v/>
      </c>
      <c r="AW211" s="58" t="str">
        <f aca="false">IF('STUDENT SCREENING'!AV211="","",IFERROR(INDEX('SCORING MASTER'!$D$98:$D$99,MATCH('STUDENT SCREENING'!AV211,'SCORING MASTER'!$C$98:$C$99,0)),""))</f>
        <v/>
      </c>
      <c r="AX211" s="58" t="str">
        <f aca="false">IF('STUDENT SCREENING'!AW211="","",IFERROR(INDEX('SCORING MASTER'!$D$101:$D$102,MATCH('STUDENT SCREENING'!AW211,'SCORING MASTER'!$C$101:$C$102,0)),""))</f>
        <v/>
      </c>
      <c r="AY211" s="58" t="str">
        <f aca="false">IF('STUDENT SCREENING'!AX211="","",IFERROR(INDEX('SCORING MASTER'!$D$104:$D$105,MATCH('STUDENT SCREENING'!AX211,'SCORING MASTER'!$C$104:$C$105,0)),""))</f>
        <v/>
      </c>
      <c r="AZ211" s="58" t="str">
        <f aca="false">IF('STUDENT SCREENING'!AY211="","",IFERROR(INDEX('SCORING MASTER'!$D$107:$D$108,MATCH('STUDENT SCREENING'!AY211,'SCORING MASTER'!$C$107:$C$108,0)),""))</f>
        <v/>
      </c>
      <c r="BA211" s="58" t="str">
        <f aca="false">IF('STUDENT SCREENING'!AZ211="","",IFERROR(INDEX('SCORING MASTER'!$D$110:$D$111,MATCH('STUDENT SCREENING'!AZ211,'SCORING MASTER'!$C$110:$C$111,0)),""))</f>
        <v/>
      </c>
      <c r="BB211" s="58" t="str">
        <f aca="false">IF('STUDENT SCREENING'!BA211="","",IFERROR(INDEX('SCORING MASTER'!$D$113:$D$115,MATCH('STUDENT SCREENING'!BA211,'SCORING MASTER'!$C$113:$C$115,0)),""))</f>
        <v/>
      </c>
      <c r="BC211" s="58" t="str">
        <f aca="false">IF('STUDENT SCREENING'!BB211="","",IFERROR(INDEX('SCORING MASTER'!$D$117:$D$119,MATCH('STUDENT SCREENING'!BB211,'SCORING MASTER'!$C$117:$C$119,0)),""))</f>
        <v/>
      </c>
      <c r="BD211" s="58" t="str">
        <f aca="false">IF('STUDENT SCREENING'!BC211="","",IFERROR(INDEX('SCORING MASTER'!$D$121:$D$123,MATCH('STUDENT SCREENING'!BC211,'SCORING MASTER'!$C$121:$C$123,0)),""))</f>
        <v/>
      </c>
      <c r="BE211" s="58" t="str">
        <f aca="false">IF('STUDENT SCREENING'!BD211="","",IFERROR(INDEX('SCORING MASTER'!$D$125:$D$126,MATCH('STUDENT SCREENING'!BD211,'SCORING MASTER'!$C$125:$C$126,0)),""))</f>
        <v/>
      </c>
      <c r="BF211" s="58" t="str">
        <f aca="false">IF('STUDENT SCREENING'!BE211="","",IFERROR(INDEX('SCORING MASTER'!$D$128:$D$129,MATCH('STUDENT SCREENING'!BE211,'SCORING MASTER'!$C$128:$C$129,0)),""))</f>
        <v/>
      </c>
      <c r="BG211" s="58" t="str">
        <f aca="false">IF('STUDENT SCREENING'!BP211="","",IFERROR(MATCH('STUDENT SCREENING'!BP211,{"Red - High Risk","Orange - Moderate Risk","Yellow - Mild Risk","Light Green - Mild Watch","Green - Healthy"},0)-1,""))</f>
        <v/>
      </c>
      <c r="BH211" s="58" t="str">
        <f aca="false">IF('STUDENT SCREENING'!BQ211="","",IF('STUDENT SCREENING'!BQ211="Yes",1,0))</f>
        <v/>
      </c>
      <c r="BI211" s="58" t="str">
        <f aca="false">IF('STUDENT SCREENING'!BR211="","",IF('STUDENT SCREENING'!BR211="Yes",1,0))</f>
        <v/>
      </c>
    </row>
    <row r="212" customFormat="false" ht="15" hidden="false" customHeight="false" outlineLevel="0" collapsed="false">
      <c r="A212" s="57" t="str">
        <f aca="false">'STUDENT SCREENING'!A212</f>
        <v/>
      </c>
      <c r="B212" s="57" t="n">
        <f aca="false">'STUDENT SCREENING'!C212</f>
        <v>0</v>
      </c>
      <c r="C212" s="57" t="n">
        <f aca="false">'STUDENT SCREENING'!D212</f>
        <v>0</v>
      </c>
      <c r="D212" s="57" t="n">
        <f aca="false">'STUDENT SCREENING'!E212</f>
        <v>0</v>
      </c>
      <c r="E212" s="57" t="n">
        <f aca="false">'STUDENT SCREENING'!F212</f>
        <v>0</v>
      </c>
      <c r="F212" s="57" t="n">
        <f aca="false">'STUDENT SCREENING'!K212</f>
        <v>0</v>
      </c>
      <c r="G212" s="57" t="n">
        <f aca="false">'STUDENT SCREENING'!J212</f>
        <v>0</v>
      </c>
      <c r="H212" s="57" t="str">
        <f aca="false">IF('STUDENT SCREENING'!K212="","",IFERROR(MATCH('STUDENT SCREENING'!K212,Adm_Gender,0),""))</f>
        <v/>
      </c>
      <c r="I212" s="57" t="n">
        <f aca="false">'STUDENT SCREENING'!Q212</f>
        <v>0</v>
      </c>
      <c r="J212" s="57" t="n">
        <f aca="false">'STUDENT SCREENING'!R212</f>
        <v>0</v>
      </c>
      <c r="K212" s="57" t="str">
        <f aca="false">'STUDENT SCREENING'!S212</f>
        <v/>
      </c>
      <c r="L212" s="57" t="n">
        <f aca="false">'STUDENT SCREENING'!U212</f>
        <v>0</v>
      </c>
      <c r="M212" s="57" t="n">
        <f aca="false">'STUDENT SCREENING'!V212</f>
        <v>0</v>
      </c>
      <c r="N212" s="57" t="str">
        <f aca="false">'STUDENT SCREENING'!BF212</f>
        <v/>
      </c>
      <c r="O212" s="57" t="str">
        <f aca="false">'STUDENT SCREENING'!BG212</f>
        <v/>
      </c>
      <c r="P212" s="57" t="str">
        <f aca="false">'STUDENT SCREENING'!BH212</f>
        <v/>
      </c>
      <c r="Q212" s="57" t="str">
        <f aca="false">'STUDENT SCREENING'!BI212</f>
        <v/>
      </c>
      <c r="R212" s="57" t="str">
        <f aca="false">'STUDENT SCREENING'!BJ212</f>
        <v/>
      </c>
      <c r="S212" s="57" t="str">
        <f aca="false">'STUDENT SCREENING'!BK212</f>
        <v/>
      </c>
      <c r="T212" s="57" t="str">
        <f aca="false">'STUDENT SCREENING'!BL212</f>
        <v/>
      </c>
      <c r="U212" s="57" t="str">
        <f aca="false">'STUDENT SCREENING'!BM212</f>
        <v/>
      </c>
      <c r="V212" s="57" t="str">
        <f aca="false">'STUDENT SCREENING'!BN212</f>
        <v/>
      </c>
      <c r="W212" s="57" t="str">
        <f aca="false">'STUDENT SCREENING'!BO212</f>
        <v/>
      </c>
      <c r="X212" s="57" t="str">
        <f aca="false">IF('STUDENT SCREENING'!W212="","",IFERROR(INDEX('SCORING MASTER'!$D$5:$D$7,MATCH('STUDENT SCREENING'!W212,'SCORING MASTER'!$C$5:$C$7,0)),""))</f>
        <v/>
      </c>
      <c r="Y212" s="57" t="str">
        <f aca="false">IF('STUDENT SCREENING'!X212="","",IFERROR(INDEX('SCORING MASTER'!$D$9:$D$11,MATCH('STUDENT SCREENING'!X212,'SCORING MASTER'!$C$9:$C$11,0)),""))</f>
        <v/>
      </c>
      <c r="Z212" s="57" t="str">
        <f aca="false">IF('STUDENT SCREENING'!Y212="","",IFERROR(INDEX('SCORING MASTER'!$D$13:$D$15,MATCH('STUDENT SCREENING'!Y212,'SCORING MASTER'!$C$13:$C$15,0)),""))</f>
        <v/>
      </c>
      <c r="AA212" s="57" t="str">
        <f aca="false">IF('STUDENT SCREENING'!Z212="","",IFERROR(INDEX('SCORING MASTER'!$D$17:$D$19,MATCH('STUDENT SCREENING'!Z212,'SCORING MASTER'!$C$17:$C$19,0)),""))</f>
        <v/>
      </c>
      <c r="AB212" s="57" t="str">
        <f aca="false">IF('STUDENT SCREENING'!AA212="","",IFERROR(INDEX('SCORING MASTER'!$D$21:$D$23,MATCH('STUDENT SCREENING'!AA212,'SCORING MASTER'!$C$21:$C$23,0)),""))</f>
        <v/>
      </c>
      <c r="AC212" s="57" t="str">
        <f aca="false">IF('STUDENT SCREENING'!AB212="","",IFERROR(INDEX('SCORING MASTER'!$D$25:$D$27,MATCH('STUDENT SCREENING'!AB212,'SCORING MASTER'!$C$25:$C$27,0)),""))</f>
        <v/>
      </c>
      <c r="AD212" s="57" t="str">
        <f aca="false">IF('STUDENT SCREENING'!AC212="","",IFERROR(INDEX('SCORING MASTER'!$D$29:$D$31,MATCH('STUDENT SCREENING'!AC212,'SCORING MASTER'!$C$29:$C$31,0)),""))</f>
        <v/>
      </c>
      <c r="AE212" s="57" t="str">
        <f aca="false">IF('STUDENT SCREENING'!AD212="","",IFERROR(INDEX('SCORING MASTER'!$D$33:$D$35,MATCH('STUDENT SCREENING'!AD212,'SCORING MASTER'!$C$33:$C$35,0)),""))</f>
        <v/>
      </c>
      <c r="AF212" s="57" t="str">
        <f aca="false">IF('STUDENT SCREENING'!AE212="","",IFERROR(INDEX('SCORING MASTER'!$D$37:$D$39,MATCH('STUDENT SCREENING'!AE212,'SCORING MASTER'!$C$37:$C$39,0)),""))</f>
        <v/>
      </c>
      <c r="AG212" s="57" t="str">
        <f aca="false">IF('STUDENT SCREENING'!AF212="","",IFERROR(INDEX('SCORING MASTER'!$D$41:$D$43,MATCH('STUDENT SCREENING'!AF212,'SCORING MASTER'!$C$41:$C$43,0)),""))</f>
        <v/>
      </c>
      <c r="AH212" s="57" t="str">
        <f aca="false">IF('STUDENT SCREENING'!AG212="","",IFERROR(INDEX('SCORING MASTER'!$D$45:$D$47,MATCH('STUDENT SCREENING'!AG212,'SCORING MASTER'!$C$45:$C$47,0)),""))</f>
        <v/>
      </c>
      <c r="AI212" s="57" t="str">
        <f aca="false">IF('STUDENT SCREENING'!AH212="","",IFERROR(INDEX('SCORING MASTER'!$D$49:$D$52,MATCH('STUDENT SCREENING'!AH212,'SCORING MASTER'!$C$49:$C$52,0)),""))</f>
        <v/>
      </c>
      <c r="AJ212" s="57" t="str">
        <f aca="false">IF('STUDENT SCREENING'!AI212="","",IFERROR(INDEX('SCORING MASTER'!$D$54:$D$57,MATCH('STUDENT SCREENING'!AI212,'SCORING MASTER'!$C$54:$C$57,0)),""))</f>
        <v/>
      </c>
      <c r="AK212" s="57" t="str">
        <f aca="false">IF('STUDENT SCREENING'!AJ212="","",IFERROR(INDEX('SCORING MASTER'!$D$59:$D$60,MATCH('STUDENT SCREENING'!AJ212,'SCORING MASTER'!$C$59:$C$60,0)),""))</f>
        <v/>
      </c>
      <c r="AL212" s="57" t="str">
        <f aca="false">IF('STUDENT SCREENING'!AK212="","",IFERROR(INDEX('SCORING MASTER'!$D$62:$D$63,MATCH('STUDENT SCREENING'!AK212,'SCORING MASTER'!$C$62:$C$63,0)),""))</f>
        <v/>
      </c>
      <c r="AM212" s="57" t="str">
        <f aca="false">IF('STUDENT SCREENING'!AL212="","",IFERROR(INDEX('SCORING MASTER'!$D$65:$D$66,MATCH('STUDENT SCREENING'!AL212,'SCORING MASTER'!$C$65:$C$66,0)),""))</f>
        <v/>
      </c>
      <c r="AN212" s="57" t="str">
        <f aca="false">IF('STUDENT SCREENING'!AM212="","",IFERROR(INDEX('SCORING MASTER'!$D$68:$D$69,MATCH('STUDENT SCREENING'!AM212,'SCORING MASTER'!$C$68:$C$69,0)),""))</f>
        <v/>
      </c>
      <c r="AO212" s="57" t="str">
        <f aca="false">IF('STUDENT SCREENING'!AN212="","",IFERROR(INDEX('SCORING MASTER'!$D$71:$D$72,MATCH('STUDENT SCREENING'!AN212,'SCORING MASTER'!$C$71:$C$72,0)),""))</f>
        <v/>
      </c>
      <c r="AP212" s="57" t="str">
        <f aca="false">IF('STUDENT SCREENING'!AO212="","",IFERROR(INDEX('SCORING MASTER'!$D$74:$D$75,MATCH('STUDENT SCREENING'!AO212,'SCORING MASTER'!$C$74:$C$75,0)),""))</f>
        <v/>
      </c>
      <c r="AQ212" s="57" t="str">
        <f aca="false">IF('STUDENT SCREENING'!AP212="","",IFERROR(INDEX('SCORING MASTER'!$D$77:$D$78,MATCH('STUDENT SCREENING'!AP212,'SCORING MASTER'!$C$77:$C$78,0)),""))</f>
        <v/>
      </c>
      <c r="AR212" s="57" t="str">
        <f aca="false">IF('STUDENT SCREENING'!AQ212="","",IFERROR(INDEX('SCORING MASTER'!$D$80:$D$82,MATCH('STUDENT SCREENING'!AQ212,'SCORING MASTER'!$C$80:$C$82,0)),""))</f>
        <v/>
      </c>
      <c r="AS212" s="57" t="str">
        <f aca="false">IF('STUDENT SCREENING'!AR212="","",IFERROR(INDEX('SCORING MASTER'!$D$84:$D$86,MATCH('STUDENT SCREENING'!AR212,'SCORING MASTER'!$C$84:$C$86,0)),""))</f>
        <v/>
      </c>
      <c r="AT212" s="57" t="str">
        <f aca="false">IF('STUDENT SCREENING'!AS212="","",IFERROR(INDEX('SCORING MASTER'!$D$88:$D$90,MATCH('STUDENT SCREENING'!AS212,'SCORING MASTER'!$C$88:$C$90,0)),""))</f>
        <v/>
      </c>
      <c r="AU212" s="57" t="str">
        <f aca="false">IF('STUDENT SCREENING'!AT212="","",IFERROR(INDEX('SCORING MASTER'!$D$92:$D$93,MATCH('STUDENT SCREENING'!AT212,'SCORING MASTER'!$C$92:$C$93,0)),""))</f>
        <v/>
      </c>
      <c r="AV212" s="57" t="str">
        <f aca="false">IF('STUDENT SCREENING'!AU212="","",IFERROR(INDEX('SCORING MASTER'!$D$95:$D$96,MATCH('STUDENT SCREENING'!AU212,'SCORING MASTER'!$C$95:$C$96,0)),""))</f>
        <v/>
      </c>
      <c r="AW212" s="57" t="str">
        <f aca="false">IF('STUDENT SCREENING'!AV212="","",IFERROR(INDEX('SCORING MASTER'!$D$98:$D$99,MATCH('STUDENT SCREENING'!AV212,'SCORING MASTER'!$C$98:$C$99,0)),""))</f>
        <v/>
      </c>
      <c r="AX212" s="57" t="str">
        <f aca="false">IF('STUDENT SCREENING'!AW212="","",IFERROR(INDEX('SCORING MASTER'!$D$101:$D$102,MATCH('STUDENT SCREENING'!AW212,'SCORING MASTER'!$C$101:$C$102,0)),""))</f>
        <v/>
      </c>
      <c r="AY212" s="57" t="str">
        <f aca="false">IF('STUDENT SCREENING'!AX212="","",IFERROR(INDEX('SCORING MASTER'!$D$104:$D$105,MATCH('STUDENT SCREENING'!AX212,'SCORING MASTER'!$C$104:$C$105,0)),""))</f>
        <v/>
      </c>
      <c r="AZ212" s="57" t="str">
        <f aca="false">IF('STUDENT SCREENING'!AY212="","",IFERROR(INDEX('SCORING MASTER'!$D$107:$D$108,MATCH('STUDENT SCREENING'!AY212,'SCORING MASTER'!$C$107:$C$108,0)),""))</f>
        <v/>
      </c>
      <c r="BA212" s="57" t="str">
        <f aca="false">IF('STUDENT SCREENING'!AZ212="","",IFERROR(INDEX('SCORING MASTER'!$D$110:$D$111,MATCH('STUDENT SCREENING'!AZ212,'SCORING MASTER'!$C$110:$C$111,0)),""))</f>
        <v/>
      </c>
      <c r="BB212" s="57" t="str">
        <f aca="false">IF('STUDENT SCREENING'!BA212="","",IFERROR(INDEX('SCORING MASTER'!$D$113:$D$115,MATCH('STUDENT SCREENING'!BA212,'SCORING MASTER'!$C$113:$C$115,0)),""))</f>
        <v/>
      </c>
      <c r="BC212" s="57" t="str">
        <f aca="false">IF('STUDENT SCREENING'!BB212="","",IFERROR(INDEX('SCORING MASTER'!$D$117:$D$119,MATCH('STUDENT SCREENING'!BB212,'SCORING MASTER'!$C$117:$C$119,0)),""))</f>
        <v/>
      </c>
      <c r="BD212" s="57" t="str">
        <f aca="false">IF('STUDENT SCREENING'!BC212="","",IFERROR(INDEX('SCORING MASTER'!$D$121:$D$123,MATCH('STUDENT SCREENING'!BC212,'SCORING MASTER'!$C$121:$C$123,0)),""))</f>
        <v/>
      </c>
      <c r="BE212" s="57" t="str">
        <f aca="false">IF('STUDENT SCREENING'!BD212="","",IFERROR(INDEX('SCORING MASTER'!$D$125:$D$126,MATCH('STUDENT SCREENING'!BD212,'SCORING MASTER'!$C$125:$C$126,0)),""))</f>
        <v/>
      </c>
      <c r="BF212" s="57" t="str">
        <f aca="false">IF('STUDENT SCREENING'!BE212="","",IFERROR(INDEX('SCORING MASTER'!$D$128:$D$129,MATCH('STUDENT SCREENING'!BE212,'SCORING MASTER'!$C$128:$C$129,0)),""))</f>
        <v/>
      </c>
      <c r="BG212" s="57" t="str">
        <f aca="false">IF('STUDENT SCREENING'!BP212="","",IFERROR(MATCH('STUDENT SCREENING'!BP212,{"Red - High Risk","Orange - Moderate Risk","Yellow - Mild Risk","Light Green - Mild Watch","Green - Healthy"},0)-1,""))</f>
        <v/>
      </c>
      <c r="BH212" s="57" t="str">
        <f aca="false">IF('STUDENT SCREENING'!BQ212="","",IF('STUDENT SCREENING'!BQ212="Yes",1,0))</f>
        <v/>
      </c>
      <c r="BI212" s="57" t="str">
        <f aca="false">IF('STUDENT SCREENING'!BR212="","",IF('STUDENT SCREENING'!BR212="Yes",1,0))</f>
        <v/>
      </c>
    </row>
    <row r="213" customFormat="false" ht="15" hidden="false" customHeight="false" outlineLevel="0" collapsed="false">
      <c r="A213" s="58" t="str">
        <f aca="false">'STUDENT SCREENING'!A213</f>
        <v/>
      </c>
      <c r="B213" s="58" t="n">
        <f aca="false">'STUDENT SCREENING'!C213</f>
        <v>0</v>
      </c>
      <c r="C213" s="58" t="n">
        <f aca="false">'STUDENT SCREENING'!D213</f>
        <v>0</v>
      </c>
      <c r="D213" s="58" t="n">
        <f aca="false">'STUDENT SCREENING'!E213</f>
        <v>0</v>
      </c>
      <c r="E213" s="58" t="n">
        <f aca="false">'STUDENT SCREENING'!F213</f>
        <v>0</v>
      </c>
      <c r="F213" s="58" t="n">
        <f aca="false">'STUDENT SCREENING'!K213</f>
        <v>0</v>
      </c>
      <c r="G213" s="58" t="n">
        <f aca="false">'STUDENT SCREENING'!J213</f>
        <v>0</v>
      </c>
      <c r="H213" s="58" t="str">
        <f aca="false">IF('STUDENT SCREENING'!K213="","",IFERROR(MATCH('STUDENT SCREENING'!K213,Adm_Gender,0),""))</f>
        <v/>
      </c>
      <c r="I213" s="58" t="n">
        <f aca="false">'STUDENT SCREENING'!Q213</f>
        <v>0</v>
      </c>
      <c r="J213" s="58" t="n">
        <f aca="false">'STUDENT SCREENING'!R213</f>
        <v>0</v>
      </c>
      <c r="K213" s="58" t="str">
        <f aca="false">'STUDENT SCREENING'!S213</f>
        <v/>
      </c>
      <c r="L213" s="58" t="n">
        <f aca="false">'STUDENT SCREENING'!U213</f>
        <v>0</v>
      </c>
      <c r="M213" s="58" t="n">
        <f aca="false">'STUDENT SCREENING'!V213</f>
        <v>0</v>
      </c>
      <c r="N213" s="58" t="str">
        <f aca="false">'STUDENT SCREENING'!BF213</f>
        <v/>
      </c>
      <c r="O213" s="58" t="str">
        <f aca="false">'STUDENT SCREENING'!BG213</f>
        <v/>
      </c>
      <c r="P213" s="58" t="str">
        <f aca="false">'STUDENT SCREENING'!BH213</f>
        <v/>
      </c>
      <c r="Q213" s="58" t="str">
        <f aca="false">'STUDENT SCREENING'!BI213</f>
        <v/>
      </c>
      <c r="R213" s="58" t="str">
        <f aca="false">'STUDENT SCREENING'!BJ213</f>
        <v/>
      </c>
      <c r="S213" s="58" t="str">
        <f aca="false">'STUDENT SCREENING'!BK213</f>
        <v/>
      </c>
      <c r="T213" s="58" t="str">
        <f aca="false">'STUDENT SCREENING'!BL213</f>
        <v/>
      </c>
      <c r="U213" s="58" t="str">
        <f aca="false">'STUDENT SCREENING'!BM213</f>
        <v/>
      </c>
      <c r="V213" s="58" t="str">
        <f aca="false">'STUDENT SCREENING'!BN213</f>
        <v/>
      </c>
      <c r="W213" s="58" t="str">
        <f aca="false">'STUDENT SCREENING'!BO213</f>
        <v/>
      </c>
      <c r="X213" s="58" t="str">
        <f aca="false">IF('STUDENT SCREENING'!W213="","",IFERROR(INDEX('SCORING MASTER'!$D$5:$D$7,MATCH('STUDENT SCREENING'!W213,'SCORING MASTER'!$C$5:$C$7,0)),""))</f>
        <v/>
      </c>
      <c r="Y213" s="58" t="str">
        <f aca="false">IF('STUDENT SCREENING'!X213="","",IFERROR(INDEX('SCORING MASTER'!$D$9:$D$11,MATCH('STUDENT SCREENING'!X213,'SCORING MASTER'!$C$9:$C$11,0)),""))</f>
        <v/>
      </c>
      <c r="Z213" s="58" t="str">
        <f aca="false">IF('STUDENT SCREENING'!Y213="","",IFERROR(INDEX('SCORING MASTER'!$D$13:$D$15,MATCH('STUDENT SCREENING'!Y213,'SCORING MASTER'!$C$13:$C$15,0)),""))</f>
        <v/>
      </c>
      <c r="AA213" s="58" t="str">
        <f aca="false">IF('STUDENT SCREENING'!Z213="","",IFERROR(INDEX('SCORING MASTER'!$D$17:$D$19,MATCH('STUDENT SCREENING'!Z213,'SCORING MASTER'!$C$17:$C$19,0)),""))</f>
        <v/>
      </c>
      <c r="AB213" s="58" t="str">
        <f aca="false">IF('STUDENT SCREENING'!AA213="","",IFERROR(INDEX('SCORING MASTER'!$D$21:$D$23,MATCH('STUDENT SCREENING'!AA213,'SCORING MASTER'!$C$21:$C$23,0)),""))</f>
        <v/>
      </c>
      <c r="AC213" s="58" t="str">
        <f aca="false">IF('STUDENT SCREENING'!AB213="","",IFERROR(INDEX('SCORING MASTER'!$D$25:$D$27,MATCH('STUDENT SCREENING'!AB213,'SCORING MASTER'!$C$25:$C$27,0)),""))</f>
        <v/>
      </c>
      <c r="AD213" s="58" t="str">
        <f aca="false">IF('STUDENT SCREENING'!AC213="","",IFERROR(INDEX('SCORING MASTER'!$D$29:$D$31,MATCH('STUDENT SCREENING'!AC213,'SCORING MASTER'!$C$29:$C$31,0)),""))</f>
        <v/>
      </c>
      <c r="AE213" s="58" t="str">
        <f aca="false">IF('STUDENT SCREENING'!AD213="","",IFERROR(INDEX('SCORING MASTER'!$D$33:$D$35,MATCH('STUDENT SCREENING'!AD213,'SCORING MASTER'!$C$33:$C$35,0)),""))</f>
        <v/>
      </c>
      <c r="AF213" s="58" t="str">
        <f aca="false">IF('STUDENT SCREENING'!AE213="","",IFERROR(INDEX('SCORING MASTER'!$D$37:$D$39,MATCH('STUDENT SCREENING'!AE213,'SCORING MASTER'!$C$37:$C$39,0)),""))</f>
        <v/>
      </c>
      <c r="AG213" s="58" t="str">
        <f aca="false">IF('STUDENT SCREENING'!AF213="","",IFERROR(INDEX('SCORING MASTER'!$D$41:$D$43,MATCH('STUDENT SCREENING'!AF213,'SCORING MASTER'!$C$41:$C$43,0)),""))</f>
        <v/>
      </c>
      <c r="AH213" s="58" t="str">
        <f aca="false">IF('STUDENT SCREENING'!AG213="","",IFERROR(INDEX('SCORING MASTER'!$D$45:$D$47,MATCH('STUDENT SCREENING'!AG213,'SCORING MASTER'!$C$45:$C$47,0)),""))</f>
        <v/>
      </c>
      <c r="AI213" s="58" t="str">
        <f aca="false">IF('STUDENT SCREENING'!AH213="","",IFERROR(INDEX('SCORING MASTER'!$D$49:$D$52,MATCH('STUDENT SCREENING'!AH213,'SCORING MASTER'!$C$49:$C$52,0)),""))</f>
        <v/>
      </c>
      <c r="AJ213" s="58" t="str">
        <f aca="false">IF('STUDENT SCREENING'!AI213="","",IFERROR(INDEX('SCORING MASTER'!$D$54:$D$57,MATCH('STUDENT SCREENING'!AI213,'SCORING MASTER'!$C$54:$C$57,0)),""))</f>
        <v/>
      </c>
      <c r="AK213" s="58" t="str">
        <f aca="false">IF('STUDENT SCREENING'!AJ213="","",IFERROR(INDEX('SCORING MASTER'!$D$59:$D$60,MATCH('STUDENT SCREENING'!AJ213,'SCORING MASTER'!$C$59:$C$60,0)),""))</f>
        <v/>
      </c>
      <c r="AL213" s="58" t="str">
        <f aca="false">IF('STUDENT SCREENING'!AK213="","",IFERROR(INDEX('SCORING MASTER'!$D$62:$D$63,MATCH('STUDENT SCREENING'!AK213,'SCORING MASTER'!$C$62:$C$63,0)),""))</f>
        <v/>
      </c>
      <c r="AM213" s="58" t="str">
        <f aca="false">IF('STUDENT SCREENING'!AL213="","",IFERROR(INDEX('SCORING MASTER'!$D$65:$D$66,MATCH('STUDENT SCREENING'!AL213,'SCORING MASTER'!$C$65:$C$66,0)),""))</f>
        <v/>
      </c>
      <c r="AN213" s="58" t="str">
        <f aca="false">IF('STUDENT SCREENING'!AM213="","",IFERROR(INDEX('SCORING MASTER'!$D$68:$D$69,MATCH('STUDENT SCREENING'!AM213,'SCORING MASTER'!$C$68:$C$69,0)),""))</f>
        <v/>
      </c>
      <c r="AO213" s="58" t="str">
        <f aca="false">IF('STUDENT SCREENING'!AN213="","",IFERROR(INDEX('SCORING MASTER'!$D$71:$D$72,MATCH('STUDENT SCREENING'!AN213,'SCORING MASTER'!$C$71:$C$72,0)),""))</f>
        <v/>
      </c>
      <c r="AP213" s="58" t="str">
        <f aca="false">IF('STUDENT SCREENING'!AO213="","",IFERROR(INDEX('SCORING MASTER'!$D$74:$D$75,MATCH('STUDENT SCREENING'!AO213,'SCORING MASTER'!$C$74:$C$75,0)),""))</f>
        <v/>
      </c>
      <c r="AQ213" s="58" t="str">
        <f aca="false">IF('STUDENT SCREENING'!AP213="","",IFERROR(INDEX('SCORING MASTER'!$D$77:$D$78,MATCH('STUDENT SCREENING'!AP213,'SCORING MASTER'!$C$77:$C$78,0)),""))</f>
        <v/>
      </c>
      <c r="AR213" s="58" t="str">
        <f aca="false">IF('STUDENT SCREENING'!AQ213="","",IFERROR(INDEX('SCORING MASTER'!$D$80:$D$82,MATCH('STUDENT SCREENING'!AQ213,'SCORING MASTER'!$C$80:$C$82,0)),""))</f>
        <v/>
      </c>
      <c r="AS213" s="58" t="str">
        <f aca="false">IF('STUDENT SCREENING'!AR213="","",IFERROR(INDEX('SCORING MASTER'!$D$84:$D$86,MATCH('STUDENT SCREENING'!AR213,'SCORING MASTER'!$C$84:$C$86,0)),""))</f>
        <v/>
      </c>
      <c r="AT213" s="58" t="str">
        <f aca="false">IF('STUDENT SCREENING'!AS213="","",IFERROR(INDEX('SCORING MASTER'!$D$88:$D$90,MATCH('STUDENT SCREENING'!AS213,'SCORING MASTER'!$C$88:$C$90,0)),""))</f>
        <v/>
      </c>
      <c r="AU213" s="58" t="str">
        <f aca="false">IF('STUDENT SCREENING'!AT213="","",IFERROR(INDEX('SCORING MASTER'!$D$92:$D$93,MATCH('STUDENT SCREENING'!AT213,'SCORING MASTER'!$C$92:$C$93,0)),""))</f>
        <v/>
      </c>
      <c r="AV213" s="58" t="str">
        <f aca="false">IF('STUDENT SCREENING'!AU213="","",IFERROR(INDEX('SCORING MASTER'!$D$95:$D$96,MATCH('STUDENT SCREENING'!AU213,'SCORING MASTER'!$C$95:$C$96,0)),""))</f>
        <v/>
      </c>
      <c r="AW213" s="58" t="str">
        <f aca="false">IF('STUDENT SCREENING'!AV213="","",IFERROR(INDEX('SCORING MASTER'!$D$98:$D$99,MATCH('STUDENT SCREENING'!AV213,'SCORING MASTER'!$C$98:$C$99,0)),""))</f>
        <v/>
      </c>
      <c r="AX213" s="58" t="str">
        <f aca="false">IF('STUDENT SCREENING'!AW213="","",IFERROR(INDEX('SCORING MASTER'!$D$101:$D$102,MATCH('STUDENT SCREENING'!AW213,'SCORING MASTER'!$C$101:$C$102,0)),""))</f>
        <v/>
      </c>
      <c r="AY213" s="58" t="str">
        <f aca="false">IF('STUDENT SCREENING'!AX213="","",IFERROR(INDEX('SCORING MASTER'!$D$104:$D$105,MATCH('STUDENT SCREENING'!AX213,'SCORING MASTER'!$C$104:$C$105,0)),""))</f>
        <v/>
      </c>
      <c r="AZ213" s="58" t="str">
        <f aca="false">IF('STUDENT SCREENING'!AY213="","",IFERROR(INDEX('SCORING MASTER'!$D$107:$D$108,MATCH('STUDENT SCREENING'!AY213,'SCORING MASTER'!$C$107:$C$108,0)),""))</f>
        <v/>
      </c>
      <c r="BA213" s="58" t="str">
        <f aca="false">IF('STUDENT SCREENING'!AZ213="","",IFERROR(INDEX('SCORING MASTER'!$D$110:$D$111,MATCH('STUDENT SCREENING'!AZ213,'SCORING MASTER'!$C$110:$C$111,0)),""))</f>
        <v/>
      </c>
      <c r="BB213" s="58" t="str">
        <f aca="false">IF('STUDENT SCREENING'!BA213="","",IFERROR(INDEX('SCORING MASTER'!$D$113:$D$115,MATCH('STUDENT SCREENING'!BA213,'SCORING MASTER'!$C$113:$C$115,0)),""))</f>
        <v/>
      </c>
      <c r="BC213" s="58" t="str">
        <f aca="false">IF('STUDENT SCREENING'!BB213="","",IFERROR(INDEX('SCORING MASTER'!$D$117:$D$119,MATCH('STUDENT SCREENING'!BB213,'SCORING MASTER'!$C$117:$C$119,0)),""))</f>
        <v/>
      </c>
      <c r="BD213" s="58" t="str">
        <f aca="false">IF('STUDENT SCREENING'!BC213="","",IFERROR(INDEX('SCORING MASTER'!$D$121:$D$123,MATCH('STUDENT SCREENING'!BC213,'SCORING MASTER'!$C$121:$C$123,0)),""))</f>
        <v/>
      </c>
      <c r="BE213" s="58" t="str">
        <f aca="false">IF('STUDENT SCREENING'!BD213="","",IFERROR(INDEX('SCORING MASTER'!$D$125:$D$126,MATCH('STUDENT SCREENING'!BD213,'SCORING MASTER'!$C$125:$C$126,0)),""))</f>
        <v/>
      </c>
      <c r="BF213" s="58" t="str">
        <f aca="false">IF('STUDENT SCREENING'!BE213="","",IFERROR(INDEX('SCORING MASTER'!$D$128:$D$129,MATCH('STUDENT SCREENING'!BE213,'SCORING MASTER'!$C$128:$C$129,0)),""))</f>
        <v/>
      </c>
      <c r="BG213" s="58" t="str">
        <f aca="false">IF('STUDENT SCREENING'!BP213="","",IFERROR(MATCH('STUDENT SCREENING'!BP213,{"Red - High Risk","Orange - Moderate Risk","Yellow - Mild Risk","Light Green - Mild Watch","Green - Healthy"},0)-1,""))</f>
        <v/>
      </c>
      <c r="BH213" s="58" t="str">
        <f aca="false">IF('STUDENT SCREENING'!BQ213="","",IF('STUDENT SCREENING'!BQ213="Yes",1,0))</f>
        <v/>
      </c>
      <c r="BI213" s="58" t="str">
        <f aca="false">IF('STUDENT SCREENING'!BR213="","",IF('STUDENT SCREENING'!BR213="Yes",1,0))</f>
        <v/>
      </c>
    </row>
    <row r="214" customFormat="false" ht="15" hidden="false" customHeight="false" outlineLevel="0" collapsed="false">
      <c r="A214" s="57" t="str">
        <f aca="false">'STUDENT SCREENING'!A214</f>
        <v/>
      </c>
      <c r="B214" s="57" t="n">
        <f aca="false">'STUDENT SCREENING'!C214</f>
        <v>0</v>
      </c>
      <c r="C214" s="57" t="n">
        <f aca="false">'STUDENT SCREENING'!D214</f>
        <v>0</v>
      </c>
      <c r="D214" s="57" t="n">
        <f aca="false">'STUDENT SCREENING'!E214</f>
        <v>0</v>
      </c>
      <c r="E214" s="57" t="n">
        <f aca="false">'STUDENT SCREENING'!F214</f>
        <v>0</v>
      </c>
      <c r="F214" s="57" t="n">
        <f aca="false">'STUDENT SCREENING'!K214</f>
        <v>0</v>
      </c>
      <c r="G214" s="57" t="n">
        <f aca="false">'STUDENT SCREENING'!J214</f>
        <v>0</v>
      </c>
      <c r="H214" s="57" t="str">
        <f aca="false">IF('STUDENT SCREENING'!K214="","",IFERROR(MATCH('STUDENT SCREENING'!K214,Adm_Gender,0),""))</f>
        <v/>
      </c>
      <c r="I214" s="57" t="n">
        <f aca="false">'STUDENT SCREENING'!Q214</f>
        <v>0</v>
      </c>
      <c r="J214" s="57" t="n">
        <f aca="false">'STUDENT SCREENING'!R214</f>
        <v>0</v>
      </c>
      <c r="K214" s="57" t="str">
        <f aca="false">'STUDENT SCREENING'!S214</f>
        <v/>
      </c>
      <c r="L214" s="57" t="n">
        <f aca="false">'STUDENT SCREENING'!U214</f>
        <v>0</v>
      </c>
      <c r="M214" s="57" t="n">
        <f aca="false">'STUDENT SCREENING'!V214</f>
        <v>0</v>
      </c>
      <c r="N214" s="57" t="str">
        <f aca="false">'STUDENT SCREENING'!BF214</f>
        <v/>
      </c>
      <c r="O214" s="57" t="str">
        <f aca="false">'STUDENT SCREENING'!BG214</f>
        <v/>
      </c>
      <c r="P214" s="57" t="str">
        <f aca="false">'STUDENT SCREENING'!BH214</f>
        <v/>
      </c>
      <c r="Q214" s="57" t="str">
        <f aca="false">'STUDENT SCREENING'!BI214</f>
        <v/>
      </c>
      <c r="R214" s="57" t="str">
        <f aca="false">'STUDENT SCREENING'!BJ214</f>
        <v/>
      </c>
      <c r="S214" s="57" t="str">
        <f aca="false">'STUDENT SCREENING'!BK214</f>
        <v/>
      </c>
      <c r="T214" s="57" t="str">
        <f aca="false">'STUDENT SCREENING'!BL214</f>
        <v/>
      </c>
      <c r="U214" s="57" t="str">
        <f aca="false">'STUDENT SCREENING'!BM214</f>
        <v/>
      </c>
      <c r="V214" s="57" t="str">
        <f aca="false">'STUDENT SCREENING'!BN214</f>
        <v/>
      </c>
      <c r="W214" s="57" t="str">
        <f aca="false">'STUDENT SCREENING'!BO214</f>
        <v/>
      </c>
      <c r="X214" s="57" t="str">
        <f aca="false">IF('STUDENT SCREENING'!W214="","",IFERROR(INDEX('SCORING MASTER'!$D$5:$D$7,MATCH('STUDENT SCREENING'!W214,'SCORING MASTER'!$C$5:$C$7,0)),""))</f>
        <v/>
      </c>
      <c r="Y214" s="57" t="str">
        <f aca="false">IF('STUDENT SCREENING'!X214="","",IFERROR(INDEX('SCORING MASTER'!$D$9:$D$11,MATCH('STUDENT SCREENING'!X214,'SCORING MASTER'!$C$9:$C$11,0)),""))</f>
        <v/>
      </c>
      <c r="Z214" s="57" t="str">
        <f aca="false">IF('STUDENT SCREENING'!Y214="","",IFERROR(INDEX('SCORING MASTER'!$D$13:$D$15,MATCH('STUDENT SCREENING'!Y214,'SCORING MASTER'!$C$13:$C$15,0)),""))</f>
        <v/>
      </c>
      <c r="AA214" s="57" t="str">
        <f aca="false">IF('STUDENT SCREENING'!Z214="","",IFERROR(INDEX('SCORING MASTER'!$D$17:$D$19,MATCH('STUDENT SCREENING'!Z214,'SCORING MASTER'!$C$17:$C$19,0)),""))</f>
        <v/>
      </c>
      <c r="AB214" s="57" t="str">
        <f aca="false">IF('STUDENT SCREENING'!AA214="","",IFERROR(INDEX('SCORING MASTER'!$D$21:$D$23,MATCH('STUDENT SCREENING'!AA214,'SCORING MASTER'!$C$21:$C$23,0)),""))</f>
        <v/>
      </c>
      <c r="AC214" s="57" t="str">
        <f aca="false">IF('STUDENT SCREENING'!AB214="","",IFERROR(INDEX('SCORING MASTER'!$D$25:$D$27,MATCH('STUDENT SCREENING'!AB214,'SCORING MASTER'!$C$25:$C$27,0)),""))</f>
        <v/>
      </c>
      <c r="AD214" s="57" t="str">
        <f aca="false">IF('STUDENT SCREENING'!AC214="","",IFERROR(INDEX('SCORING MASTER'!$D$29:$D$31,MATCH('STUDENT SCREENING'!AC214,'SCORING MASTER'!$C$29:$C$31,0)),""))</f>
        <v/>
      </c>
      <c r="AE214" s="57" t="str">
        <f aca="false">IF('STUDENT SCREENING'!AD214="","",IFERROR(INDEX('SCORING MASTER'!$D$33:$D$35,MATCH('STUDENT SCREENING'!AD214,'SCORING MASTER'!$C$33:$C$35,0)),""))</f>
        <v/>
      </c>
      <c r="AF214" s="57" t="str">
        <f aca="false">IF('STUDENT SCREENING'!AE214="","",IFERROR(INDEX('SCORING MASTER'!$D$37:$D$39,MATCH('STUDENT SCREENING'!AE214,'SCORING MASTER'!$C$37:$C$39,0)),""))</f>
        <v/>
      </c>
      <c r="AG214" s="57" t="str">
        <f aca="false">IF('STUDENT SCREENING'!AF214="","",IFERROR(INDEX('SCORING MASTER'!$D$41:$D$43,MATCH('STUDENT SCREENING'!AF214,'SCORING MASTER'!$C$41:$C$43,0)),""))</f>
        <v/>
      </c>
      <c r="AH214" s="57" t="str">
        <f aca="false">IF('STUDENT SCREENING'!AG214="","",IFERROR(INDEX('SCORING MASTER'!$D$45:$D$47,MATCH('STUDENT SCREENING'!AG214,'SCORING MASTER'!$C$45:$C$47,0)),""))</f>
        <v/>
      </c>
      <c r="AI214" s="57" t="str">
        <f aca="false">IF('STUDENT SCREENING'!AH214="","",IFERROR(INDEX('SCORING MASTER'!$D$49:$D$52,MATCH('STUDENT SCREENING'!AH214,'SCORING MASTER'!$C$49:$C$52,0)),""))</f>
        <v/>
      </c>
      <c r="AJ214" s="57" t="str">
        <f aca="false">IF('STUDENT SCREENING'!AI214="","",IFERROR(INDEX('SCORING MASTER'!$D$54:$D$57,MATCH('STUDENT SCREENING'!AI214,'SCORING MASTER'!$C$54:$C$57,0)),""))</f>
        <v/>
      </c>
      <c r="AK214" s="57" t="str">
        <f aca="false">IF('STUDENT SCREENING'!AJ214="","",IFERROR(INDEX('SCORING MASTER'!$D$59:$D$60,MATCH('STUDENT SCREENING'!AJ214,'SCORING MASTER'!$C$59:$C$60,0)),""))</f>
        <v/>
      </c>
      <c r="AL214" s="57" t="str">
        <f aca="false">IF('STUDENT SCREENING'!AK214="","",IFERROR(INDEX('SCORING MASTER'!$D$62:$D$63,MATCH('STUDENT SCREENING'!AK214,'SCORING MASTER'!$C$62:$C$63,0)),""))</f>
        <v/>
      </c>
      <c r="AM214" s="57" t="str">
        <f aca="false">IF('STUDENT SCREENING'!AL214="","",IFERROR(INDEX('SCORING MASTER'!$D$65:$D$66,MATCH('STUDENT SCREENING'!AL214,'SCORING MASTER'!$C$65:$C$66,0)),""))</f>
        <v/>
      </c>
      <c r="AN214" s="57" t="str">
        <f aca="false">IF('STUDENT SCREENING'!AM214="","",IFERROR(INDEX('SCORING MASTER'!$D$68:$D$69,MATCH('STUDENT SCREENING'!AM214,'SCORING MASTER'!$C$68:$C$69,0)),""))</f>
        <v/>
      </c>
      <c r="AO214" s="57" t="str">
        <f aca="false">IF('STUDENT SCREENING'!AN214="","",IFERROR(INDEX('SCORING MASTER'!$D$71:$D$72,MATCH('STUDENT SCREENING'!AN214,'SCORING MASTER'!$C$71:$C$72,0)),""))</f>
        <v/>
      </c>
      <c r="AP214" s="57" t="str">
        <f aca="false">IF('STUDENT SCREENING'!AO214="","",IFERROR(INDEX('SCORING MASTER'!$D$74:$D$75,MATCH('STUDENT SCREENING'!AO214,'SCORING MASTER'!$C$74:$C$75,0)),""))</f>
        <v/>
      </c>
      <c r="AQ214" s="57" t="str">
        <f aca="false">IF('STUDENT SCREENING'!AP214="","",IFERROR(INDEX('SCORING MASTER'!$D$77:$D$78,MATCH('STUDENT SCREENING'!AP214,'SCORING MASTER'!$C$77:$C$78,0)),""))</f>
        <v/>
      </c>
      <c r="AR214" s="57" t="str">
        <f aca="false">IF('STUDENT SCREENING'!AQ214="","",IFERROR(INDEX('SCORING MASTER'!$D$80:$D$82,MATCH('STUDENT SCREENING'!AQ214,'SCORING MASTER'!$C$80:$C$82,0)),""))</f>
        <v/>
      </c>
      <c r="AS214" s="57" t="str">
        <f aca="false">IF('STUDENT SCREENING'!AR214="","",IFERROR(INDEX('SCORING MASTER'!$D$84:$D$86,MATCH('STUDENT SCREENING'!AR214,'SCORING MASTER'!$C$84:$C$86,0)),""))</f>
        <v/>
      </c>
      <c r="AT214" s="57" t="str">
        <f aca="false">IF('STUDENT SCREENING'!AS214="","",IFERROR(INDEX('SCORING MASTER'!$D$88:$D$90,MATCH('STUDENT SCREENING'!AS214,'SCORING MASTER'!$C$88:$C$90,0)),""))</f>
        <v/>
      </c>
      <c r="AU214" s="57" t="str">
        <f aca="false">IF('STUDENT SCREENING'!AT214="","",IFERROR(INDEX('SCORING MASTER'!$D$92:$D$93,MATCH('STUDENT SCREENING'!AT214,'SCORING MASTER'!$C$92:$C$93,0)),""))</f>
        <v/>
      </c>
      <c r="AV214" s="57" t="str">
        <f aca="false">IF('STUDENT SCREENING'!AU214="","",IFERROR(INDEX('SCORING MASTER'!$D$95:$D$96,MATCH('STUDENT SCREENING'!AU214,'SCORING MASTER'!$C$95:$C$96,0)),""))</f>
        <v/>
      </c>
      <c r="AW214" s="57" t="str">
        <f aca="false">IF('STUDENT SCREENING'!AV214="","",IFERROR(INDEX('SCORING MASTER'!$D$98:$D$99,MATCH('STUDENT SCREENING'!AV214,'SCORING MASTER'!$C$98:$C$99,0)),""))</f>
        <v/>
      </c>
      <c r="AX214" s="57" t="str">
        <f aca="false">IF('STUDENT SCREENING'!AW214="","",IFERROR(INDEX('SCORING MASTER'!$D$101:$D$102,MATCH('STUDENT SCREENING'!AW214,'SCORING MASTER'!$C$101:$C$102,0)),""))</f>
        <v/>
      </c>
      <c r="AY214" s="57" t="str">
        <f aca="false">IF('STUDENT SCREENING'!AX214="","",IFERROR(INDEX('SCORING MASTER'!$D$104:$D$105,MATCH('STUDENT SCREENING'!AX214,'SCORING MASTER'!$C$104:$C$105,0)),""))</f>
        <v/>
      </c>
      <c r="AZ214" s="57" t="str">
        <f aca="false">IF('STUDENT SCREENING'!AY214="","",IFERROR(INDEX('SCORING MASTER'!$D$107:$D$108,MATCH('STUDENT SCREENING'!AY214,'SCORING MASTER'!$C$107:$C$108,0)),""))</f>
        <v/>
      </c>
      <c r="BA214" s="57" t="str">
        <f aca="false">IF('STUDENT SCREENING'!AZ214="","",IFERROR(INDEX('SCORING MASTER'!$D$110:$D$111,MATCH('STUDENT SCREENING'!AZ214,'SCORING MASTER'!$C$110:$C$111,0)),""))</f>
        <v/>
      </c>
      <c r="BB214" s="57" t="str">
        <f aca="false">IF('STUDENT SCREENING'!BA214="","",IFERROR(INDEX('SCORING MASTER'!$D$113:$D$115,MATCH('STUDENT SCREENING'!BA214,'SCORING MASTER'!$C$113:$C$115,0)),""))</f>
        <v/>
      </c>
      <c r="BC214" s="57" t="str">
        <f aca="false">IF('STUDENT SCREENING'!BB214="","",IFERROR(INDEX('SCORING MASTER'!$D$117:$D$119,MATCH('STUDENT SCREENING'!BB214,'SCORING MASTER'!$C$117:$C$119,0)),""))</f>
        <v/>
      </c>
      <c r="BD214" s="57" t="str">
        <f aca="false">IF('STUDENT SCREENING'!BC214="","",IFERROR(INDEX('SCORING MASTER'!$D$121:$D$123,MATCH('STUDENT SCREENING'!BC214,'SCORING MASTER'!$C$121:$C$123,0)),""))</f>
        <v/>
      </c>
      <c r="BE214" s="57" t="str">
        <f aca="false">IF('STUDENT SCREENING'!BD214="","",IFERROR(INDEX('SCORING MASTER'!$D$125:$D$126,MATCH('STUDENT SCREENING'!BD214,'SCORING MASTER'!$C$125:$C$126,0)),""))</f>
        <v/>
      </c>
      <c r="BF214" s="57" t="str">
        <f aca="false">IF('STUDENT SCREENING'!BE214="","",IFERROR(INDEX('SCORING MASTER'!$D$128:$D$129,MATCH('STUDENT SCREENING'!BE214,'SCORING MASTER'!$C$128:$C$129,0)),""))</f>
        <v/>
      </c>
      <c r="BG214" s="57" t="str">
        <f aca="false">IF('STUDENT SCREENING'!BP214="","",IFERROR(MATCH('STUDENT SCREENING'!BP214,{"Red - High Risk","Orange - Moderate Risk","Yellow - Mild Risk","Light Green - Mild Watch","Green - Healthy"},0)-1,""))</f>
        <v/>
      </c>
      <c r="BH214" s="57" t="str">
        <f aca="false">IF('STUDENT SCREENING'!BQ214="","",IF('STUDENT SCREENING'!BQ214="Yes",1,0))</f>
        <v/>
      </c>
      <c r="BI214" s="57" t="str">
        <f aca="false">IF('STUDENT SCREENING'!BR214="","",IF('STUDENT SCREENING'!BR214="Yes",1,0))</f>
        <v/>
      </c>
    </row>
    <row r="215" customFormat="false" ht="15" hidden="false" customHeight="false" outlineLevel="0" collapsed="false">
      <c r="A215" s="58" t="str">
        <f aca="false">'STUDENT SCREENING'!A215</f>
        <v/>
      </c>
      <c r="B215" s="58" t="n">
        <f aca="false">'STUDENT SCREENING'!C215</f>
        <v>0</v>
      </c>
      <c r="C215" s="58" t="n">
        <f aca="false">'STUDENT SCREENING'!D215</f>
        <v>0</v>
      </c>
      <c r="D215" s="58" t="n">
        <f aca="false">'STUDENT SCREENING'!E215</f>
        <v>0</v>
      </c>
      <c r="E215" s="58" t="n">
        <f aca="false">'STUDENT SCREENING'!F215</f>
        <v>0</v>
      </c>
      <c r="F215" s="58" t="n">
        <f aca="false">'STUDENT SCREENING'!K215</f>
        <v>0</v>
      </c>
      <c r="G215" s="58" t="n">
        <f aca="false">'STUDENT SCREENING'!J215</f>
        <v>0</v>
      </c>
      <c r="H215" s="58" t="str">
        <f aca="false">IF('STUDENT SCREENING'!K215="","",IFERROR(MATCH('STUDENT SCREENING'!K215,Adm_Gender,0),""))</f>
        <v/>
      </c>
      <c r="I215" s="58" t="n">
        <f aca="false">'STUDENT SCREENING'!Q215</f>
        <v>0</v>
      </c>
      <c r="J215" s="58" t="n">
        <f aca="false">'STUDENT SCREENING'!R215</f>
        <v>0</v>
      </c>
      <c r="K215" s="58" t="str">
        <f aca="false">'STUDENT SCREENING'!S215</f>
        <v/>
      </c>
      <c r="L215" s="58" t="n">
        <f aca="false">'STUDENT SCREENING'!U215</f>
        <v>0</v>
      </c>
      <c r="M215" s="58" t="n">
        <f aca="false">'STUDENT SCREENING'!V215</f>
        <v>0</v>
      </c>
      <c r="N215" s="58" t="str">
        <f aca="false">'STUDENT SCREENING'!BF215</f>
        <v/>
      </c>
      <c r="O215" s="58" t="str">
        <f aca="false">'STUDENT SCREENING'!BG215</f>
        <v/>
      </c>
      <c r="P215" s="58" t="str">
        <f aca="false">'STUDENT SCREENING'!BH215</f>
        <v/>
      </c>
      <c r="Q215" s="58" t="str">
        <f aca="false">'STUDENT SCREENING'!BI215</f>
        <v/>
      </c>
      <c r="R215" s="58" t="str">
        <f aca="false">'STUDENT SCREENING'!BJ215</f>
        <v/>
      </c>
      <c r="S215" s="58" t="str">
        <f aca="false">'STUDENT SCREENING'!BK215</f>
        <v/>
      </c>
      <c r="T215" s="58" t="str">
        <f aca="false">'STUDENT SCREENING'!BL215</f>
        <v/>
      </c>
      <c r="U215" s="58" t="str">
        <f aca="false">'STUDENT SCREENING'!BM215</f>
        <v/>
      </c>
      <c r="V215" s="58" t="str">
        <f aca="false">'STUDENT SCREENING'!BN215</f>
        <v/>
      </c>
      <c r="W215" s="58" t="str">
        <f aca="false">'STUDENT SCREENING'!BO215</f>
        <v/>
      </c>
      <c r="X215" s="58" t="str">
        <f aca="false">IF('STUDENT SCREENING'!W215="","",IFERROR(INDEX('SCORING MASTER'!$D$5:$D$7,MATCH('STUDENT SCREENING'!W215,'SCORING MASTER'!$C$5:$C$7,0)),""))</f>
        <v/>
      </c>
      <c r="Y215" s="58" t="str">
        <f aca="false">IF('STUDENT SCREENING'!X215="","",IFERROR(INDEX('SCORING MASTER'!$D$9:$D$11,MATCH('STUDENT SCREENING'!X215,'SCORING MASTER'!$C$9:$C$11,0)),""))</f>
        <v/>
      </c>
      <c r="Z215" s="58" t="str">
        <f aca="false">IF('STUDENT SCREENING'!Y215="","",IFERROR(INDEX('SCORING MASTER'!$D$13:$D$15,MATCH('STUDENT SCREENING'!Y215,'SCORING MASTER'!$C$13:$C$15,0)),""))</f>
        <v/>
      </c>
      <c r="AA215" s="58" t="str">
        <f aca="false">IF('STUDENT SCREENING'!Z215="","",IFERROR(INDEX('SCORING MASTER'!$D$17:$D$19,MATCH('STUDENT SCREENING'!Z215,'SCORING MASTER'!$C$17:$C$19,0)),""))</f>
        <v/>
      </c>
      <c r="AB215" s="58" t="str">
        <f aca="false">IF('STUDENT SCREENING'!AA215="","",IFERROR(INDEX('SCORING MASTER'!$D$21:$D$23,MATCH('STUDENT SCREENING'!AA215,'SCORING MASTER'!$C$21:$C$23,0)),""))</f>
        <v/>
      </c>
      <c r="AC215" s="58" t="str">
        <f aca="false">IF('STUDENT SCREENING'!AB215="","",IFERROR(INDEX('SCORING MASTER'!$D$25:$D$27,MATCH('STUDENT SCREENING'!AB215,'SCORING MASTER'!$C$25:$C$27,0)),""))</f>
        <v/>
      </c>
      <c r="AD215" s="58" t="str">
        <f aca="false">IF('STUDENT SCREENING'!AC215="","",IFERROR(INDEX('SCORING MASTER'!$D$29:$D$31,MATCH('STUDENT SCREENING'!AC215,'SCORING MASTER'!$C$29:$C$31,0)),""))</f>
        <v/>
      </c>
      <c r="AE215" s="58" t="str">
        <f aca="false">IF('STUDENT SCREENING'!AD215="","",IFERROR(INDEX('SCORING MASTER'!$D$33:$D$35,MATCH('STUDENT SCREENING'!AD215,'SCORING MASTER'!$C$33:$C$35,0)),""))</f>
        <v/>
      </c>
      <c r="AF215" s="58" t="str">
        <f aca="false">IF('STUDENT SCREENING'!AE215="","",IFERROR(INDEX('SCORING MASTER'!$D$37:$D$39,MATCH('STUDENT SCREENING'!AE215,'SCORING MASTER'!$C$37:$C$39,0)),""))</f>
        <v/>
      </c>
      <c r="AG215" s="58" t="str">
        <f aca="false">IF('STUDENT SCREENING'!AF215="","",IFERROR(INDEX('SCORING MASTER'!$D$41:$D$43,MATCH('STUDENT SCREENING'!AF215,'SCORING MASTER'!$C$41:$C$43,0)),""))</f>
        <v/>
      </c>
      <c r="AH215" s="58" t="str">
        <f aca="false">IF('STUDENT SCREENING'!AG215="","",IFERROR(INDEX('SCORING MASTER'!$D$45:$D$47,MATCH('STUDENT SCREENING'!AG215,'SCORING MASTER'!$C$45:$C$47,0)),""))</f>
        <v/>
      </c>
      <c r="AI215" s="58" t="str">
        <f aca="false">IF('STUDENT SCREENING'!AH215="","",IFERROR(INDEX('SCORING MASTER'!$D$49:$D$52,MATCH('STUDENT SCREENING'!AH215,'SCORING MASTER'!$C$49:$C$52,0)),""))</f>
        <v/>
      </c>
      <c r="AJ215" s="58" t="str">
        <f aca="false">IF('STUDENT SCREENING'!AI215="","",IFERROR(INDEX('SCORING MASTER'!$D$54:$D$57,MATCH('STUDENT SCREENING'!AI215,'SCORING MASTER'!$C$54:$C$57,0)),""))</f>
        <v/>
      </c>
      <c r="AK215" s="58" t="str">
        <f aca="false">IF('STUDENT SCREENING'!AJ215="","",IFERROR(INDEX('SCORING MASTER'!$D$59:$D$60,MATCH('STUDENT SCREENING'!AJ215,'SCORING MASTER'!$C$59:$C$60,0)),""))</f>
        <v/>
      </c>
      <c r="AL215" s="58" t="str">
        <f aca="false">IF('STUDENT SCREENING'!AK215="","",IFERROR(INDEX('SCORING MASTER'!$D$62:$D$63,MATCH('STUDENT SCREENING'!AK215,'SCORING MASTER'!$C$62:$C$63,0)),""))</f>
        <v/>
      </c>
      <c r="AM215" s="58" t="str">
        <f aca="false">IF('STUDENT SCREENING'!AL215="","",IFERROR(INDEX('SCORING MASTER'!$D$65:$D$66,MATCH('STUDENT SCREENING'!AL215,'SCORING MASTER'!$C$65:$C$66,0)),""))</f>
        <v/>
      </c>
      <c r="AN215" s="58" t="str">
        <f aca="false">IF('STUDENT SCREENING'!AM215="","",IFERROR(INDEX('SCORING MASTER'!$D$68:$D$69,MATCH('STUDENT SCREENING'!AM215,'SCORING MASTER'!$C$68:$C$69,0)),""))</f>
        <v/>
      </c>
      <c r="AO215" s="58" t="str">
        <f aca="false">IF('STUDENT SCREENING'!AN215="","",IFERROR(INDEX('SCORING MASTER'!$D$71:$D$72,MATCH('STUDENT SCREENING'!AN215,'SCORING MASTER'!$C$71:$C$72,0)),""))</f>
        <v/>
      </c>
      <c r="AP215" s="58" t="str">
        <f aca="false">IF('STUDENT SCREENING'!AO215="","",IFERROR(INDEX('SCORING MASTER'!$D$74:$D$75,MATCH('STUDENT SCREENING'!AO215,'SCORING MASTER'!$C$74:$C$75,0)),""))</f>
        <v/>
      </c>
      <c r="AQ215" s="58" t="str">
        <f aca="false">IF('STUDENT SCREENING'!AP215="","",IFERROR(INDEX('SCORING MASTER'!$D$77:$D$78,MATCH('STUDENT SCREENING'!AP215,'SCORING MASTER'!$C$77:$C$78,0)),""))</f>
        <v/>
      </c>
      <c r="AR215" s="58" t="str">
        <f aca="false">IF('STUDENT SCREENING'!AQ215="","",IFERROR(INDEX('SCORING MASTER'!$D$80:$D$82,MATCH('STUDENT SCREENING'!AQ215,'SCORING MASTER'!$C$80:$C$82,0)),""))</f>
        <v/>
      </c>
      <c r="AS215" s="58" t="str">
        <f aca="false">IF('STUDENT SCREENING'!AR215="","",IFERROR(INDEX('SCORING MASTER'!$D$84:$D$86,MATCH('STUDENT SCREENING'!AR215,'SCORING MASTER'!$C$84:$C$86,0)),""))</f>
        <v/>
      </c>
      <c r="AT215" s="58" t="str">
        <f aca="false">IF('STUDENT SCREENING'!AS215="","",IFERROR(INDEX('SCORING MASTER'!$D$88:$D$90,MATCH('STUDENT SCREENING'!AS215,'SCORING MASTER'!$C$88:$C$90,0)),""))</f>
        <v/>
      </c>
      <c r="AU215" s="58" t="str">
        <f aca="false">IF('STUDENT SCREENING'!AT215="","",IFERROR(INDEX('SCORING MASTER'!$D$92:$D$93,MATCH('STUDENT SCREENING'!AT215,'SCORING MASTER'!$C$92:$C$93,0)),""))</f>
        <v/>
      </c>
      <c r="AV215" s="58" t="str">
        <f aca="false">IF('STUDENT SCREENING'!AU215="","",IFERROR(INDEX('SCORING MASTER'!$D$95:$D$96,MATCH('STUDENT SCREENING'!AU215,'SCORING MASTER'!$C$95:$C$96,0)),""))</f>
        <v/>
      </c>
      <c r="AW215" s="58" t="str">
        <f aca="false">IF('STUDENT SCREENING'!AV215="","",IFERROR(INDEX('SCORING MASTER'!$D$98:$D$99,MATCH('STUDENT SCREENING'!AV215,'SCORING MASTER'!$C$98:$C$99,0)),""))</f>
        <v/>
      </c>
      <c r="AX215" s="58" t="str">
        <f aca="false">IF('STUDENT SCREENING'!AW215="","",IFERROR(INDEX('SCORING MASTER'!$D$101:$D$102,MATCH('STUDENT SCREENING'!AW215,'SCORING MASTER'!$C$101:$C$102,0)),""))</f>
        <v/>
      </c>
      <c r="AY215" s="58" t="str">
        <f aca="false">IF('STUDENT SCREENING'!AX215="","",IFERROR(INDEX('SCORING MASTER'!$D$104:$D$105,MATCH('STUDENT SCREENING'!AX215,'SCORING MASTER'!$C$104:$C$105,0)),""))</f>
        <v/>
      </c>
      <c r="AZ215" s="58" t="str">
        <f aca="false">IF('STUDENT SCREENING'!AY215="","",IFERROR(INDEX('SCORING MASTER'!$D$107:$D$108,MATCH('STUDENT SCREENING'!AY215,'SCORING MASTER'!$C$107:$C$108,0)),""))</f>
        <v/>
      </c>
      <c r="BA215" s="58" t="str">
        <f aca="false">IF('STUDENT SCREENING'!AZ215="","",IFERROR(INDEX('SCORING MASTER'!$D$110:$D$111,MATCH('STUDENT SCREENING'!AZ215,'SCORING MASTER'!$C$110:$C$111,0)),""))</f>
        <v/>
      </c>
      <c r="BB215" s="58" t="str">
        <f aca="false">IF('STUDENT SCREENING'!BA215="","",IFERROR(INDEX('SCORING MASTER'!$D$113:$D$115,MATCH('STUDENT SCREENING'!BA215,'SCORING MASTER'!$C$113:$C$115,0)),""))</f>
        <v/>
      </c>
      <c r="BC215" s="58" t="str">
        <f aca="false">IF('STUDENT SCREENING'!BB215="","",IFERROR(INDEX('SCORING MASTER'!$D$117:$D$119,MATCH('STUDENT SCREENING'!BB215,'SCORING MASTER'!$C$117:$C$119,0)),""))</f>
        <v/>
      </c>
      <c r="BD215" s="58" t="str">
        <f aca="false">IF('STUDENT SCREENING'!BC215="","",IFERROR(INDEX('SCORING MASTER'!$D$121:$D$123,MATCH('STUDENT SCREENING'!BC215,'SCORING MASTER'!$C$121:$C$123,0)),""))</f>
        <v/>
      </c>
      <c r="BE215" s="58" t="str">
        <f aca="false">IF('STUDENT SCREENING'!BD215="","",IFERROR(INDEX('SCORING MASTER'!$D$125:$D$126,MATCH('STUDENT SCREENING'!BD215,'SCORING MASTER'!$C$125:$C$126,0)),""))</f>
        <v/>
      </c>
      <c r="BF215" s="58" t="str">
        <f aca="false">IF('STUDENT SCREENING'!BE215="","",IFERROR(INDEX('SCORING MASTER'!$D$128:$D$129,MATCH('STUDENT SCREENING'!BE215,'SCORING MASTER'!$C$128:$C$129,0)),""))</f>
        <v/>
      </c>
      <c r="BG215" s="58" t="str">
        <f aca="false">IF('STUDENT SCREENING'!BP215="","",IFERROR(MATCH('STUDENT SCREENING'!BP215,{"Red - High Risk","Orange - Moderate Risk","Yellow - Mild Risk","Light Green - Mild Watch","Green - Healthy"},0)-1,""))</f>
        <v/>
      </c>
      <c r="BH215" s="58" t="str">
        <f aca="false">IF('STUDENT SCREENING'!BQ215="","",IF('STUDENT SCREENING'!BQ215="Yes",1,0))</f>
        <v/>
      </c>
      <c r="BI215" s="58" t="str">
        <f aca="false">IF('STUDENT SCREENING'!BR215="","",IF('STUDENT SCREENING'!BR215="Yes",1,0))</f>
        <v/>
      </c>
    </row>
    <row r="216" customFormat="false" ht="15" hidden="false" customHeight="false" outlineLevel="0" collapsed="false">
      <c r="A216" s="57" t="str">
        <f aca="false">'STUDENT SCREENING'!A216</f>
        <v/>
      </c>
      <c r="B216" s="57" t="n">
        <f aca="false">'STUDENT SCREENING'!C216</f>
        <v>0</v>
      </c>
      <c r="C216" s="57" t="n">
        <f aca="false">'STUDENT SCREENING'!D216</f>
        <v>0</v>
      </c>
      <c r="D216" s="57" t="n">
        <f aca="false">'STUDENT SCREENING'!E216</f>
        <v>0</v>
      </c>
      <c r="E216" s="57" t="n">
        <f aca="false">'STUDENT SCREENING'!F216</f>
        <v>0</v>
      </c>
      <c r="F216" s="57" t="n">
        <f aca="false">'STUDENT SCREENING'!K216</f>
        <v>0</v>
      </c>
      <c r="G216" s="57" t="n">
        <f aca="false">'STUDENT SCREENING'!J216</f>
        <v>0</v>
      </c>
      <c r="H216" s="57" t="str">
        <f aca="false">IF('STUDENT SCREENING'!K216="","",IFERROR(MATCH('STUDENT SCREENING'!K216,Adm_Gender,0),""))</f>
        <v/>
      </c>
      <c r="I216" s="57" t="n">
        <f aca="false">'STUDENT SCREENING'!Q216</f>
        <v>0</v>
      </c>
      <c r="J216" s="57" t="n">
        <f aca="false">'STUDENT SCREENING'!R216</f>
        <v>0</v>
      </c>
      <c r="K216" s="57" t="str">
        <f aca="false">'STUDENT SCREENING'!S216</f>
        <v/>
      </c>
      <c r="L216" s="57" t="n">
        <f aca="false">'STUDENT SCREENING'!U216</f>
        <v>0</v>
      </c>
      <c r="M216" s="57" t="n">
        <f aca="false">'STUDENT SCREENING'!V216</f>
        <v>0</v>
      </c>
      <c r="N216" s="57" t="str">
        <f aca="false">'STUDENT SCREENING'!BF216</f>
        <v/>
      </c>
      <c r="O216" s="57" t="str">
        <f aca="false">'STUDENT SCREENING'!BG216</f>
        <v/>
      </c>
      <c r="P216" s="57" t="str">
        <f aca="false">'STUDENT SCREENING'!BH216</f>
        <v/>
      </c>
      <c r="Q216" s="57" t="str">
        <f aca="false">'STUDENT SCREENING'!BI216</f>
        <v/>
      </c>
      <c r="R216" s="57" t="str">
        <f aca="false">'STUDENT SCREENING'!BJ216</f>
        <v/>
      </c>
      <c r="S216" s="57" t="str">
        <f aca="false">'STUDENT SCREENING'!BK216</f>
        <v/>
      </c>
      <c r="T216" s="57" t="str">
        <f aca="false">'STUDENT SCREENING'!BL216</f>
        <v/>
      </c>
      <c r="U216" s="57" t="str">
        <f aca="false">'STUDENT SCREENING'!BM216</f>
        <v/>
      </c>
      <c r="V216" s="57" t="str">
        <f aca="false">'STUDENT SCREENING'!BN216</f>
        <v/>
      </c>
      <c r="W216" s="57" t="str">
        <f aca="false">'STUDENT SCREENING'!BO216</f>
        <v/>
      </c>
      <c r="X216" s="57" t="str">
        <f aca="false">IF('STUDENT SCREENING'!W216="","",IFERROR(INDEX('SCORING MASTER'!$D$5:$D$7,MATCH('STUDENT SCREENING'!W216,'SCORING MASTER'!$C$5:$C$7,0)),""))</f>
        <v/>
      </c>
      <c r="Y216" s="57" t="str">
        <f aca="false">IF('STUDENT SCREENING'!X216="","",IFERROR(INDEX('SCORING MASTER'!$D$9:$D$11,MATCH('STUDENT SCREENING'!X216,'SCORING MASTER'!$C$9:$C$11,0)),""))</f>
        <v/>
      </c>
      <c r="Z216" s="57" t="str">
        <f aca="false">IF('STUDENT SCREENING'!Y216="","",IFERROR(INDEX('SCORING MASTER'!$D$13:$D$15,MATCH('STUDENT SCREENING'!Y216,'SCORING MASTER'!$C$13:$C$15,0)),""))</f>
        <v/>
      </c>
      <c r="AA216" s="57" t="str">
        <f aca="false">IF('STUDENT SCREENING'!Z216="","",IFERROR(INDEX('SCORING MASTER'!$D$17:$D$19,MATCH('STUDENT SCREENING'!Z216,'SCORING MASTER'!$C$17:$C$19,0)),""))</f>
        <v/>
      </c>
      <c r="AB216" s="57" t="str">
        <f aca="false">IF('STUDENT SCREENING'!AA216="","",IFERROR(INDEX('SCORING MASTER'!$D$21:$D$23,MATCH('STUDENT SCREENING'!AA216,'SCORING MASTER'!$C$21:$C$23,0)),""))</f>
        <v/>
      </c>
      <c r="AC216" s="57" t="str">
        <f aca="false">IF('STUDENT SCREENING'!AB216="","",IFERROR(INDEX('SCORING MASTER'!$D$25:$D$27,MATCH('STUDENT SCREENING'!AB216,'SCORING MASTER'!$C$25:$C$27,0)),""))</f>
        <v/>
      </c>
      <c r="AD216" s="57" t="str">
        <f aca="false">IF('STUDENT SCREENING'!AC216="","",IFERROR(INDEX('SCORING MASTER'!$D$29:$D$31,MATCH('STUDENT SCREENING'!AC216,'SCORING MASTER'!$C$29:$C$31,0)),""))</f>
        <v/>
      </c>
      <c r="AE216" s="57" t="str">
        <f aca="false">IF('STUDENT SCREENING'!AD216="","",IFERROR(INDEX('SCORING MASTER'!$D$33:$D$35,MATCH('STUDENT SCREENING'!AD216,'SCORING MASTER'!$C$33:$C$35,0)),""))</f>
        <v/>
      </c>
      <c r="AF216" s="57" t="str">
        <f aca="false">IF('STUDENT SCREENING'!AE216="","",IFERROR(INDEX('SCORING MASTER'!$D$37:$D$39,MATCH('STUDENT SCREENING'!AE216,'SCORING MASTER'!$C$37:$C$39,0)),""))</f>
        <v/>
      </c>
      <c r="AG216" s="57" t="str">
        <f aca="false">IF('STUDENT SCREENING'!AF216="","",IFERROR(INDEX('SCORING MASTER'!$D$41:$D$43,MATCH('STUDENT SCREENING'!AF216,'SCORING MASTER'!$C$41:$C$43,0)),""))</f>
        <v/>
      </c>
      <c r="AH216" s="57" t="str">
        <f aca="false">IF('STUDENT SCREENING'!AG216="","",IFERROR(INDEX('SCORING MASTER'!$D$45:$D$47,MATCH('STUDENT SCREENING'!AG216,'SCORING MASTER'!$C$45:$C$47,0)),""))</f>
        <v/>
      </c>
      <c r="AI216" s="57" t="str">
        <f aca="false">IF('STUDENT SCREENING'!AH216="","",IFERROR(INDEX('SCORING MASTER'!$D$49:$D$52,MATCH('STUDENT SCREENING'!AH216,'SCORING MASTER'!$C$49:$C$52,0)),""))</f>
        <v/>
      </c>
      <c r="AJ216" s="57" t="str">
        <f aca="false">IF('STUDENT SCREENING'!AI216="","",IFERROR(INDEX('SCORING MASTER'!$D$54:$D$57,MATCH('STUDENT SCREENING'!AI216,'SCORING MASTER'!$C$54:$C$57,0)),""))</f>
        <v/>
      </c>
      <c r="AK216" s="57" t="str">
        <f aca="false">IF('STUDENT SCREENING'!AJ216="","",IFERROR(INDEX('SCORING MASTER'!$D$59:$D$60,MATCH('STUDENT SCREENING'!AJ216,'SCORING MASTER'!$C$59:$C$60,0)),""))</f>
        <v/>
      </c>
      <c r="AL216" s="57" t="str">
        <f aca="false">IF('STUDENT SCREENING'!AK216="","",IFERROR(INDEX('SCORING MASTER'!$D$62:$D$63,MATCH('STUDENT SCREENING'!AK216,'SCORING MASTER'!$C$62:$C$63,0)),""))</f>
        <v/>
      </c>
      <c r="AM216" s="57" t="str">
        <f aca="false">IF('STUDENT SCREENING'!AL216="","",IFERROR(INDEX('SCORING MASTER'!$D$65:$D$66,MATCH('STUDENT SCREENING'!AL216,'SCORING MASTER'!$C$65:$C$66,0)),""))</f>
        <v/>
      </c>
      <c r="AN216" s="57" t="str">
        <f aca="false">IF('STUDENT SCREENING'!AM216="","",IFERROR(INDEX('SCORING MASTER'!$D$68:$D$69,MATCH('STUDENT SCREENING'!AM216,'SCORING MASTER'!$C$68:$C$69,0)),""))</f>
        <v/>
      </c>
      <c r="AO216" s="57" t="str">
        <f aca="false">IF('STUDENT SCREENING'!AN216="","",IFERROR(INDEX('SCORING MASTER'!$D$71:$D$72,MATCH('STUDENT SCREENING'!AN216,'SCORING MASTER'!$C$71:$C$72,0)),""))</f>
        <v/>
      </c>
      <c r="AP216" s="57" t="str">
        <f aca="false">IF('STUDENT SCREENING'!AO216="","",IFERROR(INDEX('SCORING MASTER'!$D$74:$D$75,MATCH('STUDENT SCREENING'!AO216,'SCORING MASTER'!$C$74:$C$75,0)),""))</f>
        <v/>
      </c>
      <c r="AQ216" s="57" t="str">
        <f aca="false">IF('STUDENT SCREENING'!AP216="","",IFERROR(INDEX('SCORING MASTER'!$D$77:$D$78,MATCH('STUDENT SCREENING'!AP216,'SCORING MASTER'!$C$77:$C$78,0)),""))</f>
        <v/>
      </c>
      <c r="AR216" s="57" t="str">
        <f aca="false">IF('STUDENT SCREENING'!AQ216="","",IFERROR(INDEX('SCORING MASTER'!$D$80:$D$82,MATCH('STUDENT SCREENING'!AQ216,'SCORING MASTER'!$C$80:$C$82,0)),""))</f>
        <v/>
      </c>
      <c r="AS216" s="57" t="str">
        <f aca="false">IF('STUDENT SCREENING'!AR216="","",IFERROR(INDEX('SCORING MASTER'!$D$84:$D$86,MATCH('STUDENT SCREENING'!AR216,'SCORING MASTER'!$C$84:$C$86,0)),""))</f>
        <v/>
      </c>
      <c r="AT216" s="57" t="str">
        <f aca="false">IF('STUDENT SCREENING'!AS216="","",IFERROR(INDEX('SCORING MASTER'!$D$88:$D$90,MATCH('STUDENT SCREENING'!AS216,'SCORING MASTER'!$C$88:$C$90,0)),""))</f>
        <v/>
      </c>
      <c r="AU216" s="57" t="str">
        <f aca="false">IF('STUDENT SCREENING'!AT216="","",IFERROR(INDEX('SCORING MASTER'!$D$92:$D$93,MATCH('STUDENT SCREENING'!AT216,'SCORING MASTER'!$C$92:$C$93,0)),""))</f>
        <v/>
      </c>
      <c r="AV216" s="57" t="str">
        <f aca="false">IF('STUDENT SCREENING'!AU216="","",IFERROR(INDEX('SCORING MASTER'!$D$95:$D$96,MATCH('STUDENT SCREENING'!AU216,'SCORING MASTER'!$C$95:$C$96,0)),""))</f>
        <v/>
      </c>
      <c r="AW216" s="57" t="str">
        <f aca="false">IF('STUDENT SCREENING'!AV216="","",IFERROR(INDEX('SCORING MASTER'!$D$98:$D$99,MATCH('STUDENT SCREENING'!AV216,'SCORING MASTER'!$C$98:$C$99,0)),""))</f>
        <v/>
      </c>
      <c r="AX216" s="57" t="str">
        <f aca="false">IF('STUDENT SCREENING'!AW216="","",IFERROR(INDEX('SCORING MASTER'!$D$101:$D$102,MATCH('STUDENT SCREENING'!AW216,'SCORING MASTER'!$C$101:$C$102,0)),""))</f>
        <v/>
      </c>
      <c r="AY216" s="57" t="str">
        <f aca="false">IF('STUDENT SCREENING'!AX216="","",IFERROR(INDEX('SCORING MASTER'!$D$104:$D$105,MATCH('STUDENT SCREENING'!AX216,'SCORING MASTER'!$C$104:$C$105,0)),""))</f>
        <v/>
      </c>
      <c r="AZ216" s="57" t="str">
        <f aca="false">IF('STUDENT SCREENING'!AY216="","",IFERROR(INDEX('SCORING MASTER'!$D$107:$D$108,MATCH('STUDENT SCREENING'!AY216,'SCORING MASTER'!$C$107:$C$108,0)),""))</f>
        <v/>
      </c>
      <c r="BA216" s="57" t="str">
        <f aca="false">IF('STUDENT SCREENING'!AZ216="","",IFERROR(INDEX('SCORING MASTER'!$D$110:$D$111,MATCH('STUDENT SCREENING'!AZ216,'SCORING MASTER'!$C$110:$C$111,0)),""))</f>
        <v/>
      </c>
      <c r="BB216" s="57" t="str">
        <f aca="false">IF('STUDENT SCREENING'!BA216="","",IFERROR(INDEX('SCORING MASTER'!$D$113:$D$115,MATCH('STUDENT SCREENING'!BA216,'SCORING MASTER'!$C$113:$C$115,0)),""))</f>
        <v/>
      </c>
      <c r="BC216" s="57" t="str">
        <f aca="false">IF('STUDENT SCREENING'!BB216="","",IFERROR(INDEX('SCORING MASTER'!$D$117:$D$119,MATCH('STUDENT SCREENING'!BB216,'SCORING MASTER'!$C$117:$C$119,0)),""))</f>
        <v/>
      </c>
      <c r="BD216" s="57" t="str">
        <f aca="false">IF('STUDENT SCREENING'!BC216="","",IFERROR(INDEX('SCORING MASTER'!$D$121:$D$123,MATCH('STUDENT SCREENING'!BC216,'SCORING MASTER'!$C$121:$C$123,0)),""))</f>
        <v/>
      </c>
      <c r="BE216" s="57" t="str">
        <f aca="false">IF('STUDENT SCREENING'!BD216="","",IFERROR(INDEX('SCORING MASTER'!$D$125:$D$126,MATCH('STUDENT SCREENING'!BD216,'SCORING MASTER'!$C$125:$C$126,0)),""))</f>
        <v/>
      </c>
      <c r="BF216" s="57" t="str">
        <f aca="false">IF('STUDENT SCREENING'!BE216="","",IFERROR(INDEX('SCORING MASTER'!$D$128:$D$129,MATCH('STUDENT SCREENING'!BE216,'SCORING MASTER'!$C$128:$C$129,0)),""))</f>
        <v/>
      </c>
      <c r="BG216" s="57" t="str">
        <f aca="false">IF('STUDENT SCREENING'!BP216="","",IFERROR(MATCH('STUDENT SCREENING'!BP216,{"Red - High Risk","Orange - Moderate Risk","Yellow - Mild Risk","Light Green - Mild Watch","Green - Healthy"},0)-1,""))</f>
        <v/>
      </c>
      <c r="BH216" s="57" t="str">
        <f aca="false">IF('STUDENT SCREENING'!BQ216="","",IF('STUDENT SCREENING'!BQ216="Yes",1,0))</f>
        <v/>
      </c>
      <c r="BI216" s="57" t="str">
        <f aca="false">IF('STUDENT SCREENING'!BR216="","",IF('STUDENT SCREENING'!BR216="Yes",1,0))</f>
        <v/>
      </c>
    </row>
    <row r="217" customFormat="false" ht="15" hidden="false" customHeight="false" outlineLevel="0" collapsed="false">
      <c r="A217" s="58" t="str">
        <f aca="false">'STUDENT SCREENING'!A217</f>
        <v/>
      </c>
      <c r="B217" s="58" t="n">
        <f aca="false">'STUDENT SCREENING'!C217</f>
        <v>0</v>
      </c>
      <c r="C217" s="58" t="n">
        <f aca="false">'STUDENT SCREENING'!D217</f>
        <v>0</v>
      </c>
      <c r="D217" s="58" t="n">
        <f aca="false">'STUDENT SCREENING'!E217</f>
        <v>0</v>
      </c>
      <c r="E217" s="58" t="n">
        <f aca="false">'STUDENT SCREENING'!F217</f>
        <v>0</v>
      </c>
      <c r="F217" s="58" t="n">
        <f aca="false">'STUDENT SCREENING'!K217</f>
        <v>0</v>
      </c>
      <c r="G217" s="58" t="n">
        <f aca="false">'STUDENT SCREENING'!J217</f>
        <v>0</v>
      </c>
      <c r="H217" s="58" t="str">
        <f aca="false">IF('STUDENT SCREENING'!K217="","",IFERROR(MATCH('STUDENT SCREENING'!K217,Adm_Gender,0),""))</f>
        <v/>
      </c>
      <c r="I217" s="58" t="n">
        <f aca="false">'STUDENT SCREENING'!Q217</f>
        <v>0</v>
      </c>
      <c r="J217" s="58" t="n">
        <f aca="false">'STUDENT SCREENING'!R217</f>
        <v>0</v>
      </c>
      <c r="K217" s="58" t="str">
        <f aca="false">'STUDENT SCREENING'!S217</f>
        <v/>
      </c>
      <c r="L217" s="58" t="n">
        <f aca="false">'STUDENT SCREENING'!U217</f>
        <v>0</v>
      </c>
      <c r="M217" s="58" t="n">
        <f aca="false">'STUDENT SCREENING'!V217</f>
        <v>0</v>
      </c>
      <c r="N217" s="58" t="str">
        <f aca="false">'STUDENT SCREENING'!BF217</f>
        <v/>
      </c>
      <c r="O217" s="58" t="str">
        <f aca="false">'STUDENT SCREENING'!BG217</f>
        <v/>
      </c>
      <c r="P217" s="58" t="str">
        <f aca="false">'STUDENT SCREENING'!BH217</f>
        <v/>
      </c>
      <c r="Q217" s="58" t="str">
        <f aca="false">'STUDENT SCREENING'!BI217</f>
        <v/>
      </c>
      <c r="R217" s="58" t="str">
        <f aca="false">'STUDENT SCREENING'!BJ217</f>
        <v/>
      </c>
      <c r="S217" s="58" t="str">
        <f aca="false">'STUDENT SCREENING'!BK217</f>
        <v/>
      </c>
      <c r="T217" s="58" t="str">
        <f aca="false">'STUDENT SCREENING'!BL217</f>
        <v/>
      </c>
      <c r="U217" s="58" t="str">
        <f aca="false">'STUDENT SCREENING'!BM217</f>
        <v/>
      </c>
      <c r="V217" s="58" t="str">
        <f aca="false">'STUDENT SCREENING'!BN217</f>
        <v/>
      </c>
      <c r="W217" s="58" t="str">
        <f aca="false">'STUDENT SCREENING'!BO217</f>
        <v/>
      </c>
      <c r="X217" s="58" t="str">
        <f aca="false">IF('STUDENT SCREENING'!W217="","",IFERROR(INDEX('SCORING MASTER'!$D$5:$D$7,MATCH('STUDENT SCREENING'!W217,'SCORING MASTER'!$C$5:$C$7,0)),""))</f>
        <v/>
      </c>
      <c r="Y217" s="58" t="str">
        <f aca="false">IF('STUDENT SCREENING'!X217="","",IFERROR(INDEX('SCORING MASTER'!$D$9:$D$11,MATCH('STUDENT SCREENING'!X217,'SCORING MASTER'!$C$9:$C$11,0)),""))</f>
        <v/>
      </c>
      <c r="Z217" s="58" t="str">
        <f aca="false">IF('STUDENT SCREENING'!Y217="","",IFERROR(INDEX('SCORING MASTER'!$D$13:$D$15,MATCH('STUDENT SCREENING'!Y217,'SCORING MASTER'!$C$13:$C$15,0)),""))</f>
        <v/>
      </c>
      <c r="AA217" s="58" t="str">
        <f aca="false">IF('STUDENT SCREENING'!Z217="","",IFERROR(INDEX('SCORING MASTER'!$D$17:$D$19,MATCH('STUDENT SCREENING'!Z217,'SCORING MASTER'!$C$17:$C$19,0)),""))</f>
        <v/>
      </c>
      <c r="AB217" s="58" t="str">
        <f aca="false">IF('STUDENT SCREENING'!AA217="","",IFERROR(INDEX('SCORING MASTER'!$D$21:$D$23,MATCH('STUDENT SCREENING'!AA217,'SCORING MASTER'!$C$21:$C$23,0)),""))</f>
        <v/>
      </c>
      <c r="AC217" s="58" t="str">
        <f aca="false">IF('STUDENT SCREENING'!AB217="","",IFERROR(INDEX('SCORING MASTER'!$D$25:$D$27,MATCH('STUDENT SCREENING'!AB217,'SCORING MASTER'!$C$25:$C$27,0)),""))</f>
        <v/>
      </c>
      <c r="AD217" s="58" t="str">
        <f aca="false">IF('STUDENT SCREENING'!AC217="","",IFERROR(INDEX('SCORING MASTER'!$D$29:$D$31,MATCH('STUDENT SCREENING'!AC217,'SCORING MASTER'!$C$29:$C$31,0)),""))</f>
        <v/>
      </c>
      <c r="AE217" s="58" t="str">
        <f aca="false">IF('STUDENT SCREENING'!AD217="","",IFERROR(INDEX('SCORING MASTER'!$D$33:$D$35,MATCH('STUDENT SCREENING'!AD217,'SCORING MASTER'!$C$33:$C$35,0)),""))</f>
        <v/>
      </c>
      <c r="AF217" s="58" t="str">
        <f aca="false">IF('STUDENT SCREENING'!AE217="","",IFERROR(INDEX('SCORING MASTER'!$D$37:$D$39,MATCH('STUDENT SCREENING'!AE217,'SCORING MASTER'!$C$37:$C$39,0)),""))</f>
        <v/>
      </c>
      <c r="AG217" s="58" t="str">
        <f aca="false">IF('STUDENT SCREENING'!AF217="","",IFERROR(INDEX('SCORING MASTER'!$D$41:$D$43,MATCH('STUDENT SCREENING'!AF217,'SCORING MASTER'!$C$41:$C$43,0)),""))</f>
        <v/>
      </c>
      <c r="AH217" s="58" t="str">
        <f aca="false">IF('STUDENT SCREENING'!AG217="","",IFERROR(INDEX('SCORING MASTER'!$D$45:$D$47,MATCH('STUDENT SCREENING'!AG217,'SCORING MASTER'!$C$45:$C$47,0)),""))</f>
        <v/>
      </c>
      <c r="AI217" s="58" t="str">
        <f aca="false">IF('STUDENT SCREENING'!AH217="","",IFERROR(INDEX('SCORING MASTER'!$D$49:$D$52,MATCH('STUDENT SCREENING'!AH217,'SCORING MASTER'!$C$49:$C$52,0)),""))</f>
        <v/>
      </c>
      <c r="AJ217" s="58" t="str">
        <f aca="false">IF('STUDENT SCREENING'!AI217="","",IFERROR(INDEX('SCORING MASTER'!$D$54:$D$57,MATCH('STUDENT SCREENING'!AI217,'SCORING MASTER'!$C$54:$C$57,0)),""))</f>
        <v/>
      </c>
      <c r="AK217" s="58" t="str">
        <f aca="false">IF('STUDENT SCREENING'!AJ217="","",IFERROR(INDEX('SCORING MASTER'!$D$59:$D$60,MATCH('STUDENT SCREENING'!AJ217,'SCORING MASTER'!$C$59:$C$60,0)),""))</f>
        <v/>
      </c>
      <c r="AL217" s="58" t="str">
        <f aca="false">IF('STUDENT SCREENING'!AK217="","",IFERROR(INDEX('SCORING MASTER'!$D$62:$D$63,MATCH('STUDENT SCREENING'!AK217,'SCORING MASTER'!$C$62:$C$63,0)),""))</f>
        <v/>
      </c>
      <c r="AM217" s="58" t="str">
        <f aca="false">IF('STUDENT SCREENING'!AL217="","",IFERROR(INDEX('SCORING MASTER'!$D$65:$D$66,MATCH('STUDENT SCREENING'!AL217,'SCORING MASTER'!$C$65:$C$66,0)),""))</f>
        <v/>
      </c>
      <c r="AN217" s="58" t="str">
        <f aca="false">IF('STUDENT SCREENING'!AM217="","",IFERROR(INDEX('SCORING MASTER'!$D$68:$D$69,MATCH('STUDENT SCREENING'!AM217,'SCORING MASTER'!$C$68:$C$69,0)),""))</f>
        <v/>
      </c>
      <c r="AO217" s="58" t="str">
        <f aca="false">IF('STUDENT SCREENING'!AN217="","",IFERROR(INDEX('SCORING MASTER'!$D$71:$D$72,MATCH('STUDENT SCREENING'!AN217,'SCORING MASTER'!$C$71:$C$72,0)),""))</f>
        <v/>
      </c>
      <c r="AP217" s="58" t="str">
        <f aca="false">IF('STUDENT SCREENING'!AO217="","",IFERROR(INDEX('SCORING MASTER'!$D$74:$D$75,MATCH('STUDENT SCREENING'!AO217,'SCORING MASTER'!$C$74:$C$75,0)),""))</f>
        <v/>
      </c>
      <c r="AQ217" s="58" t="str">
        <f aca="false">IF('STUDENT SCREENING'!AP217="","",IFERROR(INDEX('SCORING MASTER'!$D$77:$D$78,MATCH('STUDENT SCREENING'!AP217,'SCORING MASTER'!$C$77:$C$78,0)),""))</f>
        <v/>
      </c>
      <c r="AR217" s="58" t="str">
        <f aca="false">IF('STUDENT SCREENING'!AQ217="","",IFERROR(INDEX('SCORING MASTER'!$D$80:$D$82,MATCH('STUDENT SCREENING'!AQ217,'SCORING MASTER'!$C$80:$C$82,0)),""))</f>
        <v/>
      </c>
      <c r="AS217" s="58" t="str">
        <f aca="false">IF('STUDENT SCREENING'!AR217="","",IFERROR(INDEX('SCORING MASTER'!$D$84:$D$86,MATCH('STUDENT SCREENING'!AR217,'SCORING MASTER'!$C$84:$C$86,0)),""))</f>
        <v/>
      </c>
      <c r="AT217" s="58" t="str">
        <f aca="false">IF('STUDENT SCREENING'!AS217="","",IFERROR(INDEX('SCORING MASTER'!$D$88:$D$90,MATCH('STUDENT SCREENING'!AS217,'SCORING MASTER'!$C$88:$C$90,0)),""))</f>
        <v/>
      </c>
      <c r="AU217" s="58" t="str">
        <f aca="false">IF('STUDENT SCREENING'!AT217="","",IFERROR(INDEX('SCORING MASTER'!$D$92:$D$93,MATCH('STUDENT SCREENING'!AT217,'SCORING MASTER'!$C$92:$C$93,0)),""))</f>
        <v/>
      </c>
      <c r="AV217" s="58" t="str">
        <f aca="false">IF('STUDENT SCREENING'!AU217="","",IFERROR(INDEX('SCORING MASTER'!$D$95:$D$96,MATCH('STUDENT SCREENING'!AU217,'SCORING MASTER'!$C$95:$C$96,0)),""))</f>
        <v/>
      </c>
      <c r="AW217" s="58" t="str">
        <f aca="false">IF('STUDENT SCREENING'!AV217="","",IFERROR(INDEX('SCORING MASTER'!$D$98:$D$99,MATCH('STUDENT SCREENING'!AV217,'SCORING MASTER'!$C$98:$C$99,0)),""))</f>
        <v/>
      </c>
      <c r="AX217" s="58" t="str">
        <f aca="false">IF('STUDENT SCREENING'!AW217="","",IFERROR(INDEX('SCORING MASTER'!$D$101:$D$102,MATCH('STUDENT SCREENING'!AW217,'SCORING MASTER'!$C$101:$C$102,0)),""))</f>
        <v/>
      </c>
      <c r="AY217" s="58" t="str">
        <f aca="false">IF('STUDENT SCREENING'!AX217="","",IFERROR(INDEX('SCORING MASTER'!$D$104:$D$105,MATCH('STUDENT SCREENING'!AX217,'SCORING MASTER'!$C$104:$C$105,0)),""))</f>
        <v/>
      </c>
      <c r="AZ217" s="58" t="str">
        <f aca="false">IF('STUDENT SCREENING'!AY217="","",IFERROR(INDEX('SCORING MASTER'!$D$107:$D$108,MATCH('STUDENT SCREENING'!AY217,'SCORING MASTER'!$C$107:$C$108,0)),""))</f>
        <v/>
      </c>
      <c r="BA217" s="58" t="str">
        <f aca="false">IF('STUDENT SCREENING'!AZ217="","",IFERROR(INDEX('SCORING MASTER'!$D$110:$D$111,MATCH('STUDENT SCREENING'!AZ217,'SCORING MASTER'!$C$110:$C$111,0)),""))</f>
        <v/>
      </c>
      <c r="BB217" s="58" t="str">
        <f aca="false">IF('STUDENT SCREENING'!BA217="","",IFERROR(INDEX('SCORING MASTER'!$D$113:$D$115,MATCH('STUDENT SCREENING'!BA217,'SCORING MASTER'!$C$113:$C$115,0)),""))</f>
        <v/>
      </c>
      <c r="BC217" s="58" t="str">
        <f aca="false">IF('STUDENT SCREENING'!BB217="","",IFERROR(INDEX('SCORING MASTER'!$D$117:$D$119,MATCH('STUDENT SCREENING'!BB217,'SCORING MASTER'!$C$117:$C$119,0)),""))</f>
        <v/>
      </c>
      <c r="BD217" s="58" t="str">
        <f aca="false">IF('STUDENT SCREENING'!BC217="","",IFERROR(INDEX('SCORING MASTER'!$D$121:$D$123,MATCH('STUDENT SCREENING'!BC217,'SCORING MASTER'!$C$121:$C$123,0)),""))</f>
        <v/>
      </c>
      <c r="BE217" s="58" t="str">
        <f aca="false">IF('STUDENT SCREENING'!BD217="","",IFERROR(INDEX('SCORING MASTER'!$D$125:$D$126,MATCH('STUDENT SCREENING'!BD217,'SCORING MASTER'!$C$125:$C$126,0)),""))</f>
        <v/>
      </c>
      <c r="BF217" s="58" t="str">
        <f aca="false">IF('STUDENT SCREENING'!BE217="","",IFERROR(INDEX('SCORING MASTER'!$D$128:$D$129,MATCH('STUDENT SCREENING'!BE217,'SCORING MASTER'!$C$128:$C$129,0)),""))</f>
        <v/>
      </c>
      <c r="BG217" s="58" t="str">
        <f aca="false">IF('STUDENT SCREENING'!BP217="","",IFERROR(MATCH('STUDENT SCREENING'!BP217,{"Red - High Risk","Orange - Moderate Risk","Yellow - Mild Risk","Light Green - Mild Watch","Green - Healthy"},0)-1,""))</f>
        <v/>
      </c>
      <c r="BH217" s="58" t="str">
        <f aca="false">IF('STUDENT SCREENING'!BQ217="","",IF('STUDENT SCREENING'!BQ217="Yes",1,0))</f>
        <v/>
      </c>
      <c r="BI217" s="58" t="str">
        <f aca="false">IF('STUDENT SCREENING'!BR217="","",IF('STUDENT SCREENING'!BR217="Yes",1,0))</f>
        <v/>
      </c>
    </row>
    <row r="218" customFormat="false" ht="15" hidden="false" customHeight="false" outlineLevel="0" collapsed="false">
      <c r="A218" s="57" t="str">
        <f aca="false">'STUDENT SCREENING'!A218</f>
        <v/>
      </c>
      <c r="B218" s="57" t="n">
        <f aca="false">'STUDENT SCREENING'!C218</f>
        <v>0</v>
      </c>
      <c r="C218" s="57" t="n">
        <f aca="false">'STUDENT SCREENING'!D218</f>
        <v>0</v>
      </c>
      <c r="D218" s="57" t="n">
        <f aca="false">'STUDENT SCREENING'!E218</f>
        <v>0</v>
      </c>
      <c r="E218" s="57" t="n">
        <f aca="false">'STUDENT SCREENING'!F218</f>
        <v>0</v>
      </c>
      <c r="F218" s="57" t="n">
        <f aca="false">'STUDENT SCREENING'!K218</f>
        <v>0</v>
      </c>
      <c r="G218" s="57" t="n">
        <f aca="false">'STUDENT SCREENING'!J218</f>
        <v>0</v>
      </c>
      <c r="H218" s="57" t="str">
        <f aca="false">IF('STUDENT SCREENING'!K218="","",IFERROR(MATCH('STUDENT SCREENING'!K218,Adm_Gender,0),""))</f>
        <v/>
      </c>
      <c r="I218" s="57" t="n">
        <f aca="false">'STUDENT SCREENING'!Q218</f>
        <v>0</v>
      </c>
      <c r="J218" s="57" t="n">
        <f aca="false">'STUDENT SCREENING'!R218</f>
        <v>0</v>
      </c>
      <c r="K218" s="57" t="str">
        <f aca="false">'STUDENT SCREENING'!S218</f>
        <v/>
      </c>
      <c r="L218" s="57" t="n">
        <f aca="false">'STUDENT SCREENING'!U218</f>
        <v>0</v>
      </c>
      <c r="M218" s="57" t="n">
        <f aca="false">'STUDENT SCREENING'!V218</f>
        <v>0</v>
      </c>
      <c r="N218" s="57" t="str">
        <f aca="false">'STUDENT SCREENING'!BF218</f>
        <v/>
      </c>
      <c r="O218" s="57" t="str">
        <f aca="false">'STUDENT SCREENING'!BG218</f>
        <v/>
      </c>
      <c r="P218" s="57" t="str">
        <f aca="false">'STUDENT SCREENING'!BH218</f>
        <v/>
      </c>
      <c r="Q218" s="57" t="str">
        <f aca="false">'STUDENT SCREENING'!BI218</f>
        <v/>
      </c>
      <c r="R218" s="57" t="str">
        <f aca="false">'STUDENT SCREENING'!BJ218</f>
        <v/>
      </c>
      <c r="S218" s="57" t="str">
        <f aca="false">'STUDENT SCREENING'!BK218</f>
        <v/>
      </c>
      <c r="T218" s="57" t="str">
        <f aca="false">'STUDENT SCREENING'!BL218</f>
        <v/>
      </c>
      <c r="U218" s="57" t="str">
        <f aca="false">'STUDENT SCREENING'!BM218</f>
        <v/>
      </c>
      <c r="V218" s="57" t="str">
        <f aca="false">'STUDENT SCREENING'!BN218</f>
        <v/>
      </c>
      <c r="W218" s="57" t="str">
        <f aca="false">'STUDENT SCREENING'!BO218</f>
        <v/>
      </c>
      <c r="X218" s="57" t="str">
        <f aca="false">IF('STUDENT SCREENING'!W218="","",IFERROR(INDEX('SCORING MASTER'!$D$5:$D$7,MATCH('STUDENT SCREENING'!W218,'SCORING MASTER'!$C$5:$C$7,0)),""))</f>
        <v/>
      </c>
      <c r="Y218" s="57" t="str">
        <f aca="false">IF('STUDENT SCREENING'!X218="","",IFERROR(INDEX('SCORING MASTER'!$D$9:$D$11,MATCH('STUDENT SCREENING'!X218,'SCORING MASTER'!$C$9:$C$11,0)),""))</f>
        <v/>
      </c>
      <c r="Z218" s="57" t="str">
        <f aca="false">IF('STUDENT SCREENING'!Y218="","",IFERROR(INDEX('SCORING MASTER'!$D$13:$D$15,MATCH('STUDENT SCREENING'!Y218,'SCORING MASTER'!$C$13:$C$15,0)),""))</f>
        <v/>
      </c>
      <c r="AA218" s="57" t="str">
        <f aca="false">IF('STUDENT SCREENING'!Z218="","",IFERROR(INDEX('SCORING MASTER'!$D$17:$D$19,MATCH('STUDENT SCREENING'!Z218,'SCORING MASTER'!$C$17:$C$19,0)),""))</f>
        <v/>
      </c>
      <c r="AB218" s="57" t="str">
        <f aca="false">IF('STUDENT SCREENING'!AA218="","",IFERROR(INDEX('SCORING MASTER'!$D$21:$D$23,MATCH('STUDENT SCREENING'!AA218,'SCORING MASTER'!$C$21:$C$23,0)),""))</f>
        <v/>
      </c>
      <c r="AC218" s="57" t="str">
        <f aca="false">IF('STUDENT SCREENING'!AB218="","",IFERROR(INDEX('SCORING MASTER'!$D$25:$D$27,MATCH('STUDENT SCREENING'!AB218,'SCORING MASTER'!$C$25:$C$27,0)),""))</f>
        <v/>
      </c>
      <c r="AD218" s="57" t="str">
        <f aca="false">IF('STUDENT SCREENING'!AC218="","",IFERROR(INDEX('SCORING MASTER'!$D$29:$D$31,MATCH('STUDENT SCREENING'!AC218,'SCORING MASTER'!$C$29:$C$31,0)),""))</f>
        <v/>
      </c>
      <c r="AE218" s="57" t="str">
        <f aca="false">IF('STUDENT SCREENING'!AD218="","",IFERROR(INDEX('SCORING MASTER'!$D$33:$D$35,MATCH('STUDENT SCREENING'!AD218,'SCORING MASTER'!$C$33:$C$35,0)),""))</f>
        <v/>
      </c>
      <c r="AF218" s="57" t="str">
        <f aca="false">IF('STUDENT SCREENING'!AE218="","",IFERROR(INDEX('SCORING MASTER'!$D$37:$D$39,MATCH('STUDENT SCREENING'!AE218,'SCORING MASTER'!$C$37:$C$39,0)),""))</f>
        <v/>
      </c>
      <c r="AG218" s="57" t="str">
        <f aca="false">IF('STUDENT SCREENING'!AF218="","",IFERROR(INDEX('SCORING MASTER'!$D$41:$D$43,MATCH('STUDENT SCREENING'!AF218,'SCORING MASTER'!$C$41:$C$43,0)),""))</f>
        <v/>
      </c>
      <c r="AH218" s="57" t="str">
        <f aca="false">IF('STUDENT SCREENING'!AG218="","",IFERROR(INDEX('SCORING MASTER'!$D$45:$D$47,MATCH('STUDENT SCREENING'!AG218,'SCORING MASTER'!$C$45:$C$47,0)),""))</f>
        <v/>
      </c>
      <c r="AI218" s="57" t="str">
        <f aca="false">IF('STUDENT SCREENING'!AH218="","",IFERROR(INDEX('SCORING MASTER'!$D$49:$D$52,MATCH('STUDENT SCREENING'!AH218,'SCORING MASTER'!$C$49:$C$52,0)),""))</f>
        <v/>
      </c>
      <c r="AJ218" s="57" t="str">
        <f aca="false">IF('STUDENT SCREENING'!AI218="","",IFERROR(INDEX('SCORING MASTER'!$D$54:$D$57,MATCH('STUDENT SCREENING'!AI218,'SCORING MASTER'!$C$54:$C$57,0)),""))</f>
        <v/>
      </c>
      <c r="AK218" s="57" t="str">
        <f aca="false">IF('STUDENT SCREENING'!AJ218="","",IFERROR(INDEX('SCORING MASTER'!$D$59:$D$60,MATCH('STUDENT SCREENING'!AJ218,'SCORING MASTER'!$C$59:$C$60,0)),""))</f>
        <v/>
      </c>
      <c r="AL218" s="57" t="str">
        <f aca="false">IF('STUDENT SCREENING'!AK218="","",IFERROR(INDEX('SCORING MASTER'!$D$62:$D$63,MATCH('STUDENT SCREENING'!AK218,'SCORING MASTER'!$C$62:$C$63,0)),""))</f>
        <v/>
      </c>
      <c r="AM218" s="57" t="str">
        <f aca="false">IF('STUDENT SCREENING'!AL218="","",IFERROR(INDEX('SCORING MASTER'!$D$65:$D$66,MATCH('STUDENT SCREENING'!AL218,'SCORING MASTER'!$C$65:$C$66,0)),""))</f>
        <v/>
      </c>
      <c r="AN218" s="57" t="str">
        <f aca="false">IF('STUDENT SCREENING'!AM218="","",IFERROR(INDEX('SCORING MASTER'!$D$68:$D$69,MATCH('STUDENT SCREENING'!AM218,'SCORING MASTER'!$C$68:$C$69,0)),""))</f>
        <v/>
      </c>
      <c r="AO218" s="57" t="str">
        <f aca="false">IF('STUDENT SCREENING'!AN218="","",IFERROR(INDEX('SCORING MASTER'!$D$71:$D$72,MATCH('STUDENT SCREENING'!AN218,'SCORING MASTER'!$C$71:$C$72,0)),""))</f>
        <v/>
      </c>
      <c r="AP218" s="57" t="str">
        <f aca="false">IF('STUDENT SCREENING'!AO218="","",IFERROR(INDEX('SCORING MASTER'!$D$74:$D$75,MATCH('STUDENT SCREENING'!AO218,'SCORING MASTER'!$C$74:$C$75,0)),""))</f>
        <v/>
      </c>
      <c r="AQ218" s="57" t="str">
        <f aca="false">IF('STUDENT SCREENING'!AP218="","",IFERROR(INDEX('SCORING MASTER'!$D$77:$D$78,MATCH('STUDENT SCREENING'!AP218,'SCORING MASTER'!$C$77:$C$78,0)),""))</f>
        <v/>
      </c>
      <c r="AR218" s="57" t="str">
        <f aca="false">IF('STUDENT SCREENING'!AQ218="","",IFERROR(INDEX('SCORING MASTER'!$D$80:$D$82,MATCH('STUDENT SCREENING'!AQ218,'SCORING MASTER'!$C$80:$C$82,0)),""))</f>
        <v/>
      </c>
      <c r="AS218" s="57" t="str">
        <f aca="false">IF('STUDENT SCREENING'!AR218="","",IFERROR(INDEX('SCORING MASTER'!$D$84:$D$86,MATCH('STUDENT SCREENING'!AR218,'SCORING MASTER'!$C$84:$C$86,0)),""))</f>
        <v/>
      </c>
      <c r="AT218" s="57" t="str">
        <f aca="false">IF('STUDENT SCREENING'!AS218="","",IFERROR(INDEX('SCORING MASTER'!$D$88:$D$90,MATCH('STUDENT SCREENING'!AS218,'SCORING MASTER'!$C$88:$C$90,0)),""))</f>
        <v/>
      </c>
      <c r="AU218" s="57" t="str">
        <f aca="false">IF('STUDENT SCREENING'!AT218="","",IFERROR(INDEX('SCORING MASTER'!$D$92:$D$93,MATCH('STUDENT SCREENING'!AT218,'SCORING MASTER'!$C$92:$C$93,0)),""))</f>
        <v/>
      </c>
      <c r="AV218" s="57" t="str">
        <f aca="false">IF('STUDENT SCREENING'!AU218="","",IFERROR(INDEX('SCORING MASTER'!$D$95:$D$96,MATCH('STUDENT SCREENING'!AU218,'SCORING MASTER'!$C$95:$C$96,0)),""))</f>
        <v/>
      </c>
      <c r="AW218" s="57" t="str">
        <f aca="false">IF('STUDENT SCREENING'!AV218="","",IFERROR(INDEX('SCORING MASTER'!$D$98:$D$99,MATCH('STUDENT SCREENING'!AV218,'SCORING MASTER'!$C$98:$C$99,0)),""))</f>
        <v/>
      </c>
      <c r="AX218" s="57" t="str">
        <f aca="false">IF('STUDENT SCREENING'!AW218="","",IFERROR(INDEX('SCORING MASTER'!$D$101:$D$102,MATCH('STUDENT SCREENING'!AW218,'SCORING MASTER'!$C$101:$C$102,0)),""))</f>
        <v/>
      </c>
      <c r="AY218" s="57" t="str">
        <f aca="false">IF('STUDENT SCREENING'!AX218="","",IFERROR(INDEX('SCORING MASTER'!$D$104:$D$105,MATCH('STUDENT SCREENING'!AX218,'SCORING MASTER'!$C$104:$C$105,0)),""))</f>
        <v/>
      </c>
      <c r="AZ218" s="57" t="str">
        <f aca="false">IF('STUDENT SCREENING'!AY218="","",IFERROR(INDEX('SCORING MASTER'!$D$107:$D$108,MATCH('STUDENT SCREENING'!AY218,'SCORING MASTER'!$C$107:$C$108,0)),""))</f>
        <v/>
      </c>
      <c r="BA218" s="57" t="str">
        <f aca="false">IF('STUDENT SCREENING'!AZ218="","",IFERROR(INDEX('SCORING MASTER'!$D$110:$D$111,MATCH('STUDENT SCREENING'!AZ218,'SCORING MASTER'!$C$110:$C$111,0)),""))</f>
        <v/>
      </c>
      <c r="BB218" s="57" t="str">
        <f aca="false">IF('STUDENT SCREENING'!BA218="","",IFERROR(INDEX('SCORING MASTER'!$D$113:$D$115,MATCH('STUDENT SCREENING'!BA218,'SCORING MASTER'!$C$113:$C$115,0)),""))</f>
        <v/>
      </c>
      <c r="BC218" s="57" t="str">
        <f aca="false">IF('STUDENT SCREENING'!BB218="","",IFERROR(INDEX('SCORING MASTER'!$D$117:$D$119,MATCH('STUDENT SCREENING'!BB218,'SCORING MASTER'!$C$117:$C$119,0)),""))</f>
        <v/>
      </c>
      <c r="BD218" s="57" t="str">
        <f aca="false">IF('STUDENT SCREENING'!BC218="","",IFERROR(INDEX('SCORING MASTER'!$D$121:$D$123,MATCH('STUDENT SCREENING'!BC218,'SCORING MASTER'!$C$121:$C$123,0)),""))</f>
        <v/>
      </c>
      <c r="BE218" s="57" t="str">
        <f aca="false">IF('STUDENT SCREENING'!BD218="","",IFERROR(INDEX('SCORING MASTER'!$D$125:$D$126,MATCH('STUDENT SCREENING'!BD218,'SCORING MASTER'!$C$125:$C$126,0)),""))</f>
        <v/>
      </c>
      <c r="BF218" s="57" t="str">
        <f aca="false">IF('STUDENT SCREENING'!BE218="","",IFERROR(INDEX('SCORING MASTER'!$D$128:$D$129,MATCH('STUDENT SCREENING'!BE218,'SCORING MASTER'!$C$128:$C$129,0)),""))</f>
        <v/>
      </c>
      <c r="BG218" s="57" t="str">
        <f aca="false">IF('STUDENT SCREENING'!BP218="","",IFERROR(MATCH('STUDENT SCREENING'!BP218,{"Red - High Risk","Orange - Moderate Risk","Yellow - Mild Risk","Light Green - Mild Watch","Green - Healthy"},0)-1,""))</f>
        <v/>
      </c>
      <c r="BH218" s="57" t="str">
        <f aca="false">IF('STUDENT SCREENING'!BQ218="","",IF('STUDENT SCREENING'!BQ218="Yes",1,0))</f>
        <v/>
      </c>
      <c r="BI218" s="57" t="str">
        <f aca="false">IF('STUDENT SCREENING'!BR218="","",IF('STUDENT SCREENING'!BR218="Yes",1,0))</f>
        <v/>
      </c>
    </row>
    <row r="219" customFormat="false" ht="15" hidden="false" customHeight="false" outlineLevel="0" collapsed="false">
      <c r="A219" s="58" t="str">
        <f aca="false">'STUDENT SCREENING'!A219</f>
        <v/>
      </c>
      <c r="B219" s="58" t="n">
        <f aca="false">'STUDENT SCREENING'!C219</f>
        <v>0</v>
      </c>
      <c r="C219" s="58" t="n">
        <f aca="false">'STUDENT SCREENING'!D219</f>
        <v>0</v>
      </c>
      <c r="D219" s="58" t="n">
        <f aca="false">'STUDENT SCREENING'!E219</f>
        <v>0</v>
      </c>
      <c r="E219" s="58" t="n">
        <f aca="false">'STUDENT SCREENING'!F219</f>
        <v>0</v>
      </c>
      <c r="F219" s="58" t="n">
        <f aca="false">'STUDENT SCREENING'!K219</f>
        <v>0</v>
      </c>
      <c r="G219" s="58" t="n">
        <f aca="false">'STUDENT SCREENING'!J219</f>
        <v>0</v>
      </c>
      <c r="H219" s="58" t="str">
        <f aca="false">IF('STUDENT SCREENING'!K219="","",IFERROR(MATCH('STUDENT SCREENING'!K219,Adm_Gender,0),""))</f>
        <v/>
      </c>
      <c r="I219" s="58" t="n">
        <f aca="false">'STUDENT SCREENING'!Q219</f>
        <v>0</v>
      </c>
      <c r="J219" s="58" t="n">
        <f aca="false">'STUDENT SCREENING'!R219</f>
        <v>0</v>
      </c>
      <c r="K219" s="58" t="str">
        <f aca="false">'STUDENT SCREENING'!S219</f>
        <v/>
      </c>
      <c r="L219" s="58" t="n">
        <f aca="false">'STUDENT SCREENING'!U219</f>
        <v>0</v>
      </c>
      <c r="M219" s="58" t="n">
        <f aca="false">'STUDENT SCREENING'!V219</f>
        <v>0</v>
      </c>
      <c r="N219" s="58" t="str">
        <f aca="false">'STUDENT SCREENING'!BF219</f>
        <v/>
      </c>
      <c r="O219" s="58" t="str">
        <f aca="false">'STUDENT SCREENING'!BG219</f>
        <v/>
      </c>
      <c r="P219" s="58" t="str">
        <f aca="false">'STUDENT SCREENING'!BH219</f>
        <v/>
      </c>
      <c r="Q219" s="58" t="str">
        <f aca="false">'STUDENT SCREENING'!BI219</f>
        <v/>
      </c>
      <c r="R219" s="58" t="str">
        <f aca="false">'STUDENT SCREENING'!BJ219</f>
        <v/>
      </c>
      <c r="S219" s="58" t="str">
        <f aca="false">'STUDENT SCREENING'!BK219</f>
        <v/>
      </c>
      <c r="T219" s="58" t="str">
        <f aca="false">'STUDENT SCREENING'!BL219</f>
        <v/>
      </c>
      <c r="U219" s="58" t="str">
        <f aca="false">'STUDENT SCREENING'!BM219</f>
        <v/>
      </c>
      <c r="V219" s="58" t="str">
        <f aca="false">'STUDENT SCREENING'!BN219</f>
        <v/>
      </c>
      <c r="W219" s="58" t="str">
        <f aca="false">'STUDENT SCREENING'!BO219</f>
        <v/>
      </c>
      <c r="X219" s="58" t="str">
        <f aca="false">IF('STUDENT SCREENING'!W219="","",IFERROR(INDEX('SCORING MASTER'!$D$5:$D$7,MATCH('STUDENT SCREENING'!W219,'SCORING MASTER'!$C$5:$C$7,0)),""))</f>
        <v/>
      </c>
      <c r="Y219" s="58" t="str">
        <f aca="false">IF('STUDENT SCREENING'!X219="","",IFERROR(INDEX('SCORING MASTER'!$D$9:$D$11,MATCH('STUDENT SCREENING'!X219,'SCORING MASTER'!$C$9:$C$11,0)),""))</f>
        <v/>
      </c>
      <c r="Z219" s="58" t="str">
        <f aca="false">IF('STUDENT SCREENING'!Y219="","",IFERROR(INDEX('SCORING MASTER'!$D$13:$D$15,MATCH('STUDENT SCREENING'!Y219,'SCORING MASTER'!$C$13:$C$15,0)),""))</f>
        <v/>
      </c>
      <c r="AA219" s="58" t="str">
        <f aca="false">IF('STUDENT SCREENING'!Z219="","",IFERROR(INDEX('SCORING MASTER'!$D$17:$D$19,MATCH('STUDENT SCREENING'!Z219,'SCORING MASTER'!$C$17:$C$19,0)),""))</f>
        <v/>
      </c>
      <c r="AB219" s="58" t="str">
        <f aca="false">IF('STUDENT SCREENING'!AA219="","",IFERROR(INDEX('SCORING MASTER'!$D$21:$D$23,MATCH('STUDENT SCREENING'!AA219,'SCORING MASTER'!$C$21:$C$23,0)),""))</f>
        <v/>
      </c>
      <c r="AC219" s="58" t="str">
        <f aca="false">IF('STUDENT SCREENING'!AB219="","",IFERROR(INDEX('SCORING MASTER'!$D$25:$D$27,MATCH('STUDENT SCREENING'!AB219,'SCORING MASTER'!$C$25:$C$27,0)),""))</f>
        <v/>
      </c>
      <c r="AD219" s="58" t="str">
        <f aca="false">IF('STUDENT SCREENING'!AC219="","",IFERROR(INDEX('SCORING MASTER'!$D$29:$D$31,MATCH('STUDENT SCREENING'!AC219,'SCORING MASTER'!$C$29:$C$31,0)),""))</f>
        <v/>
      </c>
      <c r="AE219" s="58" t="str">
        <f aca="false">IF('STUDENT SCREENING'!AD219="","",IFERROR(INDEX('SCORING MASTER'!$D$33:$D$35,MATCH('STUDENT SCREENING'!AD219,'SCORING MASTER'!$C$33:$C$35,0)),""))</f>
        <v/>
      </c>
      <c r="AF219" s="58" t="str">
        <f aca="false">IF('STUDENT SCREENING'!AE219="","",IFERROR(INDEX('SCORING MASTER'!$D$37:$D$39,MATCH('STUDENT SCREENING'!AE219,'SCORING MASTER'!$C$37:$C$39,0)),""))</f>
        <v/>
      </c>
      <c r="AG219" s="58" t="str">
        <f aca="false">IF('STUDENT SCREENING'!AF219="","",IFERROR(INDEX('SCORING MASTER'!$D$41:$D$43,MATCH('STUDENT SCREENING'!AF219,'SCORING MASTER'!$C$41:$C$43,0)),""))</f>
        <v/>
      </c>
      <c r="AH219" s="58" t="str">
        <f aca="false">IF('STUDENT SCREENING'!AG219="","",IFERROR(INDEX('SCORING MASTER'!$D$45:$D$47,MATCH('STUDENT SCREENING'!AG219,'SCORING MASTER'!$C$45:$C$47,0)),""))</f>
        <v/>
      </c>
      <c r="AI219" s="58" t="str">
        <f aca="false">IF('STUDENT SCREENING'!AH219="","",IFERROR(INDEX('SCORING MASTER'!$D$49:$D$52,MATCH('STUDENT SCREENING'!AH219,'SCORING MASTER'!$C$49:$C$52,0)),""))</f>
        <v/>
      </c>
      <c r="AJ219" s="58" t="str">
        <f aca="false">IF('STUDENT SCREENING'!AI219="","",IFERROR(INDEX('SCORING MASTER'!$D$54:$D$57,MATCH('STUDENT SCREENING'!AI219,'SCORING MASTER'!$C$54:$C$57,0)),""))</f>
        <v/>
      </c>
      <c r="AK219" s="58" t="str">
        <f aca="false">IF('STUDENT SCREENING'!AJ219="","",IFERROR(INDEX('SCORING MASTER'!$D$59:$D$60,MATCH('STUDENT SCREENING'!AJ219,'SCORING MASTER'!$C$59:$C$60,0)),""))</f>
        <v/>
      </c>
      <c r="AL219" s="58" t="str">
        <f aca="false">IF('STUDENT SCREENING'!AK219="","",IFERROR(INDEX('SCORING MASTER'!$D$62:$D$63,MATCH('STUDENT SCREENING'!AK219,'SCORING MASTER'!$C$62:$C$63,0)),""))</f>
        <v/>
      </c>
      <c r="AM219" s="58" t="str">
        <f aca="false">IF('STUDENT SCREENING'!AL219="","",IFERROR(INDEX('SCORING MASTER'!$D$65:$D$66,MATCH('STUDENT SCREENING'!AL219,'SCORING MASTER'!$C$65:$C$66,0)),""))</f>
        <v/>
      </c>
      <c r="AN219" s="58" t="str">
        <f aca="false">IF('STUDENT SCREENING'!AM219="","",IFERROR(INDEX('SCORING MASTER'!$D$68:$D$69,MATCH('STUDENT SCREENING'!AM219,'SCORING MASTER'!$C$68:$C$69,0)),""))</f>
        <v/>
      </c>
      <c r="AO219" s="58" t="str">
        <f aca="false">IF('STUDENT SCREENING'!AN219="","",IFERROR(INDEX('SCORING MASTER'!$D$71:$D$72,MATCH('STUDENT SCREENING'!AN219,'SCORING MASTER'!$C$71:$C$72,0)),""))</f>
        <v/>
      </c>
      <c r="AP219" s="58" t="str">
        <f aca="false">IF('STUDENT SCREENING'!AO219="","",IFERROR(INDEX('SCORING MASTER'!$D$74:$D$75,MATCH('STUDENT SCREENING'!AO219,'SCORING MASTER'!$C$74:$C$75,0)),""))</f>
        <v/>
      </c>
      <c r="AQ219" s="58" t="str">
        <f aca="false">IF('STUDENT SCREENING'!AP219="","",IFERROR(INDEX('SCORING MASTER'!$D$77:$D$78,MATCH('STUDENT SCREENING'!AP219,'SCORING MASTER'!$C$77:$C$78,0)),""))</f>
        <v/>
      </c>
      <c r="AR219" s="58" t="str">
        <f aca="false">IF('STUDENT SCREENING'!AQ219="","",IFERROR(INDEX('SCORING MASTER'!$D$80:$D$82,MATCH('STUDENT SCREENING'!AQ219,'SCORING MASTER'!$C$80:$C$82,0)),""))</f>
        <v/>
      </c>
      <c r="AS219" s="58" t="str">
        <f aca="false">IF('STUDENT SCREENING'!AR219="","",IFERROR(INDEX('SCORING MASTER'!$D$84:$D$86,MATCH('STUDENT SCREENING'!AR219,'SCORING MASTER'!$C$84:$C$86,0)),""))</f>
        <v/>
      </c>
      <c r="AT219" s="58" t="str">
        <f aca="false">IF('STUDENT SCREENING'!AS219="","",IFERROR(INDEX('SCORING MASTER'!$D$88:$D$90,MATCH('STUDENT SCREENING'!AS219,'SCORING MASTER'!$C$88:$C$90,0)),""))</f>
        <v/>
      </c>
      <c r="AU219" s="58" t="str">
        <f aca="false">IF('STUDENT SCREENING'!AT219="","",IFERROR(INDEX('SCORING MASTER'!$D$92:$D$93,MATCH('STUDENT SCREENING'!AT219,'SCORING MASTER'!$C$92:$C$93,0)),""))</f>
        <v/>
      </c>
      <c r="AV219" s="58" t="str">
        <f aca="false">IF('STUDENT SCREENING'!AU219="","",IFERROR(INDEX('SCORING MASTER'!$D$95:$D$96,MATCH('STUDENT SCREENING'!AU219,'SCORING MASTER'!$C$95:$C$96,0)),""))</f>
        <v/>
      </c>
      <c r="AW219" s="58" t="str">
        <f aca="false">IF('STUDENT SCREENING'!AV219="","",IFERROR(INDEX('SCORING MASTER'!$D$98:$D$99,MATCH('STUDENT SCREENING'!AV219,'SCORING MASTER'!$C$98:$C$99,0)),""))</f>
        <v/>
      </c>
      <c r="AX219" s="58" t="str">
        <f aca="false">IF('STUDENT SCREENING'!AW219="","",IFERROR(INDEX('SCORING MASTER'!$D$101:$D$102,MATCH('STUDENT SCREENING'!AW219,'SCORING MASTER'!$C$101:$C$102,0)),""))</f>
        <v/>
      </c>
      <c r="AY219" s="58" t="str">
        <f aca="false">IF('STUDENT SCREENING'!AX219="","",IFERROR(INDEX('SCORING MASTER'!$D$104:$D$105,MATCH('STUDENT SCREENING'!AX219,'SCORING MASTER'!$C$104:$C$105,0)),""))</f>
        <v/>
      </c>
      <c r="AZ219" s="58" t="str">
        <f aca="false">IF('STUDENT SCREENING'!AY219="","",IFERROR(INDEX('SCORING MASTER'!$D$107:$D$108,MATCH('STUDENT SCREENING'!AY219,'SCORING MASTER'!$C$107:$C$108,0)),""))</f>
        <v/>
      </c>
      <c r="BA219" s="58" t="str">
        <f aca="false">IF('STUDENT SCREENING'!AZ219="","",IFERROR(INDEX('SCORING MASTER'!$D$110:$D$111,MATCH('STUDENT SCREENING'!AZ219,'SCORING MASTER'!$C$110:$C$111,0)),""))</f>
        <v/>
      </c>
      <c r="BB219" s="58" t="str">
        <f aca="false">IF('STUDENT SCREENING'!BA219="","",IFERROR(INDEX('SCORING MASTER'!$D$113:$D$115,MATCH('STUDENT SCREENING'!BA219,'SCORING MASTER'!$C$113:$C$115,0)),""))</f>
        <v/>
      </c>
      <c r="BC219" s="58" t="str">
        <f aca="false">IF('STUDENT SCREENING'!BB219="","",IFERROR(INDEX('SCORING MASTER'!$D$117:$D$119,MATCH('STUDENT SCREENING'!BB219,'SCORING MASTER'!$C$117:$C$119,0)),""))</f>
        <v/>
      </c>
      <c r="BD219" s="58" t="str">
        <f aca="false">IF('STUDENT SCREENING'!BC219="","",IFERROR(INDEX('SCORING MASTER'!$D$121:$D$123,MATCH('STUDENT SCREENING'!BC219,'SCORING MASTER'!$C$121:$C$123,0)),""))</f>
        <v/>
      </c>
      <c r="BE219" s="58" t="str">
        <f aca="false">IF('STUDENT SCREENING'!BD219="","",IFERROR(INDEX('SCORING MASTER'!$D$125:$D$126,MATCH('STUDENT SCREENING'!BD219,'SCORING MASTER'!$C$125:$C$126,0)),""))</f>
        <v/>
      </c>
      <c r="BF219" s="58" t="str">
        <f aca="false">IF('STUDENT SCREENING'!BE219="","",IFERROR(INDEX('SCORING MASTER'!$D$128:$D$129,MATCH('STUDENT SCREENING'!BE219,'SCORING MASTER'!$C$128:$C$129,0)),""))</f>
        <v/>
      </c>
      <c r="BG219" s="58" t="str">
        <f aca="false">IF('STUDENT SCREENING'!BP219="","",IFERROR(MATCH('STUDENT SCREENING'!BP219,{"Red - High Risk","Orange - Moderate Risk","Yellow - Mild Risk","Light Green - Mild Watch","Green - Healthy"},0)-1,""))</f>
        <v/>
      </c>
      <c r="BH219" s="58" t="str">
        <f aca="false">IF('STUDENT SCREENING'!BQ219="","",IF('STUDENT SCREENING'!BQ219="Yes",1,0))</f>
        <v/>
      </c>
      <c r="BI219" s="58" t="str">
        <f aca="false">IF('STUDENT SCREENING'!BR219="","",IF('STUDENT SCREENING'!BR219="Yes",1,0))</f>
        <v/>
      </c>
    </row>
    <row r="220" customFormat="false" ht="15" hidden="false" customHeight="false" outlineLevel="0" collapsed="false">
      <c r="A220" s="57" t="str">
        <f aca="false">'STUDENT SCREENING'!A220</f>
        <v/>
      </c>
      <c r="B220" s="57" t="n">
        <f aca="false">'STUDENT SCREENING'!C220</f>
        <v>0</v>
      </c>
      <c r="C220" s="57" t="n">
        <f aca="false">'STUDENT SCREENING'!D220</f>
        <v>0</v>
      </c>
      <c r="D220" s="57" t="n">
        <f aca="false">'STUDENT SCREENING'!E220</f>
        <v>0</v>
      </c>
      <c r="E220" s="57" t="n">
        <f aca="false">'STUDENT SCREENING'!F220</f>
        <v>0</v>
      </c>
      <c r="F220" s="57" t="n">
        <f aca="false">'STUDENT SCREENING'!K220</f>
        <v>0</v>
      </c>
      <c r="G220" s="57" t="n">
        <f aca="false">'STUDENT SCREENING'!J220</f>
        <v>0</v>
      </c>
      <c r="H220" s="57" t="str">
        <f aca="false">IF('STUDENT SCREENING'!K220="","",IFERROR(MATCH('STUDENT SCREENING'!K220,Adm_Gender,0),""))</f>
        <v/>
      </c>
      <c r="I220" s="57" t="n">
        <f aca="false">'STUDENT SCREENING'!Q220</f>
        <v>0</v>
      </c>
      <c r="J220" s="57" t="n">
        <f aca="false">'STUDENT SCREENING'!R220</f>
        <v>0</v>
      </c>
      <c r="K220" s="57" t="str">
        <f aca="false">'STUDENT SCREENING'!S220</f>
        <v/>
      </c>
      <c r="L220" s="57" t="n">
        <f aca="false">'STUDENT SCREENING'!U220</f>
        <v>0</v>
      </c>
      <c r="M220" s="57" t="n">
        <f aca="false">'STUDENT SCREENING'!V220</f>
        <v>0</v>
      </c>
      <c r="N220" s="57" t="str">
        <f aca="false">'STUDENT SCREENING'!BF220</f>
        <v/>
      </c>
      <c r="O220" s="57" t="str">
        <f aca="false">'STUDENT SCREENING'!BG220</f>
        <v/>
      </c>
      <c r="P220" s="57" t="str">
        <f aca="false">'STUDENT SCREENING'!BH220</f>
        <v/>
      </c>
      <c r="Q220" s="57" t="str">
        <f aca="false">'STUDENT SCREENING'!BI220</f>
        <v/>
      </c>
      <c r="R220" s="57" t="str">
        <f aca="false">'STUDENT SCREENING'!BJ220</f>
        <v/>
      </c>
      <c r="S220" s="57" t="str">
        <f aca="false">'STUDENT SCREENING'!BK220</f>
        <v/>
      </c>
      <c r="T220" s="57" t="str">
        <f aca="false">'STUDENT SCREENING'!BL220</f>
        <v/>
      </c>
      <c r="U220" s="57" t="str">
        <f aca="false">'STUDENT SCREENING'!BM220</f>
        <v/>
      </c>
      <c r="V220" s="57" t="str">
        <f aca="false">'STUDENT SCREENING'!BN220</f>
        <v/>
      </c>
      <c r="W220" s="57" t="str">
        <f aca="false">'STUDENT SCREENING'!BO220</f>
        <v/>
      </c>
      <c r="X220" s="57" t="str">
        <f aca="false">IF('STUDENT SCREENING'!W220="","",IFERROR(INDEX('SCORING MASTER'!$D$5:$D$7,MATCH('STUDENT SCREENING'!W220,'SCORING MASTER'!$C$5:$C$7,0)),""))</f>
        <v/>
      </c>
      <c r="Y220" s="57" t="str">
        <f aca="false">IF('STUDENT SCREENING'!X220="","",IFERROR(INDEX('SCORING MASTER'!$D$9:$D$11,MATCH('STUDENT SCREENING'!X220,'SCORING MASTER'!$C$9:$C$11,0)),""))</f>
        <v/>
      </c>
      <c r="Z220" s="57" t="str">
        <f aca="false">IF('STUDENT SCREENING'!Y220="","",IFERROR(INDEX('SCORING MASTER'!$D$13:$D$15,MATCH('STUDENT SCREENING'!Y220,'SCORING MASTER'!$C$13:$C$15,0)),""))</f>
        <v/>
      </c>
      <c r="AA220" s="57" t="str">
        <f aca="false">IF('STUDENT SCREENING'!Z220="","",IFERROR(INDEX('SCORING MASTER'!$D$17:$D$19,MATCH('STUDENT SCREENING'!Z220,'SCORING MASTER'!$C$17:$C$19,0)),""))</f>
        <v/>
      </c>
      <c r="AB220" s="57" t="str">
        <f aca="false">IF('STUDENT SCREENING'!AA220="","",IFERROR(INDEX('SCORING MASTER'!$D$21:$D$23,MATCH('STUDENT SCREENING'!AA220,'SCORING MASTER'!$C$21:$C$23,0)),""))</f>
        <v/>
      </c>
      <c r="AC220" s="57" t="str">
        <f aca="false">IF('STUDENT SCREENING'!AB220="","",IFERROR(INDEX('SCORING MASTER'!$D$25:$D$27,MATCH('STUDENT SCREENING'!AB220,'SCORING MASTER'!$C$25:$C$27,0)),""))</f>
        <v/>
      </c>
      <c r="AD220" s="57" t="str">
        <f aca="false">IF('STUDENT SCREENING'!AC220="","",IFERROR(INDEX('SCORING MASTER'!$D$29:$D$31,MATCH('STUDENT SCREENING'!AC220,'SCORING MASTER'!$C$29:$C$31,0)),""))</f>
        <v/>
      </c>
      <c r="AE220" s="57" t="str">
        <f aca="false">IF('STUDENT SCREENING'!AD220="","",IFERROR(INDEX('SCORING MASTER'!$D$33:$D$35,MATCH('STUDENT SCREENING'!AD220,'SCORING MASTER'!$C$33:$C$35,0)),""))</f>
        <v/>
      </c>
      <c r="AF220" s="57" t="str">
        <f aca="false">IF('STUDENT SCREENING'!AE220="","",IFERROR(INDEX('SCORING MASTER'!$D$37:$D$39,MATCH('STUDENT SCREENING'!AE220,'SCORING MASTER'!$C$37:$C$39,0)),""))</f>
        <v/>
      </c>
      <c r="AG220" s="57" t="str">
        <f aca="false">IF('STUDENT SCREENING'!AF220="","",IFERROR(INDEX('SCORING MASTER'!$D$41:$D$43,MATCH('STUDENT SCREENING'!AF220,'SCORING MASTER'!$C$41:$C$43,0)),""))</f>
        <v/>
      </c>
      <c r="AH220" s="57" t="str">
        <f aca="false">IF('STUDENT SCREENING'!AG220="","",IFERROR(INDEX('SCORING MASTER'!$D$45:$D$47,MATCH('STUDENT SCREENING'!AG220,'SCORING MASTER'!$C$45:$C$47,0)),""))</f>
        <v/>
      </c>
      <c r="AI220" s="57" t="str">
        <f aca="false">IF('STUDENT SCREENING'!AH220="","",IFERROR(INDEX('SCORING MASTER'!$D$49:$D$52,MATCH('STUDENT SCREENING'!AH220,'SCORING MASTER'!$C$49:$C$52,0)),""))</f>
        <v/>
      </c>
      <c r="AJ220" s="57" t="str">
        <f aca="false">IF('STUDENT SCREENING'!AI220="","",IFERROR(INDEX('SCORING MASTER'!$D$54:$D$57,MATCH('STUDENT SCREENING'!AI220,'SCORING MASTER'!$C$54:$C$57,0)),""))</f>
        <v/>
      </c>
      <c r="AK220" s="57" t="str">
        <f aca="false">IF('STUDENT SCREENING'!AJ220="","",IFERROR(INDEX('SCORING MASTER'!$D$59:$D$60,MATCH('STUDENT SCREENING'!AJ220,'SCORING MASTER'!$C$59:$C$60,0)),""))</f>
        <v/>
      </c>
      <c r="AL220" s="57" t="str">
        <f aca="false">IF('STUDENT SCREENING'!AK220="","",IFERROR(INDEX('SCORING MASTER'!$D$62:$D$63,MATCH('STUDENT SCREENING'!AK220,'SCORING MASTER'!$C$62:$C$63,0)),""))</f>
        <v/>
      </c>
      <c r="AM220" s="57" t="str">
        <f aca="false">IF('STUDENT SCREENING'!AL220="","",IFERROR(INDEX('SCORING MASTER'!$D$65:$D$66,MATCH('STUDENT SCREENING'!AL220,'SCORING MASTER'!$C$65:$C$66,0)),""))</f>
        <v/>
      </c>
      <c r="AN220" s="57" t="str">
        <f aca="false">IF('STUDENT SCREENING'!AM220="","",IFERROR(INDEX('SCORING MASTER'!$D$68:$D$69,MATCH('STUDENT SCREENING'!AM220,'SCORING MASTER'!$C$68:$C$69,0)),""))</f>
        <v/>
      </c>
      <c r="AO220" s="57" t="str">
        <f aca="false">IF('STUDENT SCREENING'!AN220="","",IFERROR(INDEX('SCORING MASTER'!$D$71:$D$72,MATCH('STUDENT SCREENING'!AN220,'SCORING MASTER'!$C$71:$C$72,0)),""))</f>
        <v/>
      </c>
      <c r="AP220" s="57" t="str">
        <f aca="false">IF('STUDENT SCREENING'!AO220="","",IFERROR(INDEX('SCORING MASTER'!$D$74:$D$75,MATCH('STUDENT SCREENING'!AO220,'SCORING MASTER'!$C$74:$C$75,0)),""))</f>
        <v/>
      </c>
      <c r="AQ220" s="57" t="str">
        <f aca="false">IF('STUDENT SCREENING'!AP220="","",IFERROR(INDEX('SCORING MASTER'!$D$77:$D$78,MATCH('STUDENT SCREENING'!AP220,'SCORING MASTER'!$C$77:$C$78,0)),""))</f>
        <v/>
      </c>
      <c r="AR220" s="57" t="str">
        <f aca="false">IF('STUDENT SCREENING'!AQ220="","",IFERROR(INDEX('SCORING MASTER'!$D$80:$D$82,MATCH('STUDENT SCREENING'!AQ220,'SCORING MASTER'!$C$80:$C$82,0)),""))</f>
        <v/>
      </c>
      <c r="AS220" s="57" t="str">
        <f aca="false">IF('STUDENT SCREENING'!AR220="","",IFERROR(INDEX('SCORING MASTER'!$D$84:$D$86,MATCH('STUDENT SCREENING'!AR220,'SCORING MASTER'!$C$84:$C$86,0)),""))</f>
        <v/>
      </c>
      <c r="AT220" s="57" t="str">
        <f aca="false">IF('STUDENT SCREENING'!AS220="","",IFERROR(INDEX('SCORING MASTER'!$D$88:$D$90,MATCH('STUDENT SCREENING'!AS220,'SCORING MASTER'!$C$88:$C$90,0)),""))</f>
        <v/>
      </c>
      <c r="AU220" s="57" t="str">
        <f aca="false">IF('STUDENT SCREENING'!AT220="","",IFERROR(INDEX('SCORING MASTER'!$D$92:$D$93,MATCH('STUDENT SCREENING'!AT220,'SCORING MASTER'!$C$92:$C$93,0)),""))</f>
        <v/>
      </c>
      <c r="AV220" s="57" t="str">
        <f aca="false">IF('STUDENT SCREENING'!AU220="","",IFERROR(INDEX('SCORING MASTER'!$D$95:$D$96,MATCH('STUDENT SCREENING'!AU220,'SCORING MASTER'!$C$95:$C$96,0)),""))</f>
        <v/>
      </c>
      <c r="AW220" s="57" t="str">
        <f aca="false">IF('STUDENT SCREENING'!AV220="","",IFERROR(INDEX('SCORING MASTER'!$D$98:$D$99,MATCH('STUDENT SCREENING'!AV220,'SCORING MASTER'!$C$98:$C$99,0)),""))</f>
        <v/>
      </c>
      <c r="AX220" s="57" t="str">
        <f aca="false">IF('STUDENT SCREENING'!AW220="","",IFERROR(INDEX('SCORING MASTER'!$D$101:$D$102,MATCH('STUDENT SCREENING'!AW220,'SCORING MASTER'!$C$101:$C$102,0)),""))</f>
        <v/>
      </c>
      <c r="AY220" s="57" t="str">
        <f aca="false">IF('STUDENT SCREENING'!AX220="","",IFERROR(INDEX('SCORING MASTER'!$D$104:$D$105,MATCH('STUDENT SCREENING'!AX220,'SCORING MASTER'!$C$104:$C$105,0)),""))</f>
        <v/>
      </c>
      <c r="AZ220" s="57" t="str">
        <f aca="false">IF('STUDENT SCREENING'!AY220="","",IFERROR(INDEX('SCORING MASTER'!$D$107:$D$108,MATCH('STUDENT SCREENING'!AY220,'SCORING MASTER'!$C$107:$C$108,0)),""))</f>
        <v/>
      </c>
      <c r="BA220" s="57" t="str">
        <f aca="false">IF('STUDENT SCREENING'!AZ220="","",IFERROR(INDEX('SCORING MASTER'!$D$110:$D$111,MATCH('STUDENT SCREENING'!AZ220,'SCORING MASTER'!$C$110:$C$111,0)),""))</f>
        <v/>
      </c>
      <c r="BB220" s="57" t="str">
        <f aca="false">IF('STUDENT SCREENING'!BA220="","",IFERROR(INDEX('SCORING MASTER'!$D$113:$D$115,MATCH('STUDENT SCREENING'!BA220,'SCORING MASTER'!$C$113:$C$115,0)),""))</f>
        <v/>
      </c>
      <c r="BC220" s="57" t="str">
        <f aca="false">IF('STUDENT SCREENING'!BB220="","",IFERROR(INDEX('SCORING MASTER'!$D$117:$D$119,MATCH('STUDENT SCREENING'!BB220,'SCORING MASTER'!$C$117:$C$119,0)),""))</f>
        <v/>
      </c>
      <c r="BD220" s="57" t="str">
        <f aca="false">IF('STUDENT SCREENING'!BC220="","",IFERROR(INDEX('SCORING MASTER'!$D$121:$D$123,MATCH('STUDENT SCREENING'!BC220,'SCORING MASTER'!$C$121:$C$123,0)),""))</f>
        <v/>
      </c>
      <c r="BE220" s="57" t="str">
        <f aca="false">IF('STUDENT SCREENING'!BD220="","",IFERROR(INDEX('SCORING MASTER'!$D$125:$D$126,MATCH('STUDENT SCREENING'!BD220,'SCORING MASTER'!$C$125:$C$126,0)),""))</f>
        <v/>
      </c>
      <c r="BF220" s="57" t="str">
        <f aca="false">IF('STUDENT SCREENING'!BE220="","",IFERROR(INDEX('SCORING MASTER'!$D$128:$D$129,MATCH('STUDENT SCREENING'!BE220,'SCORING MASTER'!$C$128:$C$129,0)),""))</f>
        <v/>
      </c>
      <c r="BG220" s="57" t="str">
        <f aca="false">IF('STUDENT SCREENING'!BP220="","",IFERROR(MATCH('STUDENT SCREENING'!BP220,{"Red - High Risk","Orange - Moderate Risk","Yellow - Mild Risk","Light Green - Mild Watch","Green - Healthy"},0)-1,""))</f>
        <v/>
      </c>
      <c r="BH220" s="57" t="str">
        <f aca="false">IF('STUDENT SCREENING'!BQ220="","",IF('STUDENT SCREENING'!BQ220="Yes",1,0))</f>
        <v/>
      </c>
      <c r="BI220" s="57" t="str">
        <f aca="false">IF('STUDENT SCREENING'!BR220="","",IF('STUDENT SCREENING'!BR220="Yes",1,0))</f>
        <v/>
      </c>
    </row>
    <row r="221" customFormat="false" ht="15" hidden="false" customHeight="false" outlineLevel="0" collapsed="false">
      <c r="A221" s="58" t="str">
        <f aca="false">'STUDENT SCREENING'!A221</f>
        <v/>
      </c>
      <c r="B221" s="58" t="n">
        <f aca="false">'STUDENT SCREENING'!C221</f>
        <v>0</v>
      </c>
      <c r="C221" s="58" t="n">
        <f aca="false">'STUDENT SCREENING'!D221</f>
        <v>0</v>
      </c>
      <c r="D221" s="58" t="n">
        <f aca="false">'STUDENT SCREENING'!E221</f>
        <v>0</v>
      </c>
      <c r="E221" s="58" t="n">
        <f aca="false">'STUDENT SCREENING'!F221</f>
        <v>0</v>
      </c>
      <c r="F221" s="58" t="n">
        <f aca="false">'STUDENT SCREENING'!K221</f>
        <v>0</v>
      </c>
      <c r="G221" s="58" t="n">
        <f aca="false">'STUDENT SCREENING'!J221</f>
        <v>0</v>
      </c>
      <c r="H221" s="58" t="str">
        <f aca="false">IF('STUDENT SCREENING'!K221="","",IFERROR(MATCH('STUDENT SCREENING'!K221,Adm_Gender,0),""))</f>
        <v/>
      </c>
      <c r="I221" s="58" t="n">
        <f aca="false">'STUDENT SCREENING'!Q221</f>
        <v>0</v>
      </c>
      <c r="J221" s="58" t="n">
        <f aca="false">'STUDENT SCREENING'!R221</f>
        <v>0</v>
      </c>
      <c r="K221" s="58" t="str">
        <f aca="false">'STUDENT SCREENING'!S221</f>
        <v/>
      </c>
      <c r="L221" s="58" t="n">
        <f aca="false">'STUDENT SCREENING'!U221</f>
        <v>0</v>
      </c>
      <c r="M221" s="58" t="n">
        <f aca="false">'STUDENT SCREENING'!V221</f>
        <v>0</v>
      </c>
      <c r="N221" s="58" t="str">
        <f aca="false">'STUDENT SCREENING'!BF221</f>
        <v/>
      </c>
      <c r="O221" s="58" t="str">
        <f aca="false">'STUDENT SCREENING'!BG221</f>
        <v/>
      </c>
      <c r="P221" s="58" t="str">
        <f aca="false">'STUDENT SCREENING'!BH221</f>
        <v/>
      </c>
      <c r="Q221" s="58" t="str">
        <f aca="false">'STUDENT SCREENING'!BI221</f>
        <v/>
      </c>
      <c r="R221" s="58" t="str">
        <f aca="false">'STUDENT SCREENING'!BJ221</f>
        <v/>
      </c>
      <c r="S221" s="58" t="str">
        <f aca="false">'STUDENT SCREENING'!BK221</f>
        <v/>
      </c>
      <c r="T221" s="58" t="str">
        <f aca="false">'STUDENT SCREENING'!BL221</f>
        <v/>
      </c>
      <c r="U221" s="58" t="str">
        <f aca="false">'STUDENT SCREENING'!BM221</f>
        <v/>
      </c>
      <c r="V221" s="58" t="str">
        <f aca="false">'STUDENT SCREENING'!BN221</f>
        <v/>
      </c>
      <c r="W221" s="58" t="str">
        <f aca="false">'STUDENT SCREENING'!BO221</f>
        <v/>
      </c>
      <c r="X221" s="58" t="str">
        <f aca="false">IF('STUDENT SCREENING'!W221="","",IFERROR(INDEX('SCORING MASTER'!$D$5:$D$7,MATCH('STUDENT SCREENING'!W221,'SCORING MASTER'!$C$5:$C$7,0)),""))</f>
        <v/>
      </c>
      <c r="Y221" s="58" t="str">
        <f aca="false">IF('STUDENT SCREENING'!X221="","",IFERROR(INDEX('SCORING MASTER'!$D$9:$D$11,MATCH('STUDENT SCREENING'!X221,'SCORING MASTER'!$C$9:$C$11,0)),""))</f>
        <v/>
      </c>
      <c r="Z221" s="58" t="str">
        <f aca="false">IF('STUDENT SCREENING'!Y221="","",IFERROR(INDEX('SCORING MASTER'!$D$13:$D$15,MATCH('STUDENT SCREENING'!Y221,'SCORING MASTER'!$C$13:$C$15,0)),""))</f>
        <v/>
      </c>
      <c r="AA221" s="58" t="str">
        <f aca="false">IF('STUDENT SCREENING'!Z221="","",IFERROR(INDEX('SCORING MASTER'!$D$17:$D$19,MATCH('STUDENT SCREENING'!Z221,'SCORING MASTER'!$C$17:$C$19,0)),""))</f>
        <v/>
      </c>
      <c r="AB221" s="58" t="str">
        <f aca="false">IF('STUDENT SCREENING'!AA221="","",IFERROR(INDEX('SCORING MASTER'!$D$21:$D$23,MATCH('STUDENT SCREENING'!AA221,'SCORING MASTER'!$C$21:$C$23,0)),""))</f>
        <v/>
      </c>
      <c r="AC221" s="58" t="str">
        <f aca="false">IF('STUDENT SCREENING'!AB221="","",IFERROR(INDEX('SCORING MASTER'!$D$25:$D$27,MATCH('STUDENT SCREENING'!AB221,'SCORING MASTER'!$C$25:$C$27,0)),""))</f>
        <v/>
      </c>
      <c r="AD221" s="58" t="str">
        <f aca="false">IF('STUDENT SCREENING'!AC221="","",IFERROR(INDEX('SCORING MASTER'!$D$29:$D$31,MATCH('STUDENT SCREENING'!AC221,'SCORING MASTER'!$C$29:$C$31,0)),""))</f>
        <v/>
      </c>
      <c r="AE221" s="58" t="str">
        <f aca="false">IF('STUDENT SCREENING'!AD221="","",IFERROR(INDEX('SCORING MASTER'!$D$33:$D$35,MATCH('STUDENT SCREENING'!AD221,'SCORING MASTER'!$C$33:$C$35,0)),""))</f>
        <v/>
      </c>
      <c r="AF221" s="58" t="str">
        <f aca="false">IF('STUDENT SCREENING'!AE221="","",IFERROR(INDEX('SCORING MASTER'!$D$37:$D$39,MATCH('STUDENT SCREENING'!AE221,'SCORING MASTER'!$C$37:$C$39,0)),""))</f>
        <v/>
      </c>
      <c r="AG221" s="58" t="str">
        <f aca="false">IF('STUDENT SCREENING'!AF221="","",IFERROR(INDEX('SCORING MASTER'!$D$41:$D$43,MATCH('STUDENT SCREENING'!AF221,'SCORING MASTER'!$C$41:$C$43,0)),""))</f>
        <v/>
      </c>
      <c r="AH221" s="58" t="str">
        <f aca="false">IF('STUDENT SCREENING'!AG221="","",IFERROR(INDEX('SCORING MASTER'!$D$45:$D$47,MATCH('STUDENT SCREENING'!AG221,'SCORING MASTER'!$C$45:$C$47,0)),""))</f>
        <v/>
      </c>
      <c r="AI221" s="58" t="str">
        <f aca="false">IF('STUDENT SCREENING'!AH221="","",IFERROR(INDEX('SCORING MASTER'!$D$49:$D$52,MATCH('STUDENT SCREENING'!AH221,'SCORING MASTER'!$C$49:$C$52,0)),""))</f>
        <v/>
      </c>
      <c r="AJ221" s="58" t="str">
        <f aca="false">IF('STUDENT SCREENING'!AI221="","",IFERROR(INDEX('SCORING MASTER'!$D$54:$D$57,MATCH('STUDENT SCREENING'!AI221,'SCORING MASTER'!$C$54:$C$57,0)),""))</f>
        <v/>
      </c>
      <c r="AK221" s="58" t="str">
        <f aca="false">IF('STUDENT SCREENING'!AJ221="","",IFERROR(INDEX('SCORING MASTER'!$D$59:$D$60,MATCH('STUDENT SCREENING'!AJ221,'SCORING MASTER'!$C$59:$C$60,0)),""))</f>
        <v/>
      </c>
      <c r="AL221" s="58" t="str">
        <f aca="false">IF('STUDENT SCREENING'!AK221="","",IFERROR(INDEX('SCORING MASTER'!$D$62:$D$63,MATCH('STUDENT SCREENING'!AK221,'SCORING MASTER'!$C$62:$C$63,0)),""))</f>
        <v/>
      </c>
      <c r="AM221" s="58" t="str">
        <f aca="false">IF('STUDENT SCREENING'!AL221="","",IFERROR(INDEX('SCORING MASTER'!$D$65:$D$66,MATCH('STUDENT SCREENING'!AL221,'SCORING MASTER'!$C$65:$C$66,0)),""))</f>
        <v/>
      </c>
      <c r="AN221" s="58" t="str">
        <f aca="false">IF('STUDENT SCREENING'!AM221="","",IFERROR(INDEX('SCORING MASTER'!$D$68:$D$69,MATCH('STUDENT SCREENING'!AM221,'SCORING MASTER'!$C$68:$C$69,0)),""))</f>
        <v/>
      </c>
      <c r="AO221" s="58" t="str">
        <f aca="false">IF('STUDENT SCREENING'!AN221="","",IFERROR(INDEX('SCORING MASTER'!$D$71:$D$72,MATCH('STUDENT SCREENING'!AN221,'SCORING MASTER'!$C$71:$C$72,0)),""))</f>
        <v/>
      </c>
      <c r="AP221" s="58" t="str">
        <f aca="false">IF('STUDENT SCREENING'!AO221="","",IFERROR(INDEX('SCORING MASTER'!$D$74:$D$75,MATCH('STUDENT SCREENING'!AO221,'SCORING MASTER'!$C$74:$C$75,0)),""))</f>
        <v/>
      </c>
      <c r="AQ221" s="58" t="str">
        <f aca="false">IF('STUDENT SCREENING'!AP221="","",IFERROR(INDEX('SCORING MASTER'!$D$77:$D$78,MATCH('STUDENT SCREENING'!AP221,'SCORING MASTER'!$C$77:$C$78,0)),""))</f>
        <v/>
      </c>
      <c r="AR221" s="58" t="str">
        <f aca="false">IF('STUDENT SCREENING'!AQ221="","",IFERROR(INDEX('SCORING MASTER'!$D$80:$D$82,MATCH('STUDENT SCREENING'!AQ221,'SCORING MASTER'!$C$80:$C$82,0)),""))</f>
        <v/>
      </c>
      <c r="AS221" s="58" t="str">
        <f aca="false">IF('STUDENT SCREENING'!AR221="","",IFERROR(INDEX('SCORING MASTER'!$D$84:$D$86,MATCH('STUDENT SCREENING'!AR221,'SCORING MASTER'!$C$84:$C$86,0)),""))</f>
        <v/>
      </c>
      <c r="AT221" s="58" t="str">
        <f aca="false">IF('STUDENT SCREENING'!AS221="","",IFERROR(INDEX('SCORING MASTER'!$D$88:$D$90,MATCH('STUDENT SCREENING'!AS221,'SCORING MASTER'!$C$88:$C$90,0)),""))</f>
        <v/>
      </c>
      <c r="AU221" s="58" t="str">
        <f aca="false">IF('STUDENT SCREENING'!AT221="","",IFERROR(INDEX('SCORING MASTER'!$D$92:$D$93,MATCH('STUDENT SCREENING'!AT221,'SCORING MASTER'!$C$92:$C$93,0)),""))</f>
        <v/>
      </c>
      <c r="AV221" s="58" t="str">
        <f aca="false">IF('STUDENT SCREENING'!AU221="","",IFERROR(INDEX('SCORING MASTER'!$D$95:$D$96,MATCH('STUDENT SCREENING'!AU221,'SCORING MASTER'!$C$95:$C$96,0)),""))</f>
        <v/>
      </c>
      <c r="AW221" s="58" t="str">
        <f aca="false">IF('STUDENT SCREENING'!AV221="","",IFERROR(INDEX('SCORING MASTER'!$D$98:$D$99,MATCH('STUDENT SCREENING'!AV221,'SCORING MASTER'!$C$98:$C$99,0)),""))</f>
        <v/>
      </c>
      <c r="AX221" s="58" t="str">
        <f aca="false">IF('STUDENT SCREENING'!AW221="","",IFERROR(INDEX('SCORING MASTER'!$D$101:$D$102,MATCH('STUDENT SCREENING'!AW221,'SCORING MASTER'!$C$101:$C$102,0)),""))</f>
        <v/>
      </c>
      <c r="AY221" s="58" t="str">
        <f aca="false">IF('STUDENT SCREENING'!AX221="","",IFERROR(INDEX('SCORING MASTER'!$D$104:$D$105,MATCH('STUDENT SCREENING'!AX221,'SCORING MASTER'!$C$104:$C$105,0)),""))</f>
        <v/>
      </c>
      <c r="AZ221" s="58" t="str">
        <f aca="false">IF('STUDENT SCREENING'!AY221="","",IFERROR(INDEX('SCORING MASTER'!$D$107:$D$108,MATCH('STUDENT SCREENING'!AY221,'SCORING MASTER'!$C$107:$C$108,0)),""))</f>
        <v/>
      </c>
      <c r="BA221" s="58" t="str">
        <f aca="false">IF('STUDENT SCREENING'!AZ221="","",IFERROR(INDEX('SCORING MASTER'!$D$110:$D$111,MATCH('STUDENT SCREENING'!AZ221,'SCORING MASTER'!$C$110:$C$111,0)),""))</f>
        <v/>
      </c>
      <c r="BB221" s="58" t="str">
        <f aca="false">IF('STUDENT SCREENING'!BA221="","",IFERROR(INDEX('SCORING MASTER'!$D$113:$D$115,MATCH('STUDENT SCREENING'!BA221,'SCORING MASTER'!$C$113:$C$115,0)),""))</f>
        <v/>
      </c>
      <c r="BC221" s="58" t="str">
        <f aca="false">IF('STUDENT SCREENING'!BB221="","",IFERROR(INDEX('SCORING MASTER'!$D$117:$D$119,MATCH('STUDENT SCREENING'!BB221,'SCORING MASTER'!$C$117:$C$119,0)),""))</f>
        <v/>
      </c>
      <c r="BD221" s="58" t="str">
        <f aca="false">IF('STUDENT SCREENING'!BC221="","",IFERROR(INDEX('SCORING MASTER'!$D$121:$D$123,MATCH('STUDENT SCREENING'!BC221,'SCORING MASTER'!$C$121:$C$123,0)),""))</f>
        <v/>
      </c>
      <c r="BE221" s="58" t="str">
        <f aca="false">IF('STUDENT SCREENING'!BD221="","",IFERROR(INDEX('SCORING MASTER'!$D$125:$D$126,MATCH('STUDENT SCREENING'!BD221,'SCORING MASTER'!$C$125:$C$126,0)),""))</f>
        <v/>
      </c>
      <c r="BF221" s="58" t="str">
        <f aca="false">IF('STUDENT SCREENING'!BE221="","",IFERROR(INDEX('SCORING MASTER'!$D$128:$D$129,MATCH('STUDENT SCREENING'!BE221,'SCORING MASTER'!$C$128:$C$129,0)),""))</f>
        <v/>
      </c>
      <c r="BG221" s="58" t="str">
        <f aca="false">IF('STUDENT SCREENING'!BP221="","",IFERROR(MATCH('STUDENT SCREENING'!BP221,{"Red - High Risk","Orange - Moderate Risk","Yellow - Mild Risk","Light Green - Mild Watch","Green - Healthy"},0)-1,""))</f>
        <v/>
      </c>
      <c r="BH221" s="58" t="str">
        <f aca="false">IF('STUDENT SCREENING'!BQ221="","",IF('STUDENT SCREENING'!BQ221="Yes",1,0))</f>
        <v/>
      </c>
      <c r="BI221" s="58" t="str">
        <f aca="false">IF('STUDENT SCREENING'!BR221="","",IF('STUDENT SCREENING'!BR221="Yes",1,0))</f>
        <v/>
      </c>
    </row>
    <row r="222" customFormat="false" ht="15" hidden="false" customHeight="false" outlineLevel="0" collapsed="false">
      <c r="A222" s="57" t="str">
        <f aca="false">'STUDENT SCREENING'!A222</f>
        <v/>
      </c>
      <c r="B222" s="57" t="n">
        <f aca="false">'STUDENT SCREENING'!C222</f>
        <v>0</v>
      </c>
      <c r="C222" s="57" t="n">
        <f aca="false">'STUDENT SCREENING'!D222</f>
        <v>0</v>
      </c>
      <c r="D222" s="57" t="n">
        <f aca="false">'STUDENT SCREENING'!E222</f>
        <v>0</v>
      </c>
      <c r="E222" s="57" t="n">
        <f aca="false">'STUDENT SCREENING'!F222</f>
        <v>0</v>
      </c>
      <c r="F222" s="57" t="n">
        <f aca="false">'STUDENT SCREENING'!K222</f>
        <v>0</v>
      </c>
      <c r="G222" s="57" t="n">
        <f aca="false">'STUDENT SCREENING'!J222</f>
        <v>0</v>
      </c>
      <c r="H222" s="57" t="str">
        <f aca="false">IF('STUDENT SCREENING'!K222="","",IFERROR(MATCH('STUDENT SCREENING'!K222,Adm_Gender,0),""))</f>
        <v/>
      </c>
      <c r="I222" s="57" t="n">
        <f aca="false">'STUDENT SCREENING'!Q222</f>
        <v>0</v>
      </c>
      <c r="J222" s="57" t="n">
        <f aca="false">'STUDENT SCREENING'!R222</f>
        <v>0</v>
      </c>
      <c r="K222" s="57" t="str">
        <f aca="false">'STUDENT SCREENING'!S222</f>
        <v/>
      </c>
      <c r="L222" s="57" t="n">
        <f aca="false">'STUDENT SCREENING'!U222</f>
        <v>0</v>
      </c>
      <c r="M222" s="57" t="n">
        <f aca="false">'STUDENT SCREENING'!V222</f>
        <v>0</v>
      </c>
      <c r="N222" s="57" t="str">
        <f aca="false">'STUDENT SCREENING'!BF222</f>
        <v/>
      </c>
      <c r="O222" s="57" t="str">
        <f aca="false">'STUDENT SCREENING'!BG222</f>
        <v/>
      </c>
      <c r="P222" s="57" t="str">
        <f aca="false">'STUDENT SCREENING'!BH222</f>
        <v/>
      </c>
      <c r="Q222" s="57" t="str">
        <f aca="false">'STUDENT SCREENING'!BI222</f>
        <v/>
      </c>
      <c r="R222" s="57" t="str">
        <f aca="false">'STUDENT SCREENING'!BJ222</f>
        <v/>
      </c>
      <c r="S222" s="57" t="str">
        <f aca="false">'STUDENT SCREENING'!BK222</f>
        <v/>
      </c>
      <c r="T222" s="57" t="str">
        <f aca="false">'STUDENT SCREENING'!BL222</f>
        <v/>
      </c>
      <c r="U222" s="57" t="str">
        <f aca="false">'STUDENT SCREENING'!BM222</f>
        <v/>
      </c>
      <c r="V222" s="57" t="str">
        <f aca="false">'STUDENT SCREENING'!BN222</f>
        <v/>
      </c>
      <c r="W222" s="57" t="str">
        <f aca="false">'STUDENT SCREENING'!BO222</f>
        <v/>
      </c>
      <c r="X222" s="57" t="str">
        <f aca="false">IF('STUDENT SCREENING'!W222="","",IFERROR(INDEX('SCORING MASTER'!$D$5:$D$7,MATCH('STUDENT SCREENING'!W222,'SCORING MASTER'!$C$5:$C$7,0)),""))</f>
        <v/>
      </c>
      <c r="Y222" s="57" t="str">
        <f aca="false">IF('STUDENT SCREENING'!X222="","",IFERROR(INDEX('SCORING MASTER'!$D$9:$D$11,MATCH('STUDENT SCREENING'!X222,'SCORING MASTER'!$C$9:$C$11,0)),""))</f>
        <v/>
      </c>
      <c r="Z222" s="57" t="str">
        <f aca="false">IF('STUDENT SCREENING'!Y222="","",IFERROR(INDEX('SCORING MASTER'!$D$13:$D$15,MATCH('STUDENT SCREENING'!Y222,'SCORING MASTER'!$C$13:$C$15,0)),""))</f>
        <v/>
      </c>
      <c r="AA222" s="57" t="str">
        <f aca="false">IF('STUDENT SCREENING'!Z222="","",IFERROR(INDEX('SCORING MASTER'!$D$17:$D$19,MATCH('STUDENT SCREENING'!Z222,'SCORING MASTER'!$C$17:$C$19,0)),""))</f>
        <v/>
      </c>
      <c r="AB222" s="57" t="str">
        <f aca="false">IF('STUDENT SCREENING'!AA222="","",IFERROR(INDEX('SCORING MASTER'!$D$21:$D$23,MATCH('STUDENT SCREENING'!AA222,'SCORING MASTER'!$C$21:$C$23,0)),""))</f>
        <v/>
      </c>
      <c r="AC222" s="57" t="str">
        <f aca="false">IF('STUDENT SCREENING'!AB222="","",IFERROR(INDEX('SCORING MASTER'!$D$25:$D$27,MATCH('STUDENT SCREENING'!AB222,'SCORING MASTER'!$C$25:$C$27,0)),""))</f>
        <v/>
      </c>
      <c r="AD222" s="57" t="str">
        <f aca="false">IF('STUDENT SCREENING'!AC222="","",IFERROR(INDEX('SCORING MASTER'!$D$29:$D$31,MATCH('STUDENT SCREENING'!AC222,'SCORING MASTER'!$C$29:$C$31,0)),""))</f>
        <v/>
      </c>
      <c r="AE222" s="57" t="str">
        <f aca="false">IF('STUDENT SCREENING'!AD222="","",IFERROR(INDEX('SCORING MASTER'!$D$33:$D$35,MATCH('STUDENT SCREENING'!AD222,'SCORING MASTER'!$C$33:$C$35,0)),""))</f>
        <v/>
      </c>
      <c r="AF222" s="57" t="str">
        <f aca="false">IF('STUDENT SCREENING'!AE222="","",IFERROR(INDEX('SCORING MASTER'!$D$37:$D$39,MATCH('STUDENT SCREENING'!AE222,'SCORING MASTER'!$C$37:$C$39,0)),""))</f>
        <v/>
      </c>
      <c r="AG222" s="57" t="str">
        <f aca="false">IF('STUDENT SCREENING'!AF222="","",IFERROR(INDEX('SCORING MASTER'!$D$41:$D$43,MATCH('STUDENT SCREENING'!AF222,'SCORING MASTER'!$C$41:$C$43,0)),""))</f>
        <v/>
      </c>
      <c r="AH222" s="57" t="str">
        <f aca="false">IF('STUDENT SCREENING'!AG222="","",IFERROR(INDEX('SCORING MASTER'!$D$45:$D$47,MATCH('STUDENT SCREENING'!AG222,'SCORING MASTER'!$C$45:$C$47,0)),""))</f>
        <v/>
      </c>
      <c r="AI222" s="57" t="str">
        <f aca="false">IF('STUDENT SCREENING'!AH222="","",IFERROR(INDEX('SCORING MASTER'!$D$49:$D$52,MATCH('STUDENT SCREENING'!AH222,'SCORING MASTER'!$C$49:$C$52,0)),""))</f>
        <v/>
      </c>
      <c r="AJ222" s="57" t="str">
        <f aca="false">IF('STUDENT SCREENING'!AI222="","",IFERROR(INDEX('SCORING MASTER'!$D$54:$D$57,MATCH('STUDENT SCREENING'!AI222,'SCORING MASTER'!$C$54:$C$57,0)),""))</f>
        <v/>
      </c>
      <c r="AK222" s="57" t="str">
        <f aca="false">IF('STUDENT SCREENING'!AJ222="","",IFERROR(INDEX('SCORING MASTER'!$D$59:$D$60,MATCH('STUDENT SCREENING'!AJ222,'SCORING MASTER'!$C$59:$C$60,0)),""))</f>
        <v/>
      </c>
      <c r="AL222" s="57" t="str">
        <f aca="false">IF('STUDENT SCREENING'!AK222="","",IFERROR(INDEX('SCORING MASTER'!$D$62:$D$63,MATCH('STUDENT SCREENING'!AK222,'SCORING MASTER'!$C$62:$C$63,0)),""))</f>
        <v/>
      </c>
      <c r="AM222" s="57" t="str">
        <f aca="false">IF('STUDENT SCREENING'!AL222="","",IFERROR(INDEX('SCORING MASTER'!$D$65:$D$66,MATCH('STUDENT SCREENING'!AL222,'SCORING MASTER'!$C$65:$C$66,0)),""))</f>
        <v/>
      </c>
      <c r="AN222" s="57" t="str">
        <f aca="false">IF('STUDENT SCREENING'!AM222="","",IFERROR(INDEX('SCORING MASTER'!$D$68:$D$69,MATCH('STUDENT SCREENING'!AM222,'SCORING MASTER'!$C$68:$C$69,0)),""))</f>
        <v/>
      </c>
      <c r="AO222" s="57" t="str">
        <f aca="false">IF('STUDENT SCREENING'!AN222="","",IFERROR(INDEX('SCORING MASTER'!$D$71:$D$72,MATCH('STUDENT SCREENING'!AN222,'SCORING MASTER'!$C$71:$C$72,0)),""))</f>
        <v/>
      </c>
      <c r="AP222" s="57" t="str">
        <f aca="false">IF('STUDENT SCREENING'!AO222="","",IFERROR(INDEX('SCORING MASTER'!$D$74:$D$75,MATCH('STUDENT SCREENING'!AO222,'SCORING MASTER'!$C$74:$C$75,0)),""))</f>
        <v/>
      </c>
      <c r="AQ222" s="57" t="str">
        <f aca="false">IF('STUDENT SCREENING'!AP222="","",IFERROR(INDEX('SCORING MASTER'!$D$77:$D$78,MATCH('STUDENT SCREENING'!AP222,'SCORING MASTER'!$C$77:$C$78,0)),""))</f>
        <v/>
      </c>
      <c r="AR222" s="57" t="str">
        <f aca="false">IF('STUDENT SCREENING'!AQ222="","",IFERROR(INDEX('SCORING MASTER'!$D$80:$D$82,MATCH('STUDENT SCREENING'!AQ222,'SCORING MASTER'!$C$80:$C$82,0)),""))</f>
        <v/>
      </c>
      <c r="AS222" s="57" t="str">
        <f aca="false">IF('STUDENT SCREENING'!AR222="","",IFERROR(INDEX('SCORING MASTER'!$D$84:$D$86,MATCH('STUDENT SCREENING'!AR222,'SCORING MASTER'!$C$84:$C$86,0)),""))</f>
        <v/>
      </c>
      <c r="AT222" s="57" t="str">
        <f aca="false">IF('STUDENT SCREENING'!AS222="","",IFERROR(INDEX('SCORING MASTER'!$D$88:$D$90,MATCH('STUDENT SCREENING'!AS222,'SCORING MASTER'!$C$88:$C$90,0)),""))</f>
        <v/>
      </c>
      <c r="AU222" s="57" t="str">
        <f aca="false">IF('STUDENT SCREENING'!AT222="","",IFERROR(INDEX('SCORING MASTER'!$D$92:$D$93,MATCH('STUDENT SCREENING'!AT222,'SCORING MASTER'!$C$92:$C$93,0)),""))</f>
        <v/>
      </c>
      <c r="AV222" s="57" t="str">
        <f aca="false">IF('STUDENT SCREENING'!AU222="","",IFERROR(INDEX('SCORING MASTER'!$D$95:$D$96,MATCH('STUDENT SCREENING'!AU222,'SCORING MASTER'!$C$95:$C$96,0)),""))</f>
        <v/>
      </c>
      <c r="AW222" s="57" t="str">
        <f aca="false">IF('STUDENT SCREENING'!AV222="","",IFERROR(INDEX('SCORING MASTER'!$D$98:$D$99,MATCH('STUDENT SCREENING'!AV222,'SCORING MASTER'!$C$98:$C$99,0)),""))</f>
        <v/>
      </c>
      <c r="AX222" s="57" t="str">
        <f aca="false">IF('STUDENT SCREENING'!AW222="","",IFERROR(INDEX('SCORING MASTER'!$D$101:$D$102,MATCH('STUDENT SCREENING'!AW222,'SCORING MASTER'!$C$101:$C$102,0)),""))</f>
        <v/>
      </c>
      <c r="AY222" s="57" t="str">
        <f aca="false">IF('STUDENT SCREENING'!AX222="","",IFERROR(INDEX('SCORING MASTER'!$D$104:$D$105,MATCH('STUDENT SCREENING'!AX222,'SCORING MASTER'!$C$104:$C$105,0)),""))</f>
        <v/>
      </c>
      <c r="AZ222" s="57" t="str">
        <f aca="false">IF('STUDENT SCREENING'!AY222="","",IFERROR(INDEX('SCORING MASTER'!$D$107:$D$108,MATCH('STUDENT SCREENING'!AY222,'SCORING MASTER'!$C$107:$C$108,0)),""))</f>
        <v/>
      </c>
      <c r="BA222" s="57" t="str">
        <f aca="false">IF('STUDENT SCREENING'!AZ222="","",IFERROR(INDEX('SCORING MASTER'!$D$110:$D$111,MATCH('STUDENT SCREENING'!AZ222,'SCORING MASTER'!$C$110:$C$111,0)),""))</f>
        <v/>
      </c>
      <c r="BB222" s="57" t="str">
        <f aca="false">IF('STUDENT SCREENING'!BA222="","",IFERROR(INDEX('SCORING MASTER'!$D$113:$D$115,MATCH('STUDENT SCREENING'!BA222,'SCORING MASTER'!$C$113:$C$115,0)),""))</f>
        <v/>
      </c>
      <c r="BC222" s="57" t="str">
        <f aca="false">IF('STUDENT SCREENING'!BB222="","",IFERROR(INDEX('SCORING MASTER'!$D$117:$D$119,MATCH('STUDENT SCREENING'!BB222,'SCORING MASTER'!$C$117:$C$119,0)),""))</f>
        <v/>
      </c>
      <c r="BD222" s="57" t="str">
        <f aca="false">IF('STUDENT SCREENING'!BC222="","",IFERROR(INDEX('SCORING MASTER'!$D$121:$D$123,MATCH('STUDENT SCREENING'!BC222,'SCORING MASTER'!$C$121:$C$123,0)),""))</f>
        <v/>
      </c>
      <c r="BE222" s="57" t="str">
        <f aca="false">IF('STUDENT SCREENING'!BD222="","",IFERROR(INDEX('SCORING MASTER'!$D$125:$D$126,MATCH('STUDENT SCREENING'!BD222,'SCORING MASTER'!$C$125:$C$126,0)),""))</f>
        <v/>
      </c>
      <c r="BF222" s="57" t="str">
        <f aca="false">IF('STUDENT SCREENING'!BE222="","",IFERROR(INDEX('SCORING MASTER'!$D$128:$D$129,MATCH('STUDENT SCREENING'!BE222,'SCORING MASTER'!$C$128:$C$129,0)),""))</f>
        <v/>
      </c>
      <c r="BG222" s="57" t="str">
        <f aca="false">IF('STUDENT SCREENING'!BP222="","",IFERROR(MATCH('STUDENT SCREENING'!BP222,{"Red - High Risk","Orange - Moderate Risk","Yellow - Mild Risk","Light Green - Mild Watch","Green - Healthy"},0)-1,""))</f>
        <v/>
      </c>
      <c r="BH222" s="57" t="str">
        <f aca="false">IF('STUDENT SCREENING'!BQ222="","",IF('STUDENT SCREENING'!BQ222="Yes",1,0))</f>
        <v/>
      </c>
      <c r="BI222" s="57" t="str">
        <f aca="false">IF('STUDENT SCREENING'!BR222="","",IF('STUDENT SCREENING'!BR222="Yes",1,0))</f>
        <v/>
      </c>
    </row>
    <row r="223" customFormat="false" ht="15" hidden="false" customHeight="false" outlineLevel="0" collapsed="false">
      <c r="A223" s="58" t="str">
        <f aca="false">'STUDENT SCREENING'!A223</f>
        <v/>
      </c>
      <c r="B223" s="58" t="n">
        <f aca="false">'STUDENT SCREENING'!C223</f>
        <v>0</v>
      </c>
      <c r="C223" s="58" t="n">
        <f aca="false">'STUDENT SCREENING'!D223</f>
        <v>0</v>
      </c>
      <c r="D223" s="58" t="n">
        <f aca="false">'STUDENT SCREENING'!E223</f>
        <v>0</v>
      </c>
      <c r="E223" s="58" t="n">
        <f aca="false">'STUDENT SCREENING'!F223</f>
        <v>0</v>
      </c>
      <c r="F223" s="58" t="n">
        <f aca="false">'STUDENT SCREENING'!K223</f>
        <v>0</v>
      </c>
      <c r="G223" s="58" t="n">
        <f aca="false">'STUDENT SCREENING'!J223</f>
        <v>0</v>
      </c>
      <c r="H223" s="58" t="str">
        <f aca="false">IF('STUDENT SCREENING'!K223="","",IFERROR(MATCH('STUDENT SCREENING'!K223,Adm_Gender,0),""))</f>
        <v/>
      </c>
      <c r="I223" s="58" t="n">
        <f aca="false">'STUDENT SCREENING'!Q223</f>
        <v>0</v>
      </c>
      <c r="J223" s="58" t="n">
        <f aca="false">'STUDENT SCREENING'!R223</f>
        <v>0</v>
      </c>
      <c r="K223" s="58" t="str">
        <f aca="false">'STUDENT SCREENING'!S223</f>
        <v/>
      </c>
      <c r="L223" s="58" t="n">
        <f aca="false">'STUDENT SCREENING'!U223</f>
        <v>0</v>
      </c>
      <c r="M223" s="58" t="n">
        <f aca="false">'STUDENT SCREENING'!V223</f>
        <v>0</v>
      </c>
      <c r="N223" s="58" t="str">
        <f aca="false">'STUDENT SCREENING'!BF223</f>
        <v/>
      </c>
      <c r="O223" s="58" t="str">
        <f aca="false">'STUDENT SCREENING'!BG223</f>
        <v/>
      </c>
      <c r="P223" s="58" t="str">
        <f aca="false">'STUDENT SCREENING'!BH223</f>
        <v/>
      </c>
      <c r="Q223" s="58" t="str">
        <f aca="false">'STUDENT SCREENING'!BI223</f>
        <v/>
      </c>
      <c r="R223" s="58" t="str">
        <f aca="false">'STUDENT SCREENING'!BJ223</f>
        <v/>
      </c>
      <c r="S223" s="58" t="str">
        <f aca="false">'STUDENT SCREENING'!BK223</f>
        <v/>
      </c>
      <c r="T223" s="58" t="str">
        <f aca="false">'STUDENT SCREENING'!BL223</f>
        <v/>
      </c>
      <c r="U223" s="58" t="str">
        <f aca="false">'STUDENT SCREENING'!BM223</f>
        <v/>
      </c>
      <c r="V223" s="58" t="str">
        <f aca="false">'STUDENT SCREENING'!BN223</f>
        <v/>
      </c>
      <c r="W223" s="58" t="str">
        <f aca="false">'STUDENT SCREENING'!BO223</f>
        <v/>
      </c>
      <c r="X223" s="58" t="str">
        <f aca="false">IF('STUDENT SCREENING'!W223="","",IFERROR(INDEX('SCORING MASTER'!$D$5:$D$7,MATCH('STUDENT SCREENING'!W223,'SCORING MASTER'!$C$5:$C$7,0)),""))</f>
        <v/>
      </c>
      <c r="Y223" s="58" t="str">
        <f aca="false">IF('STUDENT SCREENING'!X223="","",IFERROR(INDEX('SCORING MASTER'!$D$9:$D$11,MATCH('STUDENT SCREENING'!X223,'SCORING MASTER'!$C$9:$C$11,0)),""))</f>
        <v/>
      </c>
      <c r="Z223" s="58" t="str">
        <f aca="false">IF('STUDENT SCREENING'!Y223="","",IFERROR(INDEX('SCORING MASTER'!$D$13:$D$15,MATCH('STUDENT SCREENING'!Y223,'SCORING MASTER'!$C$13:$C$15,0)),""))</f>
        <v/>
      </c>
      <c r="AA223" s="58" t="str">
        <f aca="false">IF('STUDENT SCREENING'!Z223="","",IFERROR(INDEX('SCORING MASTER'!$D$17:$D$19,MATCH('STUDENT SCREENING'!Z223,'SCORING MASTER'!$C$17:$C$19,0)),""))</f>
        <v/>
      </c>
      <c r="AB223" s="58" t="str">
        <f aca="false">IF('STUDENT SCREENING'!AA223="","",IFERROR(INDEX('SCORING MASTER'!$D$21:$D$23,MATCH('STUDENT SCREENING'!AA223,'SCORING MASTER'!$C$21:$C$23,0)),""))</f>
        <v/>
      </c>
      <c r="AC223" s="58" t="str">
        <f aca="false">IF('STUDENT SCREENING'!AB223="","",IFERROR(INDEX('SCORING MASTER'!$D$25:$D$27,MATCH('STUDENT SCREENING'!AB223,'SCORING MASTER'!$C$25:$C$27,0)),""))</f>
        <v/>
      </c>
      <c r="AD223" s="58" t="str">
        <f aca="false">IF('STUDENT SCREENING'!AC223="","",IFERROR(INDEX('SCORING MASTER'!$D$29:$D$31,MATCH('STUDENT SCREENING'!AC223,'SCORING MASTER'!$C$29:$C$31,0)),""))</f>
        <v/>
      </c>
      <c r="AE223" s="58" t="str">
        <f aca="false">IF('STUDENT SCREENING'!AD223="","",IFERROR(INDEX('SCORING MASTER'!$D$33:$D$35,MATCH('STUDENT SCREENING'!AD223,'SCORING MASTER'!$C$33:$C$35,0)),""))</f>
        <v/>
      </c>
      <c r="AF223" s="58" t="str">
        <f aca="false">IF('STUDENT SCREENING'!AE223="","",IFERROR(INDEX('SCORING MASTER'!$D$37:$D$39,MATCH('STUDENT SCREENING'!AE223,'SCORING MASTER'!$C$37:$C$39,0)),""))</f>
        <v/>
      </c>
      <c r="AG223" s="58" t="str">
        <f aca="false">IF('STUDENT SCREENING'!AF223="","",IFERROR(INDEX('SCORING MASTER'!$D$41:$D$43,MATCH('STUDENT SCREENING'!AF223,'SCORING MASTER'!$C$41:$C$43,0)),""))</f>
        <v/>
      </c>
      <c r="AH223" s="58" t="str">
        <f aca="false">IF('STUDENT SCREENING'!AG223="","",IFERROR(INDEX('SCORING MASTER'!$D$45:$D$47,MATCH('STUDENT SCREENING'!AG223,'SCORING MASTER'!$C$45:$C$47,0)),""))</f>
        <v/>
      </c>
      <c r="AI223" s="58" t="str">
        <f aca="false">IF('STUDENT SCREENING'!AH223="","",IFERROR(INDEX('SCORING MASTER'!$D$49:$D$52,MATCH('STUDENT SCREENING'!AH223,'SCORING MASTER'!$C$49:$C$52,0)),""))</f>
        <v/>
      </c>
      <c r="AJ223" s="58" t="str">
        <f aca="false">IF('STUDENT SCREENING'!AI223="","",IFERROR(INDEX('SCORING MASTER'!$D$54:$D$57,MATCH('STUDENT SCREENING'!AI223,'SCORING MASTER'!$C$54:$C$57,0)),""))</f>
        <v/>
      </c>
      <c r="AK223" s="58" t="str">
        <f aca="false">IF('STUDENT SCREENING'!AJ223="","",IFERROR(INDEX('SCORING MASTER'!$D$59:$D$60,MATCH('STUDENT SCREENING'!AJ223,'SCORING MASTER'!$C$59:$C$60,0)),""))</f>
        <v/>
      </c>
      <c r="AL223" s="58" t="str">
        <f aca="false">IF('STUDENT SCREENING'!AK223="","",IFERROR(INDEX('SCORING MASTER'!$D$62:$D$63,MATCH('STUDENT SCREENING'!AK223,'SCORING MASTER'!$C$62:$C$63,0)),""))</f>
        <v/>
      </c>
      <c r="AM223" s="58" t="str">
        <f aca="false">IF('STUDENT SCREENING'!AL223="","",IFERROR(INDEX('SCORING MASTER'!$D$65:$D$66,MATCH('STUDENT SCREENING'!AL223,'SCORING MASTER'!$C$65:$C$66,0)),""))</f>
        <v/>
      </c>
      <c r="AN223" s="58" t="str">
        <f aca="false">IF('STUDENT SCREENING'!AM223="","",IFERROR(INDEX('SCORING MASTER'!$D$68:$D$69,MATCH('STUDENT SCREENING'!AM223,'SCORING MASTER'!$C$68:$C$69,0)),""))</f>
        <v/>
      </c>
      <c r="AO223" s="58" t="str">
        <f aca="false">IF('STUDENT SCREENING'!AN223="","",IFERROR(INDEX('SCORING MASTER'!$D$71:$D$72,MATCH('STUDENT SCREENING'!AN223,'SCORING MASTER'!$C$71:$C$72,0)),""))</f>
        <v/>
      </c>
      <c r="AP223" s="58" t="str">
        <f aca="false">IF('STUDENT SCREENING'!AO223="","",IFERROR(INDEX('SCORING MASTER'!$D$74:$D$75,MATCH('STUDENT SCREENING'!AO223,'SCORING MASTER'!$C$74:$C$75,0)),""))</f>
        <v/>
      </c>
      <c r="AQ223" s="58" t="str">
        <f aca="false">IF('STUDENT SCREENING'!AP223="","",IFERROR(INDEX('SCORING MASTER'!$D$77:$D$78,MATCH('STUDENT SCREENING'!AP223,'SCORING MASTER'!$C$77:$C$78,0)),""))</f>
        <v/>
      </c>
      <c r="AR223" s="58" t="str">
        <f aca="false">IF('STUDENT SCREENING'!AQ223="","",IFERROR(INDEX('SCORING MASTER'!$D$80:$D$82,MATCH('STUDENT SCREENING'!AQ223,'SCORING MASTER'!$C$80:$C$82,0)),""))</f>
        <v/>
      </c>
      <c r="AS223" s="58" t="str">
        <f aca="false">IF('STUDENT SCREENING'!AR223="","",IFERROR(INDEX('SCORING MASTER'!$D$84:$D$86,MATCH('STUDENT SCREENING'!AR223,'SCORING MASTER'!$C$84:$C$86,0)),""))</f>
        <v/>
      </c>
      <c r="AT223" s="58" t="str">
        <f aca="false">IF('STUDENT SCREENING'!AS223="","",IFERROR(INDEX('SCORING MASTER'!$D$88:$D$90,MATCH('STUDENT SCREENING'!AS223,'SCORING MASTER'!$C$88:$C$90,0)),""))</f>
        <v/>
      </c>
      <c r="AU223" s="58" t="str">
        <f aca="false">IF('STUDENT SCREENING'!AT223="","",IFERROR(INDEX('SCORING MASTER'!$D$92:$D$93,MATCH('STUDENT SCREENING'!AT223,'SCORING MASTER'!$C$92:$C$93,0)),""))</f>
        <v/>
      </c>
      <c r="AV223" s="58" t="str">
        <f aca="false">IF('STUDENT SCREENING'!AU223="","",IFERROR(INDEX('SCORING MASTER'!$D$95:$D$96,MATCH('STUDENT SCREENING'!AU223,'SCORING MASTER'!$C$95:$C$96,0)),""))</f>
        <v/>
      </c>
      <c r="AW223" s="58" t="str">
        <f aca="false">IF('STUDENT SCREENING'!AV223="","",IFERROR(INDEX('SCORING MASTER'!$D$98:$D$99,MATCH('STUDENT SCREENING'!AV223,'SCORING MASTER'!$C$98:$C$99,0)),""))</f>
        <v/>
      </c>
      <c r="AX223" s="58" t="str">
        <f aca="false">IF('STUDENT SCREENING'!AW223="","",IFERROR(INDEX('SCORING MASTER'!$D$101:$D$102,MATCH('STUDENT SCREENING'!AW223,'SCORING MASTER'!$C$101:$C$102,0)),""))</f>
        <v/>
      </c>
      <c r="AY223" s="58" t="str">
        <f aca="false">IF('STUDENT SCREENING'!AX223="","",IFERROR(INDEX('SCORING MASTER'!$D$104:$D$105,MATCH('STUDENT SCREENING'!AX223,'SCORING MASTER'!$C$104:$C$105,0)),""))</f>
        <v/>
      </c>
      <c r="AZ223" s="58" t="str">
        <f aca="false">IF('STUDENT SCREENING'!AY223="","",IFERROR(INDEX('SCORING MASTER'!$D$107:$D$108,MATCH('STUDENT SCREENING'!AY223,'SCORING MASTER'!$C$107:$C$108,0)),""))</f>
        <v/>
      </c>
      <c r="BA223" s="58" t="str">
        <f aca="false">IF('STUDENT SCREENING'!AZ223="","",IFERROR(INDEX('SCORING MASTER'!$D$110:$D$111,MATCH('STUDENT SCREENING'!AZ223,'SCORING MASTER'!$C$110:$C$111,0)),""))</f>
        <v/>
      </c>
      <c r="BB223" s="58" t="str">
        <f aca="false">IF('STUDENT SCREENING'!BA223="","",IFERROR(INDEX('SCORING MASTER'!$D$113:$D$115,MATCH('STUDENT SCREENING'!BA223,'SCORING MASTER'!$C$113:$C$115,0)),""))</f>
        <v/>
      </c>
      <c r="BC223" s="58" t="str">
        <f aca="false">IF('STUDENT SCREENING'!BB223="","",IFERROR(INDEX('SCORING MASTER'!$D$117:$D$119,MATCH('STUDENT SCREENING'!BB223,'SCORING MASTER'!$C$117:$C$119,0)),""))</f>
        <v/>
      </c>
      <c r="BD223" s="58" t="str">
        <f aca="false">IF('STUDENT SCREENING'!BC223="","",IFERROR(INDEX('SCORING MASTER'!$D$121:$D$123,MATCH('STUDENT SCREENING'!BC223,'SCORING MASTER'!$C$121:$C$123,0)),""))</f>
        <v/>
      </c>
      <c r="BE223" s="58" t="str">
        <f aca="false">IF('STUDENT SCREENING'!BD223="","",IFERROR(INDEX('SCORING MASTER'!$D$125:$D$126,MATCH('STUDENT SCREENING'!BD223,'SCORING MASTER'!$C$125:$C$126,0)),""))</f>
        <v/>
      </c>
      <c r="BF223" s="58" t="str">
        <f aca="false">IF('STUDENT SCREENING'!BE223="","",IFERROR(INDEX('SCORING MASTER'!$D$128:$D$129,MATCH('STUDENT SCREENING'!BE223,'SCORING MASTER'!$C$128:$C$129,0)),""))</f>
        <v/>
      </c>
      <c r="BG223" s="58" t="str">
        <f aca="false">IF('STUDENT SCREENING'!BP223="","",IFERROR(MATCH('STUDENT SCREENING'!BP223,{"Red - High Risk","Orange - Moderate Risk","Yellow - Mild Risk","Light Green - Mild Watch","Green - Healthy"},0)-1,""))</f>
        <v/>
      </c>
      <c r="BH223" s="58" t="str">
        <f aca="false">IF('STUDENT SCREENING'!BQ223="","",IF('STUDENT SCREENING'!BQ223="Yes",1,0))</f>
        <v/>
      </c>
      <c r="BI223" s="58" t="str">
        <f aca="false">IF('STUDENT SCREENING'!BR223="","",IF('STUDENT SCREENING'!BR223="Yes",1,0))</f>
        <v/>
      </c>
    </row>
    <row r="224" customFormat="false" ht="15" hidden="false" customHeight="false" outlineLevel="0" collapsed="false">
      <c r="A224" s="57" t="str">
        <f aca="false">'STUDENT SCREENING'!A224</f>
        <v/>
      </c>
      <c r="B224" s="57" t="n">
        <f aca="false">'STUDENT SCREENING'!C224</f>
        <v>0</v>
      </c>
      <c r="C224" s="57" t="n">
        <f aca="false">'STUDENT SCREENING'!D224</f>
        <v>0</v>
      </c>
      <c r="D224" s="57" t="n">
        <f aca="false">'STUDENT SCREENING'!E224</f>
        <v>0</v>
      </c>
      <c r="E224" s="57" t="n">
        <f aca="false">'STUDENT SCREENING'!F224</f>
        <v>0</v>
      </c>
      <c r="F224" s="57" t="n">
        <f aca="false">'STUDENT SCREENING'!K224</f>
        <v>0</v>
      </c>
      <c r="G224" s="57" t="n">
        <f aca="false">'STUDENT SCREENING'!J224</f>
        <v>0</v>
      </c>
      <c r="H224" s="57" t="str">
        <f aca="false">IF('STUDENT SCREENING'!K224="","",IFERROR(MATCH('STUDENT SCREENING'!K224,Adm_Gender,0),""))</f>
        <v/>
      </c>
      <c r="I224" s="57" t="n">
        <f aca="false">'STUDENT SCREENING'!Q224</f>
        <v>0</v>
      </c>
      <c r="J224" s="57" t="n">
        <f aca="false">'STUDENT SCREENING'!R224</f>
        <v>0</v>
      </c>
      <c r="K224" s="57" t="str">
        <f aca="false">'STUDENT SCREENING'!S224</f>
        <v/>
      </c>
      <c r="L224" s="57" t="n">
        <f aca="false">'STUDENT SCREENING'!U224</f>
        <v>0</v>
      </c>
      <c r="M224" s="57" t="n">
        <f aca="false">'STUDENT SCREENING'!V224</f>
        <v>0</v>
      </c>
      <c r="N224" s="57" t="str">
        <f aca="false">'STUDENT SCREENING'!BF224</f>
        <v/>
      </c>
      <c r="O224" s="57" t="str">
        <f aca="false">'STUDENT SCREENING'!BG224</f>
        <v/>
      </c>
      <c r="P224" s="57" t="str">
        <f aca="false">'STUDENT SCREENING'!BH224</f>
        <v/>
      </c>
      <c r="Q224" s="57" t="str">
        <f aca="false">'STUDENT SCREENING'!BI224</f>
        <v/>
      </c>
      <c r="R224" s="57" t="str">
        <f aca="false">'STUDENT SCREENING'!BJ224</f>
        <v/>
      </c>
      <c r="S224" s="57" t="str">
        <f aca="false">'STUDENT SCREENING'!BK224</f>
        <v/>
      </c>
      <c r="T224" s="57" t="str">
        <f aca="false">'STUDENT SCREENING'!BL224</f>
        <v/>
      </c>
      <c r="U224" s="57" t="str">
        <f aca="false">'STUDENT SCREENING'!BM224</f>
        <v/>
      </c>
      <c r="V224" s="57" t="str">
        <f aca="false">'STUDENT SCREENING'!BN224</f>
        <v/>
      </c>
      <c r="W224" s="57" t="str">
        <f aca="false">'STUDENT SCREENING'!BO224</f>
        <v/>
      </c>
      <c r="X224" s="57" t="str">
        <f aca="false">IF('STUDENT SCREENING'!W224="","",IFERROR(INDEX('SCORING MASTER'!$D$5:$D$7,MATCH('STUDENT SCREENING'!W224,'SCORING MASTER'!$C$5:$C$7,0)),""))</f>
        <v/>
      </c>
      <c r="Y224" s="57" t="str">
        <f aca="false">IF('STUDENT SCREENING'!X224="","",IFERROR(INDEX('SCORING MASTER'!$D$9:$D$11,MATCH('STUDENT SCREENING'!X224,'SCORING MASTER'!$C$9:$C$11,0)),""))</f>
        <v/>
      </c>
      <c r="Z224" s="57" t="str">
        <f aca="false">IF('STUDENT SCREENING'!Y224="","",IFERROR(INDEX('SCORING MASTER'!$D$13:$D$15,MATCH('STUDENT SCREENING'!Y224,'SCORING MASTER'!$C$13:$C$15,0)),""))</f>
        <v/>
      </c>
      <c r="AA224" s="57" t="str">
        <f aca="false">IF('STUDENT SCREENING'!Z224="","",IFERROR(INDEX('SCORING MASTER'!$D$17:$D$19,MATCH('STUDENT SCREENING'!Z224,'SCORING MASTER'!$C$17:$C$19,0)),""))</f>
        <v/>
      </c>
      <c r="AB224" s="57" t="str">
        <f aca="false">IF('STUDENT SCREENING'!AA224="","",IFERROR(INDEX('SCORING MASTER'!$D$21:$D$23,MATCH('STUDENT SCREENING'!AA224,'SCORING MASTER'!$C$21:$C$23,0)),""))</f>
        <v/>
      </c>
      <c r="AC224" s="57" t="str">
        <f aca="false">IF('STUDENT SCREENING'!AB224="","",IFERROR(INDEX('SCORING MASTER'!$D$25:$D$27,MATCH('STUDENT SCREENING'!AB224,'SCORING MASTER'!$C$25:$C$27,0)),""))</f>
        <v/>
      </c>
      <c r="AD224" s="57" t="str">
        <f aca="false">IF('STUDENT SCREENING'!AC224="","",IFERROR(INDEX('SCORING MASTER'!$D$29:$D$31,MATCH('STUDENT SCREENING'!AC224,'SCORING MASTER'!$C$29:$C$31,0)),""))</f>
        <v/>
      </c>
      <c r="AE224" s="57" t="str">
        <f aca="false">IF('STUDENT SCREENING'!AD224="","",IFERROR(INDEX('SCORING MASTER'!$D$33:$D$35,MATCH('STUDENT SCREENING'!AD224,'SCORING MASTER'!$C$33:$C$35,0)),""))</f>
        <v/>
      </c>
      <c r="AF224" s="57" t="str">
        <f aca="false">IF('STUDENT SCREENING'!AE224="","",IFERROR(INDEX('SCORING MASTER'!$D$37:$D$39,MATCH('STUDENT SCREENING'!AE224,'SCORING MASTER'!$C$37:$C$39,0)),""))</f>
        <v/>
      </c>
      <c r="AG224" s="57" t="str">
        <f aca="false">IF('STUDENT SCREENING'!AF224="","",IFERROR(INDEX('SCORING MASTER'!$D$41:$D$43,MATCH('STUDENT SCREENING'!AF224,'SCORING MASTER'!$C$41:$C$43,0)),""))</f>
        <v/>
      </c>
      <c r="AH224" s="57" t="str">
        <f aca="false">IF('STUDENT SCREENING'!AG224="","",IFERROR(INDEX('SCORING MASTER'!$D$45:$D$47,MATCH('STUDENT SCREENING'!AG224,'SCORING MASTER'!$C$45:$C$47,0)),""))</f>
        <v/>
      </c>
      <c r="AI224" s="57" t="str">
        <f aca="false">IF('STUDENT SCREENING'!AH224="","",IFERROR(INDEX('SCORING MASTER'!$D$49:$D$52,MATCH('STUDENT SCREENING'!AH224,'SCORING MASTER'!$C$49:$C$52,0)),""))</f>
        <v/>
      </c>
      <c r="AJ224" s="57" t="str">
        <f aca="false">IF('STUDENT SCREENING'!AI224="","",IFERROR(INDEX('SCORING MASTER'!$D$54:$D$57,MATCH('STUDENT SCREENING'!AI224,'SCORING MASTER'!$C$54:$C$57,0)),""))</f>
        <v/>
      </c>
      <c r="AK224" s="57" t="str">
        <f aca="false">IF('STUDENT SCREENING'!AJ224="","",IFERROR(INDEX('SCORING MASTER'!$D$59:$D$60,MATCH('STUDENT SCREENING'!AJ224,'SCORING MASTER'!$C$59:$C$60,0)),""))</f>
        <v/>
      </c>
      <c r="AL224" s="57" t="str">
        <f aca="false">IF('STUDENT SCREENING'!AK224="","",IFERROR(INDEX('SCORING MASTER'!$D$62:$D$63,MATCH('STUDENT SCREENING'!AK224,'SCORING MASTER'!$C$62:$C$63,0)),""))</f>
        <v/>
      </c>
      <c r="AM224" s="57" t="str">
        <f aca="false">IF('STUDENT SCREENING'!AL224="","",IFERROR(INDEX('SCORING MASTER'!$D$65:$D$66,MATCH('STUDENT SCREENING'!AL224,'SCORING MASTER'!$C$65:$C$66,0)),""))</f>
        <v/>
      </c>
      <c r="AN224" s="57" t="str">
        <f aca="false">IF('STUDENT SCREENING'!AM224="","",IFERROR(INDEX('SCORING MASTER'!$D$68:$D$69,MATCH('STUDENT SCREENING'!AM224,'SCORING MASTER'!$C$68:$C$69,0)),""))</f>
        <v/>
      </c>
      <c r="AO224" s="57" t="str">
        <f aca="false">IF('STUDENT SCREENING'!AN224="","",IFERROR(INDEX('SCORING MASTER'!$D$71:$D$72,MATCH('STUDENT SCREENING'!AN224,'SCORING MASTER'!$C$71:$C$72,0)),""))</f>
        <v/>
      </c>
      <c r="AP224" s="57" t="str">
        <f aca="false">IF('STUDENT SCREENING'!AO224="","",IFERROR(INDEX('SCORING MASTER'!$D$74:$D$75,MATCH('STUDENT SCREENING'!AO224,'SCORING MASTER'!$C$74:$C$75,0)),""))</f>
        <v/>
      </c>
      <c r="AQ224" s="57" t="str">
        <f aca="false">IF('STUDENT SCREENING'!AP224="","",IFERROR(INDEX('SCORING MASTER'!$D$77:$D$78,MATCH('STUDENT SCREENING'!AP224,'SCORING MASTER'!$C$77:$C$78,0)),""))</f>
        <v/>
      </c>
      <c r="AR224" s="57" t="str">
        <f aca="false">IF('STUDENT SCREENING'!AQ224="","",IFERROR(INDEX('SCORING MASTER'!$D$80:$D$82,MATCH('STUDENT SCREENING'!AQ224,'SCORING MASTER'!$C$80:$C$82,0)),""))</f>
        <v/>
      </c>
      <c r="AS224" s="57" t="str">
        <f aca="false">IF('STUDENT SCREENING'!AR224="","",IFERROR(INDEX('SCORING MASTER'!$D$84:$D$86,MATCH('STUDENT SCREENING'!AR224,'SCORING MASTER'!$C$84:$C$86,0)),""))</f>
        <v/>
      </c>
      <c r="AT224" s="57" t="str">
        <f aca="false">IF('STUDENT SCREENING'!AS224="","",IFERROR(INDEX('SCORING MASTER'!$D$88:$D$90,MATCH('STUDENT SCREENING'!AS224,'SCORING MASTER'!$C$88:$C$90,0)),""))</f>
        <v/>
      </c>
      <c r="AU224" s="57" t="str">
        <f aca="false">IF('STUDENT SCREENING'!AT224="","",IFERROR(INDEX('SCORING MASTER'!$D$92:$D$93,MATCH('STUDENT SCREENING'!AT224,'SCORING MASTER'!$C$92:$C$93,0)),""))</f>
        <v/>
      </c>
      <c r="AV224" s="57" t="str">
        <f aca="false">IF('STUDENT SCREENING'!AU224="","",IFERROR(INDEX('SCORING MASTER'!$D$95:$D$96,MATCH('STUDENT SCREENING'!AU224,'SCORING MASTER'!$C$95:$C$96,0)),""))</f>
        <v/>
      </c>
      <c r="AW224" s="57" t="str">
        <f aca="false">IF('STUDENT SCREENING'!AV224="","",IFERROR(INDEX('SCORING MASTER'!$D$98:$D$99,MATCH('STUDENT SCREENING'!AV224,'SCORING MASTER'!$C$98:$C$99,0)),""))</f>
        <v/>
      </c>
      <c r="AX224" s="57" t="str">
        <f aca="false">IF('STUDENT SCREENING'!AW224="","",IFERROR(INDEX('SCORING MASTER'!$D$101:$D$102,MATCH('STUDENT SCREENING'!AW224,'SCORING MASTER'!$C$101:$C$102,0)),""))</f>
        <v/>
      </c>
      <c r="AY224" s="57" t="str">
        <f aca="false">IF('STUDENT SCREENING'!AX224="","",IFERROR(INDEX('SCORING MASTER'!$D$104:$D$105,MATCH('STUDENT SCREENING'!AX224,'SCORING MASTER'!$C$104:$C$105,0)),""))</f>
        <v/>
      </c>
      <c r="AZ224" s="57" t="str">
        <f aca="false">IF('STUDENT SCREENING'!AY224="","",IFERROR(INDEX('SCORING MASTER'!$D$107:$D$108,MATCH('STUDENT SCREENING'!AY224,'SCORING MASTER'!$C$107:$C$108,0)),""))</f>
        <v/>
      </c>
      <c r="BA224" s="57" t="str">
        <f aca="false">IF('STUDENT SCREENING'!AZ224="","",IFERROR(INDEX('SCORING MASTER'!$D$110:$D$111,MATCH('STUDENT SCREENING'!AZ224,'SCORING MASTER'!$C$110:$C$111,0)),""))</f>
        <v/>
      </c>
      <c r="BB224" s="57" t="str">
        <f aca="false">IF('STUDENT SCREENING'!BA224="","",IFERROR(INDEX('SCORING MASTER'!$D$113:$D$115,MATCH('STUDENT SCREENING'!BA224,'SCORING MASTER'!$C$113:$C$115,0)),""))</f>
        <v/>
      </c>
      <c r="BC224" s="57" t="str">
        <f aca="false">IF('STUDENT SCREENING'!BB224="","",IFERROR(INDEX('SCORING MASTER'!$D$117:$D$119,MATCH('STUDENT SCREENING'!BB224,'SCORING MASTER'!$C$117:$C$119,0)),""))</f>
        <v/>
      </c>
      <c r="BD224" s="57" t="str">
        <f aca="false">IF('STUDENT SCREENING'!BC224="","",IFERROR(INDEX('SCORING MASTER'!$D$121:$D$123,MATCH('STUDENT SCREENING'!BC224,'SCORING MASTER'!$C$121:$C$123,0)),""))</f>
        <v/>
      </c>
      <c r="BE224" s="57" t="str">
        <f aca="false">IF('STUDENT SCREENING'!BD224="","",IFERROR(INDEX('SCORING MASTER'!$D$125:$D$126,MATCH('STUDENT SCREENING'!BD224,'SCORING MASTER'!$C$125:$C$126,0)),""))</f>
        <v/>
      </c>
      <c r="BF224" s="57" t="str">
        <f aca="false">IF('STUDENT SCREENING'!BE224="","",IFERROR(INDEX('SCORING MASTER'!$D$128:$D$129,MATCH('STUDENT SCREENING'!BE224,'SCORING MASTER'!$C$128:$C$129,0)),""))</f>
        <v/>
      </c>
      <c r="BG224" s="57" t="str">
        <f aca="false">IF('STUDENT SCREENING'!BP224="","",IFERROR(MATCH('STUDENT SCREENING'!BP224,{"Red - High Risk","Orange - Moderate Risk","Yellow - Mild Risk","Light Green - Mild Watch","Green - Healthy"},0)-1,""))</f>
        <v/>
      </c>
      <c r="BH224" s="57" t="str">
        <f aca="false">IF('STUDENT SCREENING'!BQ224="","",IF('STUDENT SCREENING'!BQ224="Yes",1,0))</f>
        <v/>
      </c>
      <c r="BI224" s="57" t="str">
        <f aca="false">IF('STUDENT SCREENING'!BR224="","",IF('STUDENT SCREENING'!BR224="Yes",1,0))</f>
        <v/>
      </c>
    </row>
    <row r="225" customFormat="false" ht="15" hidden="false" customHeight="false" outlineLevel="0" collapsed="false">
      <c r="A225" s="58" t="str">
        <f aca="false">'STUDENT SCREENING'!A225</f>
        <v/>
      </c>
      <c r="B225" s="58" t="n">
        <f aca="false">'STUDENT SCREENING'!C225</f>
        <v>0</v>
      </c>
      <c r="C225" s="58" t="n">
        <f aca="false">'STUDENT SCREENING'!D225</f>
        <v>0</v>
      </c>
      <c r="D225" s="58" t="n">
        <f aca="false">'STUDENT SCREENING'!E225</f>
        <v>0</v>
      </c>
      <c r="E225" s="58" t="n">
        <f aca="false">'STUDENT SCREENING'!F225</f>
        <v>0</v>
      </c>
      <c r="F225" s="58" t="n">
        <f aca="false">'STUDENT SCREENING'!K225</f>
        <v>0</v>
      </c>
      <c r="G225" s="58" t="n">
        <f aca="false">'STUDENT SCREENING'!J225</f>
        <v>0</v>
      </c>
      <c r="H225" s="58" t="str">
        <f aca="false">IF('STUDENT SCREENING'!K225="","",IFERROR(MATCH('STUDENT SCREENING'!K225,Adm_Gender,0),""))</f>
        <v/>
      </c>
      <c r="I225" s="58" t="n">
        <f aca="false">'STUDENT SCREENING'!Q225</f>
        <v>0</v>
      </c>
      <c r="J225" s="58" t="n">
        <f aca="false">'STUDENT SCREENING'!R225</f>
        <v>0</v>
      </c>
      <c r="K225" s="58" t="str">
        <f aca="false">'STUDENT SCREENING'!S225</f>
        <v/>
      </c>
      <c r="L225" s="58" t="n">
        <f aca="false">'STUDENT SCREENING'!U225</f>
        <v>0</v>
      </c>
      <c r="M225" s="58" t="n">
        <f aca="false">'STUDENT SCREENING'!V225</f>
        <v>0</v>
      </c>
      <c r="N225" s="58" t="str">
        <f aca="false">'STUDENT SCREENING'!BF225</f>
        <v/>
      </c>
      <c r="O225" s="58" t="str">
        <f aca="false">'STUDENT SCREENING'!BG225</f>
        <v/>
      </c>
      <c r="P225" s="58" t="str">
        <f aca="false">'STUDENT SCREENING'!BH225</f>
        <v/>
      </c>
      <c r="Q225" s="58" t="str">
        <f aca="false">'STUDENT SCREENING'!BI225</f>
        <v/>
      </c>
      <c r="R225" s="58" t="str">
        <f aca="false">'STUDENT SCREENING'!BJ225</f>
        <v/>
      </c>
      <c r="S225" s="58" t="str">
        <f aca="false">'STUDENT SCREENING'!BK225</f>
        <v/>
      </c>
      <c r="T225" s="58" t="str">
        <f aca="false">'STUDENT SCREENING'!BL225</f>
        <v/>
      </c>
      <c r="U225" s="58" t="str">
        <f aca="false">'STUDENT SCREENING'!BM225</f>
        <v/>
      </c>
      <c r="V225" s="58" t="str">
        <f aca="false">'STUDENT SCREENING'!BN225</f>
        <v/>
      </c>
      <c r="W225" s="58" t="str">
        <f aca="false">'STUDENT SCREENING'!BO225</f>
        <v/>
      </c>
      <c r="X225" s="58" t="str">
        <f aca="false">IF('STUDENT SCREENING'!W225="","",IFERROR(INDEX('SCORING MASTER'!$D$5:$D$7,MATCH('STUDENT SCREENING'!W225,'SCORING MASTER'!$C$5:$C$7,0)),""))</f>
        <v/>
      </c>
      <c r="Y225" s="58" t="str">
        <f aca="false">IF('STUDENT SCREENING'!X225="","",IFERROR(INDEX('SCORING MASTER'!$D$9:$D$11,MATCH('STUDENT SCREENING'!X225,'SCORING MASTER'!$C$9:$C$11,0)),""))</f>
        <v/>
      </c>
      <c r="Z225" s="58" t="str">
        <f aca="false">IF('STUDENT SCREENING'!Y225="","",IFERROR(INDEX('SCORING MASTER'!$D$13:$D$15,MATCH('STUDENT SCREENING'!Y225,'SCORING MASTER'!$C$13:$C$15,0)),""))</f>
        <v/>
      </c>
      <c r="AA225" s="58" t="str">
        <f aca="false">IF('STUDENT SCREENING'!Z225="","",IFERROR(INDEX('SCORING MASTER'!$D$17:$D$19,MATCH('STUDENT SCREENING'!Z225,'SCORING MASTER'!$C$17:$C$19,0)),""))</f>
        <v/>
      </c>
      <c r="AB225" s="58" t="str">
        <f aca="false">IF('STUDENT SCREENING'!AA225="","",IFERROR(INDEX('SCORING MASTER'!$D$21:$D$23,MATCH('STUDENT SCREENING'!AA225,'SCORING MASTER'!$C$21:$C$23,0)),""))</f>
        <v/>
      </c>
      <c r="AC225" s="58" t="str">
        <f aca="false">IF('STUDENT SCREENING'!AB225="","",IFERROR(INDEX('SCORING MASTER'!$D$25:$D$27,MATCH('STUDENT SCREENING'!AB225,'SCORING MASTER'!$C$25:$C$27,0)),""))</f>
        <v/>
      </c>
      <c r="AD225" s="58" t="str">
        <f aca="false">IF('STUDENT SCREENING'!AC225="","",IFERROR(INDEX('SCORING MASTER'!$D$29:$D$31,MATCH('STUDENT SCREENING'!AC225,'SCORING MASTER'!$C$29:$C$31,0)),""))</f>
        <v/>
      </c>
      <c r="AE225" s="58" t="str">
        <f aca="false">IF('STUDENT SCREENING'!AD225="","",IFERROR(INDEX('SCORING MASTER'!$D$33:$D$35,MATCH('STUDENT SCREENING'!AD225,'SCORING MASTER'!$C$33:$C$35,0)),""))</f>
        <v/>
      </c>
      <c r="AF225" s="58" t="str">
        <f aca="false">IF('STUDENT SCREENING'!AE225="","",IFERROR(INDEX('SCORING MASTER'!$D$37:$D$39,MATCH('STUDENT SCREENING'!AE225,'SCORING MASTER'!$C$37:$C$39,0)),""))</f>
        <v/>
      </c>
      <c r="AG225" s="58" t="str">
        <f aca="false">IF('STUDENT SCREENING'!AF225="","",IFERROR(INDEX('SCORING MASTER'!$D$41:$D$43,MATCH('STUDENT SCREENING'!AF225,'SCORING MASTER'!$C$41:$C$43,0)),""))</f>
        <v/>
      </c>
      <c r="AH225" s="58" t="str">
        <f aca="false">IF('STUDENT SCREENING'!AG225="","",IFERROR(INDEX('SCORING MASTER'!$D$45:$D$47,MATCH('STUDENT SCREENING'!AG225,'SCORING MASTER'!$C$45:$C$47,0)),""))</f>
        <v/>
      </c>
      <c r="AI225" s="58" t="str">
        <f aca="false">IF('STUDENT SCREENING'!AH225="","",IFERROR(INDEX('SCORING MASTER'!$D$49:$D$52,MATCH('STUDENT SCREENING'!AH225,'SCORING MASTER'!$C$49:$C$52,0)),""))</f>
        <v/>
      </c>
      <c r="AJ225" s="58" t="str">
        <f aca="false">IF('STUDENT SCREENING'!AI225="","",IFERROR(INDEX('SCORING MASTER'!$D$54:$D$57,MATCH('STUDENT SCREENING'!AI225,'SCORING MASTER'!$C$54:$C$57,0)),""))</f>
        <v/>
      </c>
      <c r="AK225" s="58" t="str">
        <f aca="false">IF('STUDENT SCREENING'!AJ225="","",IFERROR(INDEX('SCORING MASTER'!$D$59:$D$60,MATCH('STUDENT SCREENING'!AJ225,'SCORING MASTER'!$C$59:$C$60,0)),""))</f>
        <v/>
      </c>
      <c r="AL225" s="58" t="str">
        <f aca="false">IF('STUDENT SCREENING'!AK225="","",IFERROR(INDEX('SCORING MASTER'!$D$62:$D$63,MATCH('STUDENT SCREENING'!AK225,'SCORING MASTER'!$C$62:$C$63,0)),""))</f>
        <v/>
      </c>
      <c r="AM225" s="58" t="str">
        <f aca="false">IF('STUDENT SCREENING'!AL225="","",IFERROR(INDEX('SCORING MASTER'!$D$65:$D$66,MATCH('STUDENT SCREENING'!AL225,'SCORING MASTER'!$C$65:$C$66,0)),""))</f>
        <v/>
      </c>
      <c r="AN225" s="58" t="str">
        <f aca="false">IF('STUDENT SCREENING'!AM225="","",IFERROR(INDEX('SCORING MASTER'!$D$68:$D$69,MATCH('STUDENT SCREENING'!AM225,'SCORING MASTER'!$C$68:$C$69,0)),""))</f>
        <v/>
      </c>
      <c r="AO225" s="58" t="str">
        <f aca="false">IF('STUDENT SCREENING'!AN225="","",IFERROR(INDEX('SCORING MASTER'!$D$71:$D$72,MATCH('STUDENT SCREENING'!AN225,'SCORING MASTER'!$C$71:$C$72,0)),""))</f>
        <v/>
      </c>
      <c r="AP225" s="58" t="str">
        <f aca="false">IF('STUDENT SCREENING'!AO225="","",IFERROR(INDEX('SCORING MASTER'!$D$74:$D$75,MATCH('STUDENT SCREENING'!AO225,'SCORING MASTER'!$C$74:$C$75,0)),""))</f>
        <v/>
      </c>
      <c r="AQ225" s="58" t="str">
        <f aca="false">IF('STUDENT SCREENING'!AP225="","",IFERROR(INDEX('SCORING MASTER'!$D$77:$D$78,MATCH('STUDENT SCREENING'!AP225,'SCORING MASTER'!$C$77:$C$78,0)),""))</f>
        <v/>
      </c>
      <c r="AR225" s="58" t="str">
        <f aca="false">IF('STUDENT SCREENING'!AQ225="","",IFERROR(INDEX('SCORING MASTER'!$D$80:$D$82,MATCH('STUDENT SCREENING'!AQ225,'SCORING MASTER'!$C$80:$C$82,0)),""))</f>
        <v/>
      </c>
      <c r="AS225" s="58" t="str">
        <f aca="false">IF('STUDENT SCREENING'!AR225="","",IFERROR(INDEX('SCORING MASTER'!$D$84:$D$86,MATCH('STUDENT SCREENING'!AR225,'SCORING MASTER'!$C$84:$C$86,0)),""))</f>
        <v/>
      </c>
      <c r="AT225" s="58" t="str">
        <f aca="false">IF('STUDENT SCREENING'!AS225="","",IFERROR(INDEX('SCORING MASTER'!$D$88:$D$90,MATCH('STUDENT SCREENING'!AS225,'SCORING MASTER'!$C$88:$C$90,0)),""))</f>
        <v/>
      </c>
      <c r="AU225" s="58" t="str">
        <f aca="false">IF('STUDENT SCREENING'!AT225="","",IFERROR(INDEX('SCORING MASTER'!$D$92:$D$93,MATCH('STUDENT SCREENING'!AT225,'SCORING MASTER'!$C$92:$C$93,0)),""))</f>
        <v/>
      </c>
      <c r="AV225" s="58" t="str">
        <f aca="false">IF('STUDENT SCREENING'!AU225="","",IFERROR(INDEX('SCORING MASTER'!$D$95:$D$96,MATCH('STUDENT SCREENING'!AU225,'SCORING MASTER'!$C$95:$C$96,0)),""))</f>
        <v/>
      </c>
      <c r="AW225" s="58" t="str">
        <f aca="false">IF('STUDENT SCREENING'!AV225="","",IFERROR(INDEX('SCORING MASTER'!$D$98:$D$99,MATCH('STUDENT SCREENING'!AV225,'SCORING MASTER'!$C$98:$C$99,0)),""))</f>
        <v/>
      </c>
      <c r="AX225" s="58" t="str">
        <f aca="false">IF('STUDENT SCREENING'!AW225="","",IFERROR(INDEX('SCORING MASTER'!$D$101:$D$102,MATCH('STUDENT SCREENING'!AW225,'SCORING MASTER'!$C$101:$C$102,0)),""))</f>
        <v/>
      </c>
      <c r="AY225" s="58" t="str">
        <f aca="false">IF('STUDENT SCREENING'!AX225="","",IFERROR(INDEX('SCORING MASTER'!$D$104:$D$105,MATCH('STUDENT SCREENING'!AX225,'SCORING MASTER'!$C$104:$C$105,0)),""))</f>
        <v/>
      </c>
      <c r="AZ225" s="58" t="str">
        <f aca="false">IF('STUDENT SCREENING'!AY225="","",IFERROR(INDEX('SCORING MASTER'!$D$107:$D$108,MATCH('STUDENT SCREENING'!AY225,'SCORING MASTER'!$C$107:$C$108,0)),""))</f>
        <v/>
      </c>
      <c r="BA225" s="58" t="str">
        <f aca="false">IF('STUDENT SCREENING'!AZ225="","",IFERROR(INDEX('SCORING MASTER'!$D$110:$D$111,MATCH('STUDENT SCREENING'!AZ225,'SCORING MASTER'!$C$110:$C$111,0)),""))</f>
        <v/>
      </c>
      <c r="BB225" s="58" t="str">
        <f aca="false">IF('STUDENT SCREENING'!BA225="","",IFERROR(INDEX('SCORING MASTER'!$D$113:$D$115,MATCH('STUDENT SCREENING'!BA225,'SCORING MASTER'!$C$113:$C$115,0)),""))</f>
        <v/>
      </c>
      <c r="BC225" s="58" t="str">
        <f aca="false">IF('STUDENT SCREENING'!BB225="","",IFERROR(INDEX('SCORING MASTER'!$D$117:$D$119,MATCH('STUDENT SCREENING'!BB225,'SCORING MASTER'!$C$117:$C$119,0)),""))</f>
        <v/>
      </c>
      <c r="BD225" s="58" t="str">
        <f aca="false">IF('STUDENT SCREENING'!BC225="","",IFERROR(INDEX('SCORING MASTER'!$D$121:$D$123,MATCH('STUDENT SCREENING'!BC225,'SCORING MASTER'!$C$121:$C$123,0)),""))</f>
        <v/>
      </c>
      <c r="BE225" s="58" t="str">
        <f aca="false">IF('STUDENT SCREENING'!BD225="","",IFERROR(INDEX('SCORING MASTER'!$D$125:$D$126,MATCH('STUDENT SCREENING'!BD225,'SCORING MASTER'!$C$125:$C$126,0)),""))</f>
        <v/>
      </c>
      <c r="BF225" s="58" t="str">
        <f aca="false">IF('STUDENT SCREENING'!BE225="","",IFERROR(INDEX('SCORING MASTER'!$D$128:$D$129,MATCH('STUDENT SCREENING'!BE225,'SCORING MASTER'!$C$128:$C$129,0)),""))</f>
        <v/>
      </c>
      <c r="BG225" s="58" t="str">
        <f aca="false">IF('STUDENT SCREENING'!BP225="","",IFERROR(MATCH('STUDENT SCREENING'!BP225,{"Red - High Risk","Orange - Moderate Risk","Yellow - Mild Risk","Light Green - Mild Watch","Green - Healthy"},0)-1,""))</f>
        <v/>
      </c>
      <c r="BH225" s="58" t="str">
        <f aca="false">IF('STUDENT SCREENING'!BQ225="","",IF('STUDENT SCREENING'!BQ225="Yes",1,0))</f>
        <v/>
      </c>
      <c r="BI225" s="58" t="str">
        <f aca="false">IF('STUDENT SCREENING'!BR225="","",IF('STUDENT SCREENING'!BR225="Yes",1,0))</f>
        <v/>
      </c>
    </row>
    <row r="226" customFormat="false" ht="15" hidden="false" customHeight="false" outlineLevel="0" collapsed="false">
      <c r="A226" s="57" t="str">
        <f aca="false">'STUDENT SCREENING'!A226</f>
        <v/>
      </c>
      <c r="B226" s="57" t="n">
        <f aca="false">'STUDENT SCREENING'!C226</f>
        <v>0</v>
      </c>
      <c r="C226" s="57" t="n">
        <f aca="false">'STUDENT SCREENING'!D226</f>
        <v>0</v>
      </c>
      <c r="D226" s="57" t="n">
        <f aca="false">'STUDENT SCREENING'!E226</f>
        <v>0</v>
      </c>
      <c r="E226" s="57" t="n">
        <f aca="false">'STUDENT SCREENING'!F226</f>
        <v>0</v>
      </c>
      <c r="F226" s="57" t="n">
        <f aca="false">'STUDENT SCREENING'!K226</f>
        <v>0</v>
      </c>
      <c r="G226" s="57" t="n">
        <f aca="false">'STUDENT SCREENING'!J226</f>
        <v>0</v>
      </c>
      <c r="H226" s="57" t="str">
        <f aca="false">IF('STUDENT SCREENING'!K226="","",IFERROR(MATCH('STUDENT SCREENING'!K226,Adm_Gender,0),""))</f>
        <v/>
      </c>
      <c r="I226" s="57" t="n">
        <f aca="false">'STUDENT SCREENING'!Q226</f>
        <v>0</v>
      </c>
      <c r="J226" s="57" t="n">
        <f aca="false">'STUDENT SCREENING'!R226</f>
        <v>0</v>
      </c>
      <c r="K226" s="57" t="str">
        <f aca="false">'STUDENT SCREENING'!S226</f>
        <v/>
      </c>
      <c r="L226" s="57" t="n">
        <f aca="false">'STUDENT SCREENING'!U226</f>
        <v>0</v>
      </c>
      <c r="M226" s="57" t="n">
        <f aca="false">'STUDENT SCREENING'!V226</f>
        <v>0</v>
      </c>
      <c r="N226" s="57" t="str">
        <f aca="false">'STUDENT SCREENING'!BF226</f>
        <v/>
      </c>
      <c r="O226" s="57" t="str">
        <f aca="false">'STUDENT SCREENING'!BG226</f>
        <v/>
      </c>
      <c r="P226" s="57" t="str">
        <f aca="false">'STUDENT SCREENING'!BH226</f>
        <v/>
      </c>
      <c r="Q226" s="57" t="str">
        <f aca="false">'STUDENT SCREENING'!BI226</f>
        <v/>
      </c>
      <c r="R226" s="57" t="str">
        <f aca="false">'STUDENT SCREENING'!BJ226</f>
        <v/>
      </c>
      <c r="S226" s="57" t="str">
        <f aca="false">'STUDENT SCREENING'!BK226</f>
        <v/>
      </c>
      <c r="T226" s="57" t="str">
        <f aca="false">'STUDENT SCREENING'!BL226</f>
        <v/>
      </c>
      <c r="U226" s="57" t="str">
        <f aca="false">'STUDENT SCREENING'!BM226</f>
        <v/>
      </c>
      <c r="V226" s="57" t="str">
        <f aca="false">'STUDENT SCREENING'!BN226</f>
        <v/>
      </c>
      <c r="W226" s="57" t="str">
        <f aca="false">'STUDENT SCREENING'!BO226</f>
        <v/>
      </c>
      <c r="X226" s="57" t="str">
        <f aca="false">IF('STUDENT SCREENING'!W226="","",IFERROR(INDEX('SCORING MASTER'!$D$5:$D$7,MATCH('STUDENT SCREENING'!W226,'SCORING MASTER'!$C$5:$C$7,0)),""))</f>
        <v/>
      </c>
      <c r="Y226" s="57" t="str">
        <f aca="false">IF('STUDENT SCREENING'!X226="","",IFERROR(INDEX('SCORING MASTER'!$D$9:$D$11,MATCH('STUDENT SCREENING'!X226,'SCORING MASTER'!$C$9:$C$11,0)),""))</f>
        <v/>
      </c>
      <c r="Z226" s="57" t="str">
        <f aca="false">IF('STUDENT SCREENING'!Y226="","",IFERROR(INDEX('SCORING MASTER'!$D$13:$D$15,MATCH('STUDENT SCREENING'!Y226,'SCORING MASTER'!$C$13:$C$15,0)),""))</f>
        <v/>
      </c>
      <c r="AA226" s="57" t="str">
        <f aca="false">IF('STUDENT SCREENING'!Z226="","",IFERROR(INDEX('SCORING MASTER'!$D$17:$D$19,MATCH('STUDENT SCREENING'!Z226,'SCORING MASTER'!$C$17:$C$19,0)),""))</f>
        <v/>
      </c>
      <c r="AB226" s="57" t="str">
        <f aca="false">IF('STUDENT SCREENING'!AA226="","",IFERROR(INDEX('SCORING MASTER'!$D$21:$D$23,MATCH('STUDENT SCREENING'!AA226,'SCORING MASTER'!$C$21:$C$23,0)),""))</f>
        <v/>
      </c>
      <c r="AC226" s="57" t="str">
        <f aca="false">IF('STUDENT SCREENING'!AB226="","",IFERROR(INDEX('SCORING MASTER'!$D$25:$D$27,MATCH('STUDENT SCREENING'!AB226,'SCORING MASTER'!$C$25:$C$27,0)),""))</f>
        <v/>
      </c>
      <c r="AD226" s="57" t="str">
        <f aca="false">IF('STUDENT SCREENING'!AC226="","",IFERROR(INDEX('SCORING MASTER'!$D$29:$D$31,MATCH('STUDENT SCREENING'!AC226,'SCORING MASTER'!$C$29:$C$31,0)),""))</f>
        <v/>
      </c>
      <c r="AE226" s="57" t="str">
        <f aca="false">IF('STUDENT SCREENING'!AD226="","",IFERROR(INDEX('SCORING MASTER'!$D$33:$D$35,MATCH('STUDENT SCREENING'!AD226,'SCORING MASTER'!$C$33:$C$35,0)),""))</f>
        <v/>
      </c>
      <c r="AF226" s="57" t="str">
        <f aca="false">IF('STUDENT SCREENING'!AE226="","",IFERROR(INDEX('SCORING MASTER'!$D$37:$D$39,MATCH('STUDENT SCREENING'!AE226,'SCORING MASTER'!$C$37:$C$39,0)),""))</f>
        <v/>
      </c>
      <c r="AG226" s="57" t="str">
        <f aca="false">IF('STUDENT SCREENING'!AF226="","",IFERROR(INDEX('SCORING MASTER'!$D$41:$D$43,MATCH('STUDENT SCREENING'!AF226,'SCORING MASTER'!$C$41:$C$43,0)),""))</f>
        <v/>
      </c>
      <c r="AH226" s="57" t="str">
        <f aca="false">IF('STUDENT SCREENING'!AG226="","",IFERROR(INDEX('SCORING MASTER'!$D$45:$D$47,MATCH('STUDENT SCREENING'!AG226,'SCORING MASTER'!$C$45:$C$47,0)),""))</f>
        <v/>
      </c>
      <c r="AI226" s="57" t="str">
        <f aca="false">IF('STUDENT SCREENING'!AH226="","",IFERROR(INDEX('SCORING MASTER'!$D$49:$D$52,MATCH('STUDENT SCREENING'!AH226,'SCORING MASTER'!$C$49:$C$52,0)),""))</f>
        <v/>
      </c>
      <c r="AJ226" s="57" t="str">
        <f aca="false">IF('STUDENT SCREENING'!AI226="","",IFERROR(INDEX('SCORING MASTER'!$D$54:$D$57,MATCH('STUDENT SCREENING'!AI226,'SCORING MASTER'!$C$54:$C$57,0)),""))</f>
        <v/>
      </c>
      <c r="AK226" s="57" t="str">
        <f aca="false">IF('STUDENT SCREENING'!AJ226="","",IFERROR(INDEX('SCORING MASTER'!$D$59:$D$60,MATCH('STUDENT SCREENING'!AJ226,'SCORING MASTER'!$C$59:$C$60,0)),""))</f>
        <v/>
      </c>
      <c r="AL226" s="57" t="str">
        <f aca="false">IF('STUDENT SCREENING'!AK226="","",IFERROR(INDEX('SCORING MASTER'!$D$62:$D$63,MATCH('STUDENT SCREENING'!AK226,'SCORING MASTER'!$C$62:$C$63,0)),""))</f>
        <v/>
      </c>
      <c r="AM226" s="57" t="str">
        <f aca="false">IF('STUDENT SCREENING'!AL226="","",IFERROR(INDEX('SCORING MASTER'!$D$65:$D$66,MATCH('STUDENT SCREENING'!AL226,'SCORING MASTER'!$C$65:$C$66,0)),""))</f>
        <v/>
      </c>
      <c r="AN226" s="57" t="str">
        <f aca="false">IF('STUDENT SCREENING'!AM226="","",IFERROR(INDEX('SCORING MASTER'!$D$68:$D$69,MATCH('STUDENT SCREENING'!AM226,'SCORING MASTER'!$C$68:$C$69,0)),""))</f>
        <v/>
      </c>
      <c r="AO226" s="57" t="str">
        <f aca="false">IF('STUDENT SCREENING'!AN226="","",IFERROR(INDEX('SCORING MASTER'!$D$71:$D$72,MATCH('STUDENT SCREENING'!AN226,'SCORING MASTER'!$C$71:$C$72,0)),""))</f>
        <v/>
      </c>
      <c r="AP226" s="57" t="str">
        <f aca="false">IF('STUDENT SCREENING'!AO226="","",IFERROR(INDEX('SCORING MASTER'!$D$74:$D$75,MATCH('STUDENT SCREENING'!AO226,'SCORING MASTER'!$C$74:$C$75,0)),""))</f>
        <v/>
      </c>
      <c r="AQ226" s="57" t="str">
        <f aca="false">IF('STUDENT SCREENING'!AP226="","",IFERROR(INDEX('SCORING MASTER'!$D$77:$D$78,MATCH('STUDENT SCREENING'!AP226,'SCORING MASTER'!$C$77:$C$78,0)),""))</f>
        <v/>
      </c>
      <c r="AR226" s="57" t="str">
        <f aca="false">IF('STUDENT SCREENING'!AQ226="","",IFERROR(INDEX('SCORING MASTER'!$D$80:$D$82,MATCH('STUDENT SCREENING'!AQ226,'SCORING MASTER'!$C$80:$C$82,0)),""))</f>
        <v/>
      </c>
      <c r="AS226" s="57" t="str">
        <f aca="false">IF('STUDENT SCREENING'!AR226="","",IFERROR(INDEX('SCORING MASTER'!$D$84:$D$86,MATCH('STUDENT SCREENING'!AR226,'SCORING MASTER'!$C$84:$C$86,0)),""))</f>
        <v/>
      </c>
      <c r="AT226" s="57" t="str">
        <f aca="false">IF('STUDENT SCREENING'!AS226="","",IFERROR(INDEX('SCORING MASTER'!$D$88:$D$90,MATCH('STUDENT SCREENING'!AS226,'SCORING MASTER'!$C$88:$C$90,0)),""))</f>
        <v/>
      </c>
      <c r="AU226" s="57" t="str">
        <f aca="false">IF('STUDENT SCREENING'!AT226="","",IFERROR(INDEX('SCORING MASTER'!$D$92:$D$93,MATCH('STUDENT SCREENING'!AT226,'SCORING MASTER'!$C$92:$C$93,0)),""))</f>
        <v/>
      </c>
      <c r="AV226" s="57" t="str">
        <f aca="false">IF('STUDENT SCREENING'!AU226="","",IFERROR(INDEX('SCORING MASTER'!$D$95:$D$96,MATCH('STUDENT SCREENING'!AU226,'SCORING MASTER'!$C$95:$C$96,0)),""))</f>
        <v/>
      </c>
      <c r="AW226" s="57" t="str">
        <f aca="false">IF('STUDENT SCREENING'!AV226="","",IFERROR(INDEX('SCORING MASTER'!$D$98:$D$99,MATCH('STUDENT SCREENING'!AV226,'SCORING MASTER'!$C$98:$C$99,0)),""))</f>
        <v/>
      </c>
      <c r="AX226" s="57" t="str">
        <f aca="false">IF('STUDENT SCREENING'!AW226="","",IFERROR(INDEX('SCORING MASTER'!$D$101:$D$102,MATCH('STUDENT SCREENING'!AW226,'SCORING MASTER'!$C$101:$C$102,0)),""))</f>
        <v/>
      </c>
      <c r="AY226" s="57" t="str">
        <f aca="false">IF('STUDENT SCREENING'!AX226="","",IFERROR(INDEX('SCORING MASTER'!$D$104:$D$105,MATCH('STUDENT SCREENING'!AX226,'SCORING MASTER'!$C$104:$C$105,0)),""))</f>
        <v/>
      </c>
      <c r="AZ226" s="57" t="str">
        <f aca="false">IF('STUDENT SCREENING'!AY226="","",IFERROR(INDEX('SCORING MASTER'!$D$107:$D$108,MATCH('STUDENT SCREENING'!AY226,'SCORING MASTER'!$C$107:$C$108,0)),""))</f>
        <v/>
      </c>
      <c r="BA226" s="57" t="str">
        <f aca="false">IF('STUDENT SCREENING'!AZ226="","",IFERROR(INDEX('SCORING MASTER'!$D$110:$D$111,MATCH('STUDENT SCREENING'!AZ226,'SCORING MASTER'!$C$110:$C$111,0)),""))</f>
        <v/>
      </c>
      <c r="BB226" s="57" t="str">
        <f aca="false">IF('STUDENT SCREENING'!BA226="","",IFERROR(INDEX('SCORING MASTER'!$D$113:$D$115,MATCH('STUDENT SCREENING'!BA226,'SCORING MASTER'!$C$113:$C$115,0)),""))</f>
        <v/>
      </c>
      <c r="BC226" s="57" t="str">
        <f aca="false">IF('STUDENT SCREENING'!BB226="","",IFERROR(INDEX('SCORING MASTER'!$D$117:$D$119,MATCH('STUDENT SCREENING'!BB226,'SCORING MASTER'!$C$117:$C$119,0)),""))</f>
        <v/>
      </c>
      <c r="BD226" s="57" t="str">
        <f aca="false">IF('STUDENT SCREENING'!BC226="","",IFERROR(INDEX('SCORING MASTER'!$D$121:$D$123,MATCH('STUDENT SCREENING'!BC226,'SCORING MASTER'!$C$121:$C$123,0)),""))</f>
        <v/>
      </c>
      <c r="BE226" s="57" t="str">
        <f aca="false">IF('STUDENT SCREENING'!BD226="","",IFERROR(INDEX('SCORING MASTER'!$D$125:$D$126,MATCH('STUDENT SCREENING'!BD226,'SCORING MASTER'!$C$125:$C$126,0)),""))</f>
        <v/>
      </c>
      <c r="BF226" s="57" t="str">
        <f aca="false">IF('STUDENT SCREENING'!BE226="","",IFERROR(INDEX('SCORING MASTER'!$D$128:$D$129,MATCH('STUDENT SCREENING'!BE226,'SCORING MASTER'!$C$128:$C$129,0)),""))</f>
        <v/>
      </c>
      <c r="BG226" s="57" t="str">
        <f aca="false">IF('STUDENT SCREENING'!BP226="","",IFERROR(MATCH('STUDENT SCREENING'!BP226,{"Red - High Risk","Orange - Moderate Risk","Yellow - Mild Risk","Light Green - Mild Watch","Green - Healthy"},0)-1,""))</f>
        <v/>
      </c>
      <c r="BH226" s="57" t="str">
        <f aca="false">IF('STUDENT SCREENING'!BQ226="","",IF('STUDENT SCREENING'!BQ226="Yes",1,0))</f>
        <v/>
      </c>
      <c r="BI226" s="57" t="str">
        <f aca="false">IF('STUDENT SCREENING'!BR226="","",IF('STUDENT SCREENING'!BR226="Yes",1,0))</f>
        <v/>
      </c>
    </row>
    <row r="227" customFormat="false" ht="15" hidden="false" customHeight="false" outlineLevel="0" collapsed="false">
      <c r="A227" s="58" t="str">
        <f aca="false">'STUDENT SCREENING'!A227</f>
        <v/>
      </c>
      <c r="B227" s="58" t="n">
        <f aca="false">'STUDENT SCREENING'!C227</f>
        <v>0</v>
      </c>
      <c r="C227" s="58" t="n">
        <f aca="false">'STUDENT SCREENING'!D227</f>
        <v>0</v>
      </c>
      <c r="D227" s="58" t="n">
        <f aca="false">'STUDENT SCREENING'!E227</f>
        <v>0</v>
      </c>
      <c r="E227" s="58" t="n">
        <f aca="false">'STUDENT SCREENING'!F227</f>
        <v>0</v>
      </c>
      <c r="F227" s="58" t="n">
        <f aca="false">'STUDENT SCREENING'!K227</f>
        <v>0</v>
      </c>
      <c r="G227" s="58" t="n">
        <f aca="false">'STUDENT SCREENING'!J227</f>
        <v>0</v>
      </c>
      <c r="H227" s="58" t="str">
        <f aca="false">IF('STUDENT SCREENING'!K227="","",IFERROR(MATCH('STUDENT SCREENING'!K227,Adm_Gender,0),""))</f>
        <v/>
      </c>
      <c r="I227" s="58" t="n">
        <f aca="false">'STUDENT SCREENING'!Q227</f>
        <v>0</v>
      </c>
      <c r="J227" s="58" t="n">
        <f aca="false">'STUDENT SCREENING'!R227</f>
        <v>0</v>
      </c>
      <c r="K227" s="58" t="str">
        <f aca="false">'STUDENT SCREENING'!S227</f>
        <v/>
      </c>
      <c r="L227" s="58" t="n">
        <f aca="false">'STUDENT SCREENING'!U227</f>
        <v>0</v>
      </c>
      <c r="M227" s="58" t="n">
        <f aca="false">'STUDENT SCREENING'!V227</f>
        <v>0</v>
      </c>
      <c r="N227" s="58" t="str">
        <f aca="false">'STUDENT SCREENING'!BF227</f>
        <v/>
      </c>
      <c r="O227" s="58" t="str">
        <f aca="false">'STUDENT SCREENING'!BG227</f>
        <v/>
      </c>
      <c r="P227" s="58" t="str">
        <f aca="false">'STUDENT SCREENING'!BH227</f>
        <v/>
      </c>
      <c r="Q227" s="58" t="str">
        <f aca="false">'STUDENT SCREENING'!BI227</f>
        <v/>
      </c>
      <c r="R227" s="58" t="str">
        <f aca="false">'STUDENT SCREENING'!BJ227</f>
        <v/>
      </c>
      <c r="S227" s="58" t="str">
        <f aca="false">'STUDENT SCREENING'!BK227</f>
        <v/>
      </c>
      <c r="T227" s="58" t="str">
        <f aca="false">'STUDENT SCREENING'!BL227</f>
        <v/>
      </c>
      <c r="U227" s="58" t="str">
        <f aca="false">'STUDENT SCREENING'!BM227</f>
        <v/>
      </c>
      <c r="V227" s="58" t="str">
        <f aca="false">'STUDENT SCREENING'!BN227</f>
        <v/>
      </c>
      <c r="W227" s="58" t="str">
        <f aca="false">'STUDENT SCREENING'!BO227</f>
        <v/>
      </c>
      <c r="X227" s="58" t="str">
        <f aca="false">IF('STUDENT SCREENING'!W227="","",IFERROR(INDEX('SCORING MASTER'!$D$5:$D$7,MATCH('STUDENT SCREENING'!W227,'SCORING MASTER'!$C$5:$C$7,0)),""))</f>
        <v/>
      </c>
      <c r="Y227" s="58" t="str">
        <f aca="false">IF('STUDENT SCREENING'!X227="","",IFERROR(INDEX('SCORING MASTER'!$D$9:$D$11,MATCH('STUDENT SCREENING'!X227,'SCORING MASTER'!$C$9:$C$11,0)),""))</f>
        <v/>
      </c>
      <c r="Z227" s="58" t="str">
        <f aca="false">IF('STUDENT SCREENING'!Y227="","",IFERROR(INDEX('SCORING MASTER'!$D$13:$D$15,MATCH('STUDENT SCREENING'!Y227,'SCORING MASTER'!$C$13:$C$15,0)),""))</f>
        <v/>
      </c>
      <c r="AA227" s="58" t="str">
        <f aca="false">IF('STUDENT SCREENING'!Z227="","",IFERROR(INDEX('SCORING MASTER'!$D$17:$D$19,MATCH('STUDENT SCREENING'!Z227,'SCORING MASTER'!$C$17:$C$19,0)),""))</f>
        <v/>
      </c>
      <c r="AB227" s="58" t="str">
        <f aca="false">IF('STUDENT SCREENING'!AA227="","",IFERROR(INDEX('SCORING MASTER'!$D$21:$D$23,MATCH('STUDENT SCREENING'!AA227,'SCORING MASTER'!$C$21:$C$23,0)),""))</f>
        <v/>
      </c>
      <c r="AC227" s="58" t="str">
        <f aca="false">IF('STUDENT SCREENING'!AB227="","",IFERROR(INDEX('SCORING MASTER'!$D$25:$D$27,MATCH('STUDENT SCREENING'!AB227,'SCORING MASTER'!$C$25:$C$27,0)),""))</f>
        <v/>
      </c>
      <c r="AD227" s="58" t="str">
        <f aca="false">IF('STUDENT SCREENING'!AC227="","",IFERROR(INDEX('SCORING MASTER'!$D$29:$D$31,MATCH('STUDENT SCREENING'!AC227,'SCORING MASTER'!$C$29:$C$31,0)),""))</f>
        <v/>
      </c>
      <c r="AE227" s="58" t="str">
        <f aca="false">IF('STUDENT SCREENING'!AD227="","",IFERROR(INDEX('SCORING MASTER'!$D$33:$D$35,MATCH('STUDENT SCREENING'!AD227,'SCORING MASTER'!$C$33:$C$35,0)),""))</f>
        <v/>
      </c>
      <c r="AF227" s="58" t="str">
        <f aca="false">IF('STUDENT SCREENING'!AE227="","",IFERROR(INDEX('SCORING MASTER'!$D$37:$D$39,MATCH('STUDENT SCREENING'!AE227,'SCORING MASTER'!$C$37:$C$39,0)),""))</f>
        <v/>
      </c>
      <c r="AG227" s="58" t="str">
        <f aca="false">IF('STUDENT SCREENING'!AF227="","",IFERROR(INDEX('SCORING MASTER'!$D$41:$D$43,MATCH('STUDENT SCREENING'!AF227,'SCORING MASTER'!$C$41:$C$43,0)),""))</f>
        <v/>
      </c>
      <c r="AH227" s="58" t="str">
        <f aca="false">IF('STUDENT SCREENING'!AG227="","",IFERROR(INDEX('SCORING MASTER'!$D$45:$D$47,MATCH('STUDENT SCREENING'!AG227,'SCORING MASTER'!$C$45:$C$47,0)),""))</f>
        <v/>
      </c>
      <c r="AI227" s="58" t="str">
        <f aca="false">IF('STUDENT SCREENING'!AH227="","",IFERROR(INDEX('SCORING MASTER'!$D$49:$D$52,MATCH('STUDENT SCREENING'!AH227,'SCORING MASTER'!$C$49:$C$52,0)),""))</f>
        <v/>
      </c>
      <c r="AJ227" s="58" t="str">
        <f aca="false">IF('STUDENT SCREENING'!AI227="","",IFERROR(INDEX('SCORING MASTER'!$D$54:$D$57,MATCH('STUDENT SCREENING'!AI227,'SCORING MASTER'!$C$54:$C$57,0)),""))</f>
        <v/>
      </c>
      <c r="AK227" s="58" t="str">
        <f aca="false">IF('STUDENT SCREENING'!AJ227="","",IFERROR(INDEX('SCORING MASTER'!$D$59:$D$60,MATCH('STUDENT SCREENING'!AJ227,'SCORING MASTER'!$C$59:$C$60,0)),""))</f>
        <v/>
      </c>
      <c r="AL227" s="58" t="str">
        <f aca="false">IF('STUDENT SCREENING'!AK227="","",IFERROR(INDEX('SCORING MASTER'!$D$62:$D$63,MATCH('STUDENT SCREENING'!AK227,'SCORING MASTER'!$C$62:$C$63,0)),""))</f>
        <v/>
      </c>
      <c r="AM227" s="58" t="str">
        <f aca="false">IF('STUDENT SCREENING'!AL227="","",IFERROR(INDEX('SCORING MASTER'!$D$65:$D$66,MATCH('STUDENT SCREENING'!AL227,'SCORING MASTER'!$C$65:$C$66,0)),""))</f>
        <v/>
      </c>
      <c r="AN227" s="58" t="str">
        <f aca="false">IF('STUDENT SCREENING'!AM227="","",IFERROR(INDEX('SCORING MASTER'!$D$68:$D$69,MATCH('STUDENT SCREENING'!AM227,'SCORING MASTER'!$C$68:$C$69,0)),""))</f>
        <v/>
      </c>
      <c r="AO227" s="58" t="str">
        <f aca="false">IF('STUDENT SCREENING'!AN227="","",IFERROR(INDEX('SCORING MASTER'!$D$71:$D$72,MATCH('STUDENT SCREENING'!AN227,'SCORING MASTER'!$C$71:$C$72,0)),""))</f>
        <v/>
      </c>
      <c r="AP227" s="58" t="str">
        <f aca="false">IF('STUDENT SCREENING'!AO227="","",IFERROR(INDEX('SCORING MASTER'!$D$74:$D$75,MATCH('STUDENT SCREENING'!AO227,'SCORING MASTER'!$C$74:$C$75,0)),""))</f>
        <v/>
      </c>
      <c r="AQ227" s="58" t="str">
        <f aca="false">IF('STUDENT SCREENING'!AP227="","",IFERROR(INDEX('SCORING MASTER'!$D$77:$D$78,MATCH('STUDENT SCREENING'!AP227,'SCORING MASTER'!$C$77:$C$78,0)),""))</f>
        <v/>
      </c>
      <c r="AR227" s="58" t="str">
        <f aca="false">IF('STUDENT SCREENING'!AQ227="","",IFERROR(INDEX('SCORING MASTER'!$D$80:$D$82,MATCH('STUDENT SCREENING'!AQ227,'SCORING MASTER'!$C$80:$C$82,0)),""))</f>
        <v/>
      </c>
      <c r="AS227" s="58" t="str">
        <f aca="false">IF('STUDENT SCREENING'!AR227="","",IFERROR(INDEX('SCORING MASTER'!$D$84:$D$86,MATCH('STUDENT SCREENING'!AR227,'SCORING MASTER'!$C$84:$C$86,0)),""))</f>
        <v/>
      </c>
      <c r="AT227" s="58" t="str">
        <f aca="false">IF('STUDENT SCREENING'!AS227="","",IFERROR(INDEX('SCORING MASTER'!$D$88:$D$90,MATCH('STUDENT SCREENING'!AS227,'SCORING MASTER'!$C$88:$C$90,0)),""))</f>
        <v/>
      </c>
      <c r="AU227" s="58" t="str">
        <f aca="false">IF('STUDENT SCREENING'!AT227="","",IFERROR(INDEX('SCORING MASTER'!$D$92:$D$93,MATCH('STUDENT SCREENING'!AT227,'SCORING MASTER'!$C$92:$C$93,0)),""))</f>
        <v/>
      </c>
      <c r="AV227" s="58" t="str">
        <f aca="false">IF('STUDENT SCREENING'!AU227="","",IFERROR(INDEX('SCORING MASTER'!$D$95:$D$96,MATCH('STUDENT SCREENING'!AU227,'SCORING MASTER'!$C$95:$C$96,0)),""))</f>
        <v/>
      </c>
      <c r="AW227" s="58" t="str">
        <f aca="false">IF('STUDENT SCREENING'!AV227="","",IFERROR(INDEX('SCORING MASTER'!$D$98:$D$99,MATCH('STUDENT SCREENING'!AV227,'SCORING MASTER'!$C$98:$C$99,0)),""))</f>
        <v/>
      </c>
      <c r="AX227" s="58" t="str">
        <f aca="false">IF('STUDENT SCREENING'!AW227="","",IFERROR(INDEX('SCORING MASTER'!$D$101:$D$102,MATCH('STUDENT SCREENING'!AW227,'SCORING MASTER'!$C$101:$C$102,0)),""))</f>
        <v/>
      </c>
      <c r="AY227" s="58" t="str">
        <f aca="false">IF('STUDENT SCREENING'!AX227="","",IFERROR(INDEX('SCORING MASTER'!$D$104:$D$105,MATCH('STUDENT SCREENING'!AX227,'SCORING MASTER'!$C$104:$C$105,0)),""))</f>
        <v/>
      </c>
      <c r="AZ227" s="58" t="str">
        <f aca="false">IF('STUDENT SCREENING'!AY227="","",IFERROR(INDEX('SCORING MASTER'!$D$107:$D$108,MATCH('STUDENT SCREENING'!AY227,'SCORING MASTER'!$C$107:$C$108,0)),""))</f>
        <v/>
      </c>
      <c r="BA227" s="58" t="str">
        <f aca="false">IF('STUDENT SCREENING'!AZ227="","",IFERROR(INDEX('SCORING MASTER'!$D$110:$D$111,MATCH('STUDENT SCREENING'!AZ227,'SCORING MASTER'!$C$110:$C$111,0)),""))</f>
        <v/>
      </c>
      <c r="BB227" s="58" t="str">
        <f aca="false">IF('STUDENT SCREENING'!BA227="","",IFERROR(INDEX('SCORING MASTER'!$D$113:$D$115,MATCH('STUDENT SCREENING'!BA227,'SCORING MASTER'!$C$113:$C$115,0)),""))</f>
        <v/>
      </c>
      <c r="BC227" s="58" t="str">
        <f aca="false">IF('STUDENT SCREENING'!BB227="","",IFERROR(INDEX('SCORING MASTER'!$D$117:$D$119,MATCH('STUDENT SCREENING'!BB227,'SCORING MASTER'!$C$117:$C$119,0)),""))</f>
        <v/>
      </c>
      <c r="BD227" s="58" t="str">
        <f aca="false">IF('STUDENT SCREENING'!BC227="","",IFERROR(INDEX('SCORING MASTER'!$D$121:$D$123,MATCH('STUDENT SCREENING'!BC227,'SCORING MASTER'!$C$121:$C$123,0)),""))</f>
        <v/>
      </c>
      <c r="BE227" s="58" t="str">
        <f aca="false">IF('STUDENT SCREENING'!BD227="","",IFERROR(INDEX('SCORING MASTER'!$D$125:$D$126,MATCH('STUDENT SCREENING'!BD227,'SCORING MASTER'!$C$125:$C$126,0)),""))</f>
        <v/>
      </c>
      <c r="BF227" s="58" t="str">
        <f aca="false">IF('STUDENT SCREENING'!BE227="","",IFERROR(INDEX('SCORING MASTER'!$D$128:$D$129,MATCH('STUDENT SCREENING'!BE227,'SCORING MASTER'!$C$128:$C$129,0)),""))</f>
        <v/>
      </c>
      <c r="BG227" s="58" t="str">
        <f aca="false">IF('STUDENT SCREENING'!BP227="","",IFERROR(MATCH('STUDENT SCREENING'!BP227,{"Red - High Risk","Orange - Moderate Risk","Yellow - Mild Risk","Light Green - Mild Watch","Green - Healthy"},0)-1,""))</f>
        <v/>
      </c>
      <c r="BH227" s="58" t="str">
        <f aca="false">IF('STUDENT SCREENING'!BQ227="","",IF('STUDENT SCREENING'!BQ227="Yes",1,0))</f>
        <v/>
      </c>
      <c r="BI227" s="58" t="str">
        <f aca="false">IF('STUDENT SCREENING'!BR227="","",IF('STUDENT SCREENING'!BR227="Yes",1,0))</f>
        <v/>
      </c>
    </row>
    <row r="228" customFormat="false" ht="15" hidden="false" customHeight="false" outlineLevel="0" collapsed="false">
      <c r="A228" s="57" t="str">
        <f aca="false">'STUDENT SCREENING'!A228</f>
        <v/>
      </c>
      <c r="B228" s="57" t="n">
        <f aca="false">'STUDENT SCREENING'!C228</f>
        <v>0</v>
      </c>
      <c r="C228" s="57" t="n">
        <f aca="false">'STUDENT SCREENING'!D228</f>
        <v>0</v>
      </c>
      <c r="D228" s="57" t="n">
        <f aca="false">'STUDENT SCREENING'!E228</f>
        <v>0</v>
      </c>
      <c r="E228" s="57" t="n">
        <f aca="false">'STUDENT SCREENING'!F228</f>
        <v>0</v>
      </c>
      <c r="F228" s="57" t="n">
        <f aca="false">'STUDENT SCREENING'!K228</f>
        <v>0</v>
      </c>
      <c r="G228" s="57" t="n">
        <f aca="false">'STUDENT SCREENING'!J228</f>
        <v>0</v>
      </c>
      <c r="H228" s="57" t="str">
        <f aca="false">IF('STUDENT SCREENING'!K228="","",IFERROR(MATCH('STUDENT SCREENING'!K228,Adm_Gender,0),""))</f>
        <v/>
      </c>
      <c r="I228" s="57" t="n">
        <f aca="false">'STUDENT SCREENING'!Q228</f>
        <v>0</v>
      </c>
      <c r="J228" s="57" t="n">
        <f aca="false">'STUDENT SCREENING'!R228</f>
        <v>0</v>
      </c>
      <c r="K228" s="57" t="str">
        <f aca="false">'STUDENT SCREENING'!S228</f>
        <v/>
      </c>
      <c r="L228" s="57" t="n">
        <f aca="false">'STUDENT SCREENING'!U228</f>
        <v>0</v>
      </c>
      <c r="M228" s="57" t="n">
        <f aca="false">'STUDENT SCREENING'!V228</f>
        <v>0</v>
      </c>
      <c r="N228" s="57" t="str">
        <f aca="false">'STUDENT SCREENING'!BF228</f>
        <v/>
      </c>
      <c r="O228" s="57" t="str">
        <f aca="false">'STUDENT SCREENING'!BG228</f>
        <v/>
      </c>
      <c r="P228" s="57" t="str">
        <f aca="false">'STUDENT SCREENING'!BH228</f>
        <v/>
      </c>
      <c r="Q228" s="57" t="str">
        <f aca="false">'STUDENT SCREENING'!BI228</f>
        <v/>
      </c>
      <c r="R228" s="57" t="str">
        <f aca="false">'STUDENT SCREENING'!BJ228</f>
        <v/>
      </c>
      <c r="S228" s="57" t="str">
        <f aca="false">'STUDENT SCREENING'!BK228</f>
        <v/>
      </c>
      <c r="T228" s="57" t="str">
        <f aca="false">'STUDENT SCREENING'!BL228</f>
        <v/>
      </c>
      <c r="U228" s="57" t="str">
        <f aca="false">'STUDENT SCREENING'!BM228</f>
        <v/>
      </c>
      <c r="V228" s="57" t="str">
        <f aca="false">'STUDENT SCREENING'!BN228</f>
        <v/>
      </c>
      <c r="W228" s="57" t="str">
        <f aca="false">'STUDENT SCREENING'!BO228</f>
        <v/>
      </c>
      <c r="X228" s="57" t="str">
        <f aca="false">IF('STUDENT SCREENING'!W228="","",IFERROR(INDEX('SCORING MASTER'!$D$5:$D$7,MATCH('STUDENT SCREENING'!W228,'SCORING MASTER'!$C$5:$C$7,0)),""))</f>
        <v/>
      </c>
      <c r="Y228" s="57" t="str">
        <f aca="false">IF('STUDENT SCREENING'!X228="","",IFERROR(INDEX('SCORING MASTER'!$D$9:$D$11,MATCH('STUDENT SCREENING'!X228,'SCORING MASTER'!$C$9:$C$11,0)),""))</f>
        <v/>
      </c>
      <c r="Z228" s="57" t="str">
        <f aca="false">IF('STUDENT SCREENING'!Y228="","",IFERROR(INDEX('SCORING MASTER'!$D$13:$D$15,MATCH('STUDENT SCREENING'!Y228,'SCORING MASTER'!$C$13:$C$15,0)),""))</f>
        <v/>
      </c>
      <c r="AA228" s="57" t="str">
        <f aca="false">IF('STUDENT SCREENING'!Z228="","",IFERROR(INDEX('SCORING MASTER'!$D$17:$D$19,MATCH('STUDENT SCREENING'!Z228,'SCORING MASTER'!$C$17:$C$19,0)),""))</f>
        <v/>
      </c>
      <c r="AB228" s="57" t="str">
        <f aca="false">IF('STUDENT SCREENING'!AA228="","",IFERROR(INDEX('SCORING MASTER'!$D$21:$D$23,MATCH('STUDENT SCREENING'!AA228,'SCORING MASTER'!$C$21:$C$23,0)),""))</f>
        <v/>
      </c>
      <c r="AC228" s="57" t="str">
        <f aca="false">IF('STUDENT SCREENING'!AB228="","",IFERROR(INDEX('SCORING MASTER'!$D$25:$D$27,MATCH('STUDENT SCREENING'!AB228,'SCORING MASTER'!$C$25:$C$27,0)),""))</f>
        <v/>
      </c>
      <c r="AD228" s="57" t="str">
        <f aca="false">IF('STUDENT SCREENING'!AC228="","",IFERROR(INDEX('SCORING MASTER'!$D$29:$D$31,MATCH('STUDENT SCREENING'!AC228,'SCORING MASTER'!$C$29:$C$31,0)),""))</f>
        <v/>
      </c>
      <c r="AE228" s="57" t="str">
        <f aca="false">IF('STUDENT SCREENING'!AD228="","",IFERROR(INDEX('SCORING MASTER'!$D$33:$D$35,MATCH('STUDENT SCREENING'!AD228,'SCORING MASTER'!$C$33:$C$35,0)),""))</f>
        <v/>
      </c>
      <c r="AF228" s="57" t="str">
        <f aca="false">IF('STUDENT SCREENING'!AE228="","",IFERROR(INDEX('SCORING MASTER'!$D$37:$D$39,MATCH('STUDENT SCREENING'!AE228,'SCORING MASTER'!$C$37:$C$39,0)),""))</f>
        <v/>
      </c>
      <c r="AG228" s="57" t="str">
        <f aca="false">IF('STUDENT SCREENING'!AF228="","",IFERROR(INDEX('SCORING MASTER'!$D$41:$D$43,MATCH('STUDENT SCREENING'!AF228,'SCORING MASTER'!$C$41:$C$43,0)),""))</f>
        <v/>
      </c>
      <c r="AH228" s="57" t="str">
        <f aca="false">IF('STUDENT SCREENING'!AG228="","",IFERROR(INDEX('SCORING MASTER'!$D$45:$D$47,MATCH('STUDENT SCREENING'!AG228,'SCORING MASTER'!$C$45:$C$47,0)),""))</f>
        <v/>
      </c>
      <c r="AI228" s="57" t="str">
        <f aca="false">IF('STUDENT SCREENING'!AH228="","",IFERROR(INDEX('SCORING MASTER'!$D$49:$D$52,MATCH('STUDENT SCREENING'!AH228,'SCORING MASTER'!$C$49:$C$52,0)),""))</f>
        <v/>
      </c>
      <c r="AJ228" s="57" t="str">
        <f aca="false">IF('STUDENT SCREENING'!AI228="","",IFERROR(INDEX('SCORING MASTER'!$D$54:$D$57,MATCH('STUDENT SCREENING'!AI228,'SCORING MASTER'!$C$54:$C$57,0)),""))</f>
        <v/>
      </c>
      <c r="AK228" s="57" t="str">
        <f aca="false">IF('STUDENT SCREENING'!AJ228="","",IFERROR(INDEX('SCORING MASTER'!$D$59:$D$60,MATCH('STUDENT SCREENING'!AJ228,'SCORING MASTER'!$C$59:$C$60,0)),""))</f>
        <v/>
      </c>
      <c r="AL228" s="57" t="str">
        <f aca="false">IF('STUDENT SCREENING'!AK228="","",IFERROR(INDEX('SCORING MASTER'!$D$62:$D$63,MATCH('STUDENT SCREENING'!AK228,'SCORING MASTER'!$C$62:$C$63,0)),""))</f>
        <v/>
      </c>
      <c r="AM228" s="57" t="str">
        <f aca="false">IF('STUDENT SCREENING'!AL228="","",IFERROR(INDEX('SCORING MASTER'!$D$65:$D$66,MATCH('STUDENT SCREENING'!AL228,'SCORING MASTER'!$C$65:$C$66,0)),""))</f>
        <v/>
      </c>
      <c r="AN228" s="57" t="str">
        <f aca="false">IF('STUDENT SCREENING'!AM228="","",IFERROR(INDEX('SCORING MASTER'!$D$68:$D$69,MATCH('STUDENT SCREENING'!AM228,'SCORING MASTER'!$C$68:$C$69,0)),""))</f>
        <v/>
      </c>
      <c r="AO228" s="57" t="str">
        <f aca="false">IF('STUDENT SCREENING'!AN228="","",IFERROR(INDEX('SCORING MASTER'!$D$71:$D$72,MATCH('STUDENT SCREENING'!AN228,'SCORING MASTER'!$C$71:$C$72,0)),""))</f>
        <v/>
      </c>
      <c r="AP228" s="57" t="str">
        <f aca="false">IF('STUDENT SCREENING'!AO228="","",IFERROR(INDEX('SCORING MASTER'!$D$74:$D$75,MATCH('STUDENT SCREENING'!AO228,'SCORING MASTER'!$C$74:$C$75,0)),""))</f>
        <v/>
      </c>
      <c r="AQ228" s="57" t="str">
        <f aca="false">IF('STUDENT SCREENING'!AP228="","",IFERROR(INDEX('SCORING MASTER'!$D$77:$D$78,MATCH('STUDENT SCREENING'!AP228,'SCORING MASTER'!$C$77:$C$78,0)),""))</f>
        <v/>
      </c>
      <c r="AR228" s="57" t="str">
        <f aca="false">IF('STUDENT SCREENING'!AQ228="","",IFERROR(INDEX('SCORING MASTER'!$D$80:$D$82,MATCH('STUDENT SCREENING'!AQ228,'SCORING MASTER'!$C$80:$C$82,0)),""))</f>
        <v/>
      </c>
      <c r="AS228" s="57" t="str">
        <f aca="false">IF('STUDENT SCREENING'!AR228="","",IFERROR(INDEX('SCORING MASTER'!$D$84:$D$86,MATCH('STUDENT SCREENING'!AR228,'SCORING MASTER'!$C$84:$C$86,0)),""))</f>
        <v/>
      </c>
      <c r="AT228" s="57" t="str">
        <f aca="false">IF('STUDENT SCREENING'!AS228="","",IFERROR(INDEX('SCORING MASTER'!$D$88:$D$90,MATCH('STUDENT SCREENING'!AS228,'SCORING MASTER'!$C$88:$C$90,0)),""))</f>
        <v/>
      </c>
      <c r="AU228" s="57" t="str">
        <f aca="false">IF('STUDENT SCREENING'!AT228="","",IFERROR(INDEX('SCORING MASTER'!$D$92:$D$93,MATCH('STUDENT SCREENING'!AT228,'SCORING MASTER'!$C$92:$C$93,0)),""))</f>
        <v/>
      </c>
      <c r="AV228" s="57" t="str">
        <f aca="false">IF('STUDENT SCREENING'!AU228="","",IFERROR(INDEX('SCORING MASTER'!$D$95:$D$96,MATCH('STUDENT SCREENING'!AU228,'SCORING MASTER'!$C$95:$C$96,0)),""))</f>
        <v/>
      </c>
      <c r="AW228" s="57" t="str">
        <f aca="false">IF('STUDENT SCREENING'!AV228="","",IFERROR(INDEX('SCORING MASTER'!$D$98:$D$99,MATCH('STUDENT SCREENING'!AV228,'SCORING MASTER'!$C$98:$C$99,0)),""))</f>
        <v/>
      </c>
      <c r="AX228" s="57" t="str">
        <f aca="false">IF('STUDENT SCREENING'!AW228="","",IFERROR(INDEX('SCORING MASTER'!$D$101:$D$102,MATCH('STUDENT SCREENING'!AW228,'SCORING MASTER'!$C$101:$C$102,0)),""))</f>
        <v/>
      </c>
      <c r="AY228" s="57" t="str">
        <f aca="false">IF('STUDENT SCREENING'!AX228="","",IFERROR(INDEX('SCORING MASTER'!$D$104:$D$105,MATCH('STUDENT SCREENING'!AX228,'SCORING MASTER'!$C$104:$C$105,0)),""))</f>
        <v/>
      </c>
      <c r="AZ228" s="57" t="str">
        <f aca="false">IF('STUDENT SCREENING'!AY228="","",IFERROR(INDEX('SCORING MASTER'!$D$107:$D$108,MATCH('STUDENT SCREENING'!AY228,'SCORING MASTER'!$C$107:$C$108,0)),""))</f>
        <v/>
      </c>
      <c r="BA228" s="57" t="str">
        <f aca="false">IF('STUDENT SCREENING'!AZ228="","",IFERROR(INDEX('SCORING MASTER'!$D$110:$D$111,MATCH('STUDENT SCREENING'!AZ228,'SCORING MASTER'!$C$110:$C$111,0)),""))</f>
        <v/>
      </c>
      <c r="BB228" s="57" t="str">
        <f aca="false">IF('STUDENT SCREENING'!BA228="","",IFERROR(INDEX('SCORING MASTER'!$D$113:$D$115,MATCH('STUDENT SCREENING'!BA228,'SCORING MASTER'!$C$113:$C$115,0)),""))</f>
        <v/>
      </c>
      <c r="BC228" s="57" t="str">
        <f aca="false">IF('STUDENT SCREENING'!BB228="","",IFERROR(INDEX('SCORING MASTER'!$D$117:$D$119,MATCH('STUDENT SCREENING'!BB228,'SCORING MASTER'!$C$117:$C$119,0)),""))</f>
        <v/>
      </c>
      <c r="BD228" s="57" t="str">
        <f aca="false">IF('STUDENT SCREENING'!BC228="","",IFERROR(INDEX('SCORING MASTER'!$D$121:$D$123,MATCH('STUDENT SCREENING'!BC228,'SCORING MASTER'!$C$121:$C$123,0)),""))</f>
        <v/>
      </c>
      <c r="BE228" s="57" t="str">
        <f aca="false">IF('STUDENT SCREENING'!BD228="","",IFERROR(INDEX('SCORING MASTER'!$D$125:$D$126,MATCH('STUDENT SCREENING'!BD228,'SCORING MASTER'!$C$125:$C$126,0)),""))</f>
        <v/>
      </c>
      <c r="BF228" s="57" t="str">
        <f aca="false">IF('STUDENT SCREENING'!BE228="","",IFERROR(INDEX('SCORING MASTER'!$D$128:$D$129,MATCH('STUDENT SCREENING'!BE228,'SCORING MASTER'!$C$128:$C$129,0)),""))</f>
        <v/>
      </c>
      <c r="BG228" s="57" t="str">
        <f aca="false">IF('STUDENT SCREENING'!BP228="","",IFERROR(MATCH('STUDENT SCREENING'!BP228,{"Red - High Risk","Orange - Moderate Risk","Yellow - Mild Risk","Light Green - Mild Watch","Green - Healthy"},0)-1,""))</f>
        <v/>
      </c>
      <c r="BH228" s="57" t="str">
        <f aca="false">IF('STUDENT SCREENING'!BQ228="","",IF('STUDENT SCREENING'!BQ228="Yes",1,0))</f>
        <v/>
      </c>
      <c r="BI228" s="57" t="str">
        <f aca="false">IF('STUDENT SCREENING'!BR228="","",IF('STUDENT SCREENING'!BR228="Yes",1,0))</f>
        <v/>
      </c>
    </row>
    <row r="229" customFormat="false" ht="15" hidden="false" customHeight="false" outlineLevel="0" collapsed="false">
      <c r="A229" s="58" t="str">
        <f aca="false">'STUDENT SCREENING'!A229</f>
        <v/>
      </c>
      <c r="B229" s="58" t="n">
        <f aca="false">'STUDENT SCREENING'!C229</f>
        <v>0</v>
      </c>
      <c r="C229" s="58" t="n">
        <f aca="false">'STUDENT SCREENING'!D229</f>
        <v>0</v>
      </c>
      <c r="D229" s="58" t="n">
        <f aca="false">'STUDENT SCREENING'!E229</f>
        <v>0</v>
      </c>
      <c r="E229" s="58" t="n">
        <f aca="false">'STUDENT SCREENING'!F229</f>
        <v>0</v>
      </c>
      <c r="F229" s="58" t="n">
        <f aca="false">'STUDENT SCREENING'!K229</f>
        <v>0</v>
      </c>
      <c r="G229" s="58" t="n">
        <f aca="false">'STUDENT SCREENING'!J229</f>
        <v>0</v>
      </c>
      <c r="H229" s="58" t="str">
        <f aca="false">IF('STUDENT SCREENING'!K229="","",IFERROR(MATCH('STUDENT SCREENING'!K229,Adm_Gender,0),""))</f>
        <v/>
      </c>
      <c r="I229" s="58" t="n">
        <f aca="false">'STUDENT SCREENING'!Q229</f>
        <v>0</v>
      </c>
      <c r="J229" s="58" t="n">
        <f aca="false">'STUDENT SCREENING'!R229</f>
        <v>0</v>
      </c>
      <c r="K229" s="58" t="str">
        <f aca="false">'STUDENT SCREENING'!S229</f>
        <v/>
      </c>
      <c r="L229" s="58" t="n">
        <f aca="false">'STUDENT SCREENING'!U229</f>
        <v>0</v>
      </c>
      <c r="M229" s="58" t="n">
        <f aca="false">'STUDENT SCREENING'!V229</f>
        <v>0</v>
      </c>
      <c r="N229" s="58" t="str">
        <f aca="false">'STUDENT SCREENING'!BF229</f>
        <v/>
      </c>
      <c r="O229" s="58" t="str">
        <f aca="false">'STUDENT SCREENING'!BG229</f>
        <v/>
      </c>
      <c r="P229" s="58" t="str">
        <f aca="false">'STUDENT SCREENING'!BH229</f>
        <v/>
      </c>
      <c r="Q229" s="58" t="str">
        <f aca="false">'STUDENT SCREENING'!BI229</f>
        <v/>
      </c>
      <c r="R229" s="58" t="str">
        <f aca="false">'STUDENT SCREENING'!BJ229</f>
        <v/>
      </c>
      <c r="S229" s="58" t="str">
        <f aca="false">'STUDENT SCREENING'!BK229</f>
        <v/>
      </c>
      <c r="T229" s="58" t="str">
        <f aca="false">'STUDENT SCREENING'!BL229</f>
        <v/>
      </c>
      <c r="U229" s="58" t="str">
        <f aca="false">'STUDENT SCREENING'!BM229</f>
        <v/>
      </c>
      <c r="V229" s="58" t="str">
        <f aca="false">'STUDENT SCREENING'!BN229</f>
        <v/>
      </c>
      <c r="W229" s="58" t="str">
        <f aca="false">'STUDENT SCREENING'!BO229</f>
        <v/>
      </c>
      <c r="X229" s="58" t="str">
        <f aca="false">IF('STUDENT SCREENING'!W229="","",IFERROR(INDEX('SCORING MASTER'!$D$5:$D$7,MATCH('STUDENT SCREENING'!W229,'SCORING MASTER'!$C$5:$C$7,0)),""))</f>
        <v/>
      </c>
      <c r="Y229" s="58" t="str">
        <f aca="false">IF('STUDENT SCREENING'!X229="","",IFERROR(INDEX('SCORING MASTER'!$D$9:$D$11,MATCH('STUDENT SCREENING'!X229,'SCORING MASTER'!$C$9:$C$11,0)),""))</f>
        <v/>
      </c>
      <c r="Z229" s="58" t="str">
        <f aca="false">IF('STUDENT SCREENING'!Y229="","",IFERROR(INDEX('SCORING MASTER'!$D$13:$D$15,MATCH('STUDENT SCREENING'!Y229,'SCORING MASTER'!$C$13:$C$15,0)),""))</f>
        <v/>
      </c>
      <c r="AA229" s="58" t="str">
        <f aca="false">IF('STUDENT SCREENING'!Z229="","",IFERROR(INDEX('SCORING MASTER'!$D$17:$D$19,MATCH('STUDENT SCREENING'!Z229,'SCORING MASTER'!$C$17:$C$19,0)),""))</f>
        <v/>
      </c>
      <c r="AB229" s="58" t="str">
        <f aca="false">IF('STUDENT SCREENING'!AA229="","",IFERROR(INDEX('SCORING MASTER'!$D$21:$D$23,MATCH('STUDENT SCREENING'!AA229,'SCORING MASTER'!$C$21:$C$23,0)),""))</f>
        <v/>
      </c>
      <c r="AC229" s="58" t="str">
        <f aca="false">IF('STUDENT SCREENING'!AB229="","",IFERROR(INDEX('SCORING MASTER'!$D$25:$D$27,MATCH('STUDENT SCREENING'!AB229,'SCORING MASTER'!$C$25:$C$27,0)),""))</f>
        <v/>
      </c>
      <c r="AD229" s="58" t="str">
        <f aca="false">IF('STUDENT SCREENING'!AC229="","",IFERROR(INDEX('SCORING MASTER'!$D$29:$D$31,MATCH('STUDENT SCREENING'!AC229,'SCORING MASTER'!$C$29:$C$31,0)),""))</f>
        <v/>
      </c>
      <c r="AE229" s="58" t="str">
        <f aca="false">IF('STUDENT SCREENING'!AD229="","",IFERROR(INDEX('SCORING MASTER'!$D$33:$D$35,MATCH('STUDENT SCREENING'!AD229,'SCORING MASTER'!$C$33:$C$35,0)),""))</f>
        <v/>
      </c>
      <c r="AF229" s="58" t="str">
        <f aca="false">IF('STUDENT SCREENING'!AE229="","",IFERROR(INDEX('SCORING MASTER'!$D$37:$D$39,MATCH('STUDENT SCREENING'!AE229,'SCORING MASTER'!$C$37:$C$39,0)),""))</f>
        <v/>
      </c>
      <c r="AG229" s="58" t="str">
        <f aca="false">IF('STUDENT SCREENING'!AF229="","",IFERROR(INDEX('SCORING MASTER'!$D$41:$D$43,MATCH('STUDENT SCREENING'!AF229,'SCORING MASTER'!$C$41:$C$43,0)),""))</f>
        <v/>
      </c>
      <c r="AH229" s="58" t="str">
        <f aca="false">IF('STUDENT SCREENING'!AG229="","",IFERROR(INDEX('SCORING MASTER'!$D$45:$D$47,MATCH('STUDENT SCREENING'!AG229,'SCORING MASTER'!$C$45:$C$47,0)),""))</f>
        <v/>
      </c>
      <c r="AI229" s="58" t="str">
        <f aca="false">IF('STUDENT SCREENING'!AH229="","",IFERROR(INDEX('SCORING MASTER'!$D$49:$D$52,MATCH('STUDENT SCREENING'!AH229,'SCORING MASTER'!$C$49:$C$52,0)),""))</f>
        <v/>
      </c>
      <c r="AJ229" s="58" t="str">
        <f aca="false">IF('STUDENT SCREENING'!AI229="","",IFERROR(INDEX('SCORING MASTER'!$D$54:$D$57,MATCH('STUDENT SCREENING'!AI229,'SCORING MASTER'!$C$54:$C$57,0)),""))</f>
        <v/>
      </c>
      <c r="AK229" s="58" t="str">
        <f aca="false">IF('STUDENT SCREENING'!AJ229="","",IFERROR(INDEX('SCORING MASTER'!$D$59:$D$60,MATCH('STUDENT SCREENING'!AJ229,'SCORING MASTER'!$C$59:$C$60,0)),""))</f>
        <v/>
      </c>
      <c r="AL229" s="58" t="str">
        <f aca="false">IF('STUDENT SCREENING'!AK229="","",IFERROR(INDEX('SCORING MASTER'!$D$62:$D$63,MATCH('STUDENT SCREENING'!AK229,'SCORING MASTER'!$C$62:$C$63,0)),""))</f>
        <v/>
      </c>
      <c r="AM229" s="58" t="str">
        <f aca="false">IF('STUDENT SCREENING'!AL229="","",IFERROR(INDEX('SCORING MASTER'!$D$65:$D$66,MATCH('STUDENT SCREENING'!AL229,'SCORING MASTER'!$C$65:$C$66,0)),""))</f>
        <v/>
      </c>
      <c r="AN229" s="58" t="str">
        <f aca="false">IF('STUDENT SCREENING'!AM229="","",IFERROR(INDEX('SCORING MASTER'!$D$68:$D$69,MATCH('STUDENT SCREENING'!AM229,'SCORING MASTER'!$C$68:$C$69,0)),""))</f>
        <v/>
      </c>
      <c r="AO229" s="58" t="str">
        <f aca="false">IF('STUDENT SCREENING'!AN229="","",IFERROR(INDEX('SCORING MASTER'!$D$71:$D$72,MATCH('STUDENT SCREENING'!AN229,'SCORING MASTER'!$C$71:$C$72,0)),""))</f>
        <v/>
      </c>
      <c r="AP229" s="58" t="str">
        <f aca="false">IF('STUDENT SCREENING'!AO229="","",IFERROR(INDEX('SCORING MASTER'!$D$74:$D$75,MATCH('STUDENT SCREENING'!AO229,'SCORING MASTER'!$C$74:$C$75,0)),""))</f>
        <v/>
      </c>
      <c r="AQ229" s="58" t="str">
        <f aca="false">IF('STUDENT SCREENING'!AP229="","",IFERROR(INDEX('SCORING MASTER'!$D$77:$D$78,MATCH('STUDENT SCREENING'!AP229,'SCORING MASTER'!$C$77:$C$78,0)),""))</f>
        <v/>
      </c>
      <c r="AR229" s="58" t="str">
        <f aca="false">IF('STUDENT SCREENING'!AQ229="","",IFERROR(INDEX('SCORING MASTER'!$D$80:$D$82,MATCH('STUDENT SCREENING'!AQ229,'SCORING MASTER'!$C$80:$C$82,0)),""))</f>
        <v/>
      </c>
      <c r="AS229" s="58" t="str">
        <f aca="false">IF('STUDENT SCREENING'!AR229="","",IFERROR(INDEX('SCORING MASTER'!$D$84:$D$86,MATCH('STUDENT SCREENING'!AR229,'SCORING MASTER'!$C$84:$C$86,0)),""))</f>
        <v/>
      </c>
      <c r="AT229" s="58" t="str">
        <f aca="false">IF('STUDENT SCREENING'!AS229="","",IFERROR(INDEX('SCORING MASTER'!$D$88:$D$90,MATCH('STUDENT SCREENING'!AS229,'SCORING MASTER'!$C$88:$C$90,0)),""))</f>
        <v/>
      </c>
      <c r="AU229" s="58" t="str">
        <f aca="false">IF('STUDENT SCREENING'!AT229="","",IFERROR(INDEX('SCORING MASTER'!$D$92:$D$93,MATCH('STUDENT SCREENING'!AT229,'SCORING MASTER'!$C$92:$C$93,0)),""))</f>
        <v/>
      </c>
      <c r="AV229" s="58" t="str">
        <f aca="false">IF('STUDENT SCREENING'!AU229="","",IFERROR(INDEX('SCORING MASTER'!$D$95:$D$96,MATCH('STUDENT SCREENING'!AU229,'SCORING MASTER'!$C$95:$C$96,0)),""))</f>
        <v/>
      </c>
      <c r="AW229" s="58" t="str">
        <f aca="false">IF('STUDENT SCREENING'!AV229="","",IFERROR(INDEX('SCORING MASTER'!$D$98:$D$99,MATCH('STUDENT SCREENING'!AV229,'SCORING MASTER'!$C$98:$C$99,0)),""))</f>
        <v/>
      </c>
      <c r="AX229" s="58" t="str">
        <f aca="false">IF('STUDENT SCREENING'!AW229="","",IFERROR(INDEX('SCORING MASTER'!$D$101:$D$102,MATCH('STUDENT SCREENING'!AW229,'SCORING MASTER'!$C$101:$C$102,0)),""))</f>
        <v/>
      </c>
      <c r="AY229" s="58" t="str">
        <f aca="false">IF('STUDENT SCREENING'!AX229="","",IFERROR(INDEX('SCORING MASTER'!$D$104:$D$105,MATCH('STUDENT SCREENING'!AX229,'SCORING MASTER'!$C$104:$C$105,0)),""))</f>
        <v/>
      </c>
      <c r="AZ229" s="58" t="str">
        <f aca="false">IF('STUDENT SCREENING'!AY229="","",IFERROR(INDEX('SCORING MASTER'!$D$107:$D$108,MATCH('STUDENT SCREENING'!AY229,'SCORING MASTER'!$C$107:$C$108,0)),""))</f>
        <v/>
      </c>
      <c r="BA229" s="58" t="str">
        <f aca="false">IF('STUDENT SCREENING'!AZ229="","",IFERROR(INDEX('SCORING MASTER'!$D$110:$D$111,MATCH('STUDENT SCREENING'!AZ229,'SCORING MASTER'!$C$110:$C$111,0)),""))</f>
        <v/>
      </c>
      <c r="BB229" s="58" t="str">
        <f aca="false">IF('STUDENT SCREENING'!BA229="","",IFERROR(INDEX('SCORING MASTER'!$D$113:$D$115,MATCH('STUDENT SCREENING'!BA229,'SCORING MASTER'!$C$113:$C$115,0)),""))</f>
        <v/>
      </c>
      <c r="BC229" s="58" t="str">
        <f aca="false">IF('STUDENT SCREENING'!BB229="","",IFERROR(INDEX('SCORING MASTER'!$D$117:$D$119,MATCH('STUDENT SCREENING'!BB229,'SCORING MASTER'!$C$117:$C$119,0)),""))</f>
        <v/>
      </c>
      <c r="BD229" s="58" t="str">
        <f aca="false">IF('STUDENT SCREENING'!BC229="","",IFERROR(INDEX('SCORING MASTER'!$D$121:$D$123,MATCH('STUDENT SCREENING'!BC229,'SCORING MASTER'!$C$121:$C$123,0)),""))</f>
        <v/>
      </c>
      <c r="BE229" s="58" t="str">
        <f aca="false">IF('STUDENT SCREENING'!BD229="","",IFERROR(INDEX('SCORING MASTER'!$D$125:$D$126,MATCH('STUDENT SCREENING'!BD229,'SCORING MASTER'!$C$125:$C$126,0)),""))</f>
        <v/>
      </c>
      <c r="BF229" s="58" t="str">
        <f aca="false">IF('STUDENT SCREENING'!BE229="","",IFERROR(INDEX('SCORING MASTER'!$D$128:$D$129,MATCH('STUDENT SCREENING'!BE229,'SCORING MASTER'!$C$128:$C$129,0)),""))</f>
        <v/>
      </c>
      <c r="BG229" s="58" t="str">
        <f aca="false">IF('STUDENT SCREENING'!BP229="","",IFERROR(MATCH('STUDENT SCREENING'!BP229,{"Red - High Risk","Orange - Moderate Risk","Yellow - Mild Risk","Light Green - Mild Watch","Green - Healthy"},0)-1,""))</f>
        <v/>
      </c>
      <c r="BH229" s="58" t="str">
        <f aca="false">IF('STUDENT SCREENING'!BQ229="","",IF('STUDENT SCREENING'!BQ229="Yes",1,0))</f>
        <v/>
      </c>
      <c r="BI229" s="58" t="str">
        <f aca="false">IF('STUDENT SCREENING'!BR229="","",IF('STUDENT SCREENING'!BR229="Yes",1,0))</f>
        <v/>
      </c>
    </row>
    <row r="230" customFormat="false" ht="15" hidden="false" customHeight="false" outlineLevel="0" collapsed="false">
      <c r="A230" s="57" t="str">
        <f aca="false">'STUDENT SCREENING'!A230</f>
        <v/>
      </c>
      <c r="B230" s="57" t="n">
        <f aca="false">'STUDENT SCREENING'!C230</f>
        <v>0</v>
      </c>
      <c r="C230" s="57" t="n">
        <f aca="false">'STUDENT SCREENING'!D230</f>
        <v>0</v>
      </c>
      <c r="D230" s="57" t="n">
        <f aca="false">'STUDENT SCREENING'!E230</f>
        <v>0</v>
      </c>
      <c r="E230" s="57" t="n">
        <f aca="false">'STUDENT SCREENING'!F230</f>
        <v>0</v>
      </c>
      <c r="F230" s="57" t="n">
        <f aca="false">'STUDENT SCREENING'!K230</f>
        <v>0</v>
      </c>
      <c r="G230" s="57" t="n">
        <f aca="false">'STUDENT SCREENING'!J230</f>
        <v>0</v>
      </c>
      <c r="H230" s="57" t="str">
        <f aca="false">IF('STUDENT SCREENING'!K230="","",IFERROR(MATCH('STUDENT SCREENING'!K230,Adm_Gender,0),""))</f>
        <v/>
      </c>
      <c r="I230" s="57" t="n">
        <f aca="false">'STUDENT SCREENING'!Q230</f>
        <v>0</v>
      </c>
      <c r="J230" s="57" t="n">
        <f aca="false">'STUDENT SCREENING'!R230</f>
        <v>0</v>
      </c>
      <c r="K230" s="57" t="str">
        <f aca="false">'STUDENT SCREENING'!S230</f>
        <v/>
      </c>
      <c r="L230" s="57" t="n">
        <f aca="false">'STUDENT SCREENING'!U230</f>
        <v>0</v>
      </c>
      <c r="M230" s="57" t="n">
        <f aca="false">'STUDENT SCREENING'!V230</f>
        <v>0</v>
      </c>
      <c r="N230" s="57" t="str">
        <f aca="false">'STUDENT SCREENING'!BF230</f>
        <v/>
      </c>
      <c r="O230" s="57" t="str">
        <f aca="false">'STUDENT SCREENING'!BG230</f>
        <v/>
      </c>
      <c r="P230" s="57" t="str">
        <f aca="false">'STUDENT SCREENING'!BH230</f>
        <v/>
      </c>
      <c r="Q230" s="57" t="str">
        <f aca="false">'STUDENT SCREENING'!BI230</f>
        <v/>
      </c>
      <c r="R230" s="57" t="str">
        <f aca="false">'STUDENT SCREENING'!BJ230</f>
        <v/>
      </c>
      <c r="S230" s="57" t="str">
        <f aca="false">'STUDENT SCREENING'!BK230</f>
        <v/>
      </c>
      <c r="T230" s="57" t="str">
        <f aca="false">'STUDENT SCREENING'!BL230</f>
        <v/>
      </c>
      <c r="U230" s="57" t="str">
        <f aca="false">'STUDENT SCREENING'!BM230</f>
        <v/>
      </c>
      <c r="V230" s="57" t="str">
        <f aca="false">'STUDENT SCREENING'!BN230</f>
        <v/>
      </c>
      <c r="W230" s="57" t="str">
        <f aca="false">'STUDENT SCREENING'!BO230</f>
        <v/>
      </c>
      <c r="X230" s="57" t="str">
        <f aca="false">IF('STUDENT SCREENING'!W230="","",IFERROR(INDEX('SCORING MASTER'!$D$5:$D$7,MATCH('STUDENT SCREENING'!W230,'SCORING MASTER'!$C$5:$C$7,0)),""))</f>
        <v/>
      </c>
      <c r="Y230" s="57" t="str">
        <f aca="false">IF('STUDENT SCREENING'!X230="","",IFERROR(INDEX('SCORING MASTER'!$D$9:$D$11,MATCH('STUDENT SCREENING'!X230,'SCORING MASTER'!$C$9:$C$11,0)),""))</f>
        <v/>
      </c>
      <c r="Z230" s="57" t="str">
        <f aca="false">IF('STUDENT SCREENING'!Y230="","",IFERROR(INDEX('SCORING MASTER'!$D$13:$D$15,MATCH('STUDENT SCREENING'!Y230,'SCORING MASTER'!$C$13:$C$15,0)),""))</f>
        <v/>
      </c>
      <c r="AA230" s="57" t="str">
        <f aca="false">IF('STUDENT SCREENING'!Z230="","",IFERROR(INDEX('SCORING MASTER'!$D$17:$D$19,MATCH('STUDENT SCREENING'!Z230,'SCORING MASTER'!$C$17:$C$19,0)),""))</f>
        <v/>
      </c>
      <c r="AB230" s="57" t="str">
        <f aca="false">IF('STUDENT SCREENING'!AA230="","",IFERROR(INDEX('SCORING MASTER'!$D$21:$D$23,MATCH('STUDENT SCREENING'!AA230,'SCORING MASTER'!$C$21:$C$23,0)),""))</f>
        <v/>
      </c>
      <c r="AC230" s="57" t="str">
        <f aca="false">IF('STUDENT SCREENING'!AB230="","",IFERROR(INDEX('SCORING MASTER'!$D$25:$D$27,MATCH('STUDENT SCREENING'!AB230,'SCORING MASTER'!$C$25:$C$27,0)),""))</f>
        <v/>
      </c>
      <c r="AD230" s="57" t="str">
        <f aca="false">IF('STUDENT SCREENING'!AC230="","",IFERROR(INDEX('SCORING MASTER'!$D$29:$D$31,MATCH('STUDENT SCREENING'!AC230,'SCORING MASTER'!$C$29:$C$31,0)),""))</f>
        <v/>
      </c>
      <c r="AE230" s="57" t="str">
        <f aca="false">IF('STUDENT SCREENING'!AD230="","",IFERROR(INDEX('SCORING MASTER'!$D$33:$D$35,MATCH('STUDENT SCREENING'!AD230,'SCORING MASTER'!$C$33:$C$35,0)),""))</f>
        <v/>
      </c>
      <c r="AF230" s="57" t="str">
        <f aca="false">IF('STUDENT SCREENING'!AE230="","",IFERROR(INDEX('SCORING MASTER'!$D$37:$D$39,MATCH('STUDENT SCREENING'!AE230,'SCORING MASTER'!$C$37:$C$39,0)),""))</f>
        <v/>
      </c>
      <c r="AG230" s="57" t="str">
        <f aca="false">IF('STUDENT SCREENING'!AF230="","",IFERROR(INDEX('SCORING MASTER'!$D$41:$D$43,MATCH('STUDENT SCREENING'!AF230,'SCORING MASTER'!$C$41:$C$43,0)),""))</f>
        <v/>
      </c>
      <c r="AH230" s="57" t="str">
        <f aca="false">IF('STUDENT SCREENING'!AG230="","",IFERROR(INDEX('SCORING MASTER'!$D$45:$D$47,MATCH('STUDENT SCREENING'!AG230,'SCORING MASTER'!$C$45:$C$47,0)),""))</f>
        <v/>
      </c>
      <c r="AI230" s="57" t="str">
        <f aca="false">IF('STUDENT SCREENING'!AH230="","",IFERROR(INDEX('SCORING MASTER'!$D$49:$D$52,MATCH('STUDENT SCREENING'!AH230,'SCORING MASTER'!$C$49:$C$52,0)),""))</f>
        <v/>
      </c>
      <c r="AJ230" s="57" t="str">
        <f aca="false">IF('STUDENT SCREENING'!AI230="","",IFERROR(INDEX('SCORING MASTER'!$D$54:$D$57,MATCH('STUDENT SCREENING'!AI230,'SCORING MASTER'!$C$54:$C$57,0)),""))</f>
        <v/>
      </c>
      <c r="AK230" s="57" t="str">
        <f aca="false">IF('STUDENT SCREENING'!AJ230="","",IFERROR(INDEX('SCORING MASTER'!$D$59:$D$60,MATCH('STUDENT SCREENING'!AJ230,'SCORING MASTER'!$C$59:$C$60,0)),""))</f>
        <v/>
      </c>
      <c r="AL230" s="57" t="str">
        <f aca="false">IF('STUDENT SCREENING'!AK230="","",IFERROR(INDEX('SCORING MASTER'!$D$62:$D$63,MATCH('STUDENT SCREENING'!AK230,'SCORING MASTER'!$C$62:$C$63,0)),""))</f>
        <v/>
      </c>
      <c r="AM230" s="57" t="str">
        <f aca="false">IF('STUDENT SCREENING'!AL230="","",IFERROR(INDEX('SCORING MASTER'!$D$65:$D$66,MATCH('STUDENT SCREENING'!AL230,'SCORING MASTER'!$C$65:$C$66,0)),""))</f>
        <v/>
      </c>
      <c r="AN230" s="57" t="str">
        <f aca="false">IF('STUDENT SCREENING'!AM230="","",IFERROR(INDEX('SCORING MASTER'!$D$68:$D$69,MATCH('STUDENT SCREENING'!AM230,'SCORING MASTER'!$C$68:$C$69,0)),""))</f>
        <v/>
      </c>
      <c r="AO230" s="57" t="str">
        <f aca="false">IF('STUDENT SCREENING'!AN230="","",IFERROR(INDEX('SCORING MASTER'!$D$71:$D$72,MATCH('STUDENT SCREENING'!AN230,'SCORING MASTER'!$C$71:$C$72,0)),""))</f>
        <v/>
      </c>
      <c r="AP230" s="57" t="str">
        <f aca="false">IF('STUDENT SCREENING'!AO230="","",IFERROR(INDEX('SCORING MASTER'!$D$74:$D$75,MATCH('STUDENT SCREENING'!AO230,'SCORING MASTER'!$C$74:$C$75,0)),""))</f>
        <v/>
      </c>
      <c r="AQ230" s="57" t="str">
        <f aca="false">IF('STUDENT SCREENING'!AP230="","",IFERROR(INDEX('SCORING MASTER'!$D$77:$D$78,MATCH('STUDENT SCREENING'!AP230,'SCORING MASTER'!$C$77:$C$78,0)),""))</f>
        <v/>
      </c>
      <c r="AR230" s="57" t="str">
        <f aca="false">IF('STUDENT SCREENING'!AQ230="","",IFERROR(INDEX('SCORING MASTER'!$D$80:$D$82,MATCH('STUDENT SCREENING'!AQ230,'SCORING MASTER'!$C$80:$C$82,0)),""))</f>
        <v/>
      </c>
      <c r="AS230" s="57" t="str">
        <f aca="false">IF('STUDENT SCREENING'!AR230="","",IFERROR(INDEX('SCORING MASTER'!$D$84:$D$86,MATCH('STUDENT SCREENING'!AR230,'SCORING MASTER'!$C$84:$C$86,0)),""))</f>
        <v/>
      </c>
      <c r="AT230" s="57" t="str">
        <f aca="false">IF('STUDENT SCREENING'!AS230="","",IFERROR(INDEX('SCORING MASTER'!$D$88:$D$90,MATCH('STUDENT SCREENING'!AS230,'SCORING MASTER'!$C$88:$C$90,0)),""))</f>
        <v/>
      </c>
      <c r="AU230" s="57" t="str">
        <f aca="false">IF('STUDENT SCREENING'!AT230="","",IFERROR(INDEX('SCORING MASTER'!$D$92:$D$93,MATCH('STUDENT SCREENING'!AT230,'SCORING MASTER'!$C$92:$C$93,0)),""))</f>
        <v/>
      </c>
      <c r="AV230" s="57" t="str">
        <f aca="false">IF('STUDENT SCREENING'!AU230="","",IFERROR(INDEX('SCORING MASTER'!$D$95:$D$96,MATCH('STUDENT SCREENING'!AU230,'SCORING MASTER'!$C$95:$C$96,0)),""))</f>
        <v/>
      </c>
      <c r="AW230" s="57" t="str">
        <f aca="false">IF('STUDENT SCREENING'!AV230="","",IFERROR(INDEX('SCORING MASTER'!$D$98:$D$99,MATCH('STUDENT SCREENING'!AV230,'SCORING MASTER'!$C$98:$C$99,0)),""))</f>
        <v/>
      </c>
      <c r="AX230" s="57" t="str">
        <f aca="false">IF('STUDENT SCREENING'!AW230="","",IFERROR(INDEX('SCORING MASTER'!$D$101:$D$102,MATCH('STUDENT SCREENING'!AW230,'SCORING MASTER'!$C$101:$C$102,0)),""))</f>
        <v/>
      </c>
      <c r="AY230" s="57" t="str">
        <f aca="false">IF('STUDENT SCREENING'!AX230="","",IFERROR(INDEX('SCORING MASTER'!$D$104:$D$105,MATCH('STUDENT SCREENING'!AX230,'SCORING MASTER'!$C$104:$C$105,0)),""))</f>
        <v/>
      </c>
      <c r="AZ230" s="57" t="str">
        <f aca="false">IF('STUDENT SCREENING'!AY230="","",IFERROR(INDEX('SCORING MASTER'!$D$107:$D$108,MATCH('STUDENT SCREENING'!AY230,'SCORING MASTER'!$C$107:$C$108,0)),""))</f>
        <v/>
      </c>
      <c r="BA230" s="57" t="str">
        <f aca="false">IF('STUDENT SCREENING'!AZ230="","",IFERROR(INDEX('SCORING MASTER'!$D$110:$D$111,MATCH('STUDENT SCREENING'!AZ230,'SCORING MASTER'!$C$110:$C$111,0)),""))</f>
        <v/>
      </c>
      <c r="BB230" s="57" t="str">
        <f aca="false">IF('STUDENT SCREENING'!BA230="","",IFERROR(INDEX('SCORING MASTER'!$D$113:$D$115,MATCH('STUDENT SCREENING'!BA230,'SCORING MASTER'!$C$113:$C$115,0)),""))</f>
        <v/>
      </c>
      <c r="BC230" s="57" t="str">
        <f aca="false">IF('STUDENT SCREENING'!BB230="","",IFERROR(INDEX('SCORING MASTER'!$D$117:$D$119,MATCH('STUDENT SCREENING'!BB230,'SCORING MASTER'!$C$117:$C$119,0)),""))</f>
        <v/>
      </c>
      <c r="BD230" s="57" t="str">
        <f aca="false">IF('STUDENT SCREENING'!BC230="","",IFERROR(INDEX('SCORING MASTER'!$D$121:$D$123,MATCH('STUDENT SCREENING'!BC230,'SCORING MASTER'!$C$121:$C$123,0)),""))</f>
        <v/>
      </c>
      <c r="BE230" s="57" t="str">
        <f aca="false">IF('STUDENT SCREENING'!BD230="","",IFERROR(INDEX('SCORING MASTER'!$D$125:$D$126,MATCH('STUDENT SCREENING'!BD230,'SCORING MASTER'!$C$125:$C$126,0)),""))</f>
        <v/>
      </c>
      <c r="BF230" s="57" t="str">
        <f aca="false">IF('STUDENT SCREENING'!BE230="","",IFERROR(INDEX('SCORING MASTER'!$D$128:$D$129,MATCH('STUDENT SCREENING'!BE230,'SCORING MASTER'!$C$128:$C$129,0)),""))</f>
        <v/>
      </c>
      <c r="BG230" s="57" t="str">
        <f aca="false">IF('STUDENT SCREENING'!BP230="","",IFERROR(MATCH('STUDENT SCREENING'!BP230,{"Red - High Risk","Orange - Moderate Risk","Yellow - Mild Risk","Light Green - Mild Watch","Green - Healthy"},0)-1,""))</f>
        <v/>
      </c>
      <c r="BH230" s="57" t="str">
        <f aca="false">IF('STUDENT SCREENING'!BQ230="","",IF('STUDENT SCREENING'!BQ230="Yes",1,0))</f>
        <v/>
      </c>
      <c r="BI230" s="57" t="str">
        <f aca="false">IF('STUDENT SCREENING'!BR230="","",IF('STUDENT SCREENING'!BR230="Yes",1,0))</f>
        <v/>
      </c>
    </row>
    <row r="231" customFormat="false" ht="15" hidden="false" customHeight="false" outlineLevel="0" collapsed="false">
      <c r="A231" s="58" t="str">
        <f aca="false">'STUDENT SCREENING'!A231</f>
        <v/>
      </c>
      <c r="B231" s="58" t="n">
        <f aca="false">'STUDENT SCREENING'!C231</f>
        <v>0</v>
      </c>
      <c r="C231" s="58" t="n">
        <f aca="false">'STUDENT SCREENING'!D231</f>
        <v>0</v>
      </c>
      <c r="D231" s="58" t="n">
        <f aca="false">'STUDENT SCREENING'!E231</f>
        <v>0</v>
      </c>
      <c r="E231" s="58" t="n">
        <f aca="false">'STUDENT SCREENING'!F231</f>
        <v>0</v>
      </c>
      <c r="F231" s="58" t="n">
        <f aca="false">'STUDENT SCREENING'!K231</f>
        <v>0</v>
      </c>
      <c r="G231" s="58" t="n">
        <f aca="false">'STUDENT SCREENING'!J231</f>
        <v>0</v>
      </c>
      <c r="H231" s="58" t="str">
        <f aca="false">IF('STUDENT SCREENING'!K231="","",IFERROR(MATCH('STUDENT SCREENING'!K231,Adm_Gender,0),""))</f>
        <v/>
      </c>
      <c r="I231" s="58" t="n">
        <f aca="false">'STUDENT SCREENING'!Q231</f>
        <v>0</v>
      </c>
      <c r="J231" s="58" t="n">
        <f aca="false">'STUDENT SCREENING'!R231</f>
        <v>0</v>
      </c>
      <c r="K231" s="58" t="str">
        <f aca="false">'STUDENT SCREENING'!S231</f>
        <v/>
      </c>
      <c r="L231" s="58" t="n">
        <f aca="false">'STUDENT SCREENING'!U231</f>
        <v>0</v>
      </c>
      <c r="M231" s="58" t="n">
        <f aca="false">'STUDENT SCREENING'!V231</f>
        <v>0</v>
      </c>
      <c r="N231" s="58" t="str">
        <f aca="false">'STUDENT SCREENING'!BF231</f>
        <v/>
      </c>
      <c r="O231" s="58" t="str">
        <f aca="false">'STUDENT SCREENING'!BG231</f>
        <v/>
      </c>
      <c r="P231" s="58" t="str">
        <f aca="false">'STUDENT SCREENING'!BH231</f>
        <v/>
      </c>
      <c r="Q231" s="58" t="str">
        <f aca="false">'STUDENT SCREENING'!BI231</f>
        <v/>
      </c>
      <c r="R231" s="58" t="str">
        <f aca="false">'STUDENT SCREENING'!BJ231</f>
        <v/>
      </c>
      <c r="S231" s="58" t="str">
        <f aca="false">'STUDENT SCREENING'!BK231</f>
        <v/>
      </c>
      <c r="T231" s="58" t="str">
        <f aca="false">'STUDENT SCREENING'!BL231</f>
        <v/>
      </c>
      <c r="U231" s="58" t="str">
        <f aca="false">'STUDENT SCREENING'!BM231</f>
        <v/>
      </c>
      <c r="V231" s="58" t="str">
        <f aca="false">'STUDENT SCREENING'!BN231</f>
        <v/>
      </c>
      <c r="W231" s="58" t="str">
        <f aca="false">'STUDENT SCREENING'!BO231</f>
        <v/>
      </c>
      <c r="X231" s="58" t="str">
        <f aca="false">IF('STUDENT SCREENING'!W231="","",IFERROR(INDEX('SCORING MASTER'!$D$5:$D$7,MATCH('STUDENT SCREENING'!W231,'SCORING MASTER'!$C$5:$C$7,0)),""))</f>
        <v/>
      </c>
      <c r="Y231" s="58" t="str">
        <f aca="false">IF('STUDENT SCREENING'!X231="","",IFERROR(INDEX('SCORING MASTER'!$D$9:$D$11,MATCH('STUDENT SCREENING'!X231,'SCORING MASTER'!$C$9:$C$11,0)),""))</f>
        <v/>
      </c>
      <c r="Z231" s="58" t="str">
        <f aca="false">IF('STUDENT SCREENING'!Y231="","",IFERROR(INDEX('SCORING MASTER'!$D$13:$D$15,MATCH('STUDENT SCREENING'!Y231,'SCORING MASTER'!$C$13:$C$15,0)),""))</f>
        <v/>
      </c>
      <c r="AA231" s="58" t="str">
        <f aca="false">IF('STUDENT SCREENING'!Z231="","",IFERROR(INDEX('SCORING MASTER'!$D$17:$D$19,MATCH('STUDENT SCREENING'!Z231,'SCORING MASTER'!$C$17:$C$19,0)),""))</f>
        <v/>
      </c>
      <c r="AB231" s="58" t="str">
        <f aca="false">IF('STUDENT SCREENING'!AA231="","",IFERROR(INDEX('SCORING MASTER'!$D$21:$D$23,MATCH('STUDENT SCREENING'!AA231,'SCORING MASTER'!$C$21:$C$23,0)),""))</f>
        <v/>
      </c>
      <c r="AC231" s="58" t="str">
        <f aca="false">IF('STUDENT SCREENING'!AB231="","",IFERROR(INDEX('SCORING MASTER'!$D$25:$D$27,MATCH('STUDENT SCREENING'!AB231,'SCORING MASTER'!$C$25:$C$27,0)),""))</f>
        <v/>
      </c>
      <c r="AD231" s="58" t="str">
        <f aca="false">IF('STUDENT SCREENING'!AC231="","",IFERROR(INDEX('SCORING MASTER'!$D$29:$D$31,MATCH('STUDENT SCREENING'!AC231,'SCORING MASTER'!$C$29:$C$31,0)),""))</f>
        <v/>
      </c>
      <c r="AE231" s="58" t="str">
        <f aca="false">IF('STUDENT SCREENING'!AD231="","",IFERROR(INDEX('SCORING MASTER'!$D$33:$D$35,MATCH('STUDENT SCREENING'!AD231,'SCORING MASTER'!$C$33:$C$35,0)),""))</f>
        <v/>
      </c>
      <c r="AF231" s="58" t="str">
        <f aca="false">IF('STUDENT SCREENING'!AE231="","",IFERROR(INDEX('SCORING MASTER'!$D$37:$D$39,MATCH('STUDENT SCREENING'!AE231,'SCORING MASTER'!$C$37:$C$39,0)),""))</f>
        <v/>
      </c>
      <c r="AG231" s="58" t="str">
        <f aca="false">IF('STUDENT SCREENING'!AF231="","",IFERROR(INDEX('SCORING MASTER'!$D$41:$D$43,MATCH('STUDENT SCREENING'!AF231,'SCORING MASTER'!$C$41:$C$43,0)),""))</f>
        <v/>
      </c>
      <c r="AH231" s="58" t="str">
        <f aca="false">IF('STUDENT SCREENING'!AG231="","",IFERROR(INDEX('SCORING MASTER'!$D$45:$D$47,MATCH('STUDENT SCREENING'!AG231,'SCORING MASTER'!$C$45:$C$47,0)),""))</f>
        <v/>
      </c>
      <c r="AI231" s="58" t="str">
        <f aca="false">IF('STUDENT SCREENING'!AH231="","",IFERROR(INDEX('SCORING MASTER'!$D$49:$D$52,MATCH('STUDENT SCREENING'!AH231,'SCORING MASTER'!$C$49:$C$52,0)),""))</f>
        <v/>
      </c>
      <c r="AJ231" s="58" t="str">
        <f aca="false">IF('STUDENT SCREENING'!AI231="","",IFERROR(INDEX('SCORING MASTER'!$D$54:$D$57,MATCH('STUDENT SCREENING'!AI231,'SCORING MASTER'!$C$54:$C$57,0)),""))</f>
        <v/>
      </c>
      <c r="AK231" s="58" t="str">
        <f aca="false">IF('STUDENT SCREENING'!AJ231="","",IFERROR(INDEX('SCORING MASTER'!$D$59:$D$60,MATCH('STUDENT SCREENING'!AJ231,'SCORING MASTER'!$C$59:$C$60,0)),""))</f>
        <v/>
      </c>
      <c r="AL231" s="58" t="str">
        <f aca="false">IF('STUDENT SCREENING'!AK231="","",IFERROR(INDEX('SCORING MASTER'!$D$62:$D$63,MATCH('STUDENT SCREENING'!AK231,'SCORING MASTER'!$C$62:$C$63,0)),""))</f>
        <v/>
      </c>
      <c r="AM231" s="58" t="str">
        <f aca="false">IF('STUDENT SCREENING'!AL231="","",IFERROR(INDEX('SCORING MASTER'!$D$65:$D$66,MATCH('STUDENT SCREENING'!AL231,'SCORING MASTER'!$C$65:$C$66,0)),""))</f>
        <v/>
      </c>
      <c r="AN231" s="58" t="str">
        <f aca="false">IF('STUDENT SCREENING'!AM231="","",IFERROR(INDEX('SCORING MASTER'!$D$68:$D$69,MATCH('STUDENT SCREENING'!AM231,'SCORING MASTER'!$C$68:$C$69,0)),""))</f>
        <v/>
      </c>
      <c r="AO231" s="58" t="str">
        <f aca="false">IF('STUDENT SCREENING'!AN231="","",IFERROR(INDEX('SCORING MASTER'!$D$71:$D$72,MATCH('STUDENT SCREENING'!AN231,'SCORING MASTER'!$C$71:$C$72,0)),""))</f>
        <v/>
      </c>
      <c r="AP231" s="58" t="str">
        <f aca="false">IF('STUDENT SCREENING'!AO231="","",IFERROR(INDEX('SCORING MASTER'!$D$74:$D$75,MATCH('STUDENT SCREENING'!AO231,'SCORING MASTER'!$C$74:$C$75,0)),""))</f>
        <v/>
      </c>
      <c r="AQ231" s="58" t="str">
        <f aca="false">IF('STUDENT SCREENING'!AP231="","",IFERROR(INDEX('SCORING MASTER'!$D$77:$D$78,MATCH('STUDENT SCREENING'!AP231,'SCORING MASTER'!$C$77:$C$78,0)),""))</f>
        <v/>
      </c>
      <c r="AR231" s="58" t="str">
        <f aca="false">IF('STUDENT SCREENING'!AQ231="","",IFERROR(INDEX('SCORING MASTER'!$D$80:$D$82,MATCH('STUDENT SCREENING'!AQ231,'SCORING MASTER'!$C$80:$C$82,0)),""))</f>
        <v/>
      </c>
      <c r="AS231" s="58" t="str">
        <f aca="false">IF('STUDENT SCREENING'!AR231="","",IFERROR(INDEX('SCORING MASTER'!$D$84:$D$86,MATCH('STUDENT SCREENING'!AR231,'SCORING MASTER'!$C$84:$C$86,0)),""))</f>
        <v/>
      </c>
      <c r="AT231" s="58" t="str">
        <f aca="false">IF('STUDENT SCREENING'!AS231="","",IFERROR(INDEX('SCORING MASTER'!$D$88:$D$90,MATCH('STUDENT SCREENING'!AS231,'SCORING MASTER'!$C$88:$C$90,0)),""))</f>
        <v/>
      </c>
      <c r="AU231" s="58" t="str">
        <f aca="false">IF('STUDENT SCREENING'!AT231="","",IFERROR(INDEX('SCORING MASTER'!$D$92:$D$93,MATCH('STUDENT SCREENING'!AT231,'SCORING MASTER'!$C$92:$C$93,0)),""))</f>
        <v/>
      </c>
      <c r="AV231" s="58" t="str">
        <f aca="false">IF('STUDENT SCREENING'!AU231="","",IFERROR(INDEX('SCORING MASTER'!$D$95:$D$96,MATCH('STUDENT SCREENING'!AU231,'SCORING MASTER'!$C$95:$C$96,0)),""))</f>
        <v/>
      </c>
      <c r="AW231" s="58" t="str">
        <f aca="false">IF('STUDENT SCREENING'!AV231="","",IFERROR(INDEX('SCORING MASTER'!$D$98:$D$99,MATCH('STUDENT SCREENING'!AV231,'SCORING MASTER'!$C$98:$C$99,0)),""))</f>
        <v/>
      </c>
      <c r="AX231" s="58" t="str">
        <f aca="false">IF('STUDENT SCREENING'!AW231="","",IFERROR(INDEX('SCORING MASTER'!$D$101:$D$102,MATCH('STUDENT SCREENING'!AW231,'SCORING MASTER'!$C$101:$C$102,0)),""))</f>
        <v/>
      </c>
      <c r="AY231" s="58" t="str">
        <f aca="false">IF('STUDENT SCREENING'!AX231="","",IFERROR(INDEX('SCORING MASTER'!$D$104:$D$105,MATCH('STUDENT SCREENING'!AX231,'SCORING MASTER'!$C$104:$C$105,0)),""))</f>
        <v/>
      </c>
      <c r="AZ231" s="58" t="str">
        <f aca="false">IF('STUDENT SCREENING'!AY231="","",IFERROR(INDEX('SCORING MASTER'!$D$107:$D$108,MATCH('STUDENT SCREENING'!AY231,'SCORING MASTER'!$C$107:$C$108,0)),""))</f>
        <v/>
      </c>
      <c r="BA231" s="58" t="str">
        <f aca="false">IF('STUDENT SCREENING'!AZ231="","",IFERROR(INDEX('SCORING MASTER'!$D$110:$D$111,MATCH('STUDENT SCREENING'!AZ231,'SCORING MASTER'!$C$110:$C$111,0)),""))</f>
        <v/>
      </c>
      <c r="BB231" s="58" t="str">
        <f aca="false">IF('STUDENT SCREENING'!BA231="","",IFERROR(INDEX('SCORING MASTER'!$D$113:$D$115,MATCH('STUDENT SCREENING'!BA231,'SCORING MASTER'!$C$113:$C$115,0)),""))</f>
        <v/>
      </c>
      <c r="BC231" s="58" t="str">
        <f aca="false">IF('STUDENT SCREENING'!BB231="","",IFERROR(INDEX('SCORING MASTER'!$D$117:$D$119,MATCH('STUDENT SCREENING'!BB231,'SCORING MASTER'!$C$117:$C$119,0)),""))</f>
        <v/>
      </c>
      <c r="BD231" s="58" t="str">
        <f aca="false">IF('STUDENT SCREENING'!BC231="","",IFERROR(INDEX('SCORING MASTER'!$D$121:$D$123,MATCH('STUDENT SCREENING'!BC231,'SCORING MASTER'!$C$121:$C$123,0)),""))</f>
        <v/>
      </c>
      <c r="BE231" s="58" t="str">
        <f aca="false">IF('STUDENT SCREENING'!BD231="","",IFERROR(INDEX('SCORING MASTER'!$D$125:$D$126,MATCH('STUDENT SCREENING'!BD231,'SCORING MASTER'!$C$125:$C$126,0)),""))</f>
        <v/>
      </c>
      <c r="BF231" s="58" t="str">
        <f aca="false">IF('STUDENT SCREENING'!BE231="","",IFERROR(INDEX('SCORING MASTER'!$D$128:$D$129,MATCH('STUDENT SCREENING'!BE231,'SCORING MASTER'!$C$128:$C$129,0)),""))</f>
        <v/>
      </c>
      <c r="BG231" s="58" t="str">
        <f aca="false">IF('STUDENT SCREENING'!BP231="","",IFERROR(MATCH('STUDENT SCREENING'!BP231,{"Red - High Risk","Orange - Moderate Risk","Yellow - Mild Risk","Light Green - Mild Watch","Green - Healthy"},0)-1,""))</f>
        <v/>
      </c>
      <c r="BH231" s="58" t="str">
        <f aca="false">IF('STUDENT SCREENING'!BQ231="","",IF('STUDENT SCREENING'!BQ231="Yes",1,0))</f>
        <v/>
      </c>
      <c r="BI231" s="58" t="str">
        <f aca="false">IF('STUDENT SCREENING'!BR231="","",IF('STUDENT SCREENING'!BR231="Yes",1,0))</f>
        <v/>
      </c>
    </row>
    <row r="232" customFormat="false" ht="15" hidden="false" customHeight="false" outlineLevel="0" collapsed="false">
      <c r="A232" s="57" t="str">
        <f aca="false">'STUDENT SCREENING'!A232</f>
        <v/>
      </c>
      <c r="B232" s="57" t="n">
        <f aca="false">'STUDENT SCREENING'!C232</f>
        <v>0</v>
      </c>
      <c r="C232" s="57" t="n">
        <f aca="false">'STUDENT SCREENING'!D232</f>
        <v>0</v>
      </c>
      <c r="D232" s="57" t="n">
        <f aca="false">'STUDENT SCREENING'!E232</f>
        <v>0</v>
      </c>
      <c r="E232" s="57" t="n">
        <f aca="false">'STUDENT SCREENING'!F232</f>
        <v>0</v>
      </c>
      <c r="F232" s="57" t="n">
        <f aca="false">'STUDENT SCREENING'!K232</f>
        <v>0</v>
      </c>
      <c r="G232" s="57" t="n">
        <f aca="false">'STUDENT SCREENING'!J232</f>
        <v>0</v>
      </c>
      <c r="H232" s="57" t="str">
        <f aca="false">IF('STUDENT SCREENING'!K232="","",IFERROR(MATCH('STUDENT SCREENING'!K232,Adm_Gender,0),""))</f>
        <v/>
      </c>
      <c r="I232" s="57" t="n">
        <f aca="false">'STUDENT SCREENING'!Q232</f>
        <v>0</v>
      </c>
      <c r="J232" s="57" t="n">
        <f aca="false">'STUDENT SCREENING'!R232</f>
        <v>0</v>
      </c>
      <c r="K232" s="57" t="str">
        <f aca="false">'STUDENT SCREENING'!S232</f>
        <v/>
      </c>
      <c r="L232" s="57" t="n">
        <f aca="false">'STUDENT SCREENING'!U232</f>
        <v>0</v>
      </c>
      <c r="M232" s="57" t="n">
        <f aca="false">'STUDENT SCREENING'!V232</f>
        <v>0</v>
      </c>
      <c r="N232" s="57" t="str">
        <f aca="false">'STUDENT SCREENING'!BF232</f>
        <v/>
      </c>
      <c r="O232" s="57" t="str">
        <f aca="false">'STUDENT SCREENING'!BG232</f>
        <v/>
      </c>
      <c r="P232" s="57" t="str">
        <f aca="false">'STUDENT SCREENING'!BH232</f>
        <v/>
      </c>
      <c r="Q232" s="57" t="str">
        <f aca="false">'STUDENT SCREENING'!BI232</f>
        <v/>
      </c>
      <c r="R232" s="57" t="str">
        <f aca="false">'STUDENT SCREENING'!BJ232</f>
        <v/>
      </c>
      <c r="S232" s="57" t="str">
        <f aca="false">'STUDENT SCREENING'!BK232</f>
        <v/>
      </c>
      <c r="T232" s="57" t="str">
        <f aca="false">'STUDENT SCREENING'!BL232</f>
        <v/>
      </c>
      <c r="U232" s="57" t="str">
        <f aca="false">'STUDENT SCREENING'!BM232</f>
        <v/>
      </c>
      <c r="V232" s="57" t="str">
        <f aca="false">'STUDENT SCREENING'!BN232</f>
        <v/>
      </c>
      <c r="W232" s="57" t="str">
        <f aca="false">'STUDENT SCREENING'!BO232</f>
        <v/>
      </c>
      <c r="X232" s="57" t="str">
        <f aca="false">IF('STUDENT SCREENING'!W232="","",IFERROR(INDEX('SCORING MASTER'!$D$5:$D$7,MATCH('STUDENT SCREENING'!W232,'SCORING MASTER'!$C$5:$C$7,0)),""))</f>
        <v/>
      </c>
      <c r="Y232" s="57" t="str">
        <f aca="false">IF('STUDENT SCREENING'!X232="","",IFERROR(INDEX('SCORING MASTER'!$D$9:$D$11,MATCH('STUDENT SCREENING'!X232,'SCORING MASTER'!$C$9:$C$11,0)),""))</f>
        <v/>
      </c>
      <c r="Z232" s="57" t="str">
        <f aca="false">IF('STUDENT SCREENING'!Y232="","",IFERROR(INDEX('SCORING MASTER'!$D$13:$D$15,MATCH('STUDENT SCREENING'!Y232,'SCORING MASTER'!$C$13:$C$15,0)),""))</f>
        <v/>
      </c>
      <c r="AA232" s="57" t="str">
        <f aca="false">IF('STUDENT SCREENING'!Z232="","",IFERROR(INDEX('SCORING MASTER'!$D$17:$D$19,MATCH('STUDENT SCREENING'!Z232,'SCORING MASTER'!$C$17:$C$19,0)),""))</f>
        <v/>
      </c>
      <c r="AB232" s="57" t="str">
        <f aca="false">IF('STUDENT SCREENING'!AA232="","",IFERROR(INDEX('SCORING MASTER'!$D$21:$D$23,MATCH('STUDENT SCREENING'!AA232,'SCORING MASTER'!$C$21:$C$23,0)),""))</f>
        <v/>
      </c>
      <c r="AC232" s="57" t="str">
        <f aca="false">IF('STUDENT SCREENING'!AB232="","",IFERROR(INDEX('SCORING MASTER'!$D$25:$D$27,MATCH('STUDENT SCREENING'!AB232,'SCORING MASTER'!$C$25:$C$27,0)),""))</f>
        <v/>
      </c>
      <c r="AD232" s="57" t="str">
        <f aca="false">IF('STUDENT SCREENING'!AC232="","",IFERROR(INDEX('SCORING MASTER'!$D$29:$D$31,MATCH('STUDENT SCREENING'!AC232,'SCORING MASTER'!$C$29:$C$31,0)),""))</f>
        <v/>
      </c>
      <c r="AE232" s="57" t="str">
        <f aca="false">IF('STUDENT SCREENING'!AD232="","",IFERROR(INDEX('SCORING MASTER'!$D$33:$D$35,MATCH('STUDENT SCREENING'!AD232,'SCORING MASTER'!$C$33:$C$35,0)),""))</f>
        <v/>
      </c>
      <c r="AF232" s="57" t="str">
        <f aca="false">IF('STUDENT SCREENING'!AE232="","",IFERROR(INDEX('SCORING MASTER'!$D$37:$D$39,MATCH('STUDENT SCREENING'!AE232,'SCORING MASTER'!$C$37:$C$39,0)),""))</f>
        <v/>
      </c>
      <c r="AG232" s="57" t="str">
        <f aca="false">IF('STUDENT SCREENING'!AF232="","",IFERROR(INDEX('SCORING MASTER'!$D$41:$D$43,MATCH('STUDENT SCREENING'!AF232,'SCORING MASTER'!$C$41:$C$43,0)),""))</f>
        <v/>
      </c>
      <c r="AH232" s="57" t="str">
        <f aca="false">IF('STUDENT SCREENING'!AG232="","",IFERROR(INDEX('SCORING MASTER'!$D$45:$D$47,MATCH('STUDENT SCREENING'!AG232,'SCORING MASTER'!$C$45:$C$47,0)),""))</f>
        <v/>
      </c>
      <c r="AI232" s="57" t="str">
        <f aca="false">IF('STUDENT SCREENING'!AH232="","",IFERROR(INDEX('SCORING MASTER'!$D$49:$D$52,MATCH('STUDENT SCREENING'!AH232,'SCORING MASTER'!$C$49:$C$52,0)),""))</f>
        <v/>
      </c>
      <c r="AJ232" s="57" t="str">
        <f aca="false">IF('STUDENT SCREENING'!AI232="","",IFERROR(INDEX('SCORING MASTER'!$D$54:$D$57,MATCH('STUDENT SCREENING'!AI232,'SCORING MASTER'!$C$54:$C$57,0)),""))</f>
        <v/>
      </c>
      <c r="AK232" s="57" t="str">
        <f aca="false">IF('STUDENT SCREENING'!AJ232="","",IFERROR(INDEX('SCORING MASTER'!$D$59:$D$60,MATCH('STUDENT SCREENING'!AJ232,'SCORING MASTER'!$C$59:$C$60,0)),""))</f>
        <v/>
      </c>
      <c r="AL232" s="57" t="str">
        <f aca="false">IF('STUDENT SCREENING'!AK232="","",IFERROR(INDEX('SCORING MASTER'!$D$62:$D$63,MATCH('STUDENT SCREENING'!AK232,'SCORING MASTER'!$C$62:$C$63,0)),""))</f>
        <v/>
      </c>
      <c r="AM232" s="57" t="str">
        <f aca="false">IF('STUDENT SCREENING'!AL232="","",IFERROR(INDEX('SCORING MASTER'!$D$65:$D$66,MATCH('STUDENT SCREENING'!AL232,'SCORING MASTER'!$C$65:$C$66,0)),""))</f>
        <v/>
      </c>
      <c r="AN232" s="57" t="str">
        <f aca="false">IF('STUDENT SCREENING'!AM232="","",IFERROR(INDEX('SCORING MASTER'!$D$68:$D$69,MATCH('STUDENT SCREENING'!AM232,'SCORING MASTER'!$C$68:$C$69,0)),""))</f>
        <v/>
      </c>
      <c r="AO232" s="57" t="str">
        <f aca="false">IF('STUDENT SCREENING'!AN232="","",IFERROR(INDEX('SCORING MASTER'!$D$71:$D$72,MATCH('STUDENT SCREENING'!AN232,'SCORING MASTER'!$C$71:$C$72,0)),""))</f>
        <v/>
      </c>
      <c r="AP232" s="57" t="str">
        <f aca="false">IF('STUDENT SCREENING'!AO232="","",IFERROR(INDEX('SCORING MASTER'!$D$74:$D$75,MATCH('STUDENT SCREENING'!AO232,'SCORING MASTER'!$C$74:$C$75,0)),""))</f>
        <v/>
      </c>
      <c r="AQ232" s="57" t="str">
        <f aca="false">IF('STUDENT SCREENING'!AP232="","",IFERROR(INDEX('SCORING MASTER'!$D$77:$D$78,MATCH('STUDENT SCREENING'!AP232,'SCORING MASTER'!$C$77:$C$78,0)),""))</f>
        <v/>
      </c>
      <c r="AR232" s="57" t="str">
        <f aca="false">IF('STUDENT SCREENING'!AQ232="","",IFERROR(INDEX('SCORING MASTER'!$D$80:$D$82,MATCH('STUDENT SCREENING'!AQ232,'SCORING MASTER'!$C$80:$C$82,0)),""))</f>
        <v/>
      </c>
      <c r="AS232" s="57" t="str">
        <f aca="false">IF('STUDENT SCREENING'!AR232="","",IFERROR(INDEX('SCORING MASTER'!$D$84:$D$86,MATCH('STUDENT SCREENING'!AR232,'SCORING MASTER'!$C$84:$C$86,0)),""))</f>
        <v/>
      </c>
      <c r="AT232" s="57" t="str">
        <f aca="false">IF('STUDENT SCREENING'!AS232="","",IFERROR(INDEX('SCORING MASTER'!$D$88:$D$90,MATCH('STUDENT SCREENING'!AS232,'SCORING MASTER'!$C$88:$C$90,0)),""))</f>
        <v/>
      </c>
      <c r="AU232" s="57" t="str">
        <f aca="false">IF('STUDENT SCREENING'!AT232="","",IFERROR(INDEX('SCORING MASTER'!$D$92:$D$93,MATCH('STUDENT SCREENING'!AT232,'SCORING MASTER'!$C$92:$C$93,0)),""))</f>
        <v/>
      </c>
      <c r="AV232" s="57" t="str">
        <f aca="false">IF('STUDENT SCREENING'!AU232="","",IFERROR(INDEX('SCORING MASTER'!$D$95:$D$96,MATCH('STUDENT SCREENING'!AU232,'SCORING MASTER'!$C$95:$C$96,0)),""))</f>
        <v/>
      </c>
      <c r="AW232" s="57" t="str">
        <f aca="false">IF('STUDENT SCREENING'!AV232="","",IFERROR(INDEX('SCORING MASTER'!$D$98:$D$99,MATCH('STUDENT SCREENING'!AV232,'SCORING MASTER'!$C$98:$C$99,0)),""))</f>
        <v/>
      </c>
      <c r="AX232" s="57" t="str">
        <f aca="false">IF('STUDENT SCREENING'!AW232="","",IFERROR(INDEX('SCORING MASTER'!$D$101:$D$102,MATCH('STUDENT SCREENING'!AW232,'SCORING MASTER'!$C$101:$C$102,0)),""))</f>
        <v/>
      </c>
      <c r="AY232" s="57" t="str">
        <f aca="false">IF('STUDENT SCREENING'!AX232="","",IFERROR(INDEX('SCORING MASTER'!$D$104:$D$105,MATCH('STUDENT SCREENING'!AX232,'SCORING MASTER'!$C$104:$C$105,0)),""))</f>
        <v/>
      </c>
      <c r="AZ232" s="57" t="str">
        <f aca="false">IF('STUDENT SCREENING'!AY232="","",IFERROR(INDEX('SCORING MASTER'!$D$107:$D$108,MATCH('STUDENT SCREENING'!AY232,'SCORING MASTER'!$C$107:$C$108,0)),""))</f>
        <v/>
      </c>
      <c r="BA232" s="57" t="str">
        <f aca="false">IF('STUDENT SCREENING'!AZ232="","",IFERROR(INDEX('SCORING MASTER'!$D$110:$D$111,MATCH('STUDENT SCREENING'!AZ232,'SCORING MASTER'!$C$110:$C$111,0)),""))</f>
        <v/>
      </c>
      <c r="BB232" s="57" t="str">
        <f aca="false">IF('STUDENT SCREENING'!BA232="","",IFERROR(INDEX('SCORING MASTER'!$D$113:$D$115,MATCH('STUDENT SCREENING'!BA232,'SCORING MASTER'!$C$113:$C$115,0)),""))</f>
        <v/>
      </c>
      <c r="BC232" s="57" t="str">
        <f aca="false">IF('STUDENT SCREENING'!BB232="","",IFERROR(INDEX('SCORING MASTER'!$D$117:$D$119,MATCH('STUDENT SCREENING'!BB232,'SCORING MASTER'!$C$117:$C$119,0)),""))</f>
        <v/>
      </c>
      <c r="BD232" s="57" t="str">
        <f aca="false">IF('STUDENT SCREENING'!BC232="","",IFERROR(INDEX('SCORING MASTER'!$D$121:$D$123,MATCH('STUDENT SCREENING'!BC232,'SCORING MASTER'!$C$121:$C$123,0)),""))</f>
        <v/>
      </c>
      <c r="BE232" s="57" t="str">
        <f aca="false">IF('STUDENT SCREENING'!BD232="","",IFERROR(INDEX('SCORING MASTER'!$D$125:$D$126,MATCH('STUDENT SCREENING'!BD232,'SCORING MASTER'!$C$125:$C$126,0)),""))</f>
        <v/>
      </c>
      <c r="BF232" s="57" t="str">
        <f aca="false">IF('STUDENT SCREENING'!BE232="","",IFERROR(INDEX('SCORING MASTER'!$D$128:$D$129,MATCH('STUDENT SCREENING'!BE232,'SCORING MASTER'!$C$128:$C$129,0)),""))</f>
        <v/>
      </c>
      <c r="BG232" s="57" t="str">
        <f aca="false">IF('STUDENT SCREENING'!BP232="","",IFERROR(MATCH('STUDENT SCREENING'!BP232,{"Red - High Risk","Orange - Moderate Risk","Yellow - Mild Risk","Light Green - Mild Watch","Green - Healthy"},0)-1,""))</f>
        <v/>
      </c>
      <c r="BH232" s="57" t="str">
        <f aca="false">IF('STUDENT SCREENING'!BQ232="","",IF('STUDENT SCREENING'!BQ232="Yes",1,0))</f>
        <v/>
      </c>
      <c r="BI232" s="57" t="str">
        <f aca="false">IF('STUDENT SCREENING'!BR232="","",IF('STUDENT SCREENING'!BR232="Yes",1,0))</f>
        <v/>
      </c>
    </row>
    <row r="233" customFormat="false" ht="15" hidden="false" customHeight="false" outlineLevel="0" collapsed="false">
      <c r="A233" s="58" t="str">
        <f aca="false">'STUDENT SCREENING'!A233</f>
        <v/>
      </c>
      <c r="B233" s="58" t="n">
        <f aca="false">'STUDENT SCREENING'!C233</f>
        <v>0</v>
      </c>
      <c r="C233" s="58" t="n">
        <f aca="false">'STUDENT SCREENING'!D233</f>
        <v>0</v>
      </c>
      <c r="D233" s="58" t="n">
        <f aca="false">'STUDENT SCREENING'!E233</f>
        <v>0</v>
      </c>
      <c r="E233" s="58" t="n">
        <f aca="false">'STUDENT SCREENING'!F233</f>
        <v>0</v>
      </c>
      <c r="F233" s="58" t="n">
        <f aca="false">'STUDENT SCREENING'!K233</f>
        <v>0</v>
      </c>
      <c r="G233" s="58" t="n">
        <f aca="false">'STUDENT SCREENING'!J233</f>
        <v>0</v>
      </c>
      <c r="H233" s="58" t="str">
        <f aca="false">IF('STUDENT SCREENING'!K233="","",IFERROR(MATCH('STUDENT SCREENING'!K233,Adm_Gender,0),""))</f>
        <v/>
      </c>
      <c r="I233" s="58" t="n">
        <f aca="false">'STUDENT SCREENING'!Q233</f>
        <v>0</v>
      </c>
      <c r="J233" s="58" t="n">
        <f aca="false">'STUDENT SCREENING'!R233</f>
        <v>0</v>
      </c>
      <c r="K233" s="58" t="str">
        <f aca="false">'STUDENT SCREENING'!S233</f>
        <v/>
      </c>
      <c r="L233" s="58" t="n">
        <f aca="false">'STUDENT SCREENING'!U233</f>
        <v>0</v>
      </c>
      <c r="M233" s="58" t="n">
        <f aca="false">'STUDENT SCREENING'!V233</f>
        <v>0</v>
      </c>
      <c r="N233" s="58" t="str">
        <f aca="false">'STUDENT SCREENING'!BF233</f>
        <v/>
      </c>
      <c r="O233" s="58" t="str">
        <f aca="false">'STUDENT SCREENING'!BG233</f>
        <v/>
      </c>
      <c r="P233" s="58" t="str">
        <f aca="false">'STUDENT SCREENING'!BH233</f>
        <v/>
      </c>
      <c r="Q233" s="58" t="str">
        <f aca="false">'STUDENT SCREENING'!BI233</f>
        <v/>
      </c>
      <c r="R233" s="58" t="str">
        <f aca="false">'STUDENT SCREENING'!BJ233</f>
        <v/>
      </c>
      <c r="S233" s="58" t="str">
        <f aca="false">'STUDENT SCREENING'!BK233</f>
        <v/>
      </c>
      <c r="T233" s="58" t="str">
        <f aca="false">'STUDENT SCREENING'!BL233</f>
        <v/>
      </c>
      <c r="U233" s="58" t="str">
        <f aca="false">'STUDENT SCREENING'!BM233</f>
        <v/>
      </c>
      <c r="V233" s="58" t="str">
        <f aca="false">'STUDENT SCREENING'!BN233</f>
        <v/>
      </c>
      <c r="W233" s="58" t="str">
        <f aca="false">'STUDENT SCREENING'!BO233</f>
        <v/>
      </c>
      <c r="X233" s="58" t="str">
        <f aca="false">IF('STUDENT SCREENING'!W233="","",IFERROR(INDEX('SCORING MASTER'!$D$5:$D$7,MATCH('STUDENT SCREENING'!W233,'SCORING MASTER'!$C$5:$C$7,0)),""))</f>
        <v/>
      </c>
      <c r="Y233" s="58" t="str">
        <f aca="false">IF('STUDENT SCREENING'!X233="","",IFERROR(INDEX('SCORING MASTER'!$D$9:$D$11,MATCH('STUDENT SCREENING'!X233,'SCORING MASTER'!$C$9:$C$11,0)),""))</f>
        <v/>
      </c>
      <c r="Z233" s="58" t="str">
        <f aca="false">IF('STUDENT SCREENING'!Y233="","",IFERROR(INDEX('SCORING MASTER'!$D$13:$D$15,MATCH('STUDENT SCREENING'!Y233,'SCORING MASTER'!$C$13:$C$15,0)),""))</f>
        <v/>
      </c>
      <c r="AA233" s="58" t="str">
        <f aca="false">IF('STUDENT SCREENING'!Z233="","",IFERROR(INDEX('SCORING MASTER'!$D$17:$D$19,MATCH('STUDENT SCREENING'!Z233,'SCORING MASTER'!$C$17:$C$19,0)),""))</f>
        <v/>
      </c>
      <c r="AB233" s="58" t="str">
        <f aca="false">IF('STUDENT SCREENING'!AA233="","",IFERROR(INDEX('SCORING MASTER'!$D$21:$D$23,MATCH('STUDENT SCREENING'!AA233,'SCORING MASTER'!$C$21:$C$23,0)),""))</f>
        <v/>
      </c>
      <c r="AC233" s="58" t="str">
        <f aca="false">IF('STUDENT SCREENING'!AB233="","",IFERROR(INDEX('SCORING MASTER'!$D$25:$D$27,MATCH('STUDENT SCREENING'!AB233,'SCORING MASTER'!$C$25:$C$27,0)),""))</f>
        <v/>
      </c>
      <c r="AD233" s="58" t="str">
        <f aca="false">IF('STUDENT SCREENING'!AC233="","",IFERROR(INDEX('SCORING MASTER'!$D$29:$D$31,MATCH('STUDENT SCREENING'!AC233,'SCORING MASTER'!$C$29:$C$31,0)),""))</f>
        <v/>
      </c>
      <c r="AE233" s="58" t="str">
        <f aca="false">IF('STUDENT SCREENING'!AD233="","",IFERROR(INDEX('SCORING MASTER'!$D$33:$D$35,MATCH('STUDENT SCREENING'!AD233,'SCORING MASTER'!$C$33:$C$35,0)),""))</f>
        <v/>
      </c>
      <c r="AF233" s="58" t="str">
        <f aca="false">IF('STUDENT SCREENING'!AE233="","",IFERROR(INDEX('SCORING MASTER'!$D$37:$D$39,MATCH('STUDENT SCREENING'!AE233,'SCORING MASTER'!$C$37:$C$39,0)),""))</f>
        <v/>
      </c>
      <c r="AG233" s="58" t="str">
        <f aca="false">IF('STUDENT SCREENING'!AF233="","",IFERROR(INDEX('SCORING MASTER'!$D$41:$D$43,MATCH('STUDENT SCREENING'!AF233,'SCORING MASTER'!$C$41:$C$43,0)),""))</f>
        <v/>
      </c>
      <c r="AH233" s="58" t="str">
        <f aca="false">IF('STUDENT SCREENING'!AG233="","",IFERROR(INDEX('SCORING MASTER'!$D$45:$D$47,MATCH('STUDENT SCREENING'!AG233,'SCORING MASTER'!$C$45:$C$47,0)),""))</f>
        <v/>
      </c>
      <c r="AI233" s="58" t="str">
        <f aca="false">IF('STUDENT SCREENING'!AH233="","",IFERROR(INDEX('SCORING MASTER'!$D$49:$D$52,MATCH('STUDENT SCREENING'!AH233,'SCORING MASTER'!$C$49:$C$52,0)),""))</f>
        <v/>
      </c>
      <c r="AJ233" s="58" t="str">
        <f aca="false">IF('STUDENT SCREENING'!AI233="","",IFERROR(INDEX('SCORING MASTER'!$D$54:$D$57,MATCH('STUDENT SCREENING'!AI233,'SCORING MASTER'!$C$54:$C$57,0)),""))</f>
        <v/>
      </c>
      <c r="AK233" s="58" t="str">
        <f aca="false">IF('STUDENT SCREENING'!AJ233="","",IFERROR(INDEX('SCORING MASTER'!$D$59:$D$60,MATCH('STUDENT SCREENING'!AJ233,'SCORING MASTER'!$C$59:$C$60,0)),""))</f>
        <v/>
      </c>
      <c r="AL233" s="58" t="str">
        <f aca="false">IF('STUDENT SCREENING'!AK233="","",IFERROR(INDEX('SCORING MASTER'!$D$62:$D$63,MATCH('STUDENT SCREENING'!AK233,'SCORING MASTER'!$C$62:$C$63,0)),""))</f>
        <v/>
      </c>
      <c r="AM233" s="58" t="str">
        <f aca="false">IF('STUDENT SCREENING'!AL233="","",IFERROR(INDEX('SCORING MASTER'!$D$65:$D$66,MATCH('STUDENT SCREENING'!AL233,'SCORING MASTER'!$C$65:$C$66,0)),""))</f>
        <v/>
      </c>
      <c r="AN233" s="58" t="str">
        <f aca="false">IF('STUDENT SCREENING'!AM233="","",IFERROR(INDEX('SCORING MASTER'!$D$68:$D$69,MATCH('STUDENT SCREENING'!AM233,'SCORING MASTER'!$C$68:$C$69,0)),""))</f>
        <v/>
      </c>
      <c r="AO233" s="58" t="str">
        <f aca="false">IF('STUDENT SCREENING'!AN233="","",IFERROR(INDEX('SCORING MASTER'!$D$71:$D$72,MATCH('STUDENT SCREENING'!AN233,'SCORING MASTER'!$C$71:$C$72,0)),""))</f>
        <v/>
      </c>
      <c r="AP233" s="58" t="str">
        <f aca="false">IF('STUDENT SCREENING'!AO233="","",IFERROR(INDEX('SCORING MASTER'!$D$74:$D$75,MATCH('STUDENT SCREENING'!AO233,'SCORING MASTER'!$C$74:$C$75,0)),""))</f>
        <v/>
      </c>
      <c r="AQ233" s="58" t="str">
        <f aca="false">IF('STUDENT SCREENING'!AP233="","",IFERROR(INDEX('SCORING MASTER'!$D$77:$D$78,MATCH('STUDENT SCREENING'!AP233,'SCORING MASTER'!$C$77:$C$78,0)),""))</f>
        <v/>
      </c>
      <c r="AR233" s="58" t="str">
        <f aca="false">IF('STUDENT SCREENING'!AQ233="","",IFERROR(INDEX('SCORING MASTER'!$D$80:$D$82,MATCH('STUDENT SCREENING'!AQ233,'SCORING MASTER'!$C$80:$C$82,0)),""))</f>
        <v/>
      </c>
      <c r="AS233" s="58" t="str">
        <f aca="false">IF('STUDENT SCREENING'!AR233="","",IFERROR(INDEX('SCORING MASTER'!$D$84:$D$86,MATCH('STUDENT SCREENING'!AR233,'SCORING MASTER'!$C$84:$C$86,0)),""))</f>
        <v/>
      </c>
      <c r="AT233" s="58" t="str">
        <f aca="false">IF('STUDENT SCREENING'!AS233="","",IFERROR(INDEX('SCORING MASTER'!$D$88:$D$90,MATCH('STUDENT SCREENING'!AS233,'SCORING MASTER'!$C$88:$C$90,0)),""))</f>
        <v/>
      </c>
      <c r="AU233" s="58" t="str">
        <f aca="false">IF('STUDENT SCREENING'!AT233="","",IFERROR(INDEX('SCORING MASTER'!$D$92:$D$93,MATCH('STUDENT SCREENING'!AT233,'SCORING MASTER'!$C$92:$C$93,0)),""))</f>
        <v/>
      </c>
      <c r="AV233" s="58" t="str">
        <f aca="false">IF('STUDENT SCREENING'!AU233="","",IFERROR(INDEX('SCORING MASTER'!$D$95:$D$96,MATCH('STUDENT SCREENING'!AU233,'SCORING MASTER'!$C$95:$C$96,0)),""))</f>
        <v/>
      </c>
      <c r="AW233" s="58" t="str">
        <f aca="false">IF('STUDENT SCREENING'!AV233="","",IFERROR(INDEX('SCORING MASTER'!$D$98:$D$99,MATCH('STUDENT SCREENING'!AV233,'SCORING MASTER'!$C$98:$C$99,0)),""))</f>
        <v/>
      </c>
      <c r="AX233" s="58" t="str">
        <f aca="false">IF('STUDENT SCREENING'!AW233="","",IFERROR(INDEX('SCORING MASTER'!$D$101:$D$102,MATCH('STUDENT SCREENING'!AW233,'SCORING MASTER'!$C$101:$C$102,0)),""))</f>
        <v/>
      </c>
      <c r="AY233" s="58" t="str">
        <f aca="false">IF('STUDENT SCREENING'!AX233="","",IFERROR(INDEX('SCORING MASTER'!$D$104:$D$105,MATCH('STUDENT SCREENING'!AX233,'SCORING MASTER'!$C$104:$C$105,0)),""))</f>
        <v/>
      </c>
      <c r="AZ233" s="58" t="str">
        <f aca="false">IF('STUDENT SCREENING'!AY233="","",IFERROR(INDEX('SCORING MASTER'!$D$107:$D$108,MATCH('STUDENT SCREENING'!AY233,'SCORING MASTER'!$C$107:$C$108,0)),""))</f>
        <v/>
      </c>
      <c r="BA233" s="58" t="str">
        <f aca="false">IF('STUDENT SCREENING'!AZ233="","",IFERROR(INDEX('SCORING MASTER'!$D$110:$D$111,MATCH('STUDENT SCREENING'!AZ233,'SCORING MASTER'!$C$110:$C$111,0)),""))</f>
        <v/>
      </c>
      <c r="BB233" s="58" t="str">
        <f aca="false">IF('STUDENT SCREENING'!BA233="","",IFERROR(INDEX('SCORING MASTER'!$D$113:$D$115,MATCH('STUDENT SCREENING'!BA233,'SCORING MASTER'!$C$113:$C$115,0)),""))</f>
        <v/>
      </c>
      <c r="BC233" s="58" t="str">
        <f aca="false">IF('STUDENT SCREENING'!BB233="","",IFERROR(INDEX('SCORING MASTER'!$D$117:$D$119,MATCH('STUDENT SCREENING'!BB233,'SCORING MASTER'!$C$117:$C$119,0)),""))</f>
        <v/>
      </c>
      <c r="BD233" s="58" t="str">
        <f aca="false">IF('STUDENT SCREENING'!BC233="","",IFERROR(INDEX('SCORING MASTER'!$D$121:$D$123,MATCH('STUDENT SCREENING'!BC233,'SCORING MASTER'!$C$121:$C$123,0)),""))</f>
        <v/>
      </c>
      <c r="BE233" s="58" t="str">
        <f aca="false">IF('STUDENT SCREENING'!BD233="","",IFERROR(INDEX('SCORING MASTER'!$D$125:$D$126,MATCH('STUDENT SCREENING'!BD233,'SCORING MASTER'!$C$125:$C$126,0)),""))</f>
        <v/>
      </c>
      <c r="BF233" s="58" t="str">
        <f aca="false">IF('STUDENT SCREENING'!BE233="","",IFERROR(INDEX('SCORING MASTER'!$D$128:$D$129,MATCH('STUDENT SCREENING'!BE233,'SCORING MASTER'!$C$128:$C$129,0)),""))</f>
        <v/>
      </c>
      <c r="BG233" s="58" t="str">
        <f aca="false">IF('STUDENT SCREENING'!BP233="","",IFERROR(MATCH('STUDENT SCREENING'!BP233,{"Red - High Risk","Orange - Moderate Risk","Yellow - Mild Risk","Light Green - Mild Watch","Green - Healthy"},0)-1,""))</f>
        <v/>
      </c>
      <c r="BH233" s="58" t="str">
        <f aca="false">IF('STUDENT SCREENING'!BQ233="","",IF('STUDENT SCREENING'!BQ233="Yes",1,0))</f>
        <v/>
      </c>
      <c r="BI233" s="58" t="str">
        <f aca="false">IF('STUDENT SCREENING'!BR233="","",IF('STUDENT SCREENING'!BR233="Yes",1,0))</f>
        <v/>
      </c>
    </row>
    <row r="234" customFormat="false" ht="15" hidden="false" customHeight="false" outlineLevel="0" collapsed="false">
      <c r="A234" s="57" t="str">
        <f aca="false">'STUDENT SCREENING'!A234</f>
        <v/>
      </c>
      <c r="B234" s="57" t="n">
        <f aca="false">'STUDENT SCREENING'!C234</f>
        <v>0</v>
      </c>
      <c r="C234" s="57" t="n">
        <f aca="false">'STUDENT SCREENING'!D234</f>
        <v>0</v>
      </c>
      <c r="D234" s="57" t="n">
        <f aca="false">'STUDENT SCREENING'!E234</f>
        <v>0</v>
      </c>
      <c r="E234" s="57" t="n">
        <f aca="false">'STUDENT SCREENING'!F234</f>
        <v>0</v>
      </c>
      <c r="F234" s="57" t="n">
        <f aca="false">'STUDENT SCREENING'!K234</f>
        <v>0</v>
      </c>
      <c r="G234" s="57" t="n">
        <f aca="false">'STUDENT SCREENING'!J234</f>
        <v>0</v>
      </c>
      <c r="H234" s="57" t="str">
        <f aca="false">IF('STUDENT SCREENING'!K234="","",IFERROR(MATCH('STUDENT SCREENING'!K234,Adm_Gender,0),""))</f>
        <v/>
      </c>
      <c r="I234" s="57" t="n">
        <f aca="false">'STUDENT SCREENING'!Q234</f>
        <v>0</v>
      </c>
      <c r="J234" s="57" t="n">
        <f aca="false">'STUDENT SCREENING'!R234</f>
        <v>0</v>
      </c>
      <c r="K234" s="57" t="str">
        <f aca="false">'STUDENT SCREENING'!S234</f>
        <v/>
      </c>
      <c r="L234" s="57" t="n">
        <f aca="false">'STUDENT SCREENING'!U234</f>
        <v>0</v>
      </c>
      <c r="M234" s="57" t="n">
        <f aca="false">'STUDENT SCREENING'!V234</f>
        <v>0</v>
      </c>
      <c r="N234" s="57" t="str">
        <f aca="false">'STUDENT SCREENING'!BF234</f>
        <v/>
      </c>
      <c r="O234" s="57" t="str">
        <f aca="false">'STUDENT SCREENING'!BG234</f>
        <v/>
      </c>
      <c r="P234" s="57" t="str">
        <f aca="false">'STUDENT SCREENING'!BH234</f>
        <v/>
      </c>
      <c r="Q234" s="57" t="str">
        <f aca="false">'STUDENT SCREENING'!BI234</f>
        <v/>
      </c>
      <c r="R234" s="57" t="str">
        <f aca="false">'STUDENT SCREENING'!BJ234</f>
        <v/>
      </c>
      <c r="S234" s="57" t="str">
        <f aca="false">'STUDENT SCREENING'!BK234</f>
        <v/>
      </c>
      <c r="T234" s="57" t="str">
        <f aca="false">'STUDENT SCREENING'!BL234</f>
        <v/>
      </c>
      <c r="U234" s="57" t="str">
        <f aca="false">'STUDENT SCREENING'!BM234</f>
        <v/>
      </c>
      <c r="V234" s="57" t="str">
        <f aca="false">'STUDENT SCREENING'!BN234</f>
        <v/>
      </c>
      <c r="W234" s="57" t="str">
        <f aca="false">'STUDENT SCREENING'!BO234</f>
        <v/>
      </c>
      <c r="X234" s="57" t="str">
        <f aca="false">IF('STUDENT SCREENING'!W234="","",IFERROR(INDEX('SCORING MASTER'!$D$5:$D$7,MATCH('STUDENT SCREENING'!W234,'SCORING MASTER'!$C$5:$C$7,0)),""))</f>
        <v/>
      </c>
      <c r="Y234" s="57" t="str">
        <f aca="false">IF('STUDENT SCREENING'!X234="","",IFERROR(INDEX('SCORING MASTER'!$D$9:$D$11,MATCH('STUDENT SCREENING'!X234,'SCORING MASTER'!$C$9:$C$11,0)),""))</f>
        <v/>
      </c>
      <c r="Z234" s="57" t="str">
        <f aca="false">IF('STUDENT SCREENING'!Y234="","",IFERROR(INDEX('SCORING MASTER'!$D$13:$D$15,MATCH('STUDENT SCREENING'!Y234,'SCORING MASTER'!$C$13:$C$15,0)),""))</f>
        <v/>
      </c>
      <c r="AA234" s="57" t="str">
        <f aca="false">IF('STUDENT SCREENING'!Z234="","",IFERROR(INDEX('SCORING MASTER'!$D$17:$D$19,MATCH('STUDENT SCREENING'!Z234,'SCORING MASTER'!$C$17:$C$19,0)),""))</f>
        <v/>
      </c>
      <c r="AB234" s="57" t="str">
        <f aca="false">IF('STUDENT SCREENING'!AA234="","",IFERROR(INDEX('SCORING MASTER'!$D$21:$D$23,MATCH('STUDENT SCREENING'!AA234,'SCORING MASTER'!$C$21:$C$23,0)),""))</f>
        <v/>
      </c>
      <c r="AC234" s="57" t="str">
        <f aca="false">IF('STUDENT SCREENING'!AB234="","",IFERROR(INDEX('SCORING MASTER'!$D$25:$D$27,MATCH('STUDENT SCREENING'!AB234,'SCORING MASTER'!$C$25:$C$27,0)),""))</f>
        <v/>
      </c>
      <c r="AD234" s="57" t="str">
        <f aca="false">IF('STUDENT SCREENING'!AC234="","",IFERROR(INDEX('SCORING MASTER'!$D$29:$D$31,MATCH('STUDENT SCREENING'!AC234,'SCORING MASTER'!$C$29:$C$31,0)),""))</f>
        <v/>
      </c>
      <c r="AE234" s="57" t="str">
        <f aca="false">IF('STUDENT SCREENING'!AD234="","",IFERROR(INDEX('SCORING MASTER'!$D$33:$D$35,MATCH('STUDENT SCREENING'!AD234,'SCORING MASTER'!$C$33:$C$35,0)),""))</f>
        <v/>
      </c>
      <c r="AF234" s="57" t="str">
        <f aca="false">IF('STUDENT SCREENING'!AE234="","",IFERROR(INDEX('SCORING MASTER'!$D$37:$D$39,MATCH('STUDENT SCREENING'!AE234,'SCORING MASTER'!$C$37:$C$39,0)),""))</f>
        <v/>
      </c>
      <c r="AG234" s="57" t="str">
        <f aca="false">IF('STUDENT SCREENING'!AF234="","",IFERROR(INDEX('SCORING MASTER'!$D$41:$D$43,MATCH('STUDENT SCREENING'!AF234,'SCORING MASTER'!$C$41:$C$43,0)),""))</f>
        <v/>
      </c>
      <c r="AH234" s="57" t="str">
        <f aca="false">IF('STUDENT SCREENING'!AG234="","",IFERROR(INDEX('SCORING MASTER'!$D$45:$D$47,MATCH('STUDENT SCREENING'!AG234,'SCORING MASTER'!$C$45:$C$47,0)),""))</f>
        <v/>
      </c>
      <c r="AI234" s="57" t="str">
        <f aca="false">IF('STUDENT SCREENING'!AH234="","",IFERROR(INDEX('SCORING MASTER'!$D$49:$D$52,MATCH('STUDENT SCREENING'!AH234,'SCORING MASTER'!$C$49:$C$52,0)),""))</f>
        <v/>
      </c>
      <c r="AJ234" s="57" t="str">
        <f aca="false">IF('STUDENT SCREENING'!AI234="","",IFERROR(INDEX('SCORING MASTER'!$D$54:$D$57,MATCH('STUDENT SCREENING'!AI234,'SCORING MASTER'!$C$54:$C$57,0)),""))</f>
        <v/>
      </c>
      <c r="AK234" s="57" t="str">
        <f aca="false">IF('STUDENT SCREENING'!AJ234="","",IFERROR(INDEX('SCORING MASTER'!$D$59:$D$60,MATCH('STUDENT SCREENING'!AJ234,'SCORING MASTER'!$C$59:$C$60,0)),""))</f>
        <v/>
      </c>
      <c r="AL234" s="57" t="str">
        <f aca="false">IF('STUDENT SCREENING'!AK234="","",IFERROR(INDEX('SCORING MASTER'!$D$62:$D$63,MATCH('STUDENT SCREENING'!AK234,'SCORING MASTER'!$C$62:$C$63,0)),""))</f>
        <v/>
      </c>
      <c r="AM234" s="57" t="str">
        <f aca="false">IF('STUDENT SCREENING'!AL234="","",IFERROR(INDEX('SCORING MASTER'!$D$65:$D$66,MATCH('STUDENT SCREENING'!AL234,'SCORING MASTER'!$C$65:$C$66,0)),""))</f>
        <v/>
      </c>
      <c r="AN234" s="57" t="str">
        <f aca="false">IF('STUDENT SCREENING'!AM234="","",IFERROR(INDEX('SCORING MASTER'!$D$68:$D$69,MATCH('STUDENT SCREENING'!AM234,'SCORING MASTER'!$C$68:$C$69,0)),""))</f>
        <v/>
      </c>
      <c r="AO234" s="57" t="str">
        <f aca="false">IF('STUDENT SCREENING'!AN234="","",IFERROR(INDEX('SCORING MASTER'!$D$71:$D$72,MATCH('STUDENT SCREENING'!AN234,'SCORING MASTER'!$C$71:$C$72,0)),""))</f>
        <v/>
      </c>
      <c r="AP234" s="57" t="str">
        <f aca="false">IF('STUDENT SCREENING'!AO234="","",IFERROR(INDEX('SCORING MASTER'!$D$74:$D$75,MATCH('STUDENT SCREENING'!AO234,'SCORING MASTER'!$C$74:$C$75,0)),""))</f>
        <v/>
      </c>
      <c r="AQ234" s="57" t="str">
        <f aca="false">IF('STUDENT SCREENING'!AP234="","",IFERROR(INDEX('SCORING MASTER'!$D$77:$D$78,MATCH('STUDENT SCREENING'!AP234,'SCORING MASTER'!$C$77:$C$78,0)),""))</f>
        <v/>
      </c>
      <c r="AR234" s="57" t="str">
        <f aca="false">IF('STUDENT SCREENING'!AQ234="","",IFERROR(INDEX('SCORING MASTER'!$D$80:$D$82,MATCH('STUDENT SCREENING'!AQ234,'SCORING MASTER'!$C$80:$C$82,0)),""))</f>
        <v/>
      </c>
      <c r="AS234" s="57" t="str">
        <f aca="false">IF('STUDENT SCREENING'!AR234="","",IFERROR(INDEX('SCORING MASTER'!$D$84:$D$86,MATCH('STUDENT SCREENING'!AR234,'SCORING MASTER'!$C$84:$C$86,0)),""))</f>
        <v/>
      </c>
      <c r="AT234" s="57" t="str">
        <f aca="false">IF('STUDENT SCREENING'!AS234="","",IFERROR(INDEX('SCORING MASTER'!$D$88:$D$90,MATCH('STUDENT SCREENING'!AS234,'SCORING MASTER'!$C$88:$C$90,0)),""))</f>
        <v/>
      </c>
      <c r="AU234" s="57" t="str">
        <f aca="false">IF('STUDENT SCREENING'!AT234="","",IFERROR(INDEX('SCORING MASTER'!$D$92:$D$93,MATCH('STUDENT SCREENING'!AT234,'SCORING MASTER'!$C$92:$C$93,0)),""))</f>
        <v/>
      </c>
      <c r="AV234" s="57" t="str">
        <f aca="false">IF('STUDENT SCREENING'!AU234="","",IFERROR(INDEX('SCORING MASTER'!$D$95:$D$96,MATCH('STUDENT SCREENING'!AU234,'SCORING MASTER'!$C$95:$C$96,0)),""))</f>
        <v/>
      </c>
      <c r="AW234" s="57" t="str">
        <f aca="false">IF('STUDENT SCREENING'!AV234="","",IFERROR(INDEX('SCORING MASTER'!$D$98:$D$99,MATCH('STUDENT SCREENING'!AV234,'SCORING MASTER'!$C$98:$C$99,0)),""))</f>
        <v/>
      </c>
      <c r="AX234" s="57" t="str">
        <f aca="false">IF('STUDENT SCREENING'!AW234="","",IFERROR(INDEX('SCORING MASTER'!$D$101:$D$102,MATCH('STUDENT SCREENING'!AW234,'SCORING MASTER'!$C$101:$C$102,0)),""))</f>
        <v/>
      </c>
      <c r="AY234" s="57" t="str">
        <f aca="false">IF('STUDENT SCREENING'!AX234="","",IFERROR(INDEX('SCORING MASTER'!$D$104:$D$105,MATCH('STUDENT SCREENING'!AX234,'SCORING MASTER'!$C$104:$C$105,0)),""))</f>
        <v/>
      </c>
      <c r="AZ234" s="57" t="str">
        <f aca="false">IF('STUDENT SCREENING'!AY234="","",IFERROR(INDEX('SCORING MASTER'!$D$107:$D$108,MATCH('STUDENT SCREENING'!AY234,'SCORING MASTER'!$C$107:$C$108,0)),""))</f>
        <v/>
      </c>
      <c r="BA234" s="57" t="str">
        <f aca="false">IF('STUDENT SCREENING'!AZ234="","",IFERROR(INDEX('SCORING MASTER'!$D$110:$D$111,MATCH('STUDENT SCREENING'!AZ234,'SCORING MASTER'!$C$110:$C$111,0)),""))</f>
        <v/>
      </c>
      <c r="BB234" s="57" t="str">
        <f aca="false">IF('STUDENT SCREENING'!BA234="","",IFERROR(INDEX('SCORING MASTER'!$D$113:$D$115,MATCH('STUDENT SCREENING'!BA234,'SCORING MASTER'!$C$113:$C$115,0)),""))</f>
        <v/>
      </c>
      <c r="BC234" s="57" t="str">
        <f aca="false">IF('STUDENT SCREENING'!BB234="","",IFERROR(INDEX('SCORING MASTER'!$D$117:$D$119,MATCH('STUDENT SCREENING'!BB234,'SCORING MASTER'!$C$117:$C$119,0)),""))</f>
        <v/>
      </c>
      <c r="BD234" s="57" t="str">
        <f aca="false">IF('STUDENT SCREENING'!BC234="","",IFERROR(INDEX('SCORING MASTER'!$D$121:$D$123,MATCH('STUDENT SCREENING'!BC234,'SCORING MASTER'!$C$121:$C$123,0)),""))</f>
        <v/>
      </c>
      <c r="BE234" s="57" t="str">
        <f aca="false">IF('STUDENT SCREENING'!BD234="","",IFERROR(INDEX('SCORING MASTER'!$D$125:$D$126,MATCH('STUDENT SCREENING'!BD234,'SCORING MASTER'!$C$125:$C$126,0)),""))</f>
        <v/>
      </c>
      <c r="BF234" s="57" t="str">
        <f aca="false">IF('STUDENT SCREENING'!BE234="","",IFERROR(INDEX('SCORING MASTER'!$D$128:$D$129,MATCH('STUDENT SCREENING'!BE234,'SCORING MASTER'!$C$128:$C$129,0)),""))</f>
        <v/>
      </c>
      <c r="BG234" s="57" t="str">
        <f aca="false">IF('STUDENT SCREENING'!BP234="","",IFERROR(MATCH('STUDENT SCREENING'!BP234,{"Red - High Risk","Orange - Moderate Risk","Yellow - Mild Risk","Light Green - Mild Watch","Green - Healthy"},0)-1,""))</f>
        <v/>
      </c>
      <c r="BH234" s="57" t="str">
        <f aca="false">IF('STUDENT SCREENING'!BQ234="","",IF('STUDENT SCREENING'!BQ234="Yes",1,0))</f>
        <v/>
      </c>
      <c r="BI234" s="57" t="str">
        <f aca="false">IF('STUDENT SCREENING'!BR234="","",IF('STUDENT SCREENING'!BR234="Yes",1,0))</f>
        <v/>
      </c>
    </row>
    <row r="235" customFormat="false" ht="15" hidden="false" customHeight="false" outlineLevel="0" collapsed="false">
      <c r="A235" s="58" t="str">
        <f aca="false">'STUDENT SCREENING'!A235</f>
        <v/>
      </c>
      <c r="B235" s="58" t="n">
        <f aca="false">'STUDENT SCREENING'!C235</f>
        <v>0</v>
      </c>
      <c r="C235" s="58" t="n">
        <f aca="false">'STUDENT SCREENING'!D235</f>
        <v>0</v>
      </c>
      <c r="D235" s="58" t="n">
        <f aca="false">'STUDENT SCREENING'!E235</f>
        <v>0</v>
      </c>
      <c r="E235" s="58" t="n">
        <f aca="false">'STUDENT SCREENING'!F235</f>
        <v>0</v>
      </c>
      <c r="F235" s="58" t="n">
        <f aca="false">'STUDENT SCREENING'!K235</f>
        <v>0</v>
      </c>
      <c r="G235" s="58" t="n">
        <f aca="false">'STUDENT SCREENING'!J235</f>
        <v>0</v>
      </c>
      <c r="H235" s="58" t="str">
        <f aca="false">IF('STUDENT SCREENING'!K235="","",IFERROR(MATCH('STUDENT SCREENING'!K235,Adm_Gender,0),""))</f>
        <v/>
      </c>
      <c r="I235" s="58" t="n">
        <f aca="false">'STUDENT SCREENING'!Q235</f>
        <v>0</v>
      </c>
      <c r="J235" s="58" t="n">
        <f aca="false">'STUDENT SCREENING'!R235</f>
        <v>0</v>
      </c>
      <c r="K235" s="58" t="str">
        <f aca="false">'STUDENT SCREENING'!S235</f>
        <v/>
      </c>
      <c r="L235" s="58" t="n">
        <f aca="false">'STUDENT SCREENING'!U235</f>
        <v>0</v>
      </c>
      <c r="M235" s="58" t="n">
        <f aca="false">'STUDENT SCREENING'!V235</f>
        <v>0</v>
      </c>
      <c r="N235" s="58" t="str">
        <f aca="false">'STUDENT SCREENING'!BF235</f>
        <v/>
      </c>
      <c r="O235" s="58" t="str">
        <f aca="false">'STUDENT SCREENING'!BG235</f>
        <v/>
      </c>
      <c r="P235" s="58" t="str">
        <f aca="false">'STUDENT SCREENING'!BH235</f>
        <v/>
      </c>
      <c r="Q235" s="58" t="str">
        <f aca="false">'STUDENT SCREENING'!BI235</f>
        <v/>
      </c>
      <c r="R235" s="58" t="str">
        <f aca="false">'STUDENT SCREENING'!BJ235</f>
        <v/>
      </c>
      <c r="S235" s="58" t="str">
        <f aca="false">'STUDENT SCREENING'!BK235</f>
        <v/>
      </c>
      <c r="T235" s="58" t="str">
        <f aca="false">'STUDENT SCREENING'!BL235</f>
        <v/>
      </c>
      <c r="U235" s="58" t="str">
        <f aca="false">'STUDENT SCREENING'!BM235</f>
        <v/>
      </c>
      <c r="V235" s="58" t="str">
        <f aca="false">'STUDENT SCREENING'!BN235</f>
        <v/>
      </c>
      <c r="W235" s="58" t="str">
        <f aca="false">'STUDENT SCREENING'!BO235</f>
        <v/>
      </c>
      <c r="X235" s="58" t="str">
        <f aca="false">IF('STUDENT SCREENING'!W235="","",IFERROR(INDEX('SCORING MASTER'!$D$5:$D$7,MATCH('STUDENT SCREENING'!W235,'SCORING MASTER'!$C$5:$C$7,0)),""))</f>
        <v/>
      </c>
      <c r="Y235" s="58" t="str">
        <f aca="false">IF('STUDENT SCREENING'!X235="","",IFERROR(INDEX('SCORING MASTER'!$D$9:$D$11,MATCH('STUDENT SCREENING'!X235,'SCORING MASTER'!$C$9:$C$11,0)),""))</f>
        <v/>
      </c>
      <c r="Z235" s="58" t="str">
        <f aca="false">IF('STUDENT SCREENING'!Y235="","",IFERROR(INDEX('SCORING MASTER'!$D$13:$D$15,MATCH('STUDENT SCREENING'!Y235,'SCORING MASTER'!$C$13:$C$15,0)),""))</f>
        <v/>
      </c>
      <c r="AA235" s="58" t="str">
        <f aca="false">IF('STUDENT SCREENING'!Z235="","",IFERROR(INDEX('SCORING MASTER'!$D$17:$D$19,MATCH('STUDENT SCREENING'!Z235,'SCORING MASTER'!$C$17:$C$19,0)),""))</f>
        <v/>
      </c>
      <c r="AB235" s="58" t="str">
        <f aca="false">IF('STUDENT SCREENING'!AA235="","",IFERROR(INDEX('SCORING MASTER'!$D$21:$D$23,MATCH('STUDENT SCREENING'!AA235,'SCORING MASTER'!$C$21:$C$23,0)),""))</f>
        <v/>
      </c>
      <c r="AC235" s="58" t="str">
        <f aca="false">IF('STUDENT SCREENING'!AB235="","",IFERROR(INDEX('SCORING MASTER'!$D$25:$D$27,MATCH('STUDENT SCREENING'!AB235,'SCORING MASTER'!$C$25:$C$27,0)),""))</f>
        <v/>
      </c>
      <c r="AD235" s="58" t="str">
        <f aca="false">IF('STUDENT SCREENING'!AC235="","",IFERROR(INDEX('SCORING MASTER'!$D$29:$D$31,MATCH('STUDENT SCREENING'!AC235,'SCORING MASTER'!$C$29:$C$31,0)),""))</f>
        <v/>
      </c>
      <c r="AE235" s="58" t="str">
        <f aca="false">IF('STUDENT SCREENING'!AD235="","",IFERROR(INDEX('SCORING MASTER'!$D$33:$D$35,MATCH('STUDENT SCREENING'!AD235,'SCORING MASTER'!$C$33:$C$35,0)),""))</f>
        <v/>
      </c>
      <c r="AF235" s="58" t="str">
        <f aca="false">IF('STUDENT SCREENING'!AE235="","",IFERROR(INDEX('SCORING MASTER'!$D$37:$D$39,MATCH('STUDENT SCREENING'!AE235,'SCORING MASTER'!$C$37:$C$39,0)),""))</f>
        <v/>
      </c>
      <c r="AG235" s="58" t="str">
        <f aca="false">IF('STUDENT SCREENING'!AF235="","",IFERROR(INDEX('SCORING MASTER'!$D$41:$D$43,MATCH('STUDENT SCREENING'!AF235,'SCORING MASTER'!$C$41:$C$43,0)),""))</f>
        <v/>
      </c>
      <c r="AH235" s="58" t="str">
        <f aca="false">IF('STUDENT SCREENING'!AG235="","",IFERROR(INDEX('SCORING MASTER'!$D$45:$D$47,MATCH('STUDENT SCREENING'!AG235,'SCORING MASTER'!$C$45:$C$47,0)),""))</f>
        <v/>
      </c>
      <c r="AI235" s="58" t="str">
        <f aca="false">IF('STUDENT SCREENING'!AH235="","",IFERROR(INDEX('SCORING MASTER'!$D$49:$D$52,MATCH('STUDENT SCREENING'!AH235,'SCORING MASTER'!$C$49:$C$52,0)),""))</f>
        <v/>
      </c>
      <c r="AJ235" s="58" t="str">
        <f aca="false">IF('STUDENT SCREENING'!AI235="","",IFERROR(INDEX('SCORING MASTER'!$D$54:$D$57,MATCH('STUDENT SCREENING'!AI235,'SCORING MASTER'!$C$54:$C$57,0)),""))</f>
        <v/>
      </c>
      <c r="AK235" s="58" t="str">
        <f aca="false">IF('STUDENT SCREENING'!AJ235="","",IFERROR(INDEX('SCORING MASTER'!$D$59:$D$60,MATCH('STUDENT SCREENING'!AJ235,'SCORING MASTER'!$C$59:$C$60,0)),""))</f>
        <v/>
      </c>
      <c r="AL235" s="58" t="str">
        <f aca="false">IF('STUDENT SCREENING'!AK235="","",IFERROR(INDEX('SCORING MASTER'!$D$62:$D$63,MATCH('STUDENT SCREENING'!AK235,'SCORING MASTER'!$C$62:$C$63,0)),""))</f>
        <v/>
      </c>
      <c r="AM235" s="58" t="str">
        <f aca="false">IF('STUDENT SCREENING'!AL235="","",IFERROR(INDEX('SCORING MASTER'!$D$65:$D$66,MATCH('STUDENT SCREENING'!AL235,'SCORING MASTER'!$C$65:$C$66,0)),""))</f>
        <v/>
      </c>
      <c r="AN235" s="58" t="str">
        <f aca="false">IF('STUDENT SCREENING'!AM235="","",IFERROR(INDEX('SCORING MASTER'!$D$68:$D$69,MATCH('STUDENT SCREENING'!AM235,'SCORING MASTER'!$C$68:$C$69,0)),""))</f>
        <v/>
      </c>
      <c r="AO235" s="58" t="str">
        <f aca="false">IF('STUDENT SCREENING'!AN235="","",IFERROR(INDEX('SCORING MASTER'!$D$71:$D$72,MATCH('STUDENT SCREENING'!AN235,'SCORING MASTER'!$C$71:$C$72,0)),""))</f>
        <v/>
      </c>
      <c r="AP235" s="58" t="str">
        <f aca="false">IF('STUDENT SCREENING'!AO235="","",IFERROR(INDEX('SCORING MASTER'!$D$74:$D$75,MATCH('STUDENT SCREENING'!AO235,'SCORING MASTER'!$C$74:$C$75,0)),""))</f>
        <v/>
      </c>
      <c r="AQ235" s="58" t="str">
        <f aca="false">IF('STUDENT SCREENING'!AP235="","",IFERROR(INDEX('SCORING MASTER'!$D$77:$D$78,MATCH('STUDENT SCREENING'!AP235,'SCORING MASTER'!$C$77:$C$78,0)),""))</f>
        <v/>
      </c>
      <c r="AR235" s="58" t="str">
        <f aca="false">IF('STUDENT SCREENING'!AQ235="","",IFERROR(INDEX('SCORING MASTER'!$D$80:$D$82,MATCH('STUDENT SCREENING'!AQ235,'SCORING MASTER'!$C$80:$C$82,0)),""))</f>
        <v/>
      </c>
      <c r="AS235" s="58" t="str">
        <f aca="false">IF('STUDENT SCREENING'!AR235="","",IFERROR(INDEX('SCORING MASTER'!$D$84:$D$86,MATCH('STUDENT SCREENING'!AR235,'SCORING MASTER'!$C$84:$C$86,0)),""))</f>
        <v/>
      </c>
      <c r="AT235" s="58" t="str">
        <f aca="false">IF('STUDENT SCREENING'!AS235="","",IFERROR(INDEX('SCORING MASTER'!$D$88:$D$90,MATCH('STUDENT SCREENING'!AS235,'SCORING MASTER'!$C$88:$C$90,0)),""))</f>
        <v/>
      </c>
      <c r="AU235" s="58" t="str">
        <f aca="false">IF('STUDENT SCREENING'!AT235="","",IFERROR(INDEX('SCORING MASTER'!$D$92:$D$93,MATCH('STUDENT SCREENING'!AT235,'SCORING MASTER'!$C$92:$C$93,0)),""))</f>
        <v/>
      </c>
      <c r="AV235" s="58" t="str">
        <f aca="false">IF('STUDENT SCREENING'!AU235="","",IFERROR(INDEX('SCORING MASTER'!$D$95:$D$96,MATCH('STUDENT SCREENING'!AU235,'SCORING MASTER'!$C$95:$C$96,0)),""))</f>
        <v/>
      </c>
      <c r="AW235" s="58" t="str">
        <f aca="false">IF('STUDENT SCREENING'!AV235="","",IFERROR(INDEX('SCORING MASTER'!$D$98:$D$99,MATCH('STUDENT SCREENING'!AV235,'SCORING MASTER'!$C$98:$C$99,0)),""))</f>
        <v/>
      </c>
      <c r="AX235" s="58" t="str">
        <f aca="false">IF('STUDENT SCREENING'!AW235="","",IFERROR(INDEX('SCORING MASTER'!$D$101:$D$102,MATCH('STUDENT SCREENING'!AW235,'SCORING MASTER'!$C$101:$C$102,0)),""))</f>
        <v/>
      </c>
      <c r="AY235" s="58" t="str">
        <f aca="false">IF('STUDENT SCREENING'!AX235="","",IFERROR(INDEX('SCORING MASTER'!$D$104:$D$105,MATCH('STUDENT SCREENING'!AX235,'SCORING MASTER'!$C$104:$C$105,0)),""))</f>
        <v/>
      </c>
      <c r="AZ235" s="58" t="str">
        <f aca="false">IF('STUDENT SCREENING'!AY235="","",IFERROR(INDEX('SCORING MASTER'!$D$107:$D$108,MATCH('STUDENT SCREENING'!AY235,'SCORING MASTER'!$C$107:$C$108,0)),""))</f>
        <v/>
      </c>
      <c r="BA235" s="58" t="str">
        <f aca="false">IF('STUDENT SCREENING'!AZ235="","",IFERROR(INDEX('SCORING MASTER'!$D$110:$D$111,MATCH('STUDENT SCREENING'!AZ235,'SCORING MASTER'!$C$110:$C$111,0)),""))</f>
        <v/>
      </c>
      <c r="BB235" s="58" t="str">
        <f aca="false">IF('STUDENT SCREENING'!BA235="","",IFERROR(INDEX('SCORING MASTER'!$D$113:$D$115,MATCH('STUDENT SCREENING'!BA235,'SCORING MASTER'!$C$113:$C$115,0)),""))</f>
        <v/>
      </c>
      <c r="BC235" s="58" t="str">
        <f aca="false">IF('STUDENT SCREENING'!BB235="","",IFERROR(INDEX('SCORING MASTER'!$D$117:$D$119,MATCH('STUDENT SCREENING'!BB235,'SCORING MASTER'!$C$117:$C$119,0)),""))</f>
        <v/>
      </c>
      <c r="BD235" s="58" t="str">
        <f aca="false">IF('STUDENT SCREENING'!BC235="","",IFERROR(INDEX('SCORING MASTER'!$D$121:$D$123,MATCH('STUDENT SCREENING'!BC235,'SCORING MASTER'!$C$121:$C$123,0)),""))</f>
        <v/>
      </c>
      <c r="BE235" s="58" t="str">
        <f aca="false">IF('STUDENT SCREENING'!BD235="","",IFERROR(INDEX('SCORING MASTER'!$D$125:$D$126,MATCH('STUDENT SCREENING'!BD235,'SCORING MASTER'!$C$125:$C$126,0)),""))</f>
        <v/>
      </c>
      <c r="BF235" s="58" t="str">
        <f aca="false">IF('STUDENT SCREENING'!BE235="","",IFERROR(INDEX('SCORING MASTER'!$D$128:$D$129,MATCH('STUDENT SCREENING'!BE235,'SCORING MASTER'!$C$128:$C$129,0)),""))</f>
        <v/>
      </c>
      <c r="BG235" s="58" t="str">
        <f aca="false">IF('STUDENT SCREENING'!BP235="","",IFERROR(MATCH('STUDENT SCREENING'!BP235,{"Red - High Risk","Orange - Moderate Risk","Yellow - Mild Risk","Light Green - Mild Watch","Green - Healthy"},0)-1,""))</f>
        <v/>
      </c>
      <c r="BH235" s="58" t="str">
        <f aca="false">IF('STUDENT SCREENING'!BQ235="","",IF('STUDENT SCREENING'!BQ235="Yes",1,0))</f>
        <v/>
      </c>
      <c r="BI235" s="58" t="str">
        <f aca="false">IF('STUDENT SCREENING'!BR235="","",IF('STUDENT SCREENING'!BR235="Yes",1,0))</f>
        <v/>
      </c>
    </row>
    <row r="236" customFormat="false" ht="15" hidden="false" customHeight="false" outlineLevel="0" collapsed="false">
      <c r="A236" s="57" t="str">
        <f aca="false">'STUDENT SCREENING'!A236</f>
        <v/>
      </c>
      <c r="B236" s="57" t="n">
        <f aca="false">'STUDENT SCREENING'!C236</f>
        <v>0</v>
      </c>
      <c r="C236" s="57" t="n">
        <f aca="false">'STUDENT SCREENING'!D236</f>
        <v>0</v>
      </c>
      <c r="D236" s="57" t="n">
        <f aca="false">'STUDENT SCREENING'!E236</f>
        <v>0</v>
      </c>
      <c r="E236" s="57" t="n">
        <f aca="false">'STUDENT SCREENING'!F236</f>
        <v>0</v>
      </c>
      <c r="F236" s="57" t="n">
        <f aca="false">'STUDENT SCREENING'!K236</f>
        <v>0</v>
      </c>
      <c r="G236" s="57" t="n">
        <f aca="false">'STUDENT SCREENING'!J236</f>
        <v>0</v>
      </c>
      <c r="H236" s="57" t="str">
        <f aca="false">IF('STUDENT SCREENING'!K236="","",IFERROR(MATCH('STUDENT SCREENING'!K236,Adm_Gender,0),""))</f>
        <v/>
      </c>
      <c r="I236" s="57" t="n">
        <f aca="false">'STUDENT SCREENING'!Q236</f>
        <v>0</v>
      </c>
      <c r="J236" s="57" t="n">
        <f aca="false">'STUDENT SCREENING'!R236</f>
        <v>0</v>
      </c>
      <c r="K236" s="57" t="str">
        <f aca="false">'STUDENT SCREENING'!S236</f>
        <v/>
      </c>
      <c r="L236" s="57" t="n">
        <f aca="false">'STUDENT SCREENING'!U236</f>
        <v>0</v>
      </c>
      <c r="M236" s="57" t="n">
        <f aca="false">'STUDENT SCREENING'!V236</f>
        <v>0</v>
      </c>
      <c r="N236" s="57" t="str">
        <f aca="false">'STUDENT SCREENING'!BF236</f>
        <v/>
      </c>
      <c r="O236" s="57" t="str">
        <f aca="false">'STUDENT SCREENING'!BG236</f>
        <v/>
      </c>
      <c r="P236" s="57" t="str">
        <f aca="false">'STUDENT SCREENING'!BH236</f>
        <v/>
      </c>
      <c r="Q236" s="57" t="str">
        <f aca="false">'STUDENT SCREENING'!BI236</f>
        <v/>
      </c>
      <c r="R236" s="57" t="str">
        <f aca="false">'STUDENT SCREENING'!BJ236</f>
        <v/>
      </c>
      <c r="S236" s="57" t="str">
        <f aca="false">'STUDENT SCREENING'!BK236</f>
        <v/>
      </c>
      <c r="T236" s="57" t="str">
        <f aca="false">'STUDENT SCREENING'!BL236</f>
        <v/>
      </c>
      <c r="U236" s="57" t="str">
        <f aca="false">'STUDENT SCREENING'!BM236</f>
        <v/>
      </c>
      <c r="V236" s="57" t="str">
        <f aca="false">'STUDENT SCREENING'!BN236</f>
        <v/>
      </c>
      <c r="W236" s="57" t="str">
        <f aca="false">'STUDENT SCREENING'!BO236</f>
        <v/>
      </c>
      <c r="X236" s="57" t="str">
        <f aca="false">IF('STUDENT SCREENING'!W236="","",IFERROR(INDEX('SCORING MASTER'!$D$5:$D$7,MATCH('STUDENT SCREENING'!W236,'SCORING MASTER'!$C$5:$C$7,0)),""))</f>
        <v/>
      </c>
      <c r="Y236" s="57" t="str">
        <f aca="false">IF('STUDENT SCREENING'!X236="","",IFERROR(INDEX('SCORING MASTER'!$D$9:$D$11,MATCH('STUDENT SCREENING'!X236,'SCORING MASTER'!$C$9:$C$11,0)),""))</f>
        <v/>
      </c>
      <c r="Z236" s="57" t="str">
        <f aca="false">IF('STUDENT SCREENING'!Y236="","",IFERROR(INDEX('SCORING MASTER'!$D$13:$D$15,MATCH('STUDENT SCREENING'!Y236,'SCORING MASTER'!$C$13:$C$15,0)),""))</f>
        <v/>
      </c>
      <c r="AA236" s="57" t="str">
        <f aca="false">IF('STUDENT SCREENING'!Z236="","",IFERROR(INDEX('SCORING MASTER'!$D$17:$D$19,MATCH('STUDENT SCREENING'!Z236,'SCORING MASTER'!$C$17:$C$19,0)),""))</f>
        <v/>
      </c>
      <c r="AB236" s="57" t="str">
        <f aca="false">IF('STUDENT SCREENING'!AA236="","",IFERROR(INDEX('SCORING MASTER'!$D$21:$D$23,MATCH('STUDENT SCREENING'!AA236,'SCORING MASTER'!$C$21:$C$23,0)),""))</f>
        <v/>
      </c>
      <c r="AC236" s="57" t="str">
        <f aca="false">IF('STUDENT SCREENING'!AB236="","",IFERROR(INDEX('SCORING MASTER'!$D$25:$D$27,MATCH('STUDENT SCREENING'!AB236,'SCORING MASTER'!$C$25:$C$27,0)),""))</f>
        <v/>
      </c>
      <c r="AD236" s="57" t="str">
        <f aca="false">IF('STUDENT SCREENING'!AC236="","",IFERROR(INDEX('SCORING MASTER'!$D$29:$D$31,MATCH('STUDENT SCREENING'!AC236,'SCORING MASTER'!$C$29:$C$31,0)),""))</f>
        <v/>
      </c>
      <c r="AE236" s="57" t="str">
        <f aca="false">IF('STUDENT SCREENING'!AD236="","",IFERROR(INDEX('SCORING MASTER'!$D$33:$D$35,MATCH('STUDENT SCREENING'!AD236,'SCORING MASTER'!$C$33:$C$35,0)),""))</f>
        <v/>
      </c>
      <c r="AF236" s="57" t="str">
        <f aca="false">IF('STUDENT SCREENING'!AE236="","",IFERROR(INDEX('SCORING MASTER'!$D$37:$D$39,MATCH('STUDENT SCREENING'!AE236,'SCORING MASTER'!$C$37:$C$39,0)),""))</f>
        <v/>
      </c>
      <c r="AG236" s="57" t="str">
        <f aca="false">IF('STUDENT SCREENING'!AF236="","",IFERROR(INDEX('SCORING MASTER'!$D$41:$D$43,MATCH('STUDENT SCREENING'!AF236,'SCORING MASTER'!$C$41:$C$43,0)),""))</f>
        <v/>
      </c>
      <c r="AH236" s="57" t="str">
        <f aca="false">IF('STUDENT SCREENING'!AG236="","",IFERROR(INDEX('SCORING MASTER'!$D$45:$D$47,MATCH('STUDENT SCREENING'!AG236,'SCORING MASTER'!$C$45:$C$47,0)),""))</f>
        <v/>
      </c>
      <c r="AI236" s="57" t="str">
        <f aca="false">IF('STUDENT SCREENING'!AH236="","",IFERROR(INDEX('SCORING MASTER'!$D$49:$D$52,MATCH('STUDENT SCREENING'!AH236,'SCORING MASTER'!$C$49:$C$52,0)),""))</f>
        <v/>
      </c>
      <c r="AJ236" s="57" t="str">
        <f aca="false">IF('STUDENT SCREENING'!AI236="","",IFERROR(INDEX('SCORING MASTER'!$D$54:$D$57,MATCH('STUDENT SCREENING'!AI236,'SCORING MASTER'!$C$54:$C$57,0)),""))</f>
        <v/>
      </c>
      <c r="AK236" s="57" t="str">
        <f aca="false">IF('STUDENT SCREENING'!AJ236="","",IFERROR(INDEX('SCORING MASTER'!$D$59:$D$60,MATCH('STUDENT SCREENING'!AJ236,'SCORING MASTER'!$C$59:$C$60,0)),""))</f>
        <v/>
      </c>
      <c r="AL236" s="57" t="str">
        <f aca="false">IF('STUDENT SCREENING'!AK236="","",IFERROR(INDEX('SCORING MASTER'!$D$62:$D$63,MATCH('STUDENT SCREENING'!AK236,'SCORING MASTER'!$C$62:$C$63,0)),""))</f>
        <v/>
      </c>
      <c r="AM236" s="57" t="str">
        <f aca="false">IF('STUDENT SCREENING'!AL236="","",IFERROR(INDEX('SCORING MASTER'!$D$65:$D$66,MATCH('STUDENT SCREENING'!AL236,'SCORING MASTER'!$C$65:$C$66,0)),""))</f>
        <v/>
      </c>
      <c r="AN236" s="57" t="str">
        <f aca="false">IF('STUDENT SCREENING'!AM236="","",IFERROR(INDEX('SCORING MASTER'!$D$68:$D$69,MATCH('STUDENT SCREENING'!AM236,'SCORING MASTER'!$C$68:$C$69,0)),""))</f>
        <v/>
      </c>
      <c r="AO236" s="57" t="str">
        <f aca="false">IF('STUDENT SCREENING'!AN236="","",IFERROR(INDEX('SCORING MASTER'!$D$71:$D$72,MATCH('STUDENT SCREENING'!AN236,'SCORING MASTER'!$C$71:$C$72,0)),""))</f>
        <v/>
      </c>
      <c r="AP236" s="57" t="str">
        <f aca="false">IF('STUDENT SCREENING'!AO236="","",IFERROR(INDEX('SCORING MASTER'!$D$74:$D$75,MATCH('STUDENT SCREENING'!AO236,'SCORING MASTER'!$C$74:$C$75,0)),""))</f>
        <v/>
      </c>
      <c r="AQ236" s="57" t="str">
        <f aca="false">IF('STUDENT SCREENING'!AP236="","",IFERROR(INDEX('SCORING MASTER'!$D$77:$D$78,MATCH('STUDENT SCREENING'!AP236,'SCORING MASTER'!$C$77:$C$78,0)),""))</f>
        <v/>
      </c>
      <c r="AR236" s="57" t="str">
        <f aca="false">IF('STUDENT SCREENING'!AQ236="","",IFERROR(INDEX('SCORING MASTER'!$D$80:$D$82,MATCH('STUDENT SCREENING'!AQ236,'SCORING MASTER'!$C$80:$C$82,0)),""))</f>
        <v/>
      </c>
      <c r="AS236" s="57" t="str">
        <f aca="false">IF('STUDENT SCREENING'!AR236="","",IFERROR(INDEX('SCORING MASTER'!$D$84:$D$86,MATCH('STUDENT SCREENING'!AR236,'SCORING MASTER'!$C$84:$C$86,0)),""))</f>
        <v/>
      </c>
      <c r="AT236" s="57" t="str">
        <f aca="false">IF('STUDENT SCREENING'!AS236="","",IFERROR(INDEX('SCORING MASTER'!$D$88:$D$90,MATCH('STUDENT SCREENING'!AS236,'SCORING MASTER'!$C$88:$C$90,0)),""))</f>
        <v/>
      </c>
      <c r="AU236" s="57" t="str">
        <f aca="false">IF('STUDENT SCREENING'!AT236="","",IFERROR(INDEX('SCORING MASTER'!$D$92:$D$93,MATCH('STUDENT SCREENING'!AT236,'SCORING MASTER'!$C$92:$C$93,0)),""))</f>
        <v/>
      </c>
      <c r="AV236" s="57" t="str">
        <f aca="false">IF('STUDENT SCREENING'!AU236="","",IFERROR(INDEX('SCORING MASTER'!$D$95:$D$96,MATCH('STUDENT SCREENING'!AU236,'SCORING MASTER'!$C$95:$C$96,0)),""))</f>
        <v/>
      </c>
      <c r="AW236" s="57" t="str">
        <f aca="false">IF('STUDENT SCREENING'!AV236="","",IFERROR(INDEX('SCORING MASTER'!$D$98:$D$99,MATCH('STUDENT SCREENING'!AV236,'SCORING MASTER'!$C$98:$C$99,0)),""))</f>
        <v/>
      </c>
      <c r="AX236" s="57" t="str">
        <f aca="false">IF('STUDENT SCREENING'!AW236="","",IFERROR(INDEX('SCORING MASTER'!$D$101:$D$102,MATCH('STUDENT SCREENING'!AW236,'SCORING MASTER'!$C$101:$C$102,0)),""))</f>
        <v/>
      </c>
      <c r="AY236" s="57" t="str">
        <f aca="false">IF('STUDENT SCREENING'!AX236="","",IFERROR(INDEX('SCORING MASTER'!$D$104:$D$105,MATCH('STUDENT SCREENING'!AX236,'SCORING MASTER'!$C$104:$C$105,0)),""))</f>
        <v/>
      </c>
      <c r="AZ236" s="57" t="str">
        <f aca="false">IF('STUDENT SCREENING'!AY236="","",IFERROR(INDEX('SCORING MASTER'!$D$107:$D$108,MATCH('STUDENT SCREENING'!AY236,'SCORING MASTER'!$C$107:$C$108,0)),""))</f>
        <v/>
      </c>
      <c r="BA236" s="57" t="str">
        <f aca="false">IF('STUDENT SCREENING'!AZ236="","",IFERROR(INDEX('SCORING MASTER'!$D$110:$D$111,MATCH('STUDENT SCREENING'!AZ236,'SCORING MASTER'!$C$110:$C$111,0)),""))</f>
        <v/>
      </c>
      <c r="BB236" s="57" t="str">
        <f aca="false">IF('STUDENT SCREENING'!BA236="","",IFERROR(INDEX('SCORING MASTER'!$D$113:$D$115,MATCH('STUDENT SCREENING'!BA236,'SCORING MASTER'!$C$113:$C$115,0)),""))</f>
        <v/>
      </c>
      <c r="BC236" s="57" t="str">
        <f aca="false">IF('STUDENT SCREENING'!BB236="","",IFERROR(INDEX('SCORING MASTER'!$D$117:$D$119,MATCH('STUDENT SCREENING'!BB236,'SCORING MASTER'!$C$117:$C$119,0)),""))</f>
        <v/>
      </c>
      <c r="BD236" s="57" t="str">
        <f aca="false">IF('STUDENT SCREENING'!BC236="","",IFERROR(INDEX('SCORING MASTER'!$D$121:$D$123,MATCH('STUDENT SCREENING'!BC236,'SCORING MASTER'!$C$121:$C$123,0)),""))</f>
        <v/>
      </c>
      <c r="BE236" s="57" t="str">
        <f aca="false">IF('STUDENT SCREENING'!BD236="","",IFERROR(INDEX('SCORING MASTER'!$D$125:$D$126,MATCH('STUDENT SCREENING'!BD236,'SCORING MASTER'!$C$125:$C$126,0)),""))</f>
        <v/>
      </c>
      <c r="BF236" s="57" t="str">
        <f aca="false">IF('STUDENT SCREENING'!BE236="","",IFERROR(INDEX('SCORING MASTER'!$D$128:$D$129,MATCH('STUDENT SCREENING'!BE236,'SCORING MASTER'!$C$128:$C$129,0)),""))</f>
        <v/>
      </c>
      <c r="BG236" s="57" t="str">
        <f aca="false">IF('STUDENT SCREENING'!BP236="","",IFERROR(MATCH('STUDENT SCREENING'!BP236,{"Red - High Risk","Orange - Moderate Risk","Yellow - Mild Risk","Light Green - Mild Watch","Green - Healthy"},0)-1,""))</f>
        <v/>
      </c>
      <c r="BH236" s="57" t="str">
        <f aca="false">IF('STUDENT SCREENING'!BQ236="","",IF('STUDENT SCREENING'!BQ236="Yes",1,0))</f>
        <v/>
      </c>
      <c r="BI236" s="57" t="str">
        <f aca="false">IF('STUDENT SCREENING'!BR236="","",IF('STUDENT SCREENING'!BR236="Yes",1,0))</f>
        <v/>
      </c>
    </row>
    <row r="237" customFormat="false" ht="15" hidden="false" customHeight="false" outlineLevel="0" collapsed="false">
      <c r="A237" s="58" t="str">
        <f aca="false">'STUDENT SCREENING'!A237</f>
        <v/>
      </c>
      <c r="B237" s="58" t="n">
        <f aca="false">'STUDENT SCREENING'!C237</f>
        <v>0</v>
      </c>
      <c r="C237" s="58" t="n">
        <f aca="false">'STUDENT SCREENING'!D237</f>
        <v>0</v>
      </c>
      <c r="D237" s="58" t="n">
        <f aca="false">'STUDENT SCREENING'!E237</f>
        <v>0</v>
      </c>
      <c r="E237" s="58" t="n">
        <f aca="false">'STUDENT SCREENING'!F237</f>
        <v>0</v>
      </c>
      <c r="F237" s="58" t="n">
        <f aca="false">'STUDENT SCREENING'!K237</f>
        <v>0</v>
      </c>
      <c r="G237" s="58" t="n">
        <f aca="false">'STUDENT SCREENING'!J237</f>
        <v>0</v>
      </c>
      <c r="H237" s="58" t="str">
        <f aca="false">IF('STUDENT SCREENING'!K237="","",IFERROR(MATCH('STUDENT SCREENING'!K237,Adm_Gender,0),""))</f>
        <v/>
      </c>
      <c r="I237" s="58" t="n">
        <f aca="false">'STUDENT SCREENING'!Q237</f>
        <v>0</v>
      </c>
      <c r="J237" s="58" t="n">
        <f aca="false">'STUDENT SCREENING'!R237</f>
        <v>0</v>
      </c>
      <c r="K237" s="58" t="str">
        <f aca="false">'STUDENT SCREENING'!S237</f>
        <v/>
      </c>
      <c r="L237" s="58" t="n">
        <f aca="false">'STUDENT SCREENING'!U237</f>
        <v>0</v>
      </c>
      <c r="M237" s="58" t="n">
        <f aca="false">'STUDENT SCREENING'!V237</f>
        <v>0</v>
      </c>
      <c r="N237" s="58" t="str">
        <f aca="false">'STUDENT SCREENING'!BF237</f>
        <v/>
      </c>
      <c r="O237" s="58" t="str">
        <f aca="false">'STUDENT SCREENING'!BG237</f>
        <v/>
      </c>
      <c r="P237" s="58" t="str">
        <f aca="false">'STUDENT SCREENING'!BH237</f>
        <v/>
      </c>
      <c r="Q237" s="58" t="str">
        <f aca="false">'STUDENT SCREENING'!BI237</f>
        <v/>
      </c>
      <c r="R237" s="58" t="str">
        <f aca="false">'STUDENT SCREENING'!BJ237</f>
        <v/>
      </c>
      <c r="S237" s="58" t="str">
        <f aca="false">'STUDENT SCREENING'!BK237</f>
        <v/>
      </c>
      <c r="T237" s="58" t="str">
        <f aca="false">'STUDENT SCREENING'!BL237</f>
        <v/>
      </c>
      <c r="U237" s="58" t="str">
        <f aca="false">'STUDENT SCREENING'!BM237</f>
        <v/>
      </c>
      <c r="V237" s="58" t="str">
        <f aca="false">'STUDENT SCREENING'!BN237</f>
        <v/>
      </c>
      <c r="W237" s="58" t="str">
        <f aca="false">'STUDENT SCREENING'!BO237</f>
        <v/>
      </c>
      <c r="X237" s="58" t="str">
        <f aca="false">IF('STUDENT SCREENING'!W237="","",IFERROR(INDEX('SCORING MASTER'!$D$5:$D$7,MATCH('STUDENT SCREENING'!W237,'SCORING MASTER'!$C$5:$C$7,0)),""))</f>
        <v/>
      </c>
      <c r="Y237" s="58" t="str">
        <f aca="false">IF('STUDENT SCREENING'!X237="","",IFERROR(INDEX('SCORING MASTER'!$D$9:$D$11,MATCH('STUDENT SCREENING'!X237,'SCORING MASTER'!$C$9:$C$11,0)),""))</f>
        <v/>
      </c>
      <c r="Z237" s="58" t="str">
        <f aca="false">IF('STUDENT SCREENING'!Y237="","",IFERROR(INDEX('SCORING MASTER'!$D$13:$D$15,MATCH('STUDENT SCREENING'!Y237,'SCORING MASTER'!$C$13:$C$15,0)),""))</f>
        <v/>
      </c>
      <c r="AA237" s="58" t="str">
        <f aca="false">IF('STUDENT SCREENING'!Z237="","",IFERROR(INDEX('SCORING MASTER'!$D$17:$D$19,MATCH('STUDENT SCREENING'!Z237,'SCORING MASTER'!$C$17:$C$19,0)),""))</f>
        <v/>
      </c>
      <c r="AB237" s="58" t="str">
        <f aca="false">IF('STUDENT SCREENING'!AA237="","",IFERROR(INDEX('SCORING MASTER'!$D$21:$D$23,MATCH('STUDENT SCREENING'!AA237,'SCORING MASTER'!$C$21:$C$23,0)),""))</f>
        <v/>
      </c>
      <c r="AC237" s="58" t="str">
        <f aca="false">IF('STUDENT SCREENING'!AB237="","",IFERROR(INDEX('SCORING MASTER'!$D$25:$D$27,MATCH('STUDENT SCREENING'!AB237,'SCORING MASTER'!$C$25:$C$27,0)),""))</f>
        <v/>
      </c>
      <c r="AD237" s="58" t="str">
        <f aca="false">IF('STUDENT SCREENING'!AC237="","",IFERROR(INDEX('SCORING MASTER'!$D$29:$D$31,MATCH('STUDENT SCREENING'!AC237,'SCORING MASTER'!$C$29:$C$31,0)),""))</f>
        <v/>
      </c>
      <c r="AE237" s="58" t="str">
        <f aca="false">IF('STUDENT SCREENING'!AD237="","",IFERROR(INDEX('SCORING MASTER'!$D$33:$D$35,MATCH('STUDENT SCREENING'!AD237,'SCORING MASTER'!$C$33:$C$35,0)),""))</f>
        <v/>
      </c>
      <c r="AF237" s="58" t="str">
        <f aca="false">IF('STUDENT SCREENING'!AE237="","",IFERROR(INDEX('SCORING MASTER'!$D$37:$D$39,MATCH('STUDENT SCREENING'!AE237,'SCORING MASTER'!$C$37:$C$39,0)),""))</f>
        <v/>
      </c>
      <c r="AG237" s="58" t="str">
        <f aca="false">IF('STUDENT SCREENING'!AF237="","",IFERROR(INDEX('SCORING MASTER'!$D$41:$D$43,MATCH('STUDENT SCREENING'!AF237,'SCORING MASTER'!$C$41:$C$43,0)),""))</f>
        <v/>
      </c>
      <c r="AH237" s="58" t="str">
        <f aca="false">IF('STUDENT SCREENING'!AG237="","",IFERROR(INDEX('SCORING MASTER'!$D$45:$D$47,MATCH('STUDENT SCREENING'!AG237,'SCORING MASTER'!$C$45:$C$47,0)),""))</f>
        <v/>
      </c>
      <c r="AI237" s="58" t="str">
        <f aca="false">IF('STUDENT SCREENING'!AH237="","",IFERROR(INDEX('SCORING MASTER'!$D$49:$D$52,MATCH('STUDENT SCREENING'!AH237,'SCORING MASTER'!$C$49:$C$52,0)),""))</f>
        <v/>
      </c>
      <c r="AJ237" s="58" t="str">
        <f aca="false">IF('STUDENT SCREENING'!AI237="","",IFERROR(INDEX('SCORING MASTER'!$D$54:$D$57,MATCH('STUDENT SCREENING'!AI237,'SCORING MASTER'!$C$54:$C$57,0)),""))</f>
        <v/>
      </c>
      <c r="AK237" s="58" t="str">
        <f aca="false">IF('STUDENT SCREENING'!AJ237="","",IFERROR(INDEX('SCORING MASTER'!$D$59:$D$60,MATCH('STUDENT SCREENING'!AJ237,'SCORING MASTER'!$C$59:$C$60,0)),""))</f>
        <v/>
      </c>
      <c r="AL237" s="58" t="str">
        <f aca="false">IF('STUDENT SCREENING'!AK237="","",IFERROR(INDEX('SCORING MASTER'!$D$62:$D$63,MATCH('STUDENT SCREENING'!AK237,'SCORING MASTER'!$C$62:$C$63,0)),""))</f>
        <v/>
      </c>
      <c r="AM237" s="58" t="str">
        <f aca="false">IF('STUDENT SCREENING'!AL237="","",IFERROR(INDEX('SCORING MASTER'!$D$65:$D$66,MATCH('STUDENT SCREENING'!AL237,'SCORING MASTER'!$C$65:$C$66,0)),""))</f>
        <v/>
      </c>
      <c r="AN237" s="58" t="str">
        <f aca="false">IF('STUDENT SCREENING'!AM237="","",IFERROR(INDEX('SCORING MASTER'!$D$68:$D$69,MATCH('STUDENT SCREENING'!AM237,'SCORING MASTER'!$C$68:$C$69,0)),""))</f>
        <v/>
      </c>
      <c r="AO237" s="58" t="str">
        <f aca="false">IF('STUDENT SCREENING'!AN237="","",IFERROR(INDEX('SCORING MASTER'!$D$71:$D$72,MATCH('STUDENT SCREENING'!AN237,'SCORING MASTER'!$C$71:$C$72,0)),""))</f>
        <v/>
      </c>
      <c r="AP237" s="58" t="str">
        <f aca="false">IF('STUDENT SCREENING'!AO237="","",IFERROR(INDEX('SCORING MASTER'!$D$74:$D$75,MATCH('STUDENT SCREENING'!AO237,'SCORING MASTER'!$C$74:$C$75,0)),""))</f>
        <v/>
      </c>
      <c r="AQ237" s="58" t="str">
        <f aca="false">IF('STUDENT SCREENING'!AP237="","",IFERROR(INDEX('SCORING MASTER'!$D$77:$D$78,MATCH('STUDENT SCREENING'!AP237,'SCORING MASTER'!$C$77:$C$78,0)),""))</f>
        <v/>
      </c>
      <c r="AR237" s="58" t="str">
        <f aca="false">IF('STUDENT SCREENING'!AQ237="","",IFERROR(INDEX('SCORING MASTER'!$D$80:$D$82,MATCH('STUDENT SCREENING'!AQ237,'SCORING MASTER'!$C$80:$C$82,0)),""))</f>
        <v/>
      </c>
      <c r="AS237" s="58" t="str">
        <f aca="false">IF('STUDENT SCREENING'!AR237="","",IFERROR(INDEX('SCORING MASTER'!$D$84:$D$86,MATCH('STUDENT SCREENING'!AR237,'SCORING MASTER'!$C$84:$C$86,0)),""))</f>
        <v/>
      </c>
      <c r="AT237" s="58" t="str">
        <f aca="false">IF('STUDENT SCREENING'!AS237="","",IFERROR(INDEX('SCORING MASTER'!$D$88:$D$90,MATCH('STUDENT SCREENING'!AS237,'SCORING MASTER'!$C$88:$C$90,0)),""))</f>
        <v/>
      </c>
      <c r="AU237" s="58" t="str">
        <f aca="false">IF('STUDENT SCREENING'!AT237="","",IFERROR(INDEX('SCORING MASTER'!$D$92:$D$93,MATCH('STUDENT SCREENING'!AT237,'SCORING MASTER'!$C$92:$C$93,0)),""))</f>
        <v/>
      </c>
      <c r="AV237" s="58" t="str">
        <f aca="false">IF('STUDENT SCREENING'!AU237="","",IFERROR(INDEX('SCORING MASTER'!$D$95:$D$96,MATCH('STUDENT SCREENING'!AU237,'SCORING MASTER'!$C$95:$C$96,0)),""))</f>
        <v/>
      </c>
      <c r="AW237" s="58" t="str">
        <f aca="false">IF('STUDENT SCREENING'!AV237="","",IFERROR(INDEX('SCORING MASTER'!$D$98:$D$99,MATCH('STUDENT SCREENING'!AV237,'SCORING MASTER'!$C$98:$C$99,0)),""))</f>
        <v/>
      </c>
      <c r="AX237" s="58" t="str">
        <f aca="false">IF('STUDENT SCREENING'!AW237="","",IFERROR(INDEX('SCORING MASTER'!$D$101:$D$102,MATCH('STUDENT SCREENING'!AW237,'SCORING MASTER'!$C$101:$C$102,0)),""))</f>
        <v/>
      </c>
      <c r="AY237" s="58" t="str">
        <f aca="false">IF('STUDENT SCREENING'!AX237="","",IFERROR(INDEX('SCORING MASTER'!$D$104:$D$105,MATCH('STUDENT SCREENING'!AX237,'SCORING MASTER'!$C$104:$C$105,0)),""))</f>
        <v/>
      </c>
      <c r="AZ237" s="58" t="str">
        <f aca="false">IF('STUDENT SCREENING'!AY237="","",IFERROR(INDEX('SCORING MASTER'!$D$107:$D$108,MATCH('STUDENT SCREENING'!AY237,'SCORING MASTER'!$C$107:$C$108,0)),""))</f>
        <v/>
      </c>
      <c r="BA237" s="58" t="str">
        <f aca="false">IF('STUDENT SCREENING'!AZ237="","",IFERROR(INDEX('SCORING MASTER'!$D$110:$D$111,MATCH('STUDENT SCREENING'!AZ237,'SCORING MASTER'!$C$110:$C$111,0)),""))</f>
        <v/>
      </c>
      <c r="BB237" s="58" t="str">
        <f aca="false">IF('STUDENT SCREENING'!BA237="","",IFERROR(INDEX('SCORING MASTER'!$D$113:$D$115,MATCH('STUDENT SCREENING'!BA237,'SCORING MASTER'!$C$113:$C$115,0)),""))</f>
        <v/>
      </c>
      <c r="BC237" s="58" t="str">
        <f aca="false">IF('STUDENT SCREENING'!BB237="","",IFERROR(INDEX('SCORING MASTER'!$D$117:$D$119,MATCH('STUDENT SCREENING'!BB237,'SCORING MASTER'!$C$117:$C$119,0)),""))</f>
        <v/>
      </c>
      <c r="BD237" s="58" t="str">
        <f aca="false">IF('STUDENT SCREENING'!BC237="","",IFERROR(INDEX('SCORING MASTER'!$D$121:$D$123,MATCH('STUDENT SCREENING'!BC237,'SCORING MASTER'!$C$121:$C$123,0)),""))</f>
        <v/>
      </c>
      <c r="BE237" s="58" t="str">
        <f aca="false">IF('STUDENT SCREENING'!BD237="","",IFERROR(INDEX('SCORING MASTER'!$D$125:$D$126,MATCH('STUDENT SCREENING'!BD237,'SCORING MASTER'!$C$125:$C$126,0)),""))</f>
        <v/>
      </c>
      <c r="BF237" s="58" t="str">
        <f aca="false">IF('STUDENT SCREENING'!BE237="","",IFERROR(INDEX('SCORING MASTER'!$D$128:$D$129,MATCH('STUDENT SCREENING'!BE237,'SCORING MASTER'!$C$128:$C$129,0)),""))</f>
        <v/>
      </c>
      <c r="BG237" s="58" t="str">
        <f aca="false">IF('STUDENT SCREENING'!BP237="","",IFERROR(MATCH('STUDENT SCREENING'!BP237,{"Red - High Risk","Orange - Moderate Risk","Yellow - Mild Risk","Light Green - Mild Watch","Green - Healthy"},0)-1,""))</f>
        <v/>
      </c>
      <c r="BH237" s="58" t="str">
        <f aca="false">IF('STUDENT SCREENING'!BQ237="","",IF('STUDENT SCREENING'!BQ237="Yes",1,0))</f>
        <v/>
      </c>
      <c r="BI237" s="58" t="str">
        <f aca="false">IF('STUDENT SCREENING'!BR237="","",IF('STUDENT SCREENING'!BR237="Yes",1,0))</f>
        <v/>
      </c>
    </row>
    <row r="238" customFormat="false" ht="15" hidden="false" customHeight="false" outlineLevel="0" collapsed="false">
      <c r="A238" s="57" t="str">
        <f aca="false">'STUDENT SCREENING'!A238</f>
        <v/>
      </c>
      <c r="B238" s="57" t="n">
        <f aca="false">'STUDENT SCREENING'!C238</f>
        <v>0</v>
      </c>
      <c r="C238" s="57" t="n">
        <f aca="false">'STUDENT SCREENING'!D238</f>
        <v>0</v>
      </c>
      <c r="D238" s="57" t="n">
        <f aca="false">'STUDENT SCREENING'!E238</f>
        <v>0</v>
      </c>
      <c r="E238" s="57" t="n">
        <f aca="false">'STUDENT SCREENING'!F238</f>
        <v>0</v>
      </c>
      <c r="F238" s="57" t="n">
        <f aca="false">'STUDENT SCREENING'!K238</f>
        <v>0</v>
      </c>
      <c r="G238" s="57" t="n">
        <f aca="false">'STUDENT SCREENING'!J238</f>
        <v>0</v>
      </c>
      <c r="H238" s="57" t="str">
        <f aca="false">IF('STUDENT SCREENING'!K238="","",IFERROR(MATCH('STUDENT SCREENING'!K238,Adm_Gender,0),""))</f>
        <v/>
      </c>
      <c r="I238" s="57" t="n">
        <f aca="false">'STUDENT SCREENING'!Q238</f>
        <v>0</v>
      </c>
      <c r="J238" s="57" t="n">
        <f aca="false">'STUDENT SCREENING'!R238</f>
        <v>0</v>
      </c>
      <c r="K238" s="57" t="str">
        <f aca="false">'STUDENT SCREENING'!S238</f>
        <v/>
      </c>
      <c r="L238" s="57" t="n">
        <f aca="false">'STUDENT SCREENING'!U238</f>
        <v>0</v>
      </c>
      <c r="M238" s="57" t="n">
        <f aca="false">'STUDENT SCREENING'!V238</f>
        <v>0</v>
      </c>
      <c r="N238" s="57" t="str">
        <f aca="false">'STUDENT SCREENING'!BF238</f>
        <v/>
      </c>
      <c r="O238" s="57" t="str">
        <f aca="false">'STUDENT SCREENING'!BG238</f>
        <v/>
      </c>
      <c r="P238" s="57" t="str">
        <f aca="false">'STUDENT SCREENING'!BH238</f>
        <v/>
      </c>
      <c r="Q238" s="57" t="str">
        <f aca="false">'STUDENT SCREENING'!BI238</f>
        <v/>
      </c>
      <c r="R238" s="57" t="str">
        <f aca="false">'STUDENT SCREENING'!BJ238</f>
        <v/>
      </c>
      <c r="S238" s="57" t="str">
        <f aca="false">'STUDENT SCREENING'!BK238</f>
        <v/>
      </c>
      <c r="T238" s="57" t="str">
        <f aca="false">'STUDENT SCREENING'!BL238</f>
        <v/>
      </c>
      <c r="U238" s="57" t="str">
        <f aca="false">'STUDENT SCREENING'!BM238</f>
        <v/>
      </c>
      <c r="V238" s="57" t="str">
        <f aca="false">'STUDENT SCREENING'!BN238</f>
        <v/>
      </c>
      <c r="W238" s="57" t="str">
        <f aca="false">'STUDENT SCREENING'!BO238</f>
        <v/>
      </c>
      <c r="X238" s="57" t="str">
        <f aca="false">IF('STUDENT SCREENING'!W238="","",IFERROR(INDEX('SCORING MASTER'!$D$5:$D$7,MATCH('STUDENT SCREENING'!W238,'SCORING MASTER'!$C$5:$C$7,0)),""))</f>
        <v/>
      </c>
      <c r="Y238" s="57" t="str">
        <f aca="false">IF('STUDENT SCREENING'!X238="","",IFERROR(INDEX('SCORING MASTER'!$D$9:$D$11,MATCH('STUDENT SCREENING'!X238,'SCORING MASTER'!$C$9:$C$11,0)),""))</f>
        <v/>
      </c>
      <c r="Z238" s="57" t="str">
        <f aca="false">IF('STUDENT SCREENING'!Y238="","",IFERROR(INDEX('SCORING MASTER'!$D$13:$D$15,MATCH('STUDENT SCREENING'!Y238,'SCORING MASTER'!$C$13:$C$15,0)),""))</f>
        <v/>
      </c>
      <c r="AA238" s="57" t="str">
        <f aca="false">IF('STUDENT SCREENING'!Z238="","",IFERROR(INDEX('SCORING MASTER'!$D$17:$D$19,MATCH('STUDENT SCREENING'!Z238,'SCORING MASTER'!$C$17:$C$19,0)),""))</f>
        <v/>
      </c>
      <c r="AB238" s="57" t="str">
        <f aca="false">IF('STUDENT SCREENING'!AA238="","",IFERROR(INDEX('SCORING MASTER'!$D$21:$D$23,MATCH('STUDENT SCREENING'!AA238,'SCORING MASTER'!$C$21:$C$23,0)),""))</f>
        <v/>
      </c>
      <c r="AC238" s="57" t="str">
        <f aca="false">IF('STUDENT SCREENING'!AB238="","",IFERROR(INDEX('SCORING MASTER'!$D$25:$D$27,MATCH('STUDENT SCREENING'!AB238,'SCORING MASTER'!$C$25:$C$27,0)),""))</f>
        <v/>
      </c>
      <c r="AD238" s="57" t="str">
        <f aca="false">IF('STUDENT SCREENING'!AC238="","",IFERROR(INDEX('SCORING MASTER'!$D$29:$D$31,MATCH('STUDENT SCREENING'!AC238,'SCORING MASTER'!$C$29:$C$31,0)),""))</f>
        <v/>
      </c>
      <c r="AE238" s="57" t="str">
        <f aca="false">IF('STUDENT SCREENING'!AD238="","",IFERROR(INDEX('SCORING MASTER'!$D$33:$D$35,MATCH('STUDENT SCREENING'!AD238,'SCORING MASTER'!$C$33:$C$35,0)),""))</f>
        <v/>
      </c>
      <c r="AF238" s="57" t="str">
        <f aca="false">IF('STUDENT SCREENING'!AE238="","",IFERROR(INDEX('SCORING MASTER'!$D$37:$D$39,MATCH('STUDENT SCREENING'!AE238,'SCORING MASTER'!$C$37:$C$39,0)),""))</f>
        <v/>
      </c>
      <c r="AG238" s="57" t="str">
        <f aca="false">IF('STUDENT SCREENING'!AF238="","",IFERROR(INDEX('SCORING MASTER'!$D$41:$D$43,MATCH('STUDENT SCREENING'!AF238,'SCORING MASTER'!$C$41:$C$43,0)),""))</f>
        <v/>
      </c>
      <c r="AH238" s="57" t="str">
        <f aca="false">IF('STUDENT SCREENING'!AG238="","",IFERROR(INDEX('SCORING MASTER'!$D$45:$D$47,MATCH('STUDENT SCREENING'!AG238,'SCORING MASTER'!$C$45:$C$47,0)),""))</f>
        <v/>
      </c>
      <c r="AI238" s="57" t="str">
        <f aca="false">IF('STUDENT SCREENING'!AH238="","",IFERROR(INDEX('SCORING MASTER'!$D$49:$D$52,MATCH('STUDENT SCREENING'!AH238,'SCORING MASTER'!$C$49:$C$52,0)),""))</f>
        <v/>
      </c>
      <c r="AJ238" s="57" t="str">
        <f aca="false">IF('STUDENT SCREENING'!AI238="","",IFERROR(INDEX('SCORING MASTER'!$D$54:$D$57,MATCH('STUDENT SCREENING'!AI238,'SCORING MASTER'!$C$54:$C$57,0)),""))</f>
        <v/>
      </c>
      <c r="AK238" s="57" t="str">
        <f aca="false">IF('STUDENT SCREENING'!AJ238="","",IFERROR(INDEX('SCORING MASTER'!$D$59:$D$60,MATCH('STUDENT SCREENING'!AJ238,'SCORING MASTER'!$C$59:$C$60,0)),""))</f>
        <v/>
      </c>
      <c r="AL238" s="57" t="str">
        <f aca="false">IF('STUDENT SCREENING'!AK238="","",IFERROR(INDEX('SCORING MASTER'!$D$62:$D$63,MATCH('STUDENT SCREENING'!AK238,'SCORING MASTER'!$C$62:$C$63,0)),""))</f>
        <v/>
      </c>
      <c r="AM238" s="57" t="str">
        <f aca="false">IF('STUDENT SCREENING'!AL238="","",IFERROR(INDEX('SCORING MASTER'!$D$65:$D$66,MATCH('STUDENT SCREENING'!AL238,'SCORING MASTER'!$C$65:$C$66,0)),""))</f>
        <v/>
      </c>
      <c r="AN238" s="57" t="str">
        <f aca="false">IF('STUDENT SCREENING'!AM238="","",IFERROR(INDEX('SCORING MASTER'!$D$68:$D$69,MATCH('STUDENT SCREENING'!AM238,'SCORING MASTER'!$C$68:$C$69,0)),""))</f>
        <v/>
      </c>
      <c r="AO238" s="57" t="str">
        <f aca="false">IF('STUDENT SCREENING'!AN238="","",IFERROR(INDEX('SCORING MASTER'!$D$71:$D$72,MATCH('STUDENT SCREENING'!AN238,'SCORING MASTER'!$C$71:$C$72,0)),""))</f>
        <v/>
      </c>
      <c r="AP238" s="57" t="str">
        <f aca="false">IF('STUDENT SCREENING'!AO238="","",IFERROR(INDEX('SCORING MASTER'!$D$74:$D$75,MATCH('STUDENT SCREENING'!AO238,'SCORING MASTER'!$C$74:$C$75,0)),""))</f>
        <v/>
      </c>
      <c r="AQ238" s="57" t="str">
        <f aca="false">IF('STUDENT SCREENING'!AP238="","",IFERROR(INDEX('SCORING MASTER'!$D$77:$D$78,MATCH('STUDENT SCREENING'!AP238,'SCORING MASTER'!$C$77:$C$78,0)),""))</f>
        <v/>
      </c>
      <c r="AR238" s="57" t="str">
        <f aca="false">IF('STUDENT SCREENING'!AQ238="","",IFERROR(INDEX('SCORING MASTER'!$D$80:$D$82,MATCH('STUDENT SCREENING'!AQ238,'SCORING MASTER'!$C$80:$C$82,0)),""))</f>
        <v/>
      </c>
      <c r="AS238" s="57" t="str">
        <f aca="false">IF('STUDENT SCREENING'!AR238="","",IFERROR(INDEX('SCORING MASTER'!$D$84:$D$86,MATCH('STUDENT SCREENING'!AR238,'SCORING MASTER'!$C$84:$C$86,0)),""))</f>
        <v/>
      </c>
      <c r="AT238" s="57" t="str">
        <f aca="false">IF('STUDENT SCREENING'!AS238="","",IFERROR(INDEX('SCORING MASTER'!$D$88:$D$90,MATCH('STUDENT SCREENING'!AS238,'SCORING MASTER'!$C$88:$C$90,0)),""))</f>
        <v/>
      </c>
      <c r="AU238" s="57" t="str">
        <f aca="false">IF('STUDENT SCREENING'!AT238="","",IFERROR(INDEX('SCORING MASTER'!$D$92:$D$93,MATCH('STUDENT SCREENING'!AT238,'SCORING MASTER'!$C$92:$C$93,0)),""))</f>
        <v/>
      </c>
      <c r="AV238" s="57" t="str">
        <f aca="false">IF('STUDENT SCREENING'!AU238="","",IFERROR(INDEX('SCORING MASTER'!$D$95:$D$96,MATCH('STUDENT SCREENING'!AU238,'SCORING MASTER'!$C$95:$C$96,0)),""))</f>
        <v/>
      </c>
      <c r="AW238" s="57" t="str">
        <f aca="false">IF('STUDENT SCREENING'!AV238="","",IFERROR(INDEX('SCORING MASTER'!$D$98:$D$99,MATCH('STUDENT SCREENING'!AV238,'SCORING MASTER'!$C$98:$C$99,0)),""))</f>
        <v/>
      </c>
      <c r="AX238" s="57" t="str">
        <f aca="false">IF('STUDENT SCREENING'!AW238="","",IFERROR(INDEX('SCORING MASTER'!$D$101:$D$102,MATCH('STUDENT SCREENING'!AW238,'SCORING MASTER'!$C$101:$C$102,0)),""))</f>
        <v/>
      </c>
      <c r="AY238" s="57" t="str">
        <f aca="false">IF('STUDENT SCREENING'!AX238="","",IFERROR(INDEX('SCORING MASTER'!$D$104:$D$105,MATCH('STUDENT SCREENING'!AX238,'SCORING MASTER'!$C$104:$C$105,0)),""))</f>
        <v/>
      </c>
      <c r="AZ238" s="57" t="str">
        <f aca="false">IF('STUDENT SCREENING'!AY238="","",IFERROR(INDEX('SCORING MASTER'!$D$107:$D$108,MATCH('STUDENT SCREENING'!AY238,'SCORING MASTER'!$C$107:$C$108,0)),""))</f>
        <v/>
      </c>
      <c r="BA238" s="57" t="str">
        <f aca="false">IF('STUDENT SCREENING'!AZ238="","",IFERROR(INDEX('SCORING MASTER'!$D$110:$D$111,MATCH('STUDENT SCREENING'!AZ238,'SCORING MASTER'!$C$110:$C$111,0)),""))</f>
        <v/>
      </c>
      <c r="BB238" s="57" t="str">
        <f aca="false">IF('STUDENT SCREENING'!BA238="","",IFERROR(INDEX('SCORING MASTER'!$D$113:$D$115,MATCH('STUDENT SCREENING'!BA238,'SCORING MASTER'!$C$113:$C$115,0)),""))</f>
        <v/>
      </c>
      <c r="BC238" s="57" t="str">
        <f aca="false">IF('STUDENT SCREENING'!BB238="","",IFERROR(INDEX('SCORING MASTER'!$D$117:$D$119,MATCH('STUDENT SCREENING'!BB238,'SCORING MASTER'!$C$117:$C$119,0)),""))</f>
        <v/>
      </c>
      <c r="BD238" s="57" t="str">
        <f aca="false">IF('STUDENT SCREENING'!BC238="","",IFERROR(INDEX('SCORING MASTER'!$D$121:$D$123,MATCH('STUDENT SCREENING'!BC238,'SCORING MASTER'!$C$121:$C$123,0)),""))</f>
        <v/>
      </c>
      <c r="BE238" s="57" t="str">
        <f aca="false">IF('STUDENT SCREENING'!BD238="","",IFERROR(INDEX('SCORING MASTER'!$D$125:$D$126,MATCH('STUDENT SCREENING'!BD238,'SCORING MASTER'!$C$125:$C$126,0)),""))</f>
        <v/>
      </c>
      <c r="BF238" s="57" t="str">
        <f aca="false">IF('STUDENT SCREENING'!BE238="","",IFERROR(INDEX('SCORING MASTER'!$D$128:$D$129,MATCH('STUDENT SCREENING'!BE238,'SCORING MASTER'!$C$128:$C$129,0)),""))</f>
        <v/>
      </c>
      <c r="BG238" s="57" t="str">
        <f aca="false">IF('STUDENT SCREENING'!BP238="","",IFERROR(MATCH('STUDENT SCREENING'!BP238,{"Red - High Risk","Orange - Moderate Risk","Yellow - Mild Risk","Light Green - Mild Watch","Green - Healthy"},0)-1,""))</f>
        <v/>
      </c>
      <c r="BH238" s="57" t="str">
        <f aca="false">IF('STUDENT SCREENING'!BQ238="","",IF('STUDENT SCREENING'!BQ238="Yes",1,0))</f>
        <v/>
      </c>
      <c r="BI238" s="57" t="str">
        <f aca="false">IF('STUDENT SCREENING'!BR238="","",IF('STUDENT SCREENING'!BR238="Yes",1,0))</f>
        <v/>
      </c>
    </row>
    <row r="239" customFormat="false" ht="15" hidden="false" customHeight="false" outlineLevel="0" collapsed="false">
      <c r="A239" s="58" t="str">
        <f aca="false">'STUDENT SCREENING'!A239</f>
        <v/>
      </c>
      <c r="B239" s="58" t="n">
        <f aca="false">'STUDENT SCREENING'!C239</f>
        <v>0</v>
      </c>
      <c r="C239" s="58" t="n">
        <f aca="false">'STUDENT SCREENING'!D239</f>
        <v>0</v>
      </c>
      <c r="D239" s="58" t="n">
        <f aca="false">'STUDENT SCREENING'!E239</f>
        <v>0</v>
      </c>
      <c r="E239" s="58" t="n">
        <f aca="false">'STUDENT SCREENING'!F239</f>
        <v>0</v>
      </c>
      <c r="F239" s="58" t="n">
        <f aca="false">'STUDENT SCREENING'!K239</f>
        <v>0</v>
      </c>
      <c r="G239" s="58" t="n">
        <f aca="false">'STUDENT SCREENING'!J239</f>
        <v>0</v>
      </c>
      <c r="H239" s="58" t="str">
        <f aca="false">IF('STUDENT SCREENING'!K239="","",IFERROR(MATCH('STUDENT SCREENING'!K239,Adm_Gender,0),""))</f>
        <v/>
      </c>
      <c r="I239" s="58" t="n">
        <f aca="false">'STUDENT SCREENING'!Q239</f>
        <v>0</v>
      </c>
      <c r="J239" s="58" t="n">
        <f aca="false">'STUDENT SCREENING'!R239</f>
        <v>0</v>
      </c>
      <c r="K239" s="58" t="str">
        <f aca="false">'STUDENT SCREENING'!S239</f>
        <v/>
      </c>
      <c r="L239" s="58" t="n">
        <f aca="false">'STUDENT SCREENING'!U239</f>
        <v>0</v>
      </c>
      <c r="M239" s="58" t="n">
        <f aca="false">'STUDENT SCREENING'!V239</f>
        <v>0</v>
      </c>
      <c r="N239" s="58" t="str">
        <f aca="false">'STUDENT SCREENING'!BF239</f>
        <v/>
      </c>
      <c r="O239" s="58" t="str">
        <f aca="false">'STUDENT SCREENING'!BG239</f>
        <v/>
      </c>
      <c r="P239" s="58" t="str">
        <f aca="false">'STUDENT SCREENING'!BH239</f>
        <v/>
      </c>
      <c r="Q239" s="58" t="str">
        <f aca="false">'STUDENT SCREENING'!BI239</f>
        <v/>
      </c>
      <c r="R239" s="58" t="str">
        <f aca="false">'STUDENT SCREENING'!BJ239</f>
        <v/>
      </c>
      <c r="S239" s="58" t="str">
        <f aca="false">'STUDENT SCREENING'!BK239</f>
        <v/>
      </c>
      <c r="T239" s="58" t="str">
        <f aca="false">'STUDENT SCREENING'!BL239</f>
        <v/>
      </c>
      <c r="U239" s="58" t="str">
        <f aca="false">'STUDENT SCREENING'!BM239</f>
        <v/>
      </c>
      <c r="V239" s="58" t="str">
        <f aca="false">'STUDENT SCREENING'!BN239</f>
        <v/>
      </c>
      <c r="W239" s="58" t="str">
        <f aca="false">'STUDENT SCREENING'!BO239</f>
        <v/>
      </c>
      <c r="X239" s="58" t="str">
        <f aca="false">IF('STUDENT SCREENING'!W239="","",IFERROR(INDEX('SCORING MASTER'!$D$5:$D$7,MATCH('STUDENT SCREENING'!W239,'SCORING MASTER'!$C$5:$C$7,0)),""))</f>
        <v/>
      </c>
      <c r="Y239" s="58" t="str">
        <f aca="false">IF('STUDENT SCREENING'!X239="","",IFERROR(INDEX('SCORING MASTER'!$D$9:$D$11,MATCH('STUDENT SCREENING'!X239,'SCORING MASTER'!$C$9:$C$11,0)),""))</f>
        <v/>
      </c>
      <c r="Z239" s="58" t="str">
        <f aca="false">IF('STUDENT SCREENING'!Y239="","",IFERROR(INDEX('SCORING MASTER'!$D$13:$D$15,MATCH('STUDENT SCREENING'!Y239,'SCORING MASTER'!$C$13:$C$15,0)),""))</f>
        <v/>
      </c>
      <c r="AA239" s="58" t="str">
        <f aca="false">IF('STUDENT SCREENING'!Z239="","",IFERROR(INDEX('SCORING MASTER'!$D$17:$D$19,MATCH('STUDENT SCREENING'!Z239,'SCORING MASTER'!$C$17:$C$19,0)),""))</f>
        <v/>
      </c>
      <c r="AB239" s="58" t="str">
        <f aca="false">IF('STUDENT SCREENING'!AA239="","",IFERROR(INDEX('SCORING MASTER'!$D$21:$D$23,MATCH('STUDENT SCREENING'!AA239,'SCORING MASTER'!$C$21:$C$23,0)),""))</f>
        <v/>
      </c>
      <c r="AC239" s="58" t="str">
        <f aca="false">IF('STUDENT SCREENING'!AB239="","",IFERROR(INDEX('SCORING MASTER'!$D$25:$D$27,MATCH('STUDENT SCREENING'!AB239,'SCORING MASTER'!$C$25:$C$27,0)),""))</f>
        <v/>
      </c>
      <c r="AD239" s="58" t="str">
        <f aca="false">IF('STUDENT SCREENING'!AC239="","",IFERROR(INDEX('SCORING MASTER'!$D$29:$D$31,MATCH('STUDENT SCREENING'!AC239,'SCORING MASTER'!$C$29:$C$31,0)),""))</f>
        <v/>
      </c>
      <c r="AE239" s="58" t="str">
        <f aca="false">IF('STUDENT SCREENING'!AD239="","",IFERROR(INDEX('SCORING MASTER'!$D$33:$D$35,MATCH('STUDENT SCREENING'!AD239,'SCORING MASTER'!$C$33:$C$35,0)),""))</f>
        <v/>
      </c>
      <c r="AF239" s="58" t="str">
        <f aca="false">IF('STUDENT SCREENING'!AE239="","",IFERROR(INDEX('SCORING MASTER'!$D$37:$D$39,MATCH('STUDENT SCREENING'!AE239,'SCORING MASTER'!$C$37:$C$39,0)),""))</f>
        <v/>
      </c>
      <c r="AG239" s="58" t="str">
        <f aca="false">IF('STUDENT SCREENING'!AF239="","",IFERROR(INDEX('SCORING MASTER'!$D$41:$D$43,MATCH('STUDENT SCREENING'!AF239,'SCORING MASTER'!$C$41:$C$43,0)),""))</f>
        <v/>
      </c>
      <c r="AH239" s="58" t="str">
        <f aca="false">IF('STUDENT SCREENING'!AG239="","",IFERROR(INDEX('SCORING MASTER'!$D$45:$D$47,MATCH('STUDENT SCREENING'!AG239,'SCORING MASTER'!$C$45:$C$47,0)),""))</f>
        <v/>
      </c>
      <c r="AI239" s="58" t="str">
        <f aca="false">IF('STUDENT SCREENING'!AH239="","",IFERROR(INDEX('SCORING MASTER'!$D$49:$D$52,MATCH('STUDENT SCREENING'!AH239,'SCORING MASTER'!$C$49:$C$52,0)),""))</f>
        <v/>
      </c>
      <c r="AJ239" s="58" t="str">
        <f aca="false">IF('STUDENT SCREENING'!AI239="","",IFERROR(INDEX('SCORING MASTER'!$D$54:$D$57,MATCH('STUDENT SCREENING'!AI239,'SCORING MASTER'!$C$54:$C$57,0)),""))</f>
        <v/>
      </c>
      <c r="AK239" s="58" t="str">
        <f aca="false">IF('STUDENT SCREENING'!AJ239="","",IFERROR(INDEX('SCORING MASTER'!$D$59:$D$60,MATCH('STUDENT SCREENING'!AJ239,'SCORING MASTER'!$C$59:$C$60,0)),""))</f>
        <v/>
      </c>
      <c r="AL239" s="58" t="str">
        <f aca="false">IF('STUDENT SCREENING'!AK239="","",IFERROR(INDEX('SCORING MASTER'!$D$62:$D$63,MATCH('STUDENT SCREENING'!AK239,'SCORING MASTER'!$C$62:$C$63,0)),""))</f>
        <v/>
      </c>
      <c r="AM239" s="58" t="str">
        <f aca="false">IF('STUDENT SCREENING'!AL239="","",IFERROR(INDEX('SCORING MASTER'!$D$65:$D$66,MATCH('STUDENT SCREENING'!AL239,'SCORING MASTER'!$C$65:$C$66,0)),""))</f>
        <v/>
      </c>
      <c r="AN239" s="58" t="str">
        <f aca="false">IF('STUDENT SCREENING'!AM239="","",IFERROR(INDEX('SCORING MASTER'!$D$68:$D$69,MATCH('STUDENT SCREENING'!AM239,'SCORING MASTER'!$C$68:$C$69,0)),""))</f>
        <v/>
      </c>
      <c r="AO239" s="58" t="str">
        <f aca="false">IF('STUDENT SCREENING'!AN239="","",IFERROR(INDEX('SCORING MASTER'!$D$71:$D$72,MATCH('STUDENT SCREENING'!AN239,'SCORING MASTER'!$C$71:$C$72,0)),""))</f>
        <v/>
      </c>
      <c r="AP239" s="58" t="str">
        <f aca="false">IF('STUDENT SCREENING'!AO239="","",IFERROR(INDEX('SCORING MASTER'!$D$74:$D$75,MATCH('STUDENT SCREENING'!AO239,'SCORING MASTER'!$C$74:$C$75,0)),""))</f>
        <v/>
      </c>
      <c r="AQ239" s="58" t="str">
        <f aca="false">IF('STUDENT SCREENING'!AP239="","",IFERROR(INDEX('SCORING MASTER'!$D$77:$D$78,MATCH('STUDENT SCREENING'!AP239,'SCORING MASTER'!$C$77:$C$78,0)),""))</f>
        <v/>
      </c>
      <c r="AR239" s="58" t="str">
        <f aca="false">IF('STUDENT SCREENING'!AQ239="","",IFERROR(INDEX('SCORING MASTER'!$D$80:$D$82,MATCH('STUDENT SCREENING'!AQ239,'SCORING MASTER'!$C$80:$C$82,0)),""))</f>
        <v/>
      </c>
      <c r="AS239" s="58" t="str">
        <f aca="false">IF('STUDENT SCREENING'!AR239="","",IFERROR(INDEX('SCORING MASTER'!$D$84:$D$86,MATCH('STUDENT SCREENING'!AR239,'SCORING MASTER'!$C$84:$C$86,0)),""))</f>
        <v/>
      </c>
      <c r="AT239" s="58" t="str">
        <f aca="false">IF('STUDENT SCREENING'!AS239="","",IFERROR(INDEX('SCORING MASTER'!$D$88:$D$90,MATCH('STUDENT SCREENING'!AS239,'SCORING MASTER'!$C$88:$C$90,0)),""))</f>
        <v/>
      </c>
      <c r="AU239" s="58" t="str">
        <f aca="false">IF('STUDENT SCREENING'!AT239="","",IFERROR(INDEX('SCORING MASTER'!$D$92:$D$93,MATCH('STUDENT SCREENING'!AT239,'SCORING MASTER'!$C$92:$C$93,0)),""))</f>
        <v/>
      </c>
      <c r="AV239" s="58" t="str">
        <f aca="false">IF('STUDENT SCREENING'!AU239="","",IFERROR(INDEX('SCORING MASTER'!$D$95:$D$96,MATCH('STUDENT SCREENING'!AU239,'SCORING MASTER'!$C$95:$C$96,0)),""))</f>
        <v/>
      </c>
      <c r="AW239" s="58" t="str">
        <f aca="false">IF('STUDENT SCREENING'!AV239="","",IFERROR(INDEX('SCORING MASTER'!$D$98:$D$99,MATCH('STUDENT SCREENING'!AV239,'SCORING MASTER'!$C$98:$C$99,0)),""))</f>
        <v/>
      </c>
      <c r="AX239" s="58" t="str">
        <f aca="false">IF('STUDENT SCREENING'!AW239="","",IFERROR(INDEX('SCORING MASTER'!$D$101:$D$102,MATCH('STUDENT SCREENING'!AW239,'SCORING MASTER'!$C$101:$C$102,0)),""))</f>
        <v/>
      </c>
      <c r="AY239" s="58" t="str">
        <f aca="false">IF('STUDENT SCREENING'!AX239="","",IFERROR(INDEX('SCORING MASTER'!$D$104:$D$105,MATCH('STUDENT SCREENING'!AX239,'SCORING MASTER'!$C$104:$C$105,0)),""))</f>
        <v/>
      </c>
      <c r="AZ239" s="58" t="str">
        <f aca="false">IF('STUDENT SCREENING'!AY239="","",IFERROR(INDEX('SCORING MASTER'!$D$107:$D$108,MATCH('STUDENT SCREENING'!AY239,'SCORING MASTER'!$C$107:$C$108,0)),""))</f>
        <v/>
      </c>
      <c r="BA239" s="58" t="str">
        <f aca="false">IF('STUDENT SCREENING'!AZ239="","",IFERROR(INDEX('SCORING MASTER'!$D$110:$D$111,MATCH('STUDENT SCREENING'!AZ239,'SCORING MASTER'!$C$110:$C$111,0)),""))</f>
        <v/>
      </c>
      <c r="BB239" s="58" t="str">
        <f aca="false">IF('STUDENT SCREENING'!BA239="","",IFERROR(INDEX('SCORING MASTER'!$D$113:$D$115,MATCH('STUDENT SCREENING'!BA239,'SCORING MASTER'!$C$113:$C$115,0)),""))</f>
        <v/>
      </c>
      <c r="BC239" s="58" t="str">
        <f aca="false">IF('STUDENT SCREENING'!BB239="","",IFERROR(INDEX('SCORING MASTER'!$D$117:$D$119,MATCH('STUDENT SCREENING'!BB239,'SCORING MASTER'!$C$117:$C$119,0)),""))</f>
        <v/>
      </c>
      <c r="BD239" s="58" t="str">
        <f aca="false">IF('STUDENT SCREENING'!BC239="","",IFERROR(INDEX('SCORING MASTER'!$D$121:$D$123,MATCH('STUDENT SCREENING'!BC239,'SCORING MASTER'!$C$121:$C$123,0)),""))</f>
        <v/>
      </c>
      <c r="BE239" s="58" t="str">
        <f aca="false">IF('STUDENT SCREENING'!BD239="","",IFERROR(INDEX('SCORING MASTER'!$D$125:$D$126,MATCH('STUDENT SCREENING'!BD239,'SCORING MASTER'!$C$125:$C$126,0)),""))</f>
        <v/>
      </c>
      <c r="BF239" s="58" t="str">
        <f aca="false">IF('STUDENT SCREENING'!BE239="","",IFERROR(INDEX('SCORING MASTER'!$D$128:$D$129,MATCH('STUDENT SCREENING'!BE239,'SCORING MASTER'!$C$128:$C$129,0)),""))</f>
        <v/>
      </c>
      <c r="BG239" s="58" t="str">
        <f aca="false">IF('STUDENT SCREENING'!BP239="","",IFERROR(MATCH('STUDENT SCREENING'!BP239,{"Red - High Risk","Orange - Moderate Risk","Yellow - Mild Risk","Light Green - Mild Watch","Green - Healthy"},0)-1,""))</f>
        <v/>
      </c>
      <c r="BH239" s="58" t="str">
        <f aca="false">IF('STUDENT SCREENING'!BQ239="","",IF('STUDENT SCREENING'!BQ239="Yes",1,0))</f>
        <v/>
      </c>
      <c r="BI239" s="58" t="str">
        <f aca="false">IF('STUDENT SCREENING'!BR239="","",IF('STUDENT SCREENING'!BR239="Yes",1,0))</f>
        <v/>
      </c>
    </row>
    <row r="240" customFormat="false" ht="15" hidden="false" customHeight="false" outlineLevel="0" collapsed="false">
      <c r="A240" s="57" t="str">
        <f aca="false">'STUDENT SCREENING'!A240</f>
        <v/>
      </c>
      <c r="B240" s="57" t="n">
        <f aca="false">'STUDENT SCREENING'!C240</f>
        <v>0</v>
      </c>
      <c r="C240" s="57" t="n">
        <f aca="false">'STUDENT SCREENING'!D240</f>
        <v>0</v>
      </c>
      <c r="D240" s="57" t="n">
        <f aca="false">'STUDENT SCREENING'!E240</f>
        <v>0</v>
      </c>
      <c r="E240" s="57" t="n">
        <f aca="false">'STUDENT SCREENING'!F240</f>
        <v>0</v>
      </c>
      <c r="F240" s="57" t="n">
        <f aca="false">'STUDENT SCREENING'!K240</f>
        <v>0</v>
      </c>
      <c r="G240" s="57" t="n">
        <f aca="false">'STUDENT SCREENING'!J240</f>
        <v>0</v>
      </c>
      <c r="H240" s="57" t="str">
        <f aca="false">IF('STUDENT SCREENING'!K240="","",IFERROR(MATCH('STUDENT SCREENING'!K240,Adm_Gender,0),""))</f>
        <v/>
      </c>
      <c r="I240" s="57" t="n">
        <f aca="false">'STUDENT SCREENING'!Q240</f>
        <v>0</v>
      </c>
      <c r="J240" s="57" t="n">
        <f aca="false">'STUDENT SCREENING'!R240</f>
        <v>0</v>
      </c>
      <c r="K240" s="57" t="str">
        <f aca="false">'STUDENT SCREENING'!S240</f>
        <v/>
      </c>
      <c r="L240" s="57" t="n">
        <f aca="false">'STUDENT SCREENING'!U240</f>
        <v>0</v>
      </c>
      <c r="M240" s="57" t="n">
        <f aca="false">'STUDENT SCREENING'!V240</f>
        <v>0</v>
      </c>
      <c r="N240" s="57" t="str">
        <f aca="false">'STUDENT SCREENING'!BF240</f>
        <v/>
      </c>
      <c r="O240" s="57" t="str">
        <f aca="false">'STUDENT SCREENING'!BG240</f>
        <v/>
      </c>
      <c r="P240" s="57" t="str">
        <f aca="false">'STUDENT SCREENING'!BH240</f>
        <v/>
      </c>
      <c r="Q240" s="57" t="str">
        <f aca="false">'STUDENT SCREENING'!BI240</f>
        <v/>
      </c>
      <c r="R240" s="57" t="str">
        <f aca="false">'STUDENT SCREENING'!BJ240</f>
        <v/>
      </c>
      <c r="S240" s="57" t="str">
        <f aca="false">'STUDENT SCREENING'!BK240</f>
        <v/>
      </c>
      <c r="T240" s="57" t="str">
        <f aca="false">'STUDENT SCREENING'!BL240</f>
        <v/>
      </c>
      <c r="U240" s="57" t="str">
        <f aca="false">'STUDENT SCREENING'!BM240</f>
        <v/>
      </c>
      <c r="V240" s="57" t="str">
        <f aca="false">'STUDENT SCREENING'!BN240</f>
        <v/>
      </c>
      <c r="W240" s="57" t="str">
        <f aca="false">'STUDENT SCREENING'!BO240</f>
        <v/>
      </c>
      <c r="X240" s="57" t="str">
        <f aca="false">IF('STUDENT SCREENING'!W240="","",IFERROR(INDEX('SCORING MASTER'!$D$5:$D$7,MATCH('STUDENT SCREENING'!W240,'SCORING MASTER'!$C$5:$C$7,0)),""))</f>
        <v/>
      </c>
      <c r="Y240" s="57" t="str">
        <f aca="false">IF('STUDENT SCREENING'!X240="","",IFERROR(INDEX('SCORING MASTER'!$D$9:$D$11,MATCH('STUDENT SCREENING'!X240,'SCORING MASTER'!$C$9:$C$11,0)),""))</f>
        <v/>
      </c>
      <c r="Z240" s="57" t="str">
        <f aca="false">IF('STUDENT SCREENING'!Y240="","",IFERROR(INDEX('SCORING MASTER'!$D$13:$D$15,MATCH('STUDENT SCREENING'!Y240,'SCORING MASTER'!$C$13:$C$15,0)),""))</f>
        <v/>
      </c>
      <c r="AA240" s="57" t="str">
        <f aca="false">IF('STUDENT SCREENING'!Z240="","",IFERROR(INDEX('SCORING MASTER'!$D$17:$D$19,MATCH('STUDENT SCREENING'!Z240,'SCORING MASTER'!$C$17:$C$19,0)),""))</f>
        <v/>
      </c>
      <c r="AB240" s="57" t="str">
        <f aca="false">IF('STUDENT SCREENING'!AA240="","",IFERROR(INDEX('SCORING MASTER'!$D$21:$D$23,MATCH('STUDENT SCREENING'!AA240,'SCORING MASTER'!$C$21:$C$23,0)),""))</f>
        <v/>
      </c>
      <c r="AC240" s="57" t="str">
        <f aca="false">IF('STUDENT SCREENING'!AB240="","",IFERROR(INDEX('SCORING MASTER'!$D$25:$D$27,MATCH('STUDENT SCREENING'!AB240,'SCORING MASTER'!$C$25:$C$27,0)),""))</f>
        <v/>
      </c>
      <c r="AD240" s="57" t="str">
        <f aca="false">IF('STUDENT SCREENING'!AC240="","",IFERROR(INDEX('SCORING MASTER'!$D$29:$D$31,MATCH('STUDENT SCREENING'!AC240,'SCORING MASTER'!$C$29:$C$31,0)),""))</f>
        <v/>
      </c>
      <c r="AE240" s="57" t="str">
        <f aca="false">IF('STUDENT SCREENING'!AD240="","",IFERROR(INDEX('SCORING MASTER'!$D$33:$D$35,MATCH('STUDENT SCREENING'!AD240,'SCORING MASTER'!$C$33:$C$35,0)),""))</f>
        <v/>
      </c>
      <c r="AF240" s="57" t="str">
        <f aca="false">IF('STUDENT SCREENING'!AE240="","",IFERROR(INDEX('SCORING MASTER'!$D$37:$D$39,MATCH('STUDENT SCREENING'!AE240,'SCORING MASTER'!$C$37:$C$39,0)),""))</f>
        <v/>
      </c>
      <c r="AG240" s="57" t="str">
        <f aca="false">IF('STUDENT SCREENING'!AF240="","",IFERROR(INDEX('SCORING MASTER'!$D$41:$D$43,MATCH('STUDENT SCREENING'!AF240,'SCORING MASTER'!$C$41:$C$43,0)),""))</f>
        <v/>
      </c>
      <c r="AH240" s="57" t="str">
        <f aca="false">IF('STUDENT SCREENING'!AG240="","",IFERROR(INDEX('SCORING MASTER'!$D$45:$D$47,MATCH('STUDENT SCREENING'!AG240,'SCORING MASTER'!$C$45:$C$47,0)),""))</f>
        <v/>
      </c>
      <c r="AI240" s="57" t="str">
        <f aca="false">IF('STUDENT SCREENING'!AH240="","",IFERROR(INDEX('SCORING MASTER'!$D$49:$D$52,MATCH('STUDENT SCREENING'!AH240,'SCORING MASTER'!$C$49:$C$52,0)),""))</f>
        <v/>
      </c>
      <c r="AJ240" s="57" t="str">
        <f aca="false">IF('STUDENT SCREENING'!AI240="","",IFERROR(INDEX('SCORING MASTER'!$D$54:$D$57,MATCH('STUDENT SCREENING'!AI240,'SCORING MASTER'!$C$54:$C$57,0)),""))</f>
        <v/>
      </c>
      <c r="AK240" s="57" t="str">
        <f aca="false">IF('STUDENT SCREENING'!AJ240="","",IFERROR(INDEX('SCORING MASTER'!$D$59:$D$60,MATCH('STUDENT SCREENING'!AJ240,'SCORING MASTER'!$C$59:$C$60,0)),""))</f>
        <v/>
      </c>
      <c r="AL240" s="57" t="str">
        <f aca="false">IF('STUDENT SCREENING'!AK240="","",IFERROR(INDEX('SCORING MASTER'!$D$62:$D$63,MATCH('STUDENT SCREENING'!AK240,'SCORING MASTER'!$C$62:$C$63,0)),""))</f>
        <v/>
      </c>
      <c r="AM240" s="57" t="str">
        <f aca="false">IF('STUDENT SCREENING'!AL240="","",IFERROR(INDEX('SCORING MASTER'!$D$65:$D$66,MATCH('STUDENT SCREENING'!AL240,'SCORING MASTER'!$C$65:$C$66,0)),""))</f>
        <v/>
      </c>
      <c r="AN240" s="57" t="str">
        <f aca="false">IF('STUDENT SCREENING'!AM240="","",IFERROR(INDEX('SCORING MASTER'!$D$68:$D$69,MATCH('STUDENT SCREENING'!AM240,'SCORING MASTER'!$C$68:$C$69,0)),""))</f>
        <v/>
      </c>
      <c r="AO240" s="57" t="str">
        <f aca="false">IF('STUDENT SCREENING'!AN240="","",IFERROR(INDEX('SCORING MASTER'!$D$71:$D$72,MATCH('STUDENT SCREENING'!AN240,'SCORING MASTER'!$C$71:$C$72,0)),""))</f>
        <v/>
      </c>
      <c r="AP240" s="57" t="str">
        <f aca="false">IF('STUDENT SCREENING'!AO240="","",IFERROR(INDEX('SCORING MASTER'!$D$74:$D$75,MATCH('STUDENT SCREENING'!AO240,'SCORING MASTER'!$C$74:$C$75,0)),""))</f>
        <v/>
      </c>
      <c r="AQ240" s="57" t="str">
        <f aca="false">IF('STUDENT SCREENING'!AP240="","",IFERROR(INDEX('SCORING MASTER'!$D$77:$D$78,MATCH('STUDENT SCREENING'!AP240,'SCORING MASTER'!$C$77:$C$78,0)),""))</f>
        <v/>
      </c>
      <c r="AR240" s="57" t="str">
        <f aca="false">IF('STUDENT SCREENING'!AQ240="","",IFERROR(INDEX('SCORING MASTER'!$D$80:$D$82,MATCH('STUDENT SCREENING'!AQ240,'SCORING MASTER'!$C$80:$C$82,0)),""))</f>
        <v/>
      </c>
      <c r="AS240" s="57" t="str">
        <f aca="false">IF('STUDENT SCREENING'!AR240="","",IFERROR(INDEX('SCORING MASTER'!$D$84:$D$86,MATCH('STUDENT SCREENING'!AR240,'SCORING MASTER'!$C$84:$C$86,0)),""))</f>
        <v/>
      </c>
      <c r="AT240" s="57" t="str">
        <f aca="false">IF('STUDENT SCREENING'!AS240="","",IFERROR(INDEX('SCORING MASTER'!$D$88:$D$90,MATCH('STUDENT SCREENING'!AS240,'SCORING MASTER'!$C$88:$C$90,0)),""))</f>
        <v/>
      </c>
      <c r="AU240" s="57" t="str">
        <f aca="false">IF('STUDENT SCREENING'!AT240="","",IFERROR(INDEX('SCORING MASTER'!$D$92:$D$93,MATCH('STUDENT SCREENING'!AT240,'SCORING MASTER'!$C$92:$C$93,0)),""))</f>
        <v/>
      </c>
      <c r="AV240" s="57" t="str">
        <f aca="false">IF('STUDENT SCREENING'!AU240="","",IFERROR(INDEX('SCORING MASTER'!$D$95:$D$96,MATCH('STUDENT SCREENING'!AU240,'SCORING MASTER'!$C$95:$C$96,0)),""))</f>
        <v/>
      </c>
      <c r="AW240" s="57" t="str">
        <f aca="false">IF('STUDENT SCREENING'!AV240="","",IFERROR(INDEX('SCORING MASTER'!$D$98:$D$99,MATCH('STUDENT SCREENING'!AV240,'SCORING MASTER'!$C$98:$C$99,0)),""))</f>
        <v/>
      </c>
      <c r="AX240" s="57" t="str">
        <f aca="false">IF('STUDENT SCREENING'!AW240="","",IFERROR(INDEX('SCORING MASTER'!$D$101:$D$102,MATCH('STUDENT SCREENING'!AW240,'SCORING MASTER'!$C$101:$C$102,0)),""))</f>
        <v/>
      </c>
      <c r="AY240" s="57" t="str">
        <f aca="false">IF('STUDENT SCREENING'!AX240="","",IFERROR(INDEX('SCORING MASTER'!$D$104:$D$105,MATCH('STUDENT SCREENING'!AX240,'SCORING MASTER'!$C$104:$C$105,0)),""))</f>
        <v/>
      </c>
      <c r="AZ240" s="57" t="str">
        <f aca="false">IF('STUDENT SCREENING'!AY240="","",IFERROR(INDEX('SCORING MASTER'!$D$107:$D$108,MATCH('STUDENT SCREENING'!AY240,'SCORING MASTER'!$C$107:$C$108,0)),""))</f>
        <v/>
      </c>
      <c r="BA240" s="57" t="str">
        <f aca="false">IF('STUDENT SCREENING'!AZ240="","",IFERROR(INDEX('SCORING MASTER'!$D$110:$D$111,MATCH('STUDENT SCREENING'!AZ240,'SCORING MASTER'!$C$110:$C$111,0)),""))</f>
        <v/>
      </c>
      <c r="BB240" s="57" t="str">
        <f aca="false">IF('STUDENT SCREENING'!BA240="","",IFERROR(INDEX('SCORING MASTER'!$D$113:$D$115,MATCH('STUDENT SCREENING'!BA240,'SCORING MASTER'!$C$113:$C$115,0)),""))</f>
        <v/>
      </c>
      <c r="BC240" s="57" t="str">
        <f aca="false">IF('STUDENT SCREENING'!BB240="","",IFERROR(INDEX('SCORING MASTER'!$D$117:$D$119,MATCH('STUDENT SCREENING'!BB240,'SCORING MASTER'!$C$117:$C$119,0)),""))</f>
        <v/>
      </c>
      <c r="BD240" s="57" t="str">
        <f aca="false">IF('STUDENT SCREENING'!BC240="","",IFERROR(INDEX('SCORING MASTER'!$D$121:$D$123,MATCH('STUDENT SCREENING'!BC240,'SCORING MASTER'!$C$121:$C$123,0)),""))</f>
        <v/>
      </c>
      <c r="BE240" s="57" t="str">
        <f aca="false">IF('STUDENT SCREENING'!BD240="","",IFERROR(INDEX('SCORING MASTER'!$D$125:$D$126,MATCH('STUDENT SCREENING'!BD240,'SCORING MASTER'!$C$125:$C$126,0)),""))</f>
        <v/>
      </c>
      <c r="BF240" s="57" t="str">
        <f aca="false">IF('STUDENT SCREENING'!BE240="","",IFERROR(INDEX('SCORING MASTER'!$D$128:$D$129,MATCH('STUDENT SCREENING'!BE240,'SCORING MASTER'!$C$128:$C$129,0)),""))</f>
        <v/>
      </c>
      <c r="BG240" s="57" t="str">
        <f aca="false">IF('STUDENT SCREENING'!BP240="","",IFERROR(MATCH('STUDENT SCREENING'!BP240,{"Red - High Risk","Orange - Moderate Risk","Yellow - Mild Risk","Light Green - Mild Watch","Green - Healthy"},0)-1,""))</f>
        <v/>
      </c>
      <c r="BH240" s="57" t="str">
        <f aca="false">IF('STUDENT SCREENING'!BQ240="","",IF('STUDENT SCREENING'!BQ240="Yes",1,0))</f>
        <v/>
      </c>
      <c r="BI240" s="57" t="str">
        <f aca="false">IF('STUDENT SCREENING'!BR240="","",IF('STUDENT SCREENING'!BR240="Yes",1,0))</f>
        <v/>
      </c>
    </row>
    <row r="241" customFormat="false" ht="15" hidden="false" customHeight="false" outlineLevel="0" collapsed="false">
      <c r="A241" s="58" t="str">
        <f aca="false">'STUDENT SCREENING'!A241</f>
        <v/>
      </c>
      <c r="B241" s="58" t="n">
        <f aca="false">'STUDENT SCREENING'!C241</f>
        <v>0</v>
      </c>
      <c r="C241" s="58" t="n">
        <f aca="false">'STUDENT SCREENING'!D241</f>
        <v>0</v>
      </c>
      <c r="D241" s="58" t="n">
        <f aca="false">'STUDENT SCREENING'!E241</f>
        <v>0</v>
      </c>
      <c r="E241" s="58" t="n">
        <f aca="false">'STUDENT SCREENING'!F241</f>
        <v>0</v>
      </c>
      <c r="F241" s="58" t="n">
        <f aca="false">'STUDENT SCREENING'!K241</f>
        <v>0</v>
      </c>
      <c r="G241" s="58" t="n">
        <f aca="false">'STUDENT SCREENING'!J241</f>
        <v>0</v>
      </c>
      <c r="H241" s="58" t="str">
        <f aca="false">IF('STUDENT SCREENING'!K241="","",IFERROR(MATCH('STUDENT SCREENING'!K241,Adm_Gender,0),""))</f>
        <v/>
      </c>
      <c r="I241" s="58" t="n">
        <f aca="false">'STUDENT SCREENING'!Q241</f>
        <v>0</v>
      </c>
      <c r="J241" s="58" t="n">
        <f aca="false">'STUDENT SCREENING'!R241</f>
        <v>0</v>
      </c>
      <c r="K241" s="58" t="str">
        <f aca="false">'STUDENT SCREENING'!S241</f>
        <v/>
      </c>
      <c r="L241" s="58" t="n">
        <f aca="false">'STUDENT SCREENING'!U241</f>
        <v>0</v>
      </c>
      <c r="M241" s="58" t="n">
        <f aca="false">'STUDENT SCREENING'!V241</f>
        <v>0</v>
      </c>
      <c r="N241" s="58" t="str">
        <f aca="false">'STUDENT SCREENING'!BF241</f>
        <v/>
      </c>
      <c r="O241" s="58" t="str">
        <f aca="false">'STUDENT SCREENING'!BG241</f>
        <v/>
      </c>
      <c r="P241" s="58" t="str">
        <f aca="false">'STUDENT SCREENING'!BH241</f>
        <v/>
      </c>
      <c r="Q241" s="58" t="str">
        <f aca="false">'STUDENT SCREENING'!BI241</f>
        <v/>
      </c>
      <c r="R241" s="58" t="str">
        <f aca="false">'STUDENT SCREENING'!BJ241</f>
        <v/>
      </c>
      <c r="S241" s="58" t="str">
        <f aca="false">'STUDENT SCREENING'!BK241</f>
        <v/>
      </c>
      <c r="T241" s="58" t="str">
        <f aca="false">'STUDENT SCREENING'!BL241</f>
        <v/>
      </c>
      <c r="U241" s="58" t="str">
        <f aca="false">'STUDENT SCREENING'!BM241</f>
        <v/>
      </c>
      <c r="V241" s="58" t="str">
        <f aca="false">'STUDENT SCREENING'!BN241</f>
        <v/>
      </c>
      <c r="W241" s="58" t="str">
        <f aca="false">'STUDENT SCREENING'!BO241</f>
        <v/>
      </c>
      <c r="X241" s="58" t="str">
        <f aca="false">IF('STUDENT SCREENING'!W241="","",IFERROR(INDEX('SCORING MASTER'!$D$5:$D$7,MATCH('STUDENT SCREENING'!W241,'SCORING MASTER'!$C$5:$C$7,0)),""))</f>
        <v/>
      </c>
      <c r="Y241" s="58" t="str">
        <f aca="false">IF('STUDENT SCREENING'!X241="","",IFERROR(INDEX('SCORING MASTER'!$D$9:$D$11,MATCH('STUDENT SCREENING'!X241,'SCORING MASTER'!$C$9:$C$11,0)),""))</f>
        <v/>
      </c>
      <c r="Z241" s="58" t="str">
        <f aca="false">IF('STUDENT SCREENING'!Y241="","",IFERROR(INDEX('SCORING MASTER'!$D$13:$D$15,MATCH('STUDENT SCREENING'!Y241,'SCORING MASTER'!$C$13:$C$15,0)),""))</f>
        <v/>
      </c>
      <c r="AA241" s="58" t="str">
        <f aca="false">IF('STUDENT SCREENING'!Z241="","",IFERROR(INDEX('SCORING MASTER'!$D$17:$D$19,MATCH('STUDENT SCREENING'!Z241,'SCORING MASTER'!$C$17:$C$19,0)),""))</f>
        <v/>
      </c>
      <c r="AB241" s="58" t="str">
        <f aca="false">IF('STUDENT SCREENING'!AA241="","",IFERROR(INDEX('SCORING MASTER'!$D$21:$D$23,MATCH('STUDENT SCREENING'!AA241,'SCORING MASTER'!$C$21:$C$23,0)),""))</f>
        <v/>
      </c>
      <c r="AC241" s="58" t="str">
        <f aca="false">IF('STUDENT SCREENING'!AB241="","",IFERROR(INDEX('SCORING MASTER'!$D$25:$D$27,MATCH('STUDENT SCREENING'!AB241,'SCORING MASTER'!$C$25:$C$27,0)),""))</f>
        <v/>
      </c>
      <c r="AD241" s="58" t="str">
        <f aca="false">IF('STUDENT SCREENING'!AC241="","",IFERROR(INDEX('SCORING MASTER'!$D$29:$D$31,MATCH('STUDENT SCREENING'!AC241,'SCORING MASTER'!$C$29:$C$31,0)),""))</f>
        <v/>
      </c>
      <c r="AE241" s="58" t="str">
        <f aca="false">IF('STUDENT SCREENING'!AD241="","",IFERROR(INDEX('SCORING MASTER'!$D$33:$D$35,MATCH('STUDENT SCREENING'!AD241,'SCORING MASTER'!$C$33:$C$35,0)),""))</f>
        <v/>
      </c>
      <c r="AF241" s="58" t="str">
        <f aca="false">IF('STUDENT SCREENING'!AE241="","",IFERROR(INDEX('SCORING MASTER'!$D$37:$D$39,MATCH('STUDENT SCREENING'!AE241,'SCORING MASTER'!$C$37:$C$39,0)),""))</f>
        <v/>
      </c>
      <c r="AG241" s="58" t="str">
        <f aca="false">IF('STUDENT SCREENING'!AF241="","",IFERROR(INDEX('SCORING MASTER'!$D$41:$D$43,MATCH('STUDENT SCREENING'!AF241,'SCORING MASTER'!$C$41:$C$43,0)),""))</f>
        <v/>
      </c>
      <c r="AH241" s="58" t="str">
        <f aca="false">IF('STUDENT SCREENING'!AG241="","",IFERROR(INDEX('SCORING MASTER'!$D$45:$D$47,MATCH('STUDENT SCREENING'!AG241,'SCORING MASTER'!$C$45:$C$47,0)),""))</f>
        <v/>
      </c>
      <c r="AI241" s="58" t="str">
        <f aca="false">IF('STUDENT SCREENING'!AH241="","",IFERROR(INDEX('SCORING MASTER'!$D$49:$D$52,MATCH('STUDENT SCREENING'!AH241,'SCORING MASTER'!$C$49:$C$52,0)),""))</f>
        <v/>
      </c>
      <c r="AJ241" s="58" t="str">
        <f aca="false">IF('STUDENT SCREENING'!AI241="","",IFERROR(INDEX('SCORING MASTER'!$D$54:$D$57,MATCH('STUDENT SCREENING'!AI241,'SCORING MASTER'!$C$54:$C$57,0)),""))</f>
        <v/>
      </c>
      <c r="AK241" s="58" t="str">
        <f aca="false">IF('STUDENT SCREENING'!AJ241="","",IFERROR(INDEX('SCORING MASTER'!$D$59:$D$60,MATCH('STUDENT SCREENING'!AJ241,'SCORING MASTER'!$C$59:$C$60,0)),""))</f>
        <v/>
      </c>
      <c r="AL241" s="58" t="str">
        <f aca="false">IF('STUDENT SCREENING'!AK241="","",IFERROR(INDEX('SCORING MASTER'!$D$62:$D$63,MATCH('STUDENT SCREENING'!AK241,'SCORING MASTER'!$C$62:$C$63,0)),""))</f>
        <v/>
      </c>
      <c r="AM241" s="58" t="str">
        <f aca="false">IF('STUDENT SCREENING'!AL241="","",IFERROR(INDEX('SCORING MASTER'!$D$65:$D$66,MATCH('STUDENT SCREENING'!AL241,'SCORING MASTER'!$C$65:$C$66,0)),""))</f>
        <v/>
      </c>
      <c r="AN241" s="58" t="str">
        <f aca="false">IF('STUDENT SCREENING'!AM241="","",IFERROR(INDEX('SCORING MASTER'!$D$68:$D$69,MATCH('STUDENT SCREENING'!AM241,'SCORING MASTER'!$C$68:$C$69,0)),""))</f>
        <v/>
      </c>
      <c r="AO241" s="58" t="str">
        <f aca="false">IF('STUDENT SCREENING'!AN241="","",IFERROR(INDEX('SCORING MASTER'!$D$71:$D$72,MATCH('STUDENT SCREENING'!AN241,'SCORING MASTER'!$C$71:$C$72,0)),""))</f>
        <v/>
      </c>
      <c r="AP241" s="58" t="str">
        <f aca="false">IF('STUDENT SCREENING'!AO241="","",IFERROR(INDEX('SCORING MASTER'!$D$74:$D$75,MATCH('STUDENT SCREENING'!AO241,'SCORING MASTER'!$C$74:$C$75,0)),""))</f>
        <v/>
      </c>
      <c r="AQ241" s="58" t="str">
        <f aca="false">IF('STUDENT SCREENING'!AP241="","",IFERROR(INDEX('SCORING MASTER'!$D$77:$D$78,MATCH('STUDENT SCREENING'!AP241,'SCORING MASTER'!$C$77:$C$78,0)),""))</f>
        <v/>
      </c>
      <c r="AR241" s="58" t="str">
        <f aca="false">IF('STUDENT SCREENING'!AQ241="","",IFERROR(INDEX('SCORING MASTER'!$D$80:$D$82,MATCH('STUDENT SCREENING'!AQ241,'SCORING MASTER'!$C$80:$C$82,0)),""))</f>
        <v/>
      </c>
      <c r="AS241" s="58" t="str">
        <f aca="false">IF('STUDENT SCREENING'!AR241="","",IFERROR(INDEX('SCORING MASTER'!$D$84:$D$86,MATCH('STUDENT SCREENING'!AR241,'SCORING MASTER'!$C$84:$C$86,0)),""))</f>
        <v/>
      </c>
      <c r="AT241" s="58" t="str">
        <f aca="false">IF('STUDENT SCREENING'!AS241="","",IFERROR(INDEX('SCORING MASTER'!$D$88:$D$90,MATCH('STUDENT SCREENING'!AS241,'SCORING MASTER'!$C$88:$C$90,0)),""))</f>
        <v/>
      </c>
      <c r="AU241" s="58" t="str">
        <f aca="false">IF('STUDENT SCREENING'!AT241="","",IFERROR(INDEX('SCORING MASTER'!$D$92:$D$93,MATCH('STUDENT SCREENING'!AT241,'SCORING MASTER'!$C$92:$C$93,0)),""))</f>
        <v/>
      </c>
      <c r="AV241" s="58" t="str">
        <f aca="false">IF('STUDENT SCREENING'!AU241="","",IFERROR(INDEX('SCORING MASTER'!$D$95:$D$96,MATCH('STUDENT SCREENING'!AU241,'SCORING MASTER'!$C$95:$C$96,0)),""))</f>
        <v/>
      </c>
      <c r="AW241" s="58" t="str">
        <f aca="false">IF('STUDENT SCREENING'!AV241="","",IFERROR(INDEX('SCORING MASTER'!$D$98:$D$99,MATCH('STUDENT SCREENING'!AV241,'SCORING MASTER'!$C$98:$C$99,0)),""))</f>
        <v/>
      </c>
      <c r="AX241" s="58" t="str">
        <f aca="false">IF('STUDENT SCREENING'!AW241="","",IFERROR(INDEX('SCORING MASTER'!$D$101:$D$102,MATCH('STUDENT SCREENING'!AW241,'SCORING MASTER'!$C$101:$C$102,0)),""))</f>
        <v/>
      </c>
      <c r="AY241" s="58" t="str">
        <f aca="false">IF('STUDENT SCREENING'!AX241="","",IFERROR(INDEX('SCORING MASTER'!$D$104:$D$105,MATCH('STUDENT SCREENING'!AX241,'SCORING MASTER'!$C$104:$C$105,0)),""))</f>
        <v/>
      </c>
      <c r="AZ241" s="58" t="str">
        <f aca="false">IF('STUDENT SCREENING'!AY241="","",IFERROR(INDEX('SCORING MASTER'!$D$107:$D$108,MATCH('STUDENT SCREENING'!AY241,'SCORING MASTER'!$C$107:$C$108,0)),""))</f>
        <v/>
      </c>
      <c r="BA241" s="58" t="str">
        <f aca="false">IF('STUDENT SCREENING'!AZ241="","",IFERROR(INDEX('SCORING MASTER'!$D$110:$D$111,MATCH('STUDENT SCREENING'!AZ241,'SCORING MASTER'!$C$110:$C$111,0)),""))</f>
        <v/>
      </c>
      <c r="BB241" s="58" t="str">
        <f aca="false">IF('STUDENT SCREENING'!BA241="","",IFERROR(INDEX('SCORING MASTER'!$D$113:$D$115,MATCH('STUDENT SCREENING'!BA241,'SCORING MASTER'!$C$113:$C$115,0)),""))</f>
        <v/>
      </c>
      <c r="BC241" s="58" t="str">
        <f aca="false">IF('STUDENT SCREENING'!BB241="","",IFERROR(INDEX('SCORING MASTER'!$D$117:$D$119,MATCH('STUDENT SCREENING'!BB241,'SCORING MASTER'!$C$117:$C$119,0)),""))</f>
        <v/>
      </c>
      <c r="BD241" s="58" t="str">
        <f aca="false">IF('STUDENT SCREENING'!BC241="","",IFERROR(INDEX('SCORING MASTER'!$D$121:$D$123,MATCH('STUDENT SCREENING'!BC241,'SCORING MASTER'!$C$121:$C$123,0)),""))</f>
        <v/>
      </c>
      <c r="BE241" s="58" t="str">
        <f aca="false">IF('STUDENT SCREENING'!BD241="","",IFERROR(INDEX('SCORING MASTER'!$D$125:$D$126,MATCH('STUDENT SCREENING'!BD241,'SCORING MASTER'!$C$125:$C$126,0)),""))</f>
        <v/>
      </c>
      <c r="BF241" s="58" t="str">
        <f aca="false">IF('STUDENT SCREENING'!BE241="","",IFERROR(INDEX('SCORING MASTER'!$D$128:$D$129,MATCH('STUDENT SCREENING'!BE241,'SCORING MASTER'!$C$128:$C$129,0)),""))</f>
        <v/>
      </c>
      <c r="BG241" s="58" t="str">
        <f aca="false">IF('STUDENT SCREENING'!BP241="","",IFERROR(MATCH('STUDENT SCREENING'!BP241,{"Red - High Risk","Orange - Moderate Risk","Yellow - Mild Risk","Light Green - Mild Watch","Green - Healthy"},0)-1,""))</f>
        <v/>
      </c>
      <c r="BH241" s="58" t="str">
        <f aca="false">IF('STUDENT SCREENING'!BQ241="","",IF('STUDENT SCREENING'!BQ241="Yes",1,0))</f>
        <v/>
      </c>
      <c r="BI241" s="58" t="str">
        <f aca="false">IF('STUDENT SCREENING'!BR241="","",IF('STUDENT SCREENING'!BR241="Yes",1,0))</f>
        <v/>
      </c>
    </row>
    <row r="242" customFormat="false" ht="15" hidden="false" customHeight="false" outlineLevel="0" collapsed="false">
      <c r="A242" s="57" t="str">
        <f aca="false">'STUDENT SCREENING'!A242</f>
        <v/>
      </c>
      <c r="B242" s="57" t="n">
        <f aca="false">'STUDENT SCREENING'!C242</f>
        <v>0</v>
      </c>
      <c r="C242" s="57" t="n">
        <f aca="false">'STUDENT SCREENING'!D242</f>
        <v>0</v>
      </c>
      <c r="D242" s="57" t="n">
        <f aca="false">'STUDENT SCREENING'!E242</f>
        <v>0</v>
      </c>
      <c r="E242" s="57" t="n">
        <f aca="false">'STUDENT SCREENING'!F242</f>
        <v>0</v>
      </c>
      <c r="F242" s="57" t="n">
        <f aca="false">'STUDENT SCREENING'!K242</f>
        <v>0</v>
      </c>
      <c r="G242" s="57" t="n">
        <f aca="false">'STUDENT SCREENING'!J242</f>
        <v>0</v>
      </c>
      <c r="H242" s="57" t="str">
        <f aca="false">IF('STUDENT SCREENING'!K242="","",IFERROR(MATCH('STUDENT SCREENING'!K242,Adm_Gender,0),""))</f>
        <v/>
      </c>
      <c r="I242" s="57" t="n">
        <f aca="false">'STUDENT SCREENING'!Q242</f>
        <v>0</v>
      </c>
      <c r="J242" s="57" t="n">
        <f aca="false">'STUDENT SCREENING'!R242</f>
        <v>0</v>
      </c>
      <c r="K242" s="57" t="str">
        <f aca="false">'STUDENT SCREENING'!S242</f>
        <v/>
      </c>
      <c r="L242" s="57" t="n">
        <f aca="false">'STUDENT SCREENING'!U242</f>
        <v>0</v>
      </c>
      <c r="M242" s="57" t="n">
        <f aca="false">'STUDENT SCREENING'!V242</f>
        <v>0</v>
      </c>
      <c r="N242" s="57" t="str">
        <f aca="false">'STUDENT SCREENING'!BF242</f>
        <v/>
      </c>
      <c r="O242" s="57" t="str">
        <f aca="false">'STUDENT SCREENING'!BG242</f>
        <v/>
      </c>
      <c r="P242" s="57" t="str">
        <f aca="false">'STUDENT SCREENING'!BH242</f>
        <v/>
      </c>
      <c r="Q242" s="57" t="str">
        <f aca="false">'STUDENT SCREENING'!BI242</f>
        <v/>
      </c>
      <c r="R242" s="57" t="str">
        <f aca="false">'STUDENT SCREENING'!BJ242</f>
        <v/>
      </c>
      <c r="S242" s="57" t="str">
        <f aca="false">'STUDENT SCREENING'!BK242</f>
        <v/>
      </c>
      <c r="T242" s="57" t="str">
        <f aca="false">'STUDENT SCREENING'!BL242</f>
        <v/>
      </c>
      <c r="U242" s="57" t="str">
        <f aca="false">'STUDENT SCREENING'!BM242</f>
        <v/>
      </c>
      <c r="V242" s="57" t="str">
        <f aca="false">'STUDENT SCREENING'!BN242</f>
        <v/>
      </c>
      <c r="W242" s="57" t="str">
        <f aca="false">'STUDENT SCREENING'!BO242</f>
        <v/>
      </c>
      <c r="X242" s="57" t="str">
        <f aca="false">IF('STUDENT SCREENING'!W242="","",IFERROR(INDEX('SCORING MASTER'!$D$5:$D$7,MATCH('STUDENT SCREENING'!W242,'SCORING MASTER'!$C$5:$C$7,0)),""))</f>
        <v/>
      </c>
      <c r="Y242" s="57" t="str">
        <f aca="false">IF('STUDENT SCREENING'!X242="","",IFERROR(INDEX('SCORING MASTER'!$D$9:$D$11,MATCH('STUDENT SCREENING'!X242,'SCORING MASTER'!$C$9:$C$11,0)),""))</f>
        <v/>
      </c>
      <c r="Z242" s="57" t="str">
        <f aca="false">IF('STUDENT SCREENING'!Y242="","",IFERROR(INDEX('SCORING MASTER'!$D$13:$D$15,MATCH('STUDENT SCREENING'!Y242,'SCORING MASTER'!$C$13:$C$15,0)),""))</f>
        <v/>
      </c>
      <c r="AA242" s="57" t="str">
        <f aca="false">IF('STUDENT SCREENING'!Z242="","",IFERROR(INDEX('SCORING MASTER'!$D$17:$D$19,MATCH('STUDENT SCREENING'!Z242,'SCORING MASTER'!$C$17:$C$19,0)),""))</f>
        <v/>
      </c>
      <c r="AB242" s="57" t="str">
        <f aca="false">IF('STUDENT SCREENING'!AA242="","",IFERROR(INDEX('SCORING MASTER'!$D$21:$D$23,MATCH('STUDENT SCREENING'!AA242,'SCORING MASTER'!$C$21:$C$23,0)),""))</f>
        <v/>
      </c>
      <c r="AC242" s="57" t="str">
        <f aca="false">IF('STUDENT SCREENING'!AB242="","",IFERROR(INDEX('SCORING MASTER'!$D$25:$D$27,MATCH('STUDENT SCREENING'!AB242,'SCORING MASTER'!$C$25:$C$27,0)),""))</f>
        <v/>
      </c>
      <c r="AD242" s="57" t="str">
        <f aca="false">IF('STUDENT SCREENING'!AC242="","",IFERROR(INDEX('SCORING MASTER'!$D$29:$D$31,MATCH('STUDENT SCREENING'!AC242,'SCORING MASTER'!$C$29:$C$31,0)),""))</f>
        <v/>
      </c>
      <c r="AE242" s="57" t="str">
        <f aca="false">IF('STUDENT SCREENING'!AD242="","",IFERROR(INDEX('SCORING MASTER'!$D$33:$D$35,MATCH('STUDENT SCREENING'!AD242,'SCORING MASTER'!$C$33:$C$35,0)),""))</f>
        <v/>
      </c>
      <c r="AF242" s="57" t="str">
        <f aca="false">IF('STUDENT SCREENING'!AE242="","",IFERROR(INDEX('SCORING MASTER'!$D$37:$D$39,MATCH('STUDENT SCREENING'!AE242,'SCORING MASTER'!$C$37:$C$39,0)),""))</f>
        <v/>
      </c>
      <c r="AG242" s="57" t="str">
        <f aca="false">IF('STUDENT SCREENING'!AF242="","",IFERROR(INDEX('SCORING MASTER'!$D$41:$D$43,MATCH('STUDENT SCREENING'!AF242,'SCORING MASTER'!$C$41:$C$43,0)),""))</f>
        <v/>
      </c>
      <c r="AH242" s="57" t="str">
        <f aca="false">IF('STUDENT SCREENING'!AG242="","",IFERROR(INDEX('SCORING MASTER'!$D$45:$D$47,MATCH('STUDENT SCREENING'!AG242,'SCORING MASTER'!$C$45:$C$47,0)),""))</f>
        <v/>
      </c>
      <c r="AI242" s="57" t="str">
        <f aca="false">IF('STUDENT SCREENING'!AH242="","",IFERROR(INDEX('SCORING MASTER'!$D$49:$D$52,MATCH('STUDENT SCREENING'!AH242,'SCORING MASTER'!$C$49:$C$52,0)),""))</f>
        <v/>
      </c>
      <c r="AJ242" s="57" t="str">
        <f aca="false">IF('STUDENT SCREENING'!AI242="","",IFERROR(INDEX('SCORING MASTER'!$D$54:$D$57,MATCH('STUDENT SCREENING'!AI242,'SCORING MASTER'!$C$54:$C$57,0)),""))</f>
        <v/>
      </c>
      <c r="AK242" s="57" t="str">
        <f aca="false">IF('STUDENT SCREENING'!AJ242="","",IFERROR(INDEX('SCORING MASTER'!$D$59:$D$60,MATCH('STUDENT SCREENING'!AJ242,'SCORING MASTER'!$C$59:$C$60,0)),""))</f>
        <v/>
      </c>
      <c r="AL242" s="57" t="str">
        <f aca="false">IF('STUDENT SCREENING'!AK242="","",IFERROR(INDEX('SCORING MASTER'!$D$62:$D$63,MATCH('STUDENT SCREENING'!AK242,'SCORING MASTER'!$C$62:$C$63,0)),""))</f>
        <v/>
      </c>
      <c r="AM242" s="57" t="str">
        <f aca="false">IF('STUDENT SCREENING'!AL242="","",IFERROR(INDEX('SCORING MASTER'!$D$65:$D$66,MATCH('STUDENT SCREENING'!AL242,'SCORING MASTER'!$C$65:$C$66,0)),""))</f>
        <v/>
      </c>
      <c r="AN242" s="57" t="str">
        <f aca="false">IF('STUDENT SCREENING'!AM242="","",IFERROR(INDEX('SCORING MASTER'!$D$68:$D$69,MATCH('STUDENT SCREENING'!AM242,'SCORING MASTER'!$C$68:$C$69,0)),""))</f>
        <v/>
      </c>
      <c r="AO242" s="57" t="str">
        <f aca="false">IF('STUDENT SCREENING'!AN242="","",IFERROR(INDEX('SCORING MASTER'!$D$71:$D$72,MATCH('STUDENT SCREENING'!AN242,'SCORING MASTER'!$C$71:$C$72,0)),""))</f>
        <v/>
      </c>
      <c r="AP242" s="57" t="str">
        <f aca="false">IF('STUDENT SCREENING'!AO242="","",IFERROR(INDEX('SCORING MASTER'!$D$74:$D$75,MATCH('STUDENT SCREENING'!AO242,'SCORING MASTER'!$C$74:$C$75,0)),""))</f>
        <v/>
      </c>
      <c r="AQ242" s="57" t="str">
        <f aca="false">IF('STUDENT SCREENING'!AP242="","",IFERROR(INDEX('SCORING MASTER'!$D$77:$D$78,MATCH('STUDENT SCREENING'!AP242,'SCORING MASTER'!$C$77:$C$78,0)),""))</f>
        <v/>
      </c>
      <c r="AR242" s="57" t="str">
        <f aca="false">IF('STUDENT SCREENING'!AQ242="","",IFERROR(INDEX('SCORING MASTER'!$D$80:$D$82,MATCH('STUDENT SCREENING'!AQ242,'SCORING MASTER'!$C$80:$C$82,0)),""))</f>
        <v/>
      </c>
      <c r="AS242" s="57" t="str">
        <f aca="false">IF('STUDENT SCREENING'!AR242="","",IFERROR(INDEX('SCORING MASTER'!$D$84:$D$86,MATCH('STUDENT SCREENING'!AR242,'SCORING MASTER'!$C$84:$C$86,0)),""))</f>
        <v/>
      </c>
      <c r="AT242" s="57" t="str">
        <f aca="false">IF('STUDENT SCREENING'!AS242="","",IFERROR(INDEX('SCORING MASTER'!$D$88:$D$90,MATCH('STUDENT SCREENING'!AS242,'SCORING MASTER'!$C$88:$C$90,0)),""))</f>
        <v/>
      </c>
      <c r="AU242" s="57" t="str">
        <f aca="false">IF('STUDENT SCREENING'!AT242="","",IFERROR(INDEX('SCORING MASTER'!$D$92:$D$93,MATCH('STUDENT SCREENING'!AT242,'SCORING MASTER'!$C$92:$C$93,0)),""))</f>
        <v/>
      </c>
      <c r="AV242" s="57" t="str">
        <f aca="false">IF('STUDENT SCREENING'!AU242="","",IFERROR(INDEX('SCORING MASTER'!$D$95:$D$96,MATCH('STUDENT SCREENING'!AU242,'SCORING MASTER'!$C$95:$C$96,0)),""))</f>
        <v/>
      </c>
      <c r="AW242" s="57" t="str">
        <f aca="false">IF('STUDENT SCREENING'!AV242="","",IFERROR(INDEX('SCORING MASTER'!$D$98:$D$99,MATCH('STUDENT SCREENING'!AV242,'SCORING MASTER'!$C$98:$C$99,0)),""))</f>
        <v/>
      </c>
      <c r="AX242" s="57" t="str">
        <f aca="false">IF('STUDENT SCREENING'!AW242="","",IFERROR(INDEX('SCORING MASTER'!$D$101:$D$102,MATCH('STUDENT SCREENING'!AW242,'SCORING MASTER'!$C$101:$C$102,0)),""))</f>
        <v/>
      </c>
      <c r="AY242" s="57" t="str">
        <f aca="false">IF('STUDENT SCREENING'!AX242="","",IFERROR(INDEX('SCORING MASTER'!$D$104:$D$105,MATCH('STUDENT SCREENING'!AX242,'SCORING MASTER'!$C$104:$C$105,0)),""))</f>
        <v/>
      </c>
      <c r="AZ242" s="57" t="str">
        <f aca="false">IF('STUDENT SCREENING'!AY242="","",IFERROR(INDEX('SCORING MASTER'!$D$107:$D$108,MATCH('STUDENT SCREENING'!AY242,'SCORING MASTER'!$C$107:$C$108,0)),""))</f>
        <v/>
      </c>
      <c r="BA242" s="57" t="str">
        <f aca="false">IF('STUDENT SCREENING'!AZ242="","",IFERROR(INDEX('SCORING MASTER'!$D$110:$D$111,MATCH('STUDENT SCREENING'!AZ242,'SCORING MASTER'!$C$110:$C$111,0)),""))</f>
        <v/>
      </c>
      <c r="BB242" s="57" t="str">
        <f aca="false">IF('STUDENT SCREENING'!BA242="","",IFERROR(INDEX('SCORING MASTER'!$D$113:$D$115,MATCH('STUDENT SCREENING'!BA242,'SCORING MASTER'!$C$113:$C$115,0)),""))</f>
        <v/>
      </c>
      <c r="BC242" s="57" t="str">
        <f aca="false">IF('STUDENT SCREENING'!BB242="","",IFERROR(INDEX('SCORING MASTER'!$D$117:$D$119,MATCH('STUDENT SCREENING'!BB242,'SCORING MASTER'!$C$117:$C$119,0)),""))</f>
        <v/>
      </c>
      <c r="BD242" s="57" t="str">
        <f aca="false">IF('STUDENT SCREENING'!BC242="","",IFERROR(INDEX('SCORING MASTER'!$D$121:$D$123,MATCH('STUDENT SCREENING'!BC242,'SCORING MASTER'!$C$121:$C$123,0)),""))</f>
        <v/>
      </c>
      <c r="BE242" s="57" t="str">
        <f aca="false">IF('STUDENT SCREENING'!BD242="","",IFERROR(INDEX('SCORING MASTER'!$D$125:$D$126,MATCH('STUDENT SCREENING'!BD242,'SCORING MASTER'!$C$125:$C$126,0)),""))</f>
        <v/>
      </c>
      <c r="BF242" s="57" t="str">
        <f aca="false">IF('STUDENT SCREENING'!BE242="","",IFERROR(INDEX('SCORING MASTER'!$D$128:$D$129,MATCH('STUDENT SCREENING'!BE242,'SCORING MASTER'!$C$128:$C$129,0)),""))</f>
        <v/>
      </c>
      <c r="BG242" s="57" t="str">
        <f aca="false">IF('STUDENT SCREENING'!BP242="","",IFERROR(MATCH('STUDENT SCREENING'!BP242,{"Red - High Risk","Orange - Moderate Risk","Yellow - Mild Risk","Light Green - Mild Watch","Green - Healthy"},0)-1,""))</f>
        <v/>
      </c>
      <c r="BH242" s="57" t="str">
        <f aca="false">IF('STUDENT SCREENING'!BQ242="","",IF('STUDENT SCREENING'!BQ242="Yes",1,0))</f>
        <v/>
      </c>
      <c r="BI242" s="57" t="str">
        <f aca="false">IF('STUDENT SCREENING'!BR242="","",IF('STUDENT SCREENING'!BR242="Yes",1,0))</f>
        <v/>
      </c>
    </row>
    <row r="243" customFormat="false" ht="15" hidden="false" customHeight="false" outlineLevel="0" collapsed="false">
      <c r="A243" s="58" t="str">
        <f aca="false">'STUDENT SCREENING'!A243</f>
        <v/>
      </c>
      <c r="B243" s="58" t="n">
        <f aca="false">'STUDENT SCREENING'!C243</f>
        <v>0</v>
      </c>
      <c r="C243" s="58" t="n">
        <f aca="false">'STUDENT SCREENING'!D243</f>
        <v>0</v>
      </c>
      <c r="D243" s="58" t="n">
        <f aca="false">'STUDENT SCREENING'!E243</f>
        <v>0</v>
      </c>
      <c r="E243" s="58" t="n">
        <f aca="false">'STUDENT SCREENING'!F243</f>
        <v>0</v>
      </c>
      <c r="F243" s="58" t="n">
        <f aca="false">'STUDENT SCREENING'!K243</f>
        <v>0</v>
      </c>
      <c r="G243" s="58" t="n">
        <f aca="false">'STUDENT SCREENING'!J243</f>
        <v>0</v>
      </c>
      <c r="H243" s="58" t="str">
        <f aca="false">IF('STUDENT SCREENING'!K243="","",IFERROR(MATCH('STUDENT SCREENING'!K243,Adm_Gender,0),""))</f>
        <v/>
      </c>
      <c r="I243" s="58" t="n">
        <f aca="false">'STUDENT SCREENING'!Q243</f>
        <v>0</v>
      </c>
      <c r="J243" s="58" t="n">
        <f aca="false">'STUDENT SCREENING'!R243</f>
        <v>0</v>
      </c>
      <c r="K243" s="58" t="str">
        <f aca="false">'STUDENT SCREENING'!S243</f>
        <v/>
      </c>
      <c r="L243" s="58" t="n">
        <f aca="false">'STUDENT SCREENING'!U243</f>
        <v>0</v>
      </c>
      <c r="M243" s="58" t="n">
        <f aca="false">'STUDENT SCREENING'!V243</f>
        <v>0</v>
      </c>
      <c r="N243" s="58" t="str">
        <f aca="false">'STUDENT SCREENING'!BF243</f>
        <v/>
      </c>
      <c r="O243" s="58" t="str">
        <f aca="false">'STUDENT SCREENING'!BG243</f>
        <v/>
      </c>
      <c r="P243" s="58" t="str">
        <f aca="false">'STUDENT SCREENING'!BH243</f>
        <v/>
      </c>
      <c r="Q243" s="58" t="str">
        <f aca="false">'STUDENT SCREENING'!BI243</f>
        <v/>
      </c>
      <c r="R243" s="58" t="str">
        <f aca="false">'STUDENT SCREENING'!BJ243</f>
        <v/>
      </c>
      <c r="S243" s="58" t="str">
        <f aca="false">'STUDENT SCREENING'!BK243</f>
        <v/>
      </c>
      <c r="T243" s="58" t="str">
        <f aca="false">'STUDENT SCREENING'!BL243</f>
        <v/>
      </c>
      <c r="U243" s="58" t="str">
        <f aca="false">'STUDENT SCREENING'!BM243</f>
        <v/>
      </c>
      <c r="V243" s="58" t="str">
        <f aca="false">'STUDENT SCREENING'!BN243</f>
        <v/>
      </c>
      <c r="W243" s="58" t="str">
        <f aca="false">'STUDENT SCREENING'!BO243</f>
        <v/>
      </c>
      <c r="X243" s="58" t="str">
        <f aca="false">IF('STUDENT SCREENING'!W243="","",IFERROR(INDEX('SCORING MASTER'!$D$5:$D$7,MATCH('STUDENT SCREENING'!W243,'SCORING MASTER'!$C$5:$C$7,0)),""))</f>
        <v/>
      </c>
      <c r="Y243" s="58" t="str">
        <f aca="false">IF('STUDENT SCREENING'!X243="","",IFERROR(INDEX('SCORING MASTER'!$D$9:$D$11,MATCH('STUDENT SCREENING'!X243,'SCORING MASTER'!$C$9:$C$11,0)),""))</f>
        <v/>
      </c>
      <c r="Z243" s="58" t="str">
        <f aca="false">IF('STUDENT SCREENING'!Y243="","",IFERROR(INDEX('SCORING MASTER'!$D$13:$D$15,MATCH('STUDENT SCREENING'!Y243,'SCORING MASTER'!$C$13:$C$15,0)),""))</f>
        <v/>
      </c>
      <c r="AA243" s="58" t="str">
        <f aca="false">IF('STUDENT SCREENING'!Z243="","",IFERROR(INDEX('SCORING MASTER'!$D$17:$D$19,MATCH('STUDENT SCREENING'!Z243,'SCORING MASTER'!$C$17:$C$19,0)),""))</f>
        <v/>
      </c>
      <c r="AB243" s="58" t="str">
        <f aca="false">IF('STUDENT SCREENING'!AA243="","",IFERROR(INDEX('SCORING MASTER'!$D$21:$D$23,MATCH('STUDENT SCREENING'!AA243,'SCORING MASTER'!$C$21:$C$23,0)),""))</f>
        <v/>
      </c>
      <c r="AC243" s="58" t="str">
        <f aca="false">IF('STUDENT SCREENING'!AB243="","",IFERROR(INDEX('SCORING MASTER'!$D$25:$D$27,MATCH('STUDENT SCREENING'!AB243,'SCORING MASTER'!$C$25:$C$27,0)),""))</f>
        <v/>
      </c>
      <c r="AD243" s="58" t="str">
        <f aca="false">IF('STUDENT SCREENING'!AC243="","",IFERROR(INDEX('SCORING MASTER'!$D$29:$D$31,MATCH('STUDENT SCREENING'!AC243,'SCORING MASTER'!$C$29:$C$31,0)),""))</f>
        <v/>
      </c>
      <c r="AE243" s="58" t="str">
        <f aca="false">IF('STUDENT SCREENING'!AD243="","",IFERROR(INDEX('SCORING MASTER'!$D$33:$D$35,MATCH('STUDENT SCREENING'!AD243,'SCORING MASTER'!$C$33:$C$35,0)),""))</f>
        <v/>
      </c>
      <c r="AF243" s="58" t="str">
        <f aca="false">IF('STUDENT SCREENING'!AE243="","",IFERROR(INDEX('SCORING MASTER'!$D$37:$D$39,MATCH('STUDENT SCREENING'!AE243,'SCORING MASTER'!$C$37:$C$39,0)),""))</f>
        <v/>
      </c>
      <c r="AG243" s="58" t="str">
        <f aca="false">IF('STUDENT SCREENING'!AF243="","",IFERROR(INDEX('SCORING MASTER'!$D$41:$D$43,MATCH('STUDENT SCREENING'!AF243,'SCORING MASTER'!$C$41:$C$43,0)),""))</f>
        <v/>
      </c>
      <c r="AH243" s="58" t="str">
        <f aca="false">IF('STUDENT SCREENING'!AG243="","",IFERROR(INDEX('SCORING MASTER'!$D$45:$D$47,MATCH('STUDENT SCREENING'!AG243,'SCORING MASTER'!$C$45:$C$47,0)),""))</f>
        <v/>
      </c>
      <c r="AI243" s="58" t="str">
        <f aca="false">IF('STUDENT SCREENING'!AH243="","",IFERROR(INDEX('SCORING MASTER'!$D$49:$D$52,MATCH('STUDENT SCREENING'!AH243,'SCORING MASTER'!$C$49:$C$52,0)),""))</f>
        <v/>
      </c>
      <c r="AJ243" s="58" t="str">
        <f aca="false">IF('STUDENT SCREENING'!AI243="","",IFERROR(INDEX('SCORING MASTER'!$D$54:$D$57,MATCH('STUDENT SCREENING'!AI243,'SCORING MASTER'!$C$54:$C$57,0)),""))</f>
        <v/>
      </c>
      <c r="AK243" s="58" t="str">
        <f aca="false">IF('STUDENT SCREENING'!AJ243="","",IFERROR(INDEX('SCORING MASTER'!$D$59:$D$60,MATCH('STUDENT SCREENING'!AJ243,'SCORING MASTER'!$C$59:$C$60,0)),""))</f>
        <v/>
      </c>
      <c r="AL243" s="58" t="str">
        <f aca="false">IF('STUDENT SCREENING'!AK243="","",IFERROR(INDEX('SCORING MASTER'!$D$62:$D$63,MATCH('STUDENT SCREENING'!AK243,'SCORING MASTER'!$C$62:$C$63,0)),""))</f>
        <v/>
      </c>
      <c r="AM243" s="58" t="str">
        <f aca="false">IF('STUDENT SCREENING'!AL243="","",IFERROR(INDEX('SCORING MASTER'!$D$65:$D$66,MATCH('STUDENT SCREENING'!AL243,'SCORING MASTER'!$C$65:$C$66,0)),""))</f>
        <v/>
      </c>
      <c r="AN243" s="58" t="str">
        <f aca="false">IF('STUDENT SCREENING'!AM243="","",IFERROR(INDEX('SCORING MASTER'!$D$68:$D$69,MATCH('STUDENT SCREENING'!AM243,'SCORING MASTER'!$C$68:$C$69,0)),""))</f>
        <v/>
      </c>
      <c r="AO243" s="58" t="str">
        <f aca="false">IF('STUDENT SCREENING'!AN243="","",IFERROR(INDEX('SCORING MASTER'!$D$71:$D$72,MATCH('STUDENT SCREENING'!AN243,'SCORING MASTER'!$C$71:$C$72,0)),""))</f>
        <v/>
      </c>
      <c r="AP243" s="58" t="str">
        <f aca="false">IF('STUDENT SCREENING'!AO243="","",IFERROR(INDEX('SCORING MASTER'!$D$74:$D$75,MATCH('STUDENT SCREENING'!AO243,'SCORING MASTER'!$C$74:$C$75,0)),""))</f>
        <v/>
      </c>
      <c r="AQ243" s="58" t="str">
        <f aca="false">IF('STUDENT SCREENING'!AP243="","",IFERROR(INDEX('SCORING MASTER'!$D$77:$D$78,MATCH('STUDENT SCREENING'!AP243,'SCORING MASTER'!$C$77:$C$78,0)),""))</f>
        <v/>
      </c>
      <c r="AR243" s="58" t="str">
        <f aca="false">IF('STUDENT SCREENING'!AQ243="","",IFERROR(INDEX('SCORING MASTER'!$D$80:$D$82,MATCH('STUDENT SCREENING'!AQ243,'SCORING MASTER'!$C$80:$C$82,0)),""))</f>
        <v/>
      </c>
      <c r="AS243" s="58" t="str">
        <f aca="false">IF('STUDENT SCREENING'!AR243="","",IFERROR(INDEX('SCORING MASTER'!$D$84:$D$86,MATCH('STUDENT SCREENING'!AR243,'SCORING MASTER'!$C$84:$C$86,0)),""))</f>
        <v/>
      </c>
      <c r="AT243" s="58" t="str">
        <f aca="false">IF('STUDENT SCREENING'!AS243="","",IFERROR(INDEX('SCORING MASTER'!$D$88:$D$90,MATCH('STUDENT SCREENING'!AS243,'SCORING MASTER'!$C$88:$C$90,0)),""))</f>
        <v/>
      </c>
      <c r="AU243" s="58" t="str">
        <f aca="false">IF('STUDENT SCREENING'!AT243="","",IFERROR(INDEX('SCORING MASTER'!$D$92:$D$93,MATCH('STUDENT SCREENING'!AT243,'SCORING MASTER'!$C$92:$C$93,0)),""))</f>
        <v/>
      </c>
      <c r="AV243" s="58" t="str">
        <f aca="false">IF('STUDENT SCREENING'!AU243="","",IFERROR(INDEX('SCORING MASTER'!$D$95:$D$96,MATCH('STUDENT SCREENING'!AU243,'SCORING MASTER'!$C$95:$C$96,0)),""))</f>
        <v/>
      </c>
      <c r="AW243" s="58" t="str">
        <f aca="false">IF('STUDENT SCREENING'!AV243="","",IFERROR(INDEX('SCORING MASTER'!$D$98:$D$99,MATCH('STUDENT SCREENING'!AV243,'SCORING MASTER'!$C$98:$C$99,0)),""))</f>
        <v/>
      </c>
      <c r="AX243" s="58" t="str">
        <f aca="false">IF('STUDENT SCREENING'!AW243="","",IFERROR(INDEX('SCORING MASTER'!$D$101:$D$102,MATCH('STUDENT SCREENING'!AW243,'SCORING MASTER'!$C$101:$C$102,0)),""))</f>
        <v/>
      </c>
      <c r="AY243" s="58" t="str">
        <f aca="false">IF('STUDENT SCREENING'!AX243="","",IFERROR(INDEX('SCORING MASTER'!$D$104:$D$105,MATCH('STUDENT SCREENING'!AX243,'SCORING MASTER'!$C$104:$C$105,0)),""))</f>
        <v/>
      </c>
      <c r="AZ243" s="58" t="str">
        <f aca="false">IF('STUDENT SCREENING'!AY243="","",IFERROR(INDEX('SCORING MASTER'!$D$107:$D$108,MATCH('STUDENT SCREENING'!AY243,'SCORING MASTER'!$C$107:$C$108,0)),""))</f>
        <v/>
      </c>
      <c r="BA243" s="58" t="str">
        <f aca="false">IF('STUDENT SCREENING'!AZ243="","",IFERROR(INDEX('SCORING MASTER'!$D$110:$D$111,MATCH('STUDENT SCREENING'!AZ243,'SCORING MASTER'!$C$110:$C$111,0)),""))</f>
        <v/>
      </c>
      <c r="BB243" s="58" t="str">
        <f aca="false">IF('STUDENT SCREENING'!BA243="","",IFERROR(INDEX('SCORING MASTER'!$D$113:$D$115,MATCH('STUDENT SCREENING'!BA243,'SCORING MASTER'!$C$113:$C$115,0)),""))</f>
        <v/>
      </c>
      <c r="BC243" s="58" t="str">
        <f aca="false">IF('STUDENT SCREENING'!BB243="","",IFERROR(INDEX('SCORING MASTER'!$D$117:$D$119,MATCH('STUDENT SCREENING'!BB243,'SCORING MASTER'!$C$117:$C$119,0)),""))</f>
        <v/>
      </c>
      <c r="BD243" s="58" t="str">
        <f aca="false">IF('STUDENT SCREENING'!BC243="","",IFERROR(INDEX('SCORING MASTER'!$D$121:$D$123,MATCH('STUDENT SCREENING'!BC243,'SCORING MASTER'!$C$121:$C$123,0)),""))</f>
        <v/>
      </c>
      <c r="BE243" s="58" t="str">
        <f aca="false">IF('STUDENT SCREENING'!BD243="","",IFERROR(INDEX('SCORING MASTER'!$D$125:$D$126,MATCH('STUDENT SCREENING'!BD243,'SCORING MASTER'!$C$125:$C$126,0)),""))</f>
        <v/>
      </c>
      <c r="BF243" s="58" t="str">
        <f aca="false">IF('STUDENT SCREENING'!BE243="","",IFERROR(INDEX('SCORING MASTER'!$D$128:$D$129,MATCH('STUDENT SCREENING'!BE243,'SCORING MASTER'!$C$128:$C$129,0)),""))</f>
        <v/>
      </c>
      <c r="BG243" s="58" t="str">
        <f aca="false">IF('STUDENT SCREENING'!BP243="","",IFERROR(MATCH('STUDENT SCREENING'!BP243,{"Red - High Risk","Orange - Moderate Risk","Yellow - Mild Risk","Light Green - Mild Watch","Green - Healthy"},0)-1,""))</f>
        <v/>
      </c>
      <c r="BH243" s="58" t="str">
        <f aca="false">IF('STUDENT SCREENING'!BQ243="","",IF('STUDENT SCREENING'!BQ243="Yes",1,0))</f>
        <v/>
      </c>
      <c r="BI243" s="58" t="str">
        <f aca="false">IF('STUDENT SCREENING'!BR243="","",IF('STUDENT SCREENING'!BR243="Yes",1,0))</f>
        <v/>
      </c>
    </row>
    <row r="244" customFormat="false" ht="15" hidden="false" customHeight="false" outlineLevel="0" collapsed="false">
      <c r="A244" s="57" t="str">
        <f aca="false">'STUDENT SCREENING'!A244</f>
        <v/>
      </c>
      <c r="B244" s="57" t="n">
        <f aca="false">'STUDENT SCREENING'!C244</f>
        <v>0</v>
      </c>
      <c r="C244" s="57" t="n">
        <f aca="false">'STUDENT SCREENING'!D244</f>
        <v>0</v>
      </c>
      <c r="D244" s="57" t="n">
        <f aca="false">'STUDENT SCREENING'!E244</f>
        <v>0</v>
      </c>
      <c r="E244" s="57" t="n">
        <f aca="false">'STUDENT SCREENING'!F244</f>
        <v>0</v>
      </c>
      <c r="F244" s="57" t="n">
        <f aca="false">'STUDENT SCREENING'!K244</f>
        <v>0</v>
      </c>
      <c r="G244" s="57" t="n">
        <f aca="false">'STUDENT SCREENING'!J244</f>
        <v>0</v>
      </c>
      <c r="H244" s="57" t="str">
        <f aca="false">IF('STUDENT SCREENING'!K244="","",IFERROR(MATCH('STUDENT SCREENING'!K244,Adm_Gender,0),""))</f>
        <v/>
      </c>
      <c r="I244" s="57" t="n">
        <f aca="false">'STUDENT SCREENING'!Q244</f>
        <v>0</v>
      </c>
      <c r="J244" s="57" t="n">
        <f aca="false">'STUDENT SCREENING'!R244</f>
        <v>0</v>
      </c>
      <c r="K244" s="57" t="str">
        <f aca="false">'STUDENT SCREENING'!S244</f>
        <v/>
      </c>
      <c r="L244" s="57" t="n">
        <f aca="false">'STUDENT SCREENING'!U244</f>
        <v>0</v>
      </c>
      <c r="M244" s="57" t="n">
        <f aca="false">'STUDENT SCREENING'!V244</f>
        <v>0</v>
      </c>
      <c r="N244" s="57" t="str">
        <f aca="false">'STUDENT SCREENING'!BF244</f>
        <v/>
      </c>
      <c r="O244" s="57" t="str">
        <f aca="false">'STUDENT SCREENING'!BG244</f>
        <v/>
      </c>
      <c r="P244" s="57" t="str">
        <f aca="false">'STUDENT SCREENING'!BH244</f>
        <v/>
      </c>
      <c r="Q244" s="57" t="str">
        <f aca="false">'STUDENT SCREENING'!BI244</f>
        <v/>
      </c>
      <c r="R244" s="57" t="str">
        <f aca="false">'STUDENT SCREENING'!BJ244</f>
        <v/>
      </c>
      <c r="S244" s="57" t="str">
        <f aca="false">'STUDENT SCREENING'!BK244</f>
        <v/>
      </c>
      <c r="T244" s="57" t="str">
        <f aca="false">'STUDENT SCREENING'!BL244</f>
        <v/>
      </c>
      <c r="U244" s="57" t="str">
        <f aca="false">'STUDENT SCREENING'!BM244</f>
        <v/>
      </c>
      <c r="V244" s="57" t="str">
        <f aca="false">'STUDENT SCREENING'!BN244</f>
        <v/>
      </c>
      <c r="W244" s="57" t="str">
        <f aca="false">'STUDENT SCREENING'!BO244</f>
        <v/>
      </c>
      <c r="X244" s="57" t="str">
        <f aca="false">IF('STUDENT SCREENING'!W244="","",IFERROR(INDEX('SCORING MASTER'!$D$5:$D$7,MATCH('STUDENT SCREENING'!W244,'SCORING MASTER'!$C$5:$C$7,0)),""))</f>
        <v/>
      </c>
      <c r="Y244" s="57" t="str">
        <f aca="false">IF('STUDENT SCREENING'!X244="","",IFERROR(INDEX('SCORING MASTER'!$D$9:$D$11,MATCH('STUDENT SCREENING'!X244,'SCORING MASTER'!$C$9:$C$11,0)),""))</f>
        <v/>
      </c>
      <c r="Z244" s="57" t="str">
        <f aca="false">IF('STUDENT SCREENING'!Y244="","",IFERROR(INDEX('SCORING MASTER'!$D$13:$D$15,MATCH('STUDENT SCREENING'!Y244,'SCORING MASTER'!$C$13:$C$15,0)),""))</f>
        <v/>
      </c>
      <c r="AA244" s="57" t="str">
        <f aca="false">IF('STUDENT SCREENING'!Z244="","",IFERROR(INDEX('SCORING MASTER'!$D$17:$D$19,MATCH('STUDENT SCREENING'!Z244,'SCORING MASTER'!$C$17:$C$19,0)),""))</f>
        <v/>
      </c>
      <c r="AB244" s="57" t="str">
        <f aca="false">IF('STUDENT SCREENING'!AA244="","",IFERROR(INDEX('SCORING MASTER'!$D$21:$D$23,MATCH('STUDENT SCREENING'!AA244,'SCORING MASTER'!$C$21:$C$23,0)),""))</f>
        <v/>
      </c>
      <c r="AC244" s="57" t="str">
        <f aca="false">IF('STUDENT SCREENING'!AB244="","",IFERROR(INDEX('SCORING MASTER'!$D$25:$D$27,MATCH('STUDENT SCREENING'!AB244,'SCORING MASTER'!$C$25:$C$27,0)),""))</f>
        <v/>
      </c>
      <c r="AD244" s="57" t="str">
        <f aca="false">IF('STUDENT SCREENING'!AC244="","",IFERROR(INDEX('SCORING MASTER'!$D$29:$D$31,MATCH('STUDENT SCREENING'!AC244,'SCORING MASTER'!$C$29:$C$31,0)),""))</f>
        <v/>
      </c>
      <c r="AE244" s="57" t="str">
        <f aca="false">IF('STUDENT SCREENING'!AD244="","",IFERROR(INDEX('SCORING MASTER'!$D$33:$D$35,MATCH('STUDENT SCREENING'!AD244,'SCORING MASTER'!$C$33:$C$35,0)),""))</f>
        <v/>
      </c>
      <c r="AF244" s="57" t="str">
        <f aca="false">IF('STUDENT SCREENING'!AE244="","",IFERROR(INDEX('SCORING MASTER'!$D$37:$D$39,MATCH('STUDENT SCREENING'!AE244,'SCORING MASTER'!$C$37:$C$39,0)),""))</f>
        <v/>
      </c>
      <c r="AG244" s="57" t="str">
        <f aca="false">IF('STUDENT SCREENING'!AF244="","",IFERROR(INDEX('SCORING MASTER'!$D$41:$D$43,MATCH('STUDENT SCREENING'!AF244,'SCORING MASTER'!$C$41:$C$43,0)),""))</f>
        <v/>
      </c>
      <c r="AH244" s="57" t="str">
        <f aca="false">IF('STUDENT SCREENING'!AG244="","",IFERROR(INDEX('SCORING MASTER'!$D$45:$D$47,MATCH('STUDENT SCREENING'!AG244,'SCORING MASTER'!$C$45:$C$47,0)),""))</f>
        <v/>
      </c>
      <c r="AI244" s="57" t="str">
        <f aca="false">IF('STUDENT SCREENING'!AH244="","",IFERROR(INDEX('SCORING MASTER'!$D$49:$D$52,MATCH('STUDENT SCREENING'!AH244,'SCORING MASTER'!$C$49:$C$52,0)),""))</f>
        <v/>
      </c>
      <c r="AJ244" s="57" t="str">
        <f aca="false">IF('STUDENT SCREENING'!AI244="","",IFERROR(INDEX('SCORING MASTER'!$D$54:$D$57,MATCH('STUDENT SCREENING'!AI244,'SCORING MASTER'!$C$54:$C$57,0)),""))</f>
        <v/>
      </c>
      <c r="AK244" s="57" t="str">
        <f aca="false">IF('STUDENT SCREENING'!AJ244="","",IFERROR(INDEX('SCORING MASTER'!$D$59:$D$60,MATCH('STUDENT SCREENING'!AJ244,'SCORING MASTER'!$C$59:$C$60,0)),""))</f>
        <v/>
      </c>
      <c r="AL244" s="57" t="str">
        <f aca="false">IF('STUDENT SCREENING'!AK244="","",IFERROR(INDEX('SCORING MASTER'!$D$62:$D$63,MATCH('STUDENT SCREENING'!AK244,'SCORING MASTER'!$C$62:$C$63,0)),""))</f>
        <v/>
      </c>
      <c r="AM244" s="57" t="str">
        <f aca="false">IF('STUDENT SCREENING'!AL244="","",IFERROR(INDEX('SCORING MASTER'!$D$65:$D$66,MATCH('STUDENT SCREENING'!AL244,'SCORING MASTER'!$C$65:$C$66,0)),""))</f>
        <v/>
      </c>
      <c r="AN244" s="57" t="str">
        <f aca="false">IF('STUDENT SCREENING'!AM244="","",IFERROR(INDEX('SCORING MASTER'!$D$68:$D$69,MATCH('STUDENT SCREENING'!AM244,'SCORING MASTER'!$C$68:$C$69,0)),""))</f>
        <v/>
      </c>
      <c r="AO244" s="57" t="str">
        <f aca="false">IF('STUDENT SCREENING'!AN244="","",IFERROR(INDEX('SCORING MASTER'!$D$71:$D$72,MATCH('STUDENT SCREENING'!AN244,'SCORING MASTER'!$C$71:$C$72,0)),""))</f>
        <v/>
      </c>
      <c r="AP244" s="57" t="str">
        <f aca="false">IF('STUDENT SCREENING'!AO244="","",IFERROR(INDEX('SCORING MASTER'!$D$74:$D$75,MATCH('STUDENT SCREENING'!AO244,'SCORING MASTER'!$C$74:$C$75,0)),""))</f>
        <v/>
      </c>
      <c r="AQ244" s="57" t="str">
        <f aca="false">IF('STUDENT SCREENING'!AP244="","",IFERROR(INDEX('SCORING MASTER'!$D$77:$D$78,MATCH('STUDENT SCREENING'!AP244,'SCORING MASTER'!$C$77:$C$78,0)),""))</f>
        <v/>
      </c>
      <c r="AR244" s="57" t="str">
        <f aca="false">IF('STUDENT SCREENING'!AQ244="","",IFERROR(INDEX('SCORING MASTER'!$D$80:$D$82,MATCH('STUDENT SCREENING'!AQ244,'SCORING MASTER'!$C$80:$C$82,0)),""))</f>
        <v/>
      </c>
      <c r="AS244" s="57" t="str">
        <f aca="false">IF('STUDENT SCREENING'!AR244="","",IFERROR(INDEX('SCORING MASTER'!$D$84:$D$86,MATCH('STUDENT SCREENING'!AR244,'SCORING MASTER'!$C$84:$C$86,0)),""))</f>
        <v/>
      </c>
      <c r="AT244" s="57" t="str">
        <f aca="false">IF('STUDENT SCREENING'!AS244="","",IFERROR(INDEX('SCORING MASTER'!$D$88:$D$90,MATCH('STUDENT SCREENING'!AS244,'SCORING MASTER'!$C$88:$C$90,0)),""))</f>
        <v/>
      </c>
      <c r="AU244" s="57" t="str">
        <f aca="false">IF('STUDENT SCREENING'!AT244="","",IFERROR(INDEX('SCORING MASTER'!$D$92:$D$93,MATCH('STUDENT SCREENING'!AT244,'SCORING MASTER'!$C$92:$C$93,0)),""))</f>
        <v/>
      </c>
      <c r="AV244" s="57" t="str">
        <f aca="false">IF('STUDENT SCREENING'!AU244="","",IFERROR(INDEX('SCORING MASTER'!$D$95:$D$96,MATCH('STUDENT SCREENING'!AU244,'SCORING MASTER'!$C$95:$C$96,0)),""))</f>
        <v/>
      </c>
      <c r="AW244" s="57" t="str">
        <f aca="false">IF('STUDENT SCREENING'!AV244="","",IFERROR(INDEX('SCORING MASTER'!$D$98:$D$99,MATCH('STUDENT SCREENING'!AV244,'SCORING MASTER'!$C$98:$C$99,0)),""))</f>
        <v/>
      </c>
      <c r="AX244" s="57" t="str">
        <f aca="false">IF('STUDENT SCREENING'!AW244="","",IFERROR(INDEX('SCORING MASTER'!$D$101:$D$102,MATCH('STUDENT SCREENING'!AW244,'SCORING MASTER'!$C$101:$C$102,0)),""))</f>
        <v/>
      </c>
      <c r="AY244" s="57" t="str">
        <f aca="false">IF('STUDENT SCREENING'!AX244="","",IFERROR(INDEX('SCORING MASTER'!$D$104:$D$105,MATCH('STUDENT SCREENING'!AX244,'SCORING MASTER'!$C$104:$C$105,0)),""))</f>
        <v/>
      </c>
      <c r="AZ244" s="57" t="str">
        <f aca="false">IF('STUDENT SCREENING'!AY244="","",IFERROR(INDEX('SCORING MASTER'!$D$107:$D$108,MATCH('STUDENT SCREENING'!AY244,'SCORING MASTER'!$C$107:$C$108,0)),""))</f>
        <v/>
      </c>
      <c r="BA244" s="57" t="str">
        <f aca="false">IF('STUDENT SCREENING'!AZ244="","",IFERROR(INDEX('SCORING MASTER'!$D$110:$D$111,MATCH('STUDENT SCREENING'!AZ244,'SCORING MASTER'!$C$110:$C$111,0)),""))</f>
        <v/>
      </c>
      <c r="BB244" s="57" t="str">
        <f aca="false">IF('STUDENT SCREENING'!BA244="","",IFERROR(INDEX('SCORING MASTER'!$D$113:$D$115,MATCH('STUDENT SCREENING'!BA244,'SCORING MASTER'!$C$113:$C$115,0)),""))</f>
        <v/>
      </c>
      <c r="BC244" s="57" t="str">
        <f aca="false">IF('STUDENT SCREENING'!BB244="","",IFERROR(INDEX('SCORING MASTER'!$D$117:$D$119,MATCH('STUDENT SCREENING'!BB244,'SCORING MASTER'!$C$117:$C$119,0)),""))</f>
        <v/>
      </c>
      <c r="BD244" s="57" t="str">
        <f aca="false">IF('STUDENT SCREENING'!BC244="","",IFERROR(INDEX('SCORING MASTER'!$D$121:$D$123,MATCH('STUDENT SCREENING'!BC244,'SCORING MASTER'!$C$121:$C$123,0)),""))</f>
        <v/>
      </c>
      <c r="BE244" s="57" t="str">
        <f aca="false">IF('STUDENT SCREENING'!BD244="","",IFERROR(INDEX('SCORING MASTER'!$D$125:$D$126,MATCH('STUDENT SCREENING'!BD244,'SCORING MASTER'!$C$125:$C$126,0)),""))</f>
        <v/>
      </c>
      <c r="BF244" s="57" t="str">
        <f aca="false">IF('STUDENT SCREENING'!BE244="","",IFERROR(INDEX('SCORING MASTER'!$D$128:$D$129,MATCH('STUDENT SCREENING'!BE244,'SCORING MASTER'!$C$128:$C$129,0)),""))</f>
        <v/>
      </c>
      <c r="BG244" s="57" t="str">
        <f aca="false">IF('STUDENT SCREENING'!BP244="","",IFERROR(MATCH('STUDENT SCREENING'!BP244,{"Red - High Risk","Orange - Moderate Risk","Yellow - Mild Risk","Light Green - Mild Watch","Green - Healthy"},0)-1,""))</f>
        <v/>
      </c>
      <c r="BH244" s="57" t="str">
        <f aca="false">IF('STUDENT SCREENING'!BQ244="","",IF('STUDENT SCREENING'!BQ244="Yes",1,0))</f>
        <v/>
      </c>
      <c r="BI244" s="57" t="str">
        <f aca="false">IF('STUDENT SCREENING'!BR244="","",IF('STUDENT SCREENING'!BR244="Yes",1,0))</f>
        <v/>
      </c>
    </row>
    <row r="245" customFormat="false" ht="15" hidden="false" customHeight="false" outlineLevel="0" collapsed="false">
      <c r="A245" s="58" t="str">
        <f aca="false">'STUDENT SCREENING'!A245</f>
        <v/>
      </c>
      <c r="B245" s="58" t="n">
        <f aca="false">'STUDENT SCREENING'!C245</f>
        <v>0</v>
      </c>
      <c r="C245" s="58" t="n">
        <f aca="false">'STUDENT SCREENING'!D245</f>
        <v>0</v>
      </c>
      <c r="D245" s="58" t="n">
        <f aca="false">'STUDENT SCREENING'!E245</f>
        <v>0</v>
      </c>
      <c r="E245" s="58" t="n">
        <f aca="false">'STUDENT SCREENING'!F245</f>
        <v>0</v>
      </c>
      <c r="F245" s="58" t="n">
        <f aca="false">'STUDENT SCREENING'!K245</f>
        <v>0</v>
      </c>
      <c r="G245" s="58" t="n">
        <f aca="false">'STUDENT SCREENING'!J245</f>
        <v>0</v>
      </c>
      <c r="H245" s="58" t="str">
        <f aca="false">IF('STUDENT SCREENING'!K245="","",IFERROR(MATCH('STUDENT SCREENING'!K245,Adm_Gender,0),""))</f>
        <v/>
      </c>
      <c r="I245" s="58" t="n">
        <f aca="false">'STUDENT SCREENING'!Q245</f>
        <v>0</v>
      </c>
      <c r="J245" s="58" t="n">
        <f aca="false">'STUDENT SCREENING'!R245</f>
        <v>0</v>
      </c>
      <c r="K245" s="58" t="str">
        <f aca="false">'STUDENT SCREENING'!S245</f>
        <v/>
      </c>
      <c r="L245" s="58" t="n">
        <f aca="false">'STUDENT SCREENING'!U245</f>
        <v>0</v>
      </c>
      <c r="M245" s="58" t="n">
        <f aca="false">'STUDENT SCREENING'!V245</f>
        <v>0</v>
      </c>
      <c r="N245" s="58" t="str">
        <f aca="false">'STUDENT SCREENING'!BF245</f>
        <v/>
      </c>
      <c r="O245" s="58" t="str">
        <f aca="false">'STUDENT SCREENING'!BG245</f>
        <v/>
      </c>
      <c r="P245" s="58" t="str">
        <f aca="false">'STUDENT SCREENING'!BH245</f>
        <v/>
      </c>
      <c r="Q245" s="58" t="str">
        <f aca="false">'STUDENT SCREENING'!BI245</f>
        <v/>
      </c>
      <c r="R245" s="58" t="str">
        <f aca="false">'STUDENT SCREENING'!BJ245</f>
        <v/>
      </c>
      <c r="S245" s="58" t="str">
        <f aca="false">'STUDENT SCREENING'!BK245</f>
        <v/>
      </c>
      <c r="T245" s="58" t="str">
        <f aca="false">'STUDENT SCREENING'!BL245</f>
        <v/>
      </c>
      <c r="U245" s="58" t="str">
        <f aca="false">'STUDENT SCREENING'!BM245</f>
        <v/>
      </c>
      <c r="V245" s="58" t="str">
        <f aca="false">'STUDENT SCREENING'!BN245</f>
        <v/>
      </c>
      <c r="W245" s="58" t="str">
        <f aca="false">'STUDENT SCREENING'!BO245</f>
        <v/>
      </c>
      <c r="X245" s="58" t="str">
        <f aca="false">IF('STUDENT SCREENING'!W245="","",IFERROR(INDEX('SCORING MASTER'!$D$5:$D$7,MATCH('STUDENT SCREENING'!W245,'SCORING MASTER'!$C$5:$C$7,0)),""))</f>
        <v/>
      </c>
      <c r="Y245" s="58" t="str">
        <f aca="false">IF('STUDENT SCREENING'!X245="","",IFERROR(INDEX('SCORING MASTER'!$D$9:$D$11,MATCH('STUDENT SCREENING'!X245,'SCORING MASTER'!$C$9:$C$11,0)),""))</f>
        <v/>
      </c>
      <c r="Z245" s="58" t="str">
        <f aca="false">IF('STUDENT SCREENING'!Y245="","",IFERROR(INDEX('SCORING MASTER'!$D$13:$D$15,MATCH('STUDENT SCREENING'!Y245,'SCORING MASTER'!$C$13:$C$15,0)),""))</f>
        <v/>
      </c>
      <c r="AA245" s="58" t="str">
        <f aca="false">IF('STUDENT SCREENING'!Z245="","",IFERROR(INDEX('SCORING MASTER'!$D$17:$D$19,MATCH('STUDENT SCREENING'!Z245,'SCORING MASTER'!$C$17:$C$19,0)),""))</f>
        <v/>
      </c>
      <c r="AB245" s="58" t="str">
        <f aca="false">IF('STUDENT SCREENING'!AA245="","",IFERROR(INDEX('SCORING MASTER'!$D$21:$D$23,MATCH('STUDENT SCREENING'!AA245,'SCORING MASTER'!$C$21:$C$23,0)),""))</f>
        <v/>
      </c>
      <c r="AC245" s="58" t="str">
        <f aca="false">IF('STUDENT SCREENING'!AB245="","",IFERROR(INDEX('SCORING MASTER'!$D$25:$D$27,MATCH('STUDENT SCREENING'!AB245,'SCORING MASTER'!$C$25:$C$27,0)),""))</f>
        <v/>
      </c>
      <c r="AD245" s="58" t="str">
        <f aca="false">IF('STUDENT SCREENING'!AC245="","",IFERROR(INDEX('SCORING MASTER'!$D$29:$D$31,MATCH('STUDENT SCREENING'!AC245,'SCORING MASTER'!$C$29:$C$31,0)),""))</f>
        <v/>
      </c>
      <c r="AE245" s="58" t="str">
        <f aca="false">IF('STUDENT SCREENING'!AD245="","",IFERROR(INDEX('SCORING MASTER'!$D$33:$D$35,MATCH('STUDENT SCREENING'!AD245,'SCORING MASTER'!$C$33:$C$35,0)),""))</f>
        <v/>
      </c>
      <c r="AF245" s="58" t="str">
        <f aca="false">IF('STUDENT SCREENING'!AE245="","",IFERROR(INDEX('SCORING MASTER'!$D$37:$D$39,MATCH('STUDENT SCREENING'!AE245,'SCORING MASTER'!$C$37:$C$39,0)),""))</f>
        <v/>
      </c>
      <c r="AG245" s="58" t="str">
        <f aca="false">IF('STUDENT SCREENING'!AF245="","",IFERROR(INDEX('SCORING MASTER'!$D$41:$D$43,MATCH('STUDENT SCREENING'!AF245,'SCORING MASTER'!$C$41:$C$43,0)),""))</f>
        <v/>
      </c>
      <c r="AH245" s="58" t="str">
        <f aca="false">IF('STUDENT SCREENING'!AG245="","",IFERROR(INDEX('SCORING MASTER'!$D$45:$D$47,MATCH('STUDENT SCREENING'!AG245,'SCORING MASTER'!$C$45:$C$47,0)),""))</f>
        <v/>
      </c>
      <c r="AI245" s="58" t="str">
        <f aca="false">IF('STUDENT SCREENING'!AH245="","",IFERROR(INDEX('SCORING MASTER'!$D$49:$D$52,MATCH('STUDENT SCREENING'!AH245,'SCORING MASTER'!$C$49:$C$52,0)),""))</f>
        <v/>
      </c>
      <c r="AJ245" s="58" t="str">
        <f aca="false">IF('STUDENT SCREENING'!AI245="","",IFERROR(INDEX('SCORING MASTER'!$D$54:$D$57,MATCH('STUDENT SCREENING'!AI245,'SCORING MASTER'!$C$54:$C$57,0)),""))</f>
        <v/>
      </c>
      <c r="AK245" s="58" t="str">
        <f aca="false">IF('STUDENT SCREENING'!AJ245="","",IFERROR(INDEX('SCORING MASTER'!$D$59:$D$60,MATCH('STUDENT SCREENING'!AJ245,'SCORING MASTER'!$C$59:$C$60,0)),""))</f>
        <v/>
      </c>
      <c r="AL245" s="58" t="str">
        <f aca="false">IF('STUDENT SCREENING'!AK245="","",IFERROR(INDEX('SCORING MASTER'!$D$62:$D$63,MATCH('STUDENT SCREENING'!AK245,'SCORING MASTER'!$C$62:$C$63,0)),""))</f>
        <v/>
      </c>
      <c r="AM245" s="58" t="str">
        <f aca="false">IF('STUDENT SCREENING'!AL245="","",IFERROR(INDEX('SCORING MASTER'!$D$65:$D$66,MATCH('STUDENT SCREENING'!AL245,'SCORING MASTER'!$C$65:$C$66,0)),""))</f>
        <v/>
      </c>
      <c r="AN245" s="58" t="str">
        <f aca="false">IF('STUDENT SCREENING'!AM245="","",IFERROR(INDEX('SCORING MASTER'!$D$68:$D$69,MATCH('STUDENT SCREENING'!AM245,'SCORING MASTER'!$C$68:$C$69,0)),""))</f>
        <v/>
      </c>
      <c r="AO245" s="58" t="str">
        <f aca="false">IF('STUDENT SCREENING'!AN245="","",IFERROR(INDEX('SCORING MASTER'!$D$71:$D$72,MATCH('STUDENT SCREENING'!AN245,'SCORING MASTER'!$C$71:$C$72,0)),""))</f>
        <v/>
      </c>
      <c r="AP245" s="58" t="str">
        <f aca="false">IF('STUDENT SCREENING'!AO245="","",IFERROR(INDEX('SCORING MASTER'!$D$74:$D$75,MATCH('STUDENT SCREENING'!AO245,'SCORING MASTER'!$C$74:$C$75,0)),""))</f>
        <v/>
      </c>
      <c r="AQ245" s="58" t="str">
        <f aca="false">IF('STUDENT SCREENING'!AP245="","",IFERROR(INDEX('SCORING MASTER'!$D$77:$D$78,MATCH('STUDENT SCREENING'!AP245,'SCORING MASTER'!$C$77:$C$78,0)),""))</f>
        <v/>
      </c>
      <c r="AR245" s="58" t="str">
        <f aca="false">IF('STUDENT SCREENING'!AQ245="","",IFERROR(INDEX('SCORING MASTER'!$D$80:$D$82,MATCH('STUDENT SCREENING'!AQ245,'SCORING MASTER'!$C$80:$C$82,0)),""))</f>
        <v/>
      </c>
      <c r="AS245" s="58" t="str">
        <f aca="false">IF('STUDENT SCREENING'!AR245="","",IFERROR(INDEX('SCORING MASTER'!$D$84:$D$86,MATCH('STUDENT SCREENING'!AR245,'SCORING MASTER'!$C$84:$C$86,0)),""))</f>
        <v/>
      </c>
      <c r="AT245" s="58" t="str">
        <f aca="false">IF('STUDENT SCREENING'!AS245="","",IFERROR(INDEX('SCORING MASTER'!$D$88:$D$90,MATCH('STUDENT SCREENING'!AS245,'SCORING MASTER'!$C$88:$C$90,0)),""))</f>
        <v/>
      </c>
      <c r="AU245" s="58" t="str">
        <f aca="false">IF('STUDENT SCREENING'!AT245="","",IFERROR(INDEX('SCORING MASTER'!$D$92:$D$93,MATCH('STUDENT SCREENING'!AT245,'SCORING MASTER'!$C$92:$C$93,0)),""))</f>
        <v/>
      </c>
      <c r="AV245" s="58" t="str">
        <f aca="false">IF('STUDENT SCREENING'!AU245="","",IFERROR(INDEX('SCORING MASTER'!$D$95:$D$96,MATCH('STUDENT SCREENING'!AU245,'SCORING MASTER'!$C$95:$C$96,0)),""))</f>
        <v/>
      </c>
      <c r="AW245" s="58" t="str">
        <f aca="false">IF('STUDENT SCREENING'!AV245="","",IFERROR(INDEX('SCORING MASTER'!$D$98:$D$99,MATCH('STUDENT SCREENING'!AV245,'SCORING MASTER'!$C$98:$C$99,0)),""))</f>
        <v/>
      </c>
      <c r="AX245" s="58" t="str">
        <f aca="false">IF('STUDENT SCREENING'!AW245="","",IFERROR(INDEX('SCORING MASTER'!$D$101:$D$102,MATCH('STUDENT SCREENING'!AW245,'SCORING MASTER'!$C$101:$C$102,0)),""))</f>
        <v/>
      </c>
      <c r="AY245" s="58" t="str">
        <f aca="false">IF('STUDENT SCREENING'!AX245="","",IFERROR(INDEX('SCORING MASTER'!$D$104:$D$105,MATCH('STUDENT SCREENING'!AX245,'SCORING MASTER'!$C$104:$C$105,0)),""))</f>
        <v/>
      </c>
      <c r="AZ245" s="58" t="str">
        <f aca="false">IF('STUDENT SCREENING'!AY245="","",IFERROR(INDEX('SCORING MASTER'!$D$107:$D$108,MATCH('STUDENT SCREENING'!AY245,'SCORING MASTER'!$C$107:$C$108,0)),""))</f>
        <v/>
      </c>
      <c r="BA245" s="58" t="str">
        <f aca="false">IF('STUDENT SCREENING'!AZ245="","",IFERROR(INDEX('SCORING MASTER'!$D$110:$D$111,MATCH('STUDENT SCREENING'!AZ245,'SCORING MASTER'!$C$110:$C$111,0)),""))</f>
        <v/>
      </c>
      <c r="BB245" s="58" t="str">
        <f aca="false">IF('STUDENT SCREENING'!BA245="","",IFERROR(INDEX('SCORING MASTER'!$D$113:$D$115,MATCH('STUDENT SCREENING'!BA245,'SCORING MASTER'!$C$113:$C$115,0)),""))</f>
        <v/>
      </c>
      <c r="BC245" s="58" t="str">
        <f aca="false">IF('STUDENT SCREENING'!BB245="","",IFERROR(INDEX('SCORING MASTER'!$D$117:$D$119,MATCH('STUDENT SCREENING'!BB245,'SCORING MASTER'!$C$117:$C$119,0)),""))</f>
        <v/>
      </c>
      <c r="BD245" s="58" t="str">
        <f aca="false">IF('STUDENT SCREENING'!BC245="","",IFERROR(INDEX('SCORING MASTER'!$D$121:$D$123,MATCH('STUDENT SCREENING'!BC245,'SCORING MASTER'!$C$121:$C$123,0)),""))</f>
        <v/>
      </c>
      <c r="BE245" s="58" t="str">
        <f aca="false">IF('STUDENT SCREENING'!BD245="","",IFERROR(INDEX('SCORING MASTER'!$D$125:$D$126,MATCH('STUDENT SCREENING'!BD245,'SCORING MASTER'!$C$125:$C$126,0)),""))</f>
        <v/>
      </c>
      <c r="BF245" s="58" t="str">
        <f aca="false">IF('STUDENT SCREENING'!BE245="","",IFERROR(INDEX('SCORING MASTER'!$D$128:$D$129,MATCH('STUDENT SCREENING'!BE245,'SCORING MASTER'!$C$128:$C$129,0)),""))</f>
        <v/>
      </c>
      <c r="BG245" s="58" t="str">
        <f aca="false">IF('STUDENT SCREENING'!BP245="","",IFERROR(MATCH('STUDENT SCREENING'!BP245,{"Red - High Risk","Orange - Moderate Risk","Yellow - Mild Risk","Light Green - Mild Watch","Green - Healthy"},0)-1,""))</f>
        <v/>
      </c>
      <c r="BH245" s="58" t="str">
        <f aca="false">IF('STUDENT SCREENING'!BQ245="","",IF('STUDENT SCREENING'!BQ245="Yes",1,0))</f>
        <v/>
      </c>
      <c r="BI245" s="58" t="str">
        <f aca="false">IF('STUDENT SCREENING'!BR245="","",IF('STUDENT SCREENING'!BR245="Yes",1,0))</f>
        <v/>
      </c>
    </row>
    <row r="246" customFormat="false" ht="15" hidden="false" customHeight="false" outlineLevel="0" collapsed="false">
      <c r="A246" s="57" t="str">
        <f aca="false">'STUDENT SCREENING'!A246</f>
        <v/>
      </c>
      <c r="B246" s="57" t="n">
        <f aca="false">'STUDENT SCREENING'!C246</f>
        <v>0</v>
      </c>
      <c r="C246" s="57" t="n">
        <f aca="false">'STUDENT SCREENING'!D246</f>
        <v>0</v>
      </c>
      <c r="D246" s="57" t="n">
        <f aca="false">'STUDENT SCREENING'!E246</f>
        <v>0</v>
      </c>
      <c r="E246" s="57" t="n">
        <f aca="false">'STUDENT SCREENING'!F246</f>
        <v>0</v>
      </c>
      <c r="F246" s="57" t="n">
        <f aca="false">'STUDENT SCREENING'!K246</f>
        <v>0</v>
      </c>
      <c r="G246" s="57" t="n">
        <f aca="false">'STUDENT SCREENING'!J246</f>
        <v>0</v>
      </c>
      <c r="H246" s="57" t="str">
        <f aca="false">IF('STUDENT SCREENING'!K246="","",IFERROR(MATCH('STUDENT SCREENING'!K246,Adm_Gender,0),""))</f>
        <v/>
      </c>
      <c r="I246" s="57" t="n">
        <f aca="false">'STUDENT SCREENING'!Q246</f>
        <v>0</v>
      </c>
      <c r="J246" s="57" t="n">
        <f aca="false">'STUDENT SCREENING'!R246</f>
        <v>0</v>
      </c>
      <c r="K246" s="57" t="str">
        <f aca="false">'STUDENT SCREENING'!S246</f>
        <v/>
      </c>
      <c r="L246" s="57" t="n">
        <f aca="false">'STUDENT SCREENING'!U246</f>
        <v>0</v>
      </c>
      <c r="M246" s="57" t="n">
        <f aca="false">'STUDENT SCREENING'!V246</f>
        <v>0</v>
      </c>
      <c r="N246" s="57" t="str">
        <f aca="false">'STUDENT SCREENING'!BF246</f>
        <v/>
      </c>
      <c r="O246" s="57" t="str">
        <f aca="false">'STUDENT SCREENING'!BG246</f>
        <v/>
      </c>
      <c r="P246" s="57" t="str">
        <f aca="false">'STUDENT SCREENING'!BH246</f>
        <v/>
      </c>
      <c r="Q246" s="57" t="str">
        <f aca="false">'STUDENT SCREENING'!BI246</f>
        <v/>
      </c>
      <c r="R246" s="57" t="str">
        <f aca="false">'STUDENT SCREENING'!BJ246</f>
        <v/>
      </c>
      <c r="S246" s="57" t="str">
        <f aca="false">'STUDENT SCREENING'!BK246</f>
        <v/>
      </c>
      <c r="T246" s="57" t="str">
        <f aca="false">'STUDENT SCREENING'!BL246</f>
        <v/>
      </c>
      <c r="U246" s="57" t="str">
        <f aca="false">'STUDENT SCREENING'!BM246</f>
        <v/>
      </c>
      <c r="V246" s="57" t="str">
        <f aca="false">'STUDENT SCREENING'!BN246</f>
        <v/>
      </c>
      <c r="W246" s="57" t="str">
        <f aca="false">'STUDENT SCREENING'!BO246</f>
        <v/>
      </c>
      <c r="X246" s="57" t="str">
        <f aca="false">IF('STUDENT SCREENING'!W246="","",IFERROR(INDEX('SCORING MASTER'!$D$5:$D$7,MATCH('STUDENT SCREENING'!W246,'SCORING MASTER'!$C$5:$C$7,0)),""))</f>
        <v/>
      </c>
      <c r="Y246" s="57" t="str">
        <f aca="false">IF('STUDENT SCREENING'!X246="","",IFERROR(INDEX('SCORING MASTER'!$D$9:$D$11,MATCH('STUDENT SCREENING'!X246,'SCORING MASTER'!$C$9:$C$11,0)),""))</f>
        <v/>
      </c>
      <c r="Z246" s="57" t="str">
        <f aca="false">IF('STUDENT SCREENING'!Y246="","",IFERROR(INDEX('SCORING MASTER'!$D$13:$D$15,MATCH('STUDENT SCREENING'!Y246,'SCORING MASTER'!$C$13:$C$15,0)),""))</f>
        <v/>
      </c>
      <c r="AA246" s="57" t="str">
        <f aca="false">IF('STUDENT SCREENING'!Z246="","",IFERROR(INDEX('SCORING MASTER'!$D$17:$D$19,MATCH('STUDENT SCREENING'!Z246,'SCORING MASTER'!$C$17:$C$19,0)),""))</f>
        <v/>
      </c>
      <c r="AB246" s="57" t="str">
        <f aca="false">IF('STUDENT SCREENING'!AA246="","",IFERROR(INDEX('SCORING MASTER'!$D$21:$D$23,MATCH('STUDENT SCREENING'!AA246,'SCORING MASTER'!$C$21:$C$23,0)),""))</f>
        <v/>
      </c>
      <c r="AC246" s="57" t="str">
        <f aca="false">IF('STUDENT SCREENING'!AB246="","",IFERROR(INDEX('SCORING MASTER'!$D$25:$D$27,MATCH('STUDENT SCREENING'!AB246,'SCORING MASTER'!$C$25:$C$27,0)),""))</f>
        <v/>
      </c>
      <c r="AD246" s="57" t="str">
        <f aca="false">IF('STUDENT SCREENING'!AC246="","",IFERROR(INDEX('SCORING MASTER'!$D$29:$D$31,MATCH('STUDENT SCREENING'!AC246,'SCORING MASTER'!$C$29:$C$31,0)),""))</f>
        <v/>
      </c>
      <c r="AE246" s="57" t="str">
        <f aca="false">IF('STUDENT SCREENING'!AD246="","",IFERROR(INDEX('SCORING MASTER'!$D$33:$D$35,MATCH('STUDENT SCREENING'!AD246,'SCORING MASTER'!$C$33:$C$35,0)),""))</f>
        <v/>
      </c>
      <c r="AF246" s="57" t="str">
        <f aca="false">IF('STUDENT SCREENING'!AE246="","",IFERROR(INDEX('SCORING MASTER'!$D$37:$D$39,MATCH('STUDENT SCREENING'!AE246,'SCORING MASTER'!$C$37:$C$39,0)),""))</f>
        <v/>
      </c>
      <c r="AG246" s="57" t="str">
        <f aca="false">IF('STUDENT SCREENING'!AF246="","",IFERROR(INDEX('SCORING MASTER'!$D$41:$D$43,MATCH('STUDENT SCREENING'!AF246,'SCORING MASTER'!$C$41:$C$43,0)),""))</f>
        <v/>
      </c>
      <c r="AH246" s="57" t="str">
        <f aca="false">IF('STUDENT SCREENING'!AG246="","",IFERROR(INDEX('SCORING MASTER'!$D$45:$D$47,MATCH('STUDENT SCREENING'!AG246,'SCORING MASTER'!$C$45:$C$47,0)),""))</f>
        <v/>
      </c>
      <c r="AI246" s="57" t="str">
        <f aca="false">IF('STUDENT SCREENING'!AH246="","",IFERROR(INDEX('SCORING MASTER'!$D$49:$D$52,MATCH('STUDENT SCREENING'!AH246,'SCORING MASTER'!$C$49:$C$52,0)),""))</f>
        <v/>
      </c>
      <c r="AJ246" s="57" t="str">
        <f aca="false">IF('STUDENT SCREENING'!AI246="","",IFERROR(INDEX('SCORING MASTER'!$D$54:$D$57,MATCH('STUDENT SCREENING'!AI246,'SCORING MASTER'!$C$54:$C$57,0)),""))</f>
        <v/>
      </c>
      <c r="AK246" s="57" t="str">
        <f aca="false">IF('STUDENT SCREENING'!AJ246="","",IFERROR(INDEX('SCORING MASTER'!$D$59:$D$60,MATCH('STUDENT SCREENING'!AJ246,'SCORING MASTER'!$C$59:$C$60,0)),""))</f>
        <v/>
      </c>
      <c r="AL246" s="57" t="str">
        <f aca="false">IF('STUDENT SCREENING'!AK246="","",IFERROR(INDEX('SCORING MASTER'!$D$62:$D$63,MATCH('STUDENT SCREENING'!AK246,'SCORING MASTER'!$C$62:$C$63,0)),""))</f>
        <v/>
      </c>
      <c r="AM246" s="57" t="str">
        <f aca="false">IF('STUDENT SCREENING'!AL246="","",IFERROR(INDEX('SCORING MASTER'!$D$65:$D$66,MATCH('STUDENT SCREENING'!AL246,'SCORING MASTER'!$C$65:$C$66,0)),""))</f>
        <v/>
      </c>
      <c r="AN246" s="57" t="str">
        <f aca="false">IF('STUDENT SCREENING'!AM246="","",IFERROR(INDEX('SCORING MASTER'!$D$68:$D$69,MATCH('STUDENT SCREENING'!AM246,'SCORING MASTER'!$C$68:$C$69,0)),""))</f>
        <v/>
      </c>
      <c r="AO246" s="57" t="str">
        <f aca="false">IF('STUDENT SCREENING'!AN246="","",IFERROR(INDEX('SCORING MASTER'!$D$71:$D$72,MATCH('STUDENT SCREENING'!AN246,'SCORING MASTER'!$C$71:$C$72,0)),""))</f>
        <v/>
      </c>
      <c r="AP246" s="57" t="str">
        <f aca="false">IF('STUDENT SCREENING'!AO246="","",IFERROR(INDEX('SCORING MASTER'!$D$74:$D$75,MATCH('STUDENT SCREENING'!AO246,'SCORING MASTER'!$C$74:$C$75,0)),""))</f>
        <v/>
      </c>
      <c r="AQ246" s="57" t="str">
        <f aca="false">IF('STUDENT SCREENING'!AP246="","",IFERROR(INDEX('SCORING MASTER'!$D$77:$D$78,MATCH('STUDENT SCREENING'!AP246,'SCORING MASTER'!$C$77:$C$78,0)),""))</f>
        <v/>
      </c>
      <c r="AR246" s="57" t="str">
        <f aca="false">IF('STUDENT SCREENING'!AQ246="","",IFERROR(INDEX('SCORING MASTER'!$D$80:$D$82,MATCH('STUDENT SCREENING'!AQ246,'SCORING MASTER'!$C$80:$C$82,0)),""))</f>
        <v/>
      </c>
      <c r="AS246" s="57" t="str">
        <f aca="false">IF('STUDENT SCREENING'!AR246="","",IFERROR(INDEX('SCORING MASTER'!$D$84:$D$86,MATCH('STUDENT SCREENING'!AR246,'SCORING MASTER'!$C$84:$C$86,0)),""))</f>
        <v/>
      </c>
      <c r="AT246" s="57" t="str">
        <f aca="false">IF('STUDENT SCREENING'!AS246="","",IFERROR(INDEX('SCORING MASTER'!$D$88:$D$90,MATCH('STUDENT SCREENING'!AS246,'SCORING MASTER'!$C$88:$C$90,0)),""))</f>
        <v/>
      </c>
      <c r="AU246" s="57" t="str">
        <f aca="false">IF('STUDENT SCREENING'!AT246="","",IFERROR(INDEX('SCORING MASTER'!$D$92:$D$93,MATCH('STUDENT SCREENING'!AT246,'SCORING MASTER'!$C$92:$C$93,0)),""))</f>
        <v/>
      </c>
      <c r="AV246" s="57" t="str">
        <f aca="false">IF('STUDENT SCREENING'!AU246="","",IFERROR(INDEX('SCORING MASTER'!$D$95:$D$96,MATCH('STUDENT SCREENING'!AU246,'SCORING MASTER'!$C$95:$C$96,0)),""))</f>
        <v/>
      </c>
      <c r="AW246" s="57" t="str">
        <f aca="false">IF('STUDENT SCREENING'!AV246="","",IFERROR(INDEX('SCORING MASTER'!$D$98:$D$99,MATCH('STUDENT SCREENING'!AV246,'SCORING MASTER'!$C$98:$C$99,0)),""))</f>
        <v/>
      </c>
      <c r="AX246" s="57" t="str">
        <f aca="false">IF('STUDENT SCREENING'!AW246="","",IFERROR(INDEX('SCORING MASTER'!$D$101:$D$102,MATCH('STUDENT SCREENING'!AW246,'SCORING MASTER'!$C$101:$C$102,0)),""))</f>
        <v/>
      </c>
      <c r="AY246" s="57" t="str">
        <f aca="false">IF('STUDENT SCREENING'!AX246="","",IFERROR(INDEX('SCORING MASTER'!$D$104:$D$105,MATCH('STUDENT SCREENING'!AX246,'SCORING MASTER'!$C$104:$C$105,0)),""))</f>
        <v/>
      </c>
      <c r="AZ246" s="57" t="str">
        <f aca="false">IF('STUDENT SCREENING'!AY246="","",IFERROR(INDEX('SCORING MASTER'!$D$107:$D$108,MATCH('STUDENT SCREENING'!AY246,'SCORING MASTER'!$C$107:$C$108,0)),""))</f>
        <v/>
      </c>
      <c r="BA246" s="57" t="str">
        <f aca="false">IF('STUDENT SCREENING'!AZ246="","",IFERROR(INDEX('SCORING MASTER'!$D$110:$D$111,MATCH('STUDENT SCREENING'!AZ246,'SCORING MASTER'!$C$110:$C$111,0)),""))</f>
        <v/>
      </c>
      <c r="BB246" s="57" t="str">
        <f aca="false">IF('STUDENT SCREENING'!BA246="","",IFERROR(INDEX('SCORING MASTER'!$D$113:$D$115,MATCH('STUDENT SCREENING'!BA246,'SCORING MASTER'!$C$113:$C$115,0)),""))</f>
        <v/>
      </c>
      <c r="BC246" s="57" t="str">
        <f aca="false">IF('STUDENT SCREENING'!BB246="","",IFERROR(INDEX('SCORING MASTER'!$D$117:$D$119,MATCH('STUDENT SCREENING'!BB246,'SCORING MASTER'!$C$117:$C$119,0)),""))</f>
        <v/>
      </c>
      <c r="BD246" s="57" t="str">
        <f aca="false">IF('STUDENT SCREENING'!BC246="","",IFERROR(INDEX('SCORING MASTER'!$D$121:$D$123,MATCH('STUDENT SCREENING'!BC246,'SCORING MASTER'!$C$121:$C$123,0)),""))</f>
        <v/>
      </c>
      <c r="BE246" s="57" t="str">
        <f aca="false">IF('STUDENT SCREENING'!BD246="","",IFERROR(INDEX('SCORING MASTER'!$D$125:$D$126,MATCH('STUDENT SCREENING'!BD246,'SCORING MASTER'!$C$125:$C$126,0)),""))</f>
        <v/>
      </c>
      <c r="BF246" s="57" t="str">
        <f aca="false">IF('STUDENT SCREENING'!BE246="","",IFERROR(INDEX('SCORING MASTER'!$D$128:$D$129,MATCH('STUDENT SCREENING'!BE246,'SCORING MASTER'!$C$128:$C$129,0)),""))</f>
        <v/>
      </c>
      <c r="BG246" s="57" t="str">
        <f aca="false">IF('STUDENT SCREENING'!BP246="","",IFERROR(MATCH('STUDENT SCREENING'!BP246,{"Red - High Risk","Orange - Moderate Risk","Yellow - Mild Risk","Light Green - Mild Watch","Green - Healthy"},0)-1,""))</f>
        <v/>
      </c>
      <c r="BH246" s="57" t="str">
        <f aca="false">IF('STUDENT SCREENING'!BQ246="","",IF('STUDENT SCREENING'!BQ246="Yes",1,0))</f>
        <v/>
      </c>
      <c r="BI246" s="57" t="str">
        <f aca="false">IF('STUDENT SCREENING'!BR246="","",IF('STUDENT SCREENING'!BR246="Yes",1,0))</f>
        <v/>
      </c>
    </row>
    <row r="247" customFormat="false" ht="15" hidden="false" customHeight="false" outlineLevel="0" collapsed="false">
      <c r="A247" s="58" t="str">
        <f aca="false">'STUDENT SCREENING'!A247</f>
        <v/>
      </c>
      <c r="B247" s="58" t="n">
        <f aca="false">'STUDENT SCREENING'!C247</f>
        <v>0</v>
      </c>
      <c r="C247" s="58" t="n">
        <f aca="false">'STUDENT SCREENING'!D247</f>
        <v>0</v>
      </c>
      <c r="D247" s="58" t="n">
        <f aca="false">'STUDENT SCREENING'!E247</f>
        <v>0</v>
      </c>
      <c r="E247" s="58" t="n">
        <f aca="false">'STUDENT SCREENING'!F247</f>
        <v>0</v>
      </c>
      <c r="F247" s="58" t="n">
        <f aca="false">'STUDENT SCREENING'!K247</f>
        <v>0</v>
      </c>
      <c r="G247" s="58" t="n">
        <f aca="false">'STUDENT SCREENING'!J247</f>
        <v>0</v>
      </c>
      <c r="H247" s="58" t="str">
        <f aca="false">IF('STUDENT SCREENING'!K247="","",IFERROR(MATCH('STUDENT SCREENING'!K247,Adm_Gender,0),""))</f>
        <v/>
      </c>
      <c r="I247" s="58" t="n">
        <f aca="false">'STUDENT SCREENING'!Q247</f>
        <v>0</v>
      </c>
      <c r="J247" s="58" t="n">
        <f aca="false">'STUDENT SCREENING'!R247</f>
        <v>0</v>
      </c>
      <c r="K247" s="58" t="str">
        <f aca="false">'STUDENT SCREENING'!S247</f>
        <v/>
      </c>
      <c r="L247" s="58" t="n">
        <f aca="false">'STUDENT SCREENING'!U247</f>
        <v>0</v>
      </c>
      <c r="M247" s="58" t="n">
        <f aca="false">'STUDENT SCREENING'!V247</f>
        <v>0</v>
      </c>
      <c r="N247" s="58" t="str">
        <f aca="false">'STUDENT SCREENING'!BF247</f>
        <v/>
      </c>
      <c r="O247" s="58" t="str">
        <f aca="false">'STUDENT SCREENING'!BG247</f>
        <v/>
      </c>
      <c r="P247" s="58" t="str">
        <f aca="false">'STUDENT SCREENING'!BH247</f>
        <v/>
      </c>
      <c r="Q247" s="58" t="str">
        <f aca="false">'STUDENT SCREENING'!BI247</f>
        <v/>
      </c>
      <c r="R247" s="58" t="str">
        <f aca="false">'STUDENT SCREENING'!BJ247</f>
        <v/>
      </c>
      <c r="S247" s="58" t="str">
        <f aca="false">'STUDENT SCREENING'!BK247</f>
        <v/>
      </c>
      <c r="T247" s="58" t="str">
        <f aca="false">'STUDENT SCREENING'!BL247</f>
        <v/>
      </c>
      <c r="U247" s="58" t="str">
        <f aca="false">'STUDENT SCREENING'!BM247</f>
        <v/>
      </c>
      <c r="V247" s="58" t="str">
        <f aca="false">'STUDENT SCREENING'!BN247</f>
        <v/>
      </c>
      <c r="W247" s="58" t="str">
        <f aca="false">'STUDENT SCREENING'!BO247</f>
        <v/>
      </c>
      <c r="X247" s="58" t="str">
        <f aca="false">IF('STUDENT SCREENING'!W247="","",IFERROR(INDEX('SCORING MASTER'!$D$5:$D$7,MATCH('STUDENT SCREENING'!W247,'SCORING MASTER'!$C$5:$C$7,0)),""))</f>
        <v/>
      </c>
      <c r="Y247" s="58" t="str">
        <f aca="false">IF('STUDENT SCREENING'!X247="","",IFERROR(INDEX('SCORING MASTER'!$D$9:$D$11,MATCH('STUDENT SCREENING'!X247,'SCORING MASTER'!$C$9:$C$11,0)),""))</f>
        <v/>
      </c>
      <c r="Z247" s="58" t="str">
        <f aca="false">IF('STUDENT SCREENING'!Y247="","",IFERROR(INDEX('SCORING MASTER'!$D$13:$D$15,MATCH('STUDENT SCREENING'!Y247,'SCORING MASTER'!$C$13:$C$15,0)),""))</f>
        <v/>
      </c>
      <c r="AA247" s="58" t="str">
        <f aca="false">IF('STUDENT SCREENING'!Z247="","",IFERROR(INDEX('SCORING MASTER'!$D$17:$D$19,MATCH('STUDENT SCREENING'!Z247,'SCORING MASTER'!$C$17:$C$19,0)),""))</f>
        <v/>
      </c>
      <c r="AB247" s="58" t="str">
        <f aca="false">IF('STUDENT SCREENING'!AA247="","",IFERROR(INDEX('SCORING MASTER'!$D$21:$D$23,MATCH('STUDENT SCREENING'!AA247,'SCORING MASTER'!$C$21:$C$23,0)),""))</f>
        <v/>
      </c>
      <c r="AC247" s="58" t="str">
        <f aca="false">IF('STUDENT SCREENING'!AB247="","",IFERROR(INDEX('SCORING MASTER'!$D$25:$D$27,MATCH('STUDENT SCREENING'!AB247,'SCORING MASTER'!$C$25:$C$27,0)),""))</f>
        <v/>
      </c>
      <c r="AD247" s="58" t="str">
        <f aca="false">IF('STUDENT SCREENING'!AC247="","",IFERROR(INDEX('SCORING MASTER'!$D$29:$D$31,MATCH('STUDENT SCREENING'!AC247,'SCORING MASTER'!$C$29:$C$31,0)),""))</f>
        <v/>
      </c>
      <c r="AE247" s="58" t="str">
        <f aca="false">IF('STUDENT SCREENING'!AD247="","",IFERROR(INDEX('SCORING MASTER'!$D$33:$D$35,MATCH('STUDENT SCREENING'!AD247,'SCORING MASTER'!$C$33:$C$35,0)),""))</f>
        <v/>
      </c>
      <c r="AF247" s="58" t="str">
        <f aca="false">IF('STUDENT SCREENING'!AE247="","",IFERROR(INDEX('SCORING MASTER'!$D$37:$D$39,MATCH('STUDENT SCREENING'!AE247,'SCORING MASTER'!$C$37:$C$39,0)),""))</f>
        <v/>
      </c>
      <c r="AG247" s="58" t="str">
        <f aca="false">IF('STUDENT SCREENING'!AF247="","",IFERROR(INDEX('SCORING MASTER'!$D$41:$D$43,MATCH('STUDENT SCREENING'!AF247,'SCORING MASTER'!$C$41:$C$43,0)),""))</f>
        <v/>
      </c>
      <c r="AH247" s="58" t="str">
        <f aca="false">IF('STUDENT SCREENING'!AG247="","",IFERROR(INDEX('SCORING MASTER'!$D$45:$D$47,MATCH('STUDENT SCREENING'!AG247,'SCORING MASTER'!$C$45:$C$47,0)),""))</f>
        <v/>
      </c>
      <c r="AI247" s="58" t="str">
        <f aca="false">IF('STUDENT SCREENING'!AH247="","",IFERROR(INDEX('SCORING MASTER'!$D$49:$D$52,MATCH('STUDENT SCREENING'!AH247,'SCORING MASTER'!$C$49:$C$52,0)),""))</f>
        <v/>
      </c>
      <c r="AJ247" s="58" t="str">
        <f aca="false">IF('STUDENT SCREENING'!AI247="","",IFERROR(INDEX('SCORING MASTER'!$D$54:$D$57,MATCH('STUDENT SCREENING'!AI247,'SCORING MASTER'!$C$54:$C$57,0)),""))</f>
        <v/>
      </c>
      <c r="AK247" s="58" t="str">
        <f aca="false">IF('STUDENT SCREENING'!AJ247="","",IFERROR(INDEX('SCORING MASTER'!$D$59:$D$60,MATCH('STUDENT SCREENING'!AJ247,'SCORING MASTER'!$C$59:$C$60,0)),""))</f>
        <v/>
      </c>
      <c r="AL247" s="58" t="str">
        <f aca="false">IF('STUDENT SCREENING'!AK247="","",IFERROR(INDEX('SCORING MASTER'!$D$62:$D$63,MATCH('STUDENT SCREENING'!AK247,'SCORING MASTER'!$C$62:$C$63,0)),""))</f>
        <v/>
      </c>
      <c r="AM247" s="58" t="str">
        <f aca="false">IF('STUDENT SCREENING'!AL247="","",IFERROR(INDEX('SCORING MASTER'!$D$65:$D$66,MATCH('STUDENT SCREENING'!AL247,'SCORING MASTER'!$C$65:$C$66,0)),""))</f>
        <v/>
      </c>
      <c r="AN247" s="58" t="str">
        <f aca="false">IF('STUDENT SCREENING'!AM247="","",IFERROR(INDEX('SCORING MASTER'!$D$68:$D$69,MATCH('STUDENT SCREENING'!AM247,'SCORING MASTER'!$C$68:$C$69,0)),""))</f>
        <v/>
      </c>
      <c r="AO247" s="58" t="str">
        <f aca="false">IF('STUDENT SCREENING'!AN247="","",IFERROR(INDEX('SCORING MASTER'!$D$71:$D$72,MATCH('STUDENT SCREENING'!AN247,'SCORING MASTER'!$C$71:$C$72,0)),""))</f>
        <v/>
      </c>
      <c r="AP247" s="58" t="str">
        <f aca="false">IF('STUDENT SCREENING'!AO247="","",IFERROR(INDEX('SCORING MASTER'!$D$74:$D$75,MATCH('STUDENT SCREENING'!AO247,'SCORING MASTER'!$C$74:$C$75,0)),""))</f>
        <v/>
      </c>
      <c r="AQ247" s="58" t="str">
        <f aca="false">IF('STUDENT SCREENING'!AP247="","",IFERROR(INDEX('SCORING MASTER'!$D$77:$D$78,MATCH('STUDENT SCREENING'!AP247,'SCORING MASTER'!$C$77:$C$78,0)),""))</f>
        <v/>
      </c>
      <c r="AR247" s="58" t="str">
        <f aca="false">IF('STUDENT SCREENING'!AQ247="","",IFERROR(INDEX('SCORING MASTER'!$D$80:$D$82,MATCH('STUDENT SCREENING'!AQ247,'SCORING MASTER'!$C$80:$C$82,0)),""))</f>
        <v/>
      </c>
      <c r="AS247" s="58" t="str">
        <f aca="false">IF('STUDENT SCREENING'!AR247="","",IFERROR(INDEX('SCORING MASTER'!$D$84:$D$86,MATCH('STUDENT SCREENING'!AR247,'SCORING MASTER'!$C$84:$C$86,0)),""))</f>
        <v/>
      </c>
      <c r="AT247" s="58" t="str">
        <f aca="false">IF('STUDENT SCREENING'!AS247="","",IFERROR(INDEX('SCORING MASTER'!$D$88:$D$90,MATCH('STUDENT SCREENING'!AS247,'SCORING MASTER'!$C$88:$C$90,0)),""))</f>
        <v/>
      </c>
      <c r="AU247" s="58" t="str">
        <f aca="false">IF('STUDENT SCREENING'!AT247="","",IFERROR(INDEX('SCORING MASTER'!$D$92:$D$93,MATCH('STUDENT SCREENING'!AT247,'SCORING MASTER'!$C$92:$C$93,0)),""))</f>
        <v/>
      </c>
      <c r="AV247" s="58" t="str">
        <f aca="false">IF('STUDENT SCREENING'!AU247="","",IFERROR(INDEX('SCORING MASTER'!$D$95:$D$96,MATCH('STUDENT SCREENING'!AU247,'SCORING MASTER'!$C$95:$C$96,0)),""))</f>
        <v/>
      </c>
      <c r="AW247" s="58" t="str">
        <f aca="false">IF('STUDENT SCREENING'!AV247="","",IFERROR(INDEX('SCORING MASTER'!$D$98:$D$99,MATCH('STUDENT SCREENING'!AV247,'SCORING MASTER'!$C$98:$C$99,0)),""))</f>
        <v/>
      </c>
      <c r="AX247" s="58" t="str">
        <f aca="false">IF('STUDENT SCREENING'!AW247="","",IFERROR(INDEX('SCORING MASTER'!$D$101:$D$102,MATCH('STUDENT SCREENING'!AW247,'SCORING MASTER'!$C$101:$C$102,0)),""))</f>
        <v/>
      </c>
      <c r="AY247" s="58" t="str">
        <f aca="false">IF('STUDENT SCREENING'!AX247="","",IFERROR(INDEX('SCORING MASTER'!$D$104:$D$105,MATCH('STUDENT SCREENING'!AX247,'SCORING MASTER'!$C$104:$C$105,0)),""))</f>
        <v/>
      </c>
      <c r="AZ247" s="58" t="str">
        <f aca="false">IF('STUDENT SCREENING'!AY247="","",IFERROR(INDEX('SCORING MASTER'!$D$107:$D$108,MATCH('STUDENT SCREENING'!AY247,'SCORING MASTER'!$C$107:$C$108,0)),""))</f>
        <v/>
      </c>
      <c r="BA247" s="58" t="str">
        <f aca="false">IF('STUDENT SCREENING'!AZ247="","",IFERROR(INDEX('SCORING MASTER'!$D$110:$D$111,MATCH('STUDENT SCREENING'!AZ247,'SCORING MASTER'!$C$110:$C$111,0)),""))</f>
        <v/>
      </c>
      <c r="BB247" s="58" t="str">
        <f aca="false">IF('STUDENT SCREENING'!BA247="","",IFERROR(INDEX('SCORING MASTER'!$D$113:$D$115,MATCH('STUDENT SCREENING'!BA247,'SCORING MASTER'!$C$113:$C$115,0)),""))</f>
        <v/>
      </c>
      <c r="BC247" s="58" t="str">
        <f aca="false">IF('STUDENT SCREENING'!BB247="","",IFERROR(INDEX('SCORING MASTER'!$D$117:$D$119,MATCH('STUDENT SCREENING'!BB247,'SCORING MASTER'!$C$117:$C$119,0)),""))</f>
        <v/>
      </c>
      <c r="BD247" s="58" t="str">
        <f aca="false">IF('STUDENT SCREENING'!BC247="","",IFERROR(INDEX('SCORING MASTER'!$D$121:$D$123,MATCH('STUDENT SCREENING'!BC247,'SCORING MASTER'!$C$121:$C$123,0)),""))</f>
        <v/>
      </c>
      <c r="BE247" s="58" t="str">
        <f aca="false">IF('STUDENT SCREENING'!BD247="","",IFERROR(INDEX('SCORING MASTER'!$D$125:$D$126,MATCH('STUDENT SCREENING'!BD247,'SCORING MASTER'!$C$125:$C$126,0)),""))</f>
        <v/>
      </c>
      <c r="BF247" s="58" t="str">
        <f aca="false">IF('STUDENT SCREENING'!BE247="","",IFERROR(INDEX('SCORING MASTER'!$D$128:$D$129,MATCH('STUDENT SCREENING'!BE247,'SCORING MASTER'!$C$128:$C$129,0)),""))</f>
        <v/>
      </c>
      <c r="BG247" s="58" t="str">
        <f aca="false">IF('STUDENT SCREENING'!BP247="","",IFERROR(MATCH('STUDENT SCREENING'!BP247,{"Red - High Risk","Orange - Moderate Risk","Yellow - Mild Risk","Light Green - Mild Watch","Green - Healthy"},0)-1,""))</f>
        <v/>
      </c>
      <c r="BH247" s="58" t="str">
        <f aca="false">IF('STUDENT SCREENING'!BQ247="","",IF('STUDENT SCREENING'!BQ247="Yes",1,0))</f>
        <v/>
      </c>
      <c r="BI247" s="58" t="str">
        <f aca="false">IF('STUDENT SCREENING'!BR247="","",IF('STUDENT SCREENING'!BR247="Yes",1,0))</f>
        <v/>
      </c>
    </row>
    <row r="248" customFormat="false" ht="15" hidden="false" customHeight="false" outlineLevel="0" collapsed="false">
      <c r="A248" s="57" t="str">
        <f aca="false">'STUDENT SCREENING'!A248</f>
        <v/>
      </c>
      <c r="B248" s="57" t="n">
        <f aca="false">'STUDENT SCREENING'!C248</f>
        <v>0</v>
      </c>
      <c r="C248" s="57" t="n">
        <f aca="false">'STUDENT SCREENING'!D248</f>
        <v>0</v>
      </c>
      <c r="D248" s="57" t="n">
        <f aca="false">'STUDENT SCREENING'!E248</f>
        <v>0</v>
      </c>
      <c r="E248" s="57" t="n">
        <f aca="false">'STUDENT SCREENING'!F248</f>
        <v>0</v>
      </c>
      <c r="F248" s="57" t="n">
        <f aca="false">'STUDENT SCREENING'!K248</f>
        <v>0</v>
      </c>
      <c r="G248" s="57" t="n">
        <f aca="false">'STUDENT SCREENING'!J248</f>
        <v>0</v>
      </c>
      <c r="H248" s="57" t="str">
        <f aca="false">IF('STUDENT SCREENING'!K248="","",IFERROR(MATCH('STUDENT SCREENING'!K248,Adm_Gender,0),""))</f>
        <v/>
      </c>
      <c r="I248" s="57" t="n">
        <f aca="false">'STUDENT SCREENING'!Q248</f>
        <v>0</v>
      </c>
      <c r="J248" s="57" t="n">
        <f aca="false">'STUDENT SCREENING'!R248</f>
        <v>0</v>
      </c>
      <c r="K248" s="57" t="str">
        <f aca="false">'STUDENT SCREENING'!S248</f>
        <v/>
      </c>
      <c r="L248" s="57" t="n">
        <f aca="false">'STUDENT SCREENING'!U248</f>
        <v>0</v>
      </c>
      <c r="M248" s="57" t="n">
        <f aca="false">'STUDENT SCREENING'!V248</f>
        <v>0</v>
      </c>
      <c r="N248" s="57" t="str">
        <f aca="false">'STUDENT SCREENING'!BF248</f>
        <v/>
      </c>
      <c r="O248" s="57" t="str">
        <f aca="false">'STUDENT SCREENING'!BG248</f>
        <v/>
      </c>
      <c r="P248" s="57" t="str">
        <f aca="false">'STUDENT SCREENING'!BH248</f>
        <v/>
      </c>
      <c r="Q248" s="57" t="str">
        <f aca="false">'STUDENT SCREENING'!BI248</f>
        <v/>
      </c>
      <c r="R248" s="57" t="str">
        <f aca="false">'STUDENT SCREENING'!BJ248</f>
        <v/>
      </c>
      <c r="S248" s="57" t="str">
        <f aca="false">'STUDENT SCREENING'!BK248</f>
        <v/>
      </c>
      <c r="T248" s="57" t="str">
        <f aca="false">'STUDENT SCREENING'!BL248</f>
        <v/>
      </c>
      <c r="U248" s="57" t="str">
        <f aca="false">'STUDENT SCREENING'!BM248</f>
        <v/>
      </c>
      <c r="V248" s="57" t="str">
        <f aca="false">'STUDENT SCREENING'!BN248</f>
        <v/>
      </c>
      <c r="W248" s="57" t="str">
        <f aca="false">'STUDENT SCREENING'!BO248</f>
        <v/>
      </c>
      <c r="X248" s="57" t="str">
        <f aca="false">IF('STUDENT SCREENING'!W248="","",IFERROR(INDEX('SCORING MASTER'!$D$5:$D$7,MATCH('STUDENT SCREENING'!W248,'SCORING MASTER'!$C$5:$C$7,0)),""))</f>
        <v/>
      </c>
      <c r="Y248" s="57" t="str">
        <f aca="false">IF('STUDENT SCREENING'!X248="","",IFERROR(INDEX('SCORING MASTER'!$D$9:$D$11,MATCH('STUDENT SCREENING'!X248,'SCORING MASTER'!$C$9:$C$11,0)),""))</f>
        <v/>
      </c>
      <c r="Z248" s="57" t="str">
        <f aca="false">IF('STUDENT SCREENING'!Y248="","",IFERROR(INDEX('SCORING MASTER'!$D$13:$D$15,MATCH('STUDENT SCREENING'!Y248,'SCORING MASTER'!$C$13:$C$15,0)),""))</f>
        <v/>
      </c>
      <c r="AA248" s="57" t="str">
        <f aca="false">IF('STUDENT SCREENING'!Z248="","",IFERROR(INDEX('SCORING MASTER'!$D$17:$D$19,MATCH('STUDENT SCREENING'!Z248,'SCORING MASTER'!$C$17:$C$19,0)),""))</f>
        <v/>
      </c>
      <c r="AB248" s="57" t="str">
        <f aca="false">IF('STUDENT SCREENING'!AA248="","",IFERROR(INDEX('SCORING MASTER'!$D$21:$D$23,MATCH('STUDENT SCREENING'!AA248,'SCORING MASTER'!$C$21:$C$23,0)),""))</f>
        <v/>
      </c>
      <c r="AC248" s="57" t="str">
        <f aca="false">IF('STUDENT SCREENING'!AB248="","",IFERROR(INDEX('SCORING MASTER'!$D$25:$D$27,MATCH('STUDENT SCREENING'!AB248,'SCORING MASTER'!$C$25:$C$27,0)),""))</f>
        <v/>
      </c>
      <c r="AD248" s="57" t="str">
        <f aca="false">IF('STUDENT SCREENING'!AC248="","",IFERROR(INDEX('SCORING MASTER'!$D$29:$D$31,MATCH('STUDENT SCREENING'!AC248,'SCORING MASTER'!$C$29:$C$31,0)),""))</f>
        <v/>
      </c>
      <c r="AE248" s="57" t="str">
        <f aca="false">IF('STUDENT SCREENING'!AD248="","",IFERROR(INDEX('SCORING MASTER'!$D$33:$D$35,MATCH('STUDENT SCREENING'!AD248,'SCORING MASTER'!$C$33:$C$35,0)),""))</f>
        <v/>
      </c>
      <c r="AF248" s="57" t="str">
        <f aca="false">IF('STUDENT SCREENING'!AE248="","",IFERROR(INDEX('SCORING MASTER'!$D$37:$D$39,MATCH('STUDENT SCREENING'!AE248,'SCORING MASTER'!$C$37:$C$39,0)),""))</f>
        <v/>
      </c>
      <c r="AG248" s="57" t="str">
        <f aca="false">IF('STUDENT SCREENING'!AF248="","",IFERROR(INDEX('SCORING MASTER'!$D$41:$D$43,MATCH('STUDENT SCREENING'!AF248,'SCORING MASTER'!$C$41:$C$43,0)),""))</f>
        <v/>
      </c>
      <c r="AH248" s="57" t="str">
        <f aca="false">IF('STUDENT SCREENING'!AG248="","",IFERROR(INDEX('SCORING MASTER'!$D$45:$D$47,MATCH('STUDENT SCREENING'!AG248,'SCORING MASTER'!$C$45:$C$47,0)),""))</f>
        <v/>
      </c>
      <c r="AI248" s="57" t="str">
        <f aca="false">IF('STUDENT SCREENING'!AH248="","",IFERROR(INDEX('SCORING MASTER'!$D$49:$D$52,MATCH('STUDENT SCREENING'!AH248,'SCORING MASTER'!$C$49:$C$52,0)),""))</f>
        <v/>
      </c>
      <c r="AJ248" s="57" t="str">
        <f aca="false">IF('STUDENT SCREENING'!AI248="","",IFERROR(INDEX('SCORING MASTER'!$D$54:$D$57,MATCH('STUDENT SCREENING'!AI248,'SCORING MASTER'!$C$54:$C$57,0)),""))</f>
        <v/>
      </c>
      <c r="AK248" s="57" t="str">
        <f aca="false">IF('STUDENT SCREENING'!AJ248="","",IFERROR(INDEX('SCORING MASTER'!$D$59:$D$60,MATCH('STUDENT SCREENING'!AJ248,'SCORING MASTER'!$C$59:$C$60,0)),""))</f>
        <v/>
      </c>
      <c r="AL248" s="57" t="str">
        <f aca="false">IF('STUDENT SCREENING'!AK248="","",IFERROR(INDEX('SCORING MASTER'!$D$62:$D$63,MATCH('STUDENT SCREENING'!AK248,'SCORING MASTER'!$C$62:$C$63,0)),""))</f>
        <v/>
      </c>
      <c r="AM248" s="57" t="str">
        <f aca="false">IF('STUDENT SCREENING'!AL248="","",IFERROR(INDEX('SCORING MASTER'!$D$65:$D$66,MATCH('STUDENT SCREENING'!AL248,'SCORING MASTER'!$C$65:$C$66,0)),""))</f>
        <v/>
      </c>
      <c r="AN248" s="57" t="str">
        <f aca="false">IF('STUDENT SCREENING'!AM248="","",IFERROR(INDEX('SCORING MASTER'!$D$68:$D$69,MATCH('STUDENT SCREENING'!AM248,'SCORING MASTER'!$C$68:$C$69,0)),""))</f>
        <v/>
      </c>
      <c r="AO248" s="57" t="str">
        <f aca="false">IF('STUDENT SCREENING'!AN248="","",IFERROR(INDEX('SCORING MASTER'!$D$71:$D$72,MATCH('STUDENT SCREENING'!AN248,'SCORING MASTER'!$C$71:$C$72,0)),""))</f>
        <v/>
      </c>
      <c r="AP248" s="57" t="str">
        <f aca="false">IF('STUDENT SCREENING'!AO248="","",IFERROR(INDEX('SCORING MASTER'!$D$74:$D$75,MATCH('STUDENT SCREENING'!AO248,'SCORING MASTER'!$C$74:$C$75,0)),""))</f>
        <v/>
      </c>
      <c r="AQ248" s="57" t="str">
        <f aca="false">IF('STUDENT SCREENING'!AP248="","",IFERROR(INDEX('SCORING MASTER'!$D$77:$D$78,MATCH('STUDENT SCREENING'!AP248,'SCORING MASTER'!$C$77:$C$78,0)),""))</f>
        <v/>
      </c>
      <c r="AR248" s="57" t="str">
        <f aca="false">IF('STUDENT SCREENING'!AQ248="","",IFERROR(INDEX('SCORING MASTER'!$D$80:$D$82,MATCH('STUDENT SCREENING'!AQ248,'SCORING MASTER'!$C$80:$C$82,0)),""))</f>
        <v/>
      </c>
      <c r="AS248" s="57" t="str">
        <f aca="false">IF('STUDENT SCREENING'!AR248="","",IFERROR(INDEX('SCORING MASTER'!$D$84:$D$86,MATCH('STUDENT SCREENING'!AR248,'SCORING MASTER'!$C$84:$C$86,0)),""))</f>
        <v/>
      </c>
      <c r="AT248" s="57" t="str">
        <f aca="false">IF('STUDENT SCREENING'!AS248="","",IFERROR(INDEX('SCORING MASTER'!$D$88:$D$90,MATCH('STUDENT SCREENING'!AS248,'SCORING MASTER'!$C$88:$C$90,0)),""))</f>
        <v/>
      </c>
      <c r="AU248" s="57" t="str">
        <f aca="false">IF('STUDENT SCREENING'!AT248="","",IFERROR(INDEX('SCORING MASTER'!$D$92:$D$93,MATCH('STUDENT SCREENING'!AT248,'SCORING MASTER'!$C$92:$C$93,0)),""))</f>
        <v/>
      </c>
      <c r="AV248" s="57" t="str">
        <f aca="false">IF('STUDENT SCREENING'!AU248="","",IFERROR(INDEX('SCORING MASTER'!$D$95:$D$96,MATCH('STUDENT SCREENING'!AU248,'SCORING MASTER'!$C$95:$C$96,0)),""))</f>
        <v/>
      </c>
      <c r="AW248" s="57" t="str">
        <f aca="false">IF('STUDENT SCREENING'!AV248="","",IFERROR(INDEX('SCORING MASTER'!$D$98:$D$99,MATCH('STUDENT SCREENING'!AV248,'SCORING MASTER'!$C$98:$C$99,0)),""))</f>
        <v/>
      </c>
      <c r="AX248" s="57" t="str">
        <f aca="false">IF('STUDENT SCREENING'!AW248="","",IFERROR(INDEX('SCORING MASTER'!$D$101:$D$102,MATCH('STUDENT SCREENING'!AW248,'SCORING MASTER'!$C$101:$C$102,0)),""))</f>
        <v/>
      </c>
      <c r="AY248" s="57" t="str">
        <f aca="false">IF('STUDENT SCREENING'!AX248="","",IFERROR(INDEX('SCORING MASTER'!$D$104:$D$105,MATCH('STUDENT SCREENING'!AX248,'SCORING MASTER'!$C$104:$C$105,0)),""))</f>
        <v/>
      </c>
      <c r="AZ248" s="57" t="str">
        <f aca="false">IF('STUDENT SCREENING'!AY248="","",IFERROR(INDEX('SCORING MASTER'!$D$107:$D$108,MATCH('STUDENT SCREENING'!AY248,'SCORING MASTER'!$C$107:$C$108,0)),""))</f>
        <v/>
      </c>
      <c r="BA248" s="57" t="str">
        <f aca="false">IF('STUDENT SCREENING'!AZ248="","",IFERROR(INDEX('SCORING MASTER'!$D$110:$D$111,MATCH('STUDENT SCREENING'!AZ248,'SCORING MASTER'!$C$110:$C$111,0)),""))</f>
        <v/>
      </c>
      <c r="BB248" s="57" t="str">
        <f aca="false">IF('STUDENT SCREENING'!BA248="","",IFERROR(INDEX('SCORING MASTER'!$D$113:$D$115,MATCH('STUDENT SCREENING'!BA248,'SCORING MASTER'!$C$113:$C$115,0)),""))</f>
        <v/>
      </c>
      <c r="BC248" s="57" t="str">
        <f aca="false">IF('STUDENT SCREENING'!BB248="","",IFERROR(INDEX('SCORING MASTER'!$D$117:$D$119,MATCH('STUDENT SCREENING'!BB248,'SCORING MASTER'!$C$117:$C$119,0)),""))</f>
        <v/>
      </c>
      <c r="BD248" s="57" t="str">
        <f aca="false">IF('STUDENT SCREENING'!BC248="","",IFERROR(INDEX('SCORING MASTER'!$D$121:$D$123,MATCH('STUDENT SCREENING'!BC248,'SCORING MASTER'!$C$121:$C$123,0)),""))</f>
        <v/>
      </c>
      <c r="BE248" s="57" t="str">
        <f aca="false">IF('STUDENT SCREENING'!BD248="","",IFERROR(INDEX('SCORING MASTER'!$D$125:$D$126,MATCH('STUDENT SCREENING'!BD248,'SCORING MASTER'!$C$125:$C$126,0)),""))</f>
        <v/>
      </c>
      <c r="BF248" s="57" t="str">
        <f aca="false">IF('STUDENT SCREENING'!BE248="","",IFERROR(INDEX('SCORING MASTER'!$D$128:$D$129,MATCH('STUDENT SCREENING'!BE248,'SCORING MASTER'!$C$128:$C$129,0)),""))</f>
        <v/>
      </c>
      <c r="BG248" s="57" t="str">
        <f aca="false">IF('STUDENT SCREENING'!BP248="","",IFERROR(MATCH('STUDENT SCREENING'!BP248,{"Red - High Risk","Orange - Moderate Risk","Yellow - Mild Risk","Light Green - Mild Watch","Green - Healthy"},0)-1,""))</f>
        <v/>
      </c>
      <c r="BH248" s="57" t="str">
        <f aca="false">IF('STUDENT SCREENING'!BQ248="","",IF('STUDENT SCREENING'!BQ248="Yes",1,0))</f>
        <v/>
      </c>
      <c r="BI248" s="57" t="str">
        <f aca="false">IF('STUDENT SCREENING'!BR248="","",IF('STUDENT SCREENING'!BR248="Yes",1,0))</f>
        <v/>
      </c>
    </row>
    <row r="249" customFormat="false" ht="15" hidden="false" customHeight="false" outlineLevel="0" collapsed="false">
      <c r="A249" s="58" t="str">
        <f aca="false">'STUDENT SCREENING'!A249</f>
        <v/>
      </c>
      <c r="B249" s="58" t="n">
        <f aca="false">'STUDENT SCREENING'!C249</f>
        <v>0</v>
      </c>
      <c r="C249" s="58" t="n">
        <f aca="false">'STUDENT SCREENING'!D249</f>
        <v>0</v>
      </c>
      <c r="D249" s="58" t="n">
        <f aca="false">'STUDENT SCREENING'!E249</f>
        <v>0</v>
      </c>
      <c r="E249" s="58" t="n">
        <f aca="false">'STUDENT SCREENING'!F249</f>
        <v>0</v>
      </c>
      <c r="F249" s="58" t="n">
        <f aca="false">'STUDENT SCREENING'!K249</f>
        <v>0</v>
      </c>
      <c r="G249" s="58" t="n">
        <f aca="false">'STUDENT SCREENING'!J249</f>
        <v>0</v>
      </c>
      <c r="H249" s="58" t="str">
        <f aca="false">IF('STUDENT SCREENING'!K249="","",IFERROR(MATCH('STUDENT SCREENING'!K249,Adm_Gender,0),""))</f>
        <v/>
      </c>
      <c r="I249" s="58" t="n">
        <f aca="false">'STUDENT SCREENING'!Q249</f>
        <v>0</v>
      </c>
      <c r="J249" s="58" t="n">
        <f aca="false">'STUDENT SCREENING'!R249</f>
        <v>0</v>
      </c>
      <c r="K249" s="58" t="str">
        <f aca="false">'STUDENT SCREENING'!S249</f>
        <v/>
      </c>
      <c r="L249" s="58" t="n">
        <f aca="false">'STUDENT SCREENING'!U249</f>
        <v>0</v>
      </c>
      <c r="M249" s="58" t="n">
        <f aca="false">'STUDENT SCREENING'!V249</f>
        <v>0</v>
      </c>
      <c r="N249" s="58" t="str">
        <f aca="false">'STUDENT SCREENING'!BF249</f>
        <v/>
      </c>
      <c r="O249" s="58" t="str">
        <f aca="false">'STUDENT SCREENING'!BG249</f>
        <v/>
      </c>
      <c r="P249" s="58" t="str">
        <f aca="false">'STUDENT SCREENING'!BH249</f>
        <v/>
      </c>
      <c r="Q249" s="58" t="str">
        <f aca="false">'STUDENT SCREENING'!BI249</f>
        <v/>
      </c>
      <c r="R249" s="58" t="str">
        <f aca="false">'STUDENT SCREENING'!BJ249</f>
        <v/>
      </c>
      <c r="S249" s="58" t="str">
        <f aca="false">'STUDENT SCREENING'!BK249</f>
        <v/>
      </c>
      <c r="T249" s="58" t="str">
        <f aca="false">'STUDENT SCREENING'!BL249</f>
        <v/>
      </c>
      <c r="U249" s="58" t="str">
        <f aca="false">'STUDENT SCREENING'!BM249</f>
        <v/>
      </c>
      <c r="V249" s="58" t="str">
        <f aca="false">'STUDENT SCREENING'!BN249</f>
        <v/>
      </c>
      <c r="W249" s="58" t="str">
        <f aca="false">'STUDENT SCREENING'!BO249</f>
        <v/>
      </c>
      <c r="X249" s="58" t="str">
        <f aca="false">IF('STUDENT SCREENING'!W249="","",IFERROR(INDEX('SCORING MASTER'!$D$5:$D$7,MATCH('STUDENT SCREENING'!W249,'SCORING MASTER'!$C$5:$C$7,0)),""))</f>
        <v/>
      </c>
      <c r="Y249" s="58" t="str">
        <f aca="false">IF('STUDENT SCREENING'!X249="","",IFERROR(INDEX('SCORING MASTER'!$D$9:$D$11,MATCH('STUDENT SCREENING'!X249,'SCORING MASTER'!$C$9:$C$11,0)),""))</f>
        <v/>
      </c>
      <c r="Z249" s="58" t="str">
        <f aca="false">IF('STUDENT SCREENING'!Y249="","",IFERROR(INDEX('SCORING MASTER'!$D$13:$D$15,MATCH('STUDENT SCREENING'!Y249,'SCORING MASTER'!$C$13:$C$15,0)),""))</f>
        <v/>
      </c>
      <c r="AA249" s="58" t="str">
        <f aca="false">IF('STUDENT SCREENING'!Z249="","",IFERROR(INDEX('SCORING MASTER'!$D$17:$D$19,MATCH('STUDENT SCREENING'!Z249,'SCORING MASTER'!$C$17:$C$19,0)),""))</f>
        <v/>
      </c>
      <c r="AB249" s="58" t="str">
        <f aca="false">IF('STUDENT SCREENING'!AA249="","",IFERROR(INDEX('SCORING MASTER'!$D$21:$D$23,MATCH('STUDENT SCREENING'!AA249,'SCORING MASTER'!$C$21:$C$23,0)),""))</f>
        <v/>
      </c>
      <c r="AC249" s="58" t="str">
        <f aca="false">IF('STUDENT SCREENING'!AB249="","",IFERROR(INDEX('SCORING MASTER'!$D$25:$D$27,MATCH('STUDENT SCREENING'!AB249,'SCORING MASTER'!$C$25:$C$27,0)),""))</f>
        <v/>
      </c>
      <c r="AD249" s="58" t="str">
        <f aca="false">IF('STUDENT SCREENING'!AC249="","",IFERROR(INDEX('SCORING MASTER'!$D$29:$D$31,MATCH('STUDENT SCREENING'!AC249,'SCORING MASTER'!$C$29:$C$31,0)),""))</f>
        <v/>
      </c>
      <c r="AE249" s="58" t="str">
        <f aca="false">IF('STUDENT SCREENING'!AD249="","",IFERROR(INDEX('SCORING MASTER'!$D$33:$D$35,MATCH('STUDENT SCREENING'!AD249,'SCORING MASTER'!$C$33:$C$35,0)),""))</f>
        <v/>
      </c>
      <c r="AF249" s="58" t="str">
        <f aca="false">IF('STUDENT SCREENING'!AE249="","",IFERROR(INDEX('SCORING MASTER'!$D$37:$D$39,MATCH('STUDENT SCREENING'!AE249,'SCORING MASTER'!$C$37:$C$39,0)),""))</f>
        <v/>
      </c>
      <c r="AG249" s="58" t="str">
        <f aca="false">IF('STUDENT SCREENING'!AF249="","",IFERROR(INDEX('SCORING MASTER'!$D$41:$D$43,MATCH('STUDENT SCREENING'!AF249,'SCORING MASTER'!$C$41:$C$43,0)),""))</f>
        <v/>
      </c>
      <c r="AH249" s="58" t="str">
        <f aca="false">IF('STUDENT SCREENING'!AG249="","",IFERROR(INDEX('SCORING MASTER'!$D$45:$D$47,MATCH('STUDENT SCREENING'!AG249,'SCORING MASTER'!$C$45:$C$47,0)),""))</f>
        <v/>
      </c>
      <c r="AI249" s="58" t="str">
        <f aca="false">IF('STUDENT SCREENING'!AH249="","",IFERROR(INDEX('SCORING MASTER'!$D$49:$D$52,MATCH('STUDENT SCREENING'!AH249,'SCORING MASTER'!$C$49:$C$52,0)),""))</f>
        <v/>
      </c>
      <c r="AJ249" s="58" t="str">
        <f aca="false">IF('STUDENT SCREENING'!AI249="","",IFERROR(INDEX('SCORING MASTER'!$D$54:$D$57,MATCH('STUDENT SCREENING'!AI249,'SCORING MASTER'!$C$54:$C$57,0)),""))</f>
        <v/>
      </c>
      <c r="AK249" s="58" t="str">
        <f aca="false">IF('STUDENT SCREENING'!AJ249="","",IFERROR(INDEX('SCORING MASTER'!$D$59:$D$60,MATCH('STUDENT SCREENING'!AJ249,'SCORING MASTER'!$C$59:$C$60,0)),""))</f>
        <v/>
      </c>
      <c r="AL249" s="58" t="str">
        <f aca="false">IF('STUDENT SCREENING'!AK249="","",IFERROR(INDEX('SCORING MASTER'!$D$62:$D$63,MATCH('STUDENT SCREENING'!AK249,'SCORING MASTER'!$C$62:$C$63,0)),""))</f>
        <v/>
      </c>
      <c r="AM249" s="58" t="str">
        <f aca="false">IF('STUDENT SCREENING'!AL249="","",IFERROR(INDEX('SCORING MASTER'!$D$65:$D$66,MATCH('STUDENT SCREENING'!AL249,'SCORING MASTER'!$C$65:$C$66,0)),""))</f>
        <v/>
      </c>
      <c r="AN249" s="58" t="str">
        <f aca="false">IF('STUDENT SCREENING'!AM249="","",IFERROR(INDEX('SCORING MASTER'!$D$68:$D$69,MATCH('STUDENT SCREENING'!AM249,'SCORING MASTER'!$C$68:$C$69,0)),""))</f>
        <v/>
      </c>
      <c r="AO249" s="58" t="str">
        <f aca="false">IF('STUDENT SCREENING'!AN249="","",IFERROR(INDEX('SCORING MASTER'!$D$71:$D$72,MATCH('STUDENT SCREENING'!AN249,'SCORING MASTER'!$C$71:$C$72,0)),""))</f>
        <v/>
      </c>
      <c r="AP249" s="58" t="str">
        <f aca="false">IF('STUDENT SCREENING'!AO249="","",IFERROR(INDEX('SCORING MASTER'!$D$74:$D$75,MATCH('STUDENT SCREENING'!AO249,'SCORING MASTER'!$C$74:$C$75,0)),""))</f>
        <v/>
      </c>
      <c r="AQ249" s="58" t="str">
        <f aca="false">IF('STUDENT SCREENING'!AP249="","",IFERROR(INDEX('SCORING MASTER'!$D$77:$D$78,MATCH('STUDENT SCREENING'!AP249,'SCORING MASTER'!$C$77:$C$78,0)),""))</f>
        <v/>
      </c>
      <c r="AR249" s="58" t="str">
        <f aca="false">IF('STUDENT SCREENING'!AQ249="","",IFERROR(INDEX('SCORING MASTER'!$D$80:$D$82,MATCH('STUDENT SCREENING'!AQ249,'SCORING MASTER'!$C$80:$C$82,0)),""))</f>
        <v/>
      </c>
      <c r="AS249" s="58" t="str">
        <f aca="false">IF('STUDENT SCREENING'!AR249="","",IFERROR(INDEX('SCORING MASTER'!$D$84:$D$86,MATCH('STUDENT SCREENING'!AR249,'SCORING MASTER'!$C$84:$C$86,0)),""))</f>
        <v/>
      </c>
      <c r="AT249" s="58" t="str">
        <f aca="false">IF('STUDENT SCREENING'!AS249="","",IFERROR(INDEX('SCORING MASTER'!$D$88:$D$90,MATCH('STUDENT SCREENING'!AS249,'SCORING MASTER'!$C$88:$C$90,0)),""))</f>
        <v/>
      </c>
      <c r="AU249" s="58" t="str">
        <f aca="false">IF('STUDENT SCREENING'!AT249="","",IFERROR(INDEX('SCORING MASTER'!$D$92:$D$93,MATCH('STUDENT SCREENING'!AT249,'SCORING MASTER'!$C$92:$C$93,0)),""))</f>
        <v/>
      </c>
      <c r="AV249" s="58" t="str">
        <f aca="false">IF('STUDENT SCREENING'!AU249="","",IFERROR(INDEX('SCORING MASTER'!$D$95:$D$96,MATCH('STUDENT SCREENING'!AU249,'SCORING MASTER'!$C$95:$C$96,0)),""))</f>
        <v/>
      </c>
      <c r="AW249" s="58" t="str">
        <f aca="false">IF('STUDENT SCREENING'!AV249="","",IFERROR(INDEX('SCORING MASTER'!$D$98:$D$99,MATCH('STUDENT SCREENING'!AV249,'SCORING MASTER'!$C$98:$C$99,0)),""))</f>
        <v/>
      </c>
      <c r="AX249" s="58" t="str">
        <f aca="false">IF('STUDENT SCREENING'!AW249="","",IFERROR(INDEX('SCORING MASTER'!$D$101:$D$102,MATCH('STUDENT SCREENING'!AW249,'SCORING MASTER'!$C$101:$C$102,0)),""))</f>
        <v/>
      </c>
      <c r="AY249" s="58" t="str">
        <f aca="false">IF('STUDENT SCREENING'!AX249="","",IFERROR(INDEX('SCORING MASTER'!$D$104:$D$105,MATCH('STUDENT SCREENING'!AX249,'SCORING MASTER'!$C$104:$C$105,0)),""))</f>
        <v/>
      </c>
      <c r="AZ249" s="58" t="str">
        <f aca="false">IF('STUDENT SCREENING'!AY249="","",IFERROR(INDEX('SCORING MASTER'!$D$107:$D$108,MATCH('STUDENT SCREENING'!AY249,'SCORING MASTER'!$C$107:$C$108,0)),""))</f>
        <v/>
      </c>
      <c r="BA249" s="58" t="str">
        <f aca="false">IF('STUDENT SCREENING'!AZ249="","",IFERROR(INDEX('SCORING MASTER'!$D$110:$D$111,MATCH('STUDENT SCREENING'!AZ249,'SCORING MASTER'!$C$110:$C$111,0)),""))</f>
        <v/>
      </c>
      <c r="BB249" s="58" t="str">
        <f aca="false">IF('STUDENT SCREENING'!BA249="","",IFERROR(INDEX('SCORING MASTER'!$D$113:$D$115,MATCH('STUDENT SCREENING'!BA249,'SCORING MASTER'!$C$113:$C$115,0)),""))</f>
        <v/>
      </c>
      <c r="BC249" s="58" t="str">
        <f aca="false">IF('STUDENT SCREENING'!BB249="","",IFERROR(INDEX('SCORING MASTER'!$D$117:$D$119,MATCH('STUDENT SCREENING'!BB249,'SCORING MASTER'!$C$117:$C$119,0)),""))</f>
        <v/>
      </c>
      <c r="BD249" s="58" t="str">
        <f aca="false">IF('STUDENT SCREENING'!BC249="","",IFERROR(INDEX('SCORING MASTER'!$D$121:$D$123,MATCH('STUDENT SCREENING'!BC249,'SCORING MASTER'!$C$121:$C$123,0)),""))</f>
        <v/>
      </c>
      <c r="BE249" s="58" t="str">
        <f aca="false">IF('STUDENT SCREENING'!BD249="","",IFERROR(INDEX('SCORING MASTER'!$D$125:$D$126,MATCH('STUDENT SCREENING'!BD249,'SCORING MASTER'!$C$125:$C$126,0)),""))</f>
        <v/>
      </c>
      <c r="BF249" s="58" t="str">
        <f aca="false">IF('STUDENT SCREENING'!BE249="","",IFERROR(INDEX('SCORING MASTER'!$D$128:$D$129,MATCH('STUDENT SCREENING'!BE249,'SCORING MASTER'!$C$128:$C$129,0)),""))</f>
        <v/>
      </c>
      <c r="BG249" s="58" t="str">
        <f aca="false">IF('STUDENT SCREENING'!BP249="","",IFERROR(MATCH('STUDENT SCREENING'!BP249,{"Red - High Risk","Orange - Moderate Risk","Yellow - Mild Risk","Light Green - Mild Watch","Green - Healthy"},0)-1,""))</f>
        <v/>
      </c>
      <c r="BH249" s="58" t="str">
        <f aca="false">IF('STUDENT SCREENING'!BQ249="","",IF('STUDENT SCREENING'!BQ249="Yes",1,0))</f>
        <v/>
      </c>
      <c r="BI249" s="58" t="str">
        <f aca="false">IF('STUDENT SCREENING'!BR249="","",IF('STUDENT SCREENING'!BR249="Yes",1,0))</f>
        <v/>
      </c>
    </row>
    <row r="250" customFormat="false" ht="15" hidden="false" customHeight="false" outlineLevel="0" collapsed="false">
      <c r="A250" s="57" t="str">
        <f aca="false">'STUDENT SCREENING'!A250</f>
        <v/>
      </c>
      <c r="B250" s="57" t="n">
        <f aca="false">'STUDENT SCREENING'!C250</f>
        <v>0</v>
      </c>
      <c r="C250" s="57" t="n">
        <f aca="false">'STUDENT SCREENING'!D250</f>
        <v>0</v>
      </c>
      <c r="D250" s="57" t="n">
        <f aca="false">'STUDENT SCREENING'!E250</f>
        <v>0</v>
      </c>
      <c r="E250" s="57" t="n">
        <f aca="false">'STUDENT SCREENING'!F250</f>
        <v>0</v>
      </c>
      <c r="F250" s="57" t="n">
        <f aca="false">'STUDENT SCREENING'!K250</f>
        <v>0</v>
      </c>
      <c r="G250" s="57" t="n">
        <f aca="false">'STUDENT SCREENING'!J250</f>
        <v>0</v>
      </c>
      <c r="H250" s="57" t="str">
        <f aca="false">IF('STUDENT SCREENING'!K250="","",IFERROR(MATCH('STUDENT SCREENING'!K250,Adm_Gender,0),""))</f>
        <v/>
      </c>
      <c r="I250" s="57" t="n">
        <f aca="false">'STUDENT SCREENING'!Q250</f>
        <v>0</v>
      </c>
      <c r="J250" s="57" t="n">
        <f aca="false">'STUDENT SCREENING'!R250</f>
        <v>0</v>
      </c>
      <c r="K250" s="57" t="str">
        <f aca="false">'STUDENT SCREENING'!S250</f>
        <v/>
      </c>
      <c r="L250" s="57" t="n">
        <f aca="false">'STUDENT SCREENING'!U250</f>
        <v>0</v>
      </c>
      <c r="M250" s="57" t="n">
        <f aca="false">'STUDENT SCREENING'!V250</f>
        <v>0</v>
      </c>
      <c r="N250" s="57" t="str">
        <f aca="false">'STUDENT SCREENING'!BF250</f>
        <v/>
      </c>
      <c r="O250" s="57" t="str">
        <f aca="false">'STUDENT SCREENING'!BG250</f>
        <v/>
      </c>
      <c r="P250" s="57" t="str">
        <f aca="false">'STUDENT SCREENING'!BH250</f>
        <v/>
      </c>
      <c r="Q250" s="57" t="str">
        <f aca="false">'STUDENT SCREENING'!BI250</f>
        <v/>
      </c>
      <c r="R250" s="57" t="str">
        <f aca="false">'STUDENT SCREENING'!BJ250</f>
        <v/>
      </c>
      <c r="S250" s="57" t="str">
        <f aca="false">'STUDENT SCREENING'!BK250</f>
        <v/>
      </c>
      <c r="T250" s="57" t="str">
        <f aca="false">'STUDENT SCREENING'!BL250</f>
        <v/>
      </c>
      <c r="U250" s="57" t="str">
        <f aca="false">'STUDENT SCREENING'!BM250</f>
        <v/>
      </c>
      <c r="V250" s="57" t="str">
        <f aca="false">'STUDENT SCREENING'!BN250</f>
        <v/>
      </c>
      <c r="W250" s="57" t="str">
        <f aca="false">'STUDENT SCREENING'!BO250</f>
        <v/>
      </c>
      <c r="X250" s="57" t="str">
        <f aca="false">IF('STUDENT SCREENING'!W250="","",IFERROR(INDEX('SCORING MASTER'!$D$5:$D$7,MATCH('STUDENT SCREENING'!W250,'SCORING MASTER'!$C$5:$C$7,0)),""))</f>
        <v/>
      </c>
      <c r="Y250" s="57" t="str">
        <f aca="false">IF('STUDENT SCREENING'!X250="","",IFERROR(INDEX('SCORING MASTER'!$D$9:$D$11,MATCH('STUDENT SCREENING'!X250,'SCORING MASTER'!$C$9:$C$11,0)),""))</f>
        <v/>
      </c>
      <c r="Z250" s="57" t="str">
        <f aca="false">IF('STUDENT SCREENING'!Y250="","",IFERROR(INDEX('SCORING MASTER'!$D$13:$D$15,MATCH('STUDENT SCREENING'!Y250,'SCORING MASTER'!$C$13:$C$15,0)),""))</f>
        <v/>
      </c>
      <c r="AA250" s="57" t="str">
        <f aca="false">IF('STUDENT SCREENING'!Z250="","",IFERROR(INDEX('SCORING MASTER'!$D$17:$D$19,MATCH('STUDENT SCREENING'!Z250,'SCORING MASTER'!$C$17:$C$19,0)),""))</f>
        <v/>
      </c>
      <c r="AB250" s="57" t="str">
        <f aca="false">IF('STUDENT SCREENING'!AA250="","",IFERROR(INDEX('SCORING MASTER'!$D$21:$D$23,MATCH('STUDENT SCREENING'!AA250,'SCORING MASTER'!$C$21:$C$23,0)),""))</f>
        <v/>
      </c>
      <c r="AC250" s="57" t="str">
        <f aca="false">IF('STUDENT SCREENING'!AB250="","",IFERROR(INDEX('SCORING MASTER'!$D$25:$D$27,MATCH('STUDENT SCREENING'!AB250,'SCORING MASTER'!$C$25:$C$27,0)),""))</f>
        <v/>
      </c>
      <c r="AD250" s="57" t="str">
        <f aca="false">IF('STUDENT SCREENING'!AC250="","",IFERROR(INDEX('SCORING MASTER'!$D$29:$D$31,MATCH('STUDENT SCREENING'!AC250,'SCORING MASTER'!$C$29:$C$31,0)),""))</f>
        <v/>
      </c>
      <c r="AE250" s="57" t="str">
        <f aca="false">IF('STUDENT SCREENING'!AD250="","",IFERROR(INDEX('SCORING MASTER'!$D$33:$D$35,MATCH('STUDENT SCREENING'!AD250,'SCORING MASTER'!$C$33:$C$35,0)),""))</f>
        <v/>
      </c>
      <c r="AF250" s="57" t="str">
        <f aca="false">IF('STUDENT SCREENING'!AE250="","",IFERROR(INDEX('SCORING MASTER'!$D$37:$D$39,MATCH('STUDENT SCREENING'!AE250,'SCORING MASTER'!$C$37:$C$39,0)),""))</f>
        <v/>
      </c>
      <c r="AG250" s="57" t="str">
        <f aca="false">IF('STUDENT SCREENING'!AF250="","",IFERROR(INDEX('SCORING MASTER'!$D$41:$D$43,MATCH('STUDENT SCREENING'!AF250,'SCORING MASTER'!$C$41:$C$43,0)),""))</f>
        <v/>
      </c>
      <c r="AH250" s="57" t="str">
        <f aca="false">IF('STUDENT SCREENING'!AG250="","",IFERROR(INDEX('SCORING MASTER'!$D$45:$D$47,MATCH('STUDENT SCREENING'!AG250,'SCORING MASTER'!$C$45:$C$47,0)),""))</f>
        <v/>
      </c>
      <c r="AI250" s="57" t="str">
        <f aca="false">IF('STUDENT SCREENING'!AH250="","",IFERROR(INDEX('SCORING MASTER'!$D$49:$D$52,MATCH('STUDENT SCREENING'!AH250,'SCORING MASTER'!$C$49:$C$52,0)),""))</f>
        <v/>
      </c>
      <c r="AJ250" s="57" t="str">
        <f aca="false">IF('STUDENT SCREENING'!AI250="","",IFERROR(INDEX('SCORING MASTER'!$D$54:$D$57,MATCH('STUDENT SCREENING'!AI250,'SCORING MASTER'!$C$54:$C$57,0)),""))</f>
        <v/>
      </c>
      <c r="AK250" s="57" t="str">
        <f aca="false">IF('STUDENT SCREENING'!AJ250="","",IFERROR(INDEX('SCORING MASTER'!$D$59:$D$60,MATCH('STUDENT SCREENING'!AJ250,'SCORING MASTER'!$C$59:$C$60,0)),""))</f>
        <v/>
      </c>
      <c r="AL250" s="57" t="str">
        <f aca="false">IF('STUDENT SCREENING'!AK250="","",IFERROR(INDEX('SCORING MASTER'!$D$62:$D$63,MATCH('STUDENT SCREENING'!AK250,'SCORING MASTER'!$C$62:$C$63,0)),""))</f>
        <v/>
      </c>
      <c r="AM250" s="57" t="str">
        <f aca="false">IF('STUDENT SCREENING'!AL250="","",IFERROR(INDEX('SCORING MASTER'!$D$65:$D$66,MATCH('STUDENT SCREENING'!AL250,'SCORING MASTER'!$C$65:$C$66,0)),""))</f>
        <v/>
      </c>
      <c r="AN250" s="57" t="str">
        <f aca="false">IF('STUDENT SCREENING'!AM250="","",IFERROR(INDEX('SCORING MASTER'!$D$68:$D$69,MATCH('STUDENT SCREENING'!AM250,'SCORING MASTER'!$C$68:$C$69,0)),""))</f>
        <v/>
      </c>
      <c r="AO250" s="57" t="str">
        <f aca="false">IF('STUDENT SCREENING'!AN250="","",IFERROR(INDEX('SCORING MASTER'!$D$71:$D$72,MATCH('STUDENT SCREENING'!AN250,'SCORING MASTER'!$C$71:$C$72,0)),""))</f>
        <v/>
      </c>
      <c r="AP250" s="57" t="str">
        <f aca="false">IF('STUDENT SCREENING'!AO250="","",IFERROR(INDEX('SCORING MASTER'!$D$74:$D$75,MATCH('STUDENT SCREENING'!AO250,'SCORING MASTER'!$C$74:$C$75,0)),""))</f>
        <v/>
      </c>
      <c r="AQ250" s="57" t="str">
        <f aca="false">IF('STUDENT SCREENING'!AP250="","",IFERROR(INDEX('SCORING MASTER'!$D$77:$D$78,MATCH('STUDENT SCREENING'!AP250,'SCORING MASTER'!$C$77:$C$78,0)),""))</f>
        <v/>
      </c>
      <c r="AR250" s="57" t="str">
        <f aca="false">IF('STUDENT SCREENING'!AQ250="","",IFERROR(INDEX('SCORING MASTER'!$D$80:$D$82,MATCH('STUDENT SCREENING'!AQ250,'SCORING MASTER'!$C$80:$C$82,0)),""))</f>
        <v/>
      </c>
      <c r="AS250" s="57" t="str">
        <f aca="false">IF('STUDENT SCREENING'!AR250="","",IFERROR(INDEX('SCORING MASTER'!$D$84:$D$86,MATCH('STUDENT SCREENING'!AR250,'SCORING MASTER'!$C$84:$C$86,0)),""))</f>
        <v/>
      </c>
      <c r="AT250" s="57" t="str">
        <f aca="false">IF('STUDENT SCREENING'!AS250="","",IFERROR(INDEX('SCORING MASTER'!$D$88:$D$90,MATCH('STUDENT SCREENING'!AS250,'SCORING MASTER'!$C$88:$C$90,0)),""))</f>
        <v/>
      </c>
      <c r="AU250" s="57" t="str">
        <f aca="false">IF('STUDENT SCREENING'!AT250="","",IFERROR(INDEX('SCORING MASTER'!$D$92:$D$93,MATCH('STUDENT SCREENING'!AT250,'SCORING MASTER'!$C$92:$C$93,0)),""))</f>
        <v/>
      </c>
      <c r="AV250" s="57" t="str">
        <f aca="false">IF('STUDENT SCREENING'!AU250="","",IFERROR(INDEX('SCORING MASTER'!$D$95:$D$96,MATCH('STUDENT SCREENING'!AU250,'SCORING MASTER'!$C$95:$C$96,0)),""))</f>
        <v/>
      </c>
      <c r="AW250" s="57" t="str">
        <f aca="false">IF('STUDENT SCREENING'!AV250="","",IFERROR(INDEX('SCORING MASTER'!$D$98:$D$99,MATCH('STUDENT SCREENING'!AV250,'SCORING MASTER'!$C$98:$C$99,0)),""))</f>
        <v/>
      </c>
      <c r="AX250" s="57" t="str">
        <f aca="false">IF('STUDENT SCREENING'!AW250="","",IFERROR(INDEX('SCORING MASTER'!$D$101:$D$102,MATCH('STUDENT SCREENING'!AW250,'SCORING MASTER'!$C$101:$C$102,0)),""))</f>
        <v/>
      </c>
      <c r="AY250" s="57" t="str">
        <f aca="false">IF('STUDENT SCREENING'!AX250="","",IFERROR(INDEX('SCORING MASTER'!$D$104:$D$105,MATCH('STUDENT SCREENING'!AX250,'SCORING MASTER'!$C$104:$C$105,0)),""))</f>
        <v/>
      </c>
      <c r="AZ250" s="57" t="str">
        <f aca="false">IF('STUDENT SCREENING'!AY250="","",IFERROR(INDEX('SCORING MASTER'!$D$107:$D$108,MATCH('STUDENT SCREENING'!AY250,'SCORING MASTER'!$C$107:$C$108,0)),""))</f>
        <v/>
      </c>
      <c r="BA250" s="57" t="str">
        <f aca="false">IF('STUDENT SCREENING'!AZ250="","",IFERROR(INDEX('SCORING MASTER'!$D$110:$D$111,MATCH('STUDENT SCREENING'!AZ250,'SCORING MASTER'!$C$110:$C$111,0)),""))</f>
        <v/>
      </c>
      <c r="BB250" s="57" t="str">
        <f aca="false">IF('STUDENT SCREENING'!BA250="","",IFERROR(INDEX('SCORING MASTER'!$D$113:$D$115,MATCH('STUDENT SCREENING'!BA250,'SCORING MASTER'!$C$113:$C$115,0)),""))</f>
        <v/>
      </c>
      <c r="BC250" s="57" t="str">
        <f aca="false">IF('STUDENT SCREENING'!BB250="","",IFERROR(INDEX('SCORING MASTER'!$D$117:$D$119,MATCH('STUDENT SCREENING'!BB250,'SCORING MASTER'!$C$117:$C$119,0)),""))</f>
        <v/>
      </c>
      <c r="BD250" s="57" t="str">
        <f aca="false">IF('STUDENT SCREENING'!BC250="","",IFERROR(INDEX('SCORING MASTER'!$D$121:$D$123,MATCH('STUDENT SCREENING'!BC250,'SCORING MASTER'!$C$121:$C$123,0)),""))</f>
        <v/>
      </c>
      <c r="BE250" s="57" t="str">
        <f aca="false">IF('STUDENT SCREENING'!BD250="","",IFERROR(INDEX('SCORING MASTER'!$D$125:$D$126,MATCH('STUDENT SCREENING'!BD250,'SCORING MASTER'!$C$125:$C$126,0)),""))</f>
        <v/>
      </c>
      <c r="BF250" s="57" t="str">
        <f aca="false">IF('STUDENT SCREENING'!BE250="","",IFERROR(INDEX('SCORING MASTER'!$D$128:$D$129,MATCH('STUDENT SCREENING'!BE250,'SCORING MASTER'!$C$128:$C$129,0)),""))</f>
        <v/>
      </c>
      <c r="BG250" s="57" t="str">
        <f aca="false">IF('STUDENT SCREENING'!BP250="","",IFERROR(MATCH('STUDENT SCREENING'!BP250,{"Red - High Risk","Orange - Moderate Risk","Yellow - Mild Risk","Light Green - Mild Watch","Green - Healthy"},0)-1,""))</f>
        <v/>
      </c>
      <c r="BH250" s="57" t="str">
        <f aca="false">IF('STUDENT SCREENING'!BQ250="","",IF('STUDENT SCREENING'!BQ250="Yes",1,0))</f>
        <v/>
      </c>
      <c r="BI250" s="57" t="str">
        <f aca="false">IF('STUDENT SCREENING'!BR250="","",IF('STUDENT SCREENING'!BR250="Yes",1,0))</f>
        <v/>
      </c>
    </row>
    <row r="251" customFormat="false" ht="15" hidden="false" customHeight="false" outlineLevel="0" collapsed="false">
      <c r="A251" s="58" t="str">
        <f aca="false">'STUDENT SCREENING'!A251</f>
        <v/>
      </c>
      <c r="B251" s="58" t="n">
        <f aca="false">'STUDENT SCREENING'!C251</f>
        <v>0</v>
      </c>
      <c r="C251" s="58" t="n">
        <f aca="false">'STUDENT SCREENING'!D251</f>
        <v>0</v>
      </c>
      <c r="D251" s="58" t="n">
        <f aca="false">'STUDENT SCREENING'!E251</f>
        <v>0</v>
      </c>
      <c r="E251" s="58" t="n">
        <f aca="false">'STUDENT SCREENING'!F251</f>
        <v>0</v>
      </c>
      <c r="F251" s="58" t="n">
        <f aca="false">'STUDENT SCREENING'!K251</f>
        <v>0</v>
      </c>
      <c r="G251" s="58" t="n">
        <f aca="false">'STUDENT SCREENING'!J251</f>
        <v>0</v>
      </c>
      <c r="H251" s="58" t="str">
        <f aca="false">IF('STUDENT SCREENING'!K251="","",IFERROR(MATCH('STUDENT SCREENING'!K251,Adm_Gender,0),""))</f>
        <v/>
      </c>
      <c r="I251" s="58" t="n">
        <f aca="false">'STUDENT SCREENING'!Q251</f>
        <v>0</v>
      </c>
      <c r="J251" s="58" t="n">
        <f aca="false">'STUDENT SCREENING'!R251</f>
        <v>0</v>
      </c>
      <c r="K251" s="58" t="str">
        <f aca="false">'STUDENT SCREENING'!S251</f>
        <v/>
      </c>
      <c r="L251" s="58" t="n">
        <f aca="false">'STUDENT SCREENING'!U251</f>
        <v>0</v>
      </c>
      <c r="M251" s="58" t="n">
        <f aca="false">'STUDENT SCREENING'!V251</f>
        <v>0</v>
      </c>
      <c r="N251" s="58" t="str">
        <f aca="false">'STUDENT SCREENING'!BF251</f>
        <v/>
      </c>
      <c r="O251" s="58" t="str">
        <f aca="false">'STUDENT SCREENING'!BG251</f>
        <v/>
      </c>
      <c r="P251" s="58" t="str">
        <f aca="false">'STUDENT SCREENING'!BH251</f>
        <v/>
      </c>
      <c r="Q251" s="58" t="str">
        <f aca="false">'STUDENT SCREENING'!BI251</f>
        <v/>
      </c>
      <c r="R251" s="58" t="str">
        <f aca="false">'STUDENT SCREENING'!BJ251</f>
        <v/>
      </c>
      <c r="S251" s="58" t="str">
        <f aca="false">'STUDENT SCREENING'!BK251</f>
        <v/>
      </c>
      <c r="T251" s="58" t="str">
        <f aca="false">'STUDENT SCREENING'!BL251</f>
        <v/>
      </c>
      <c r="U251" s="58" t="str">
        <f aca="false">'STUDENT SCREENING'!BM251</f>
        <v/>
      </c>
      <c r="V251" s="58" t="str">
        <f aca="false">'STUDENT SCREENING'!BN251</f>
        <v/>
      </c>
      <c r="W251" s="58" t="str">
        <f aca="false">'STUDENT SCREENING'!BO251</f>
        <v/>
      </c>
      <c r="X251" s="58" t="str">
        <f aca="false">IF('STUDENT SCREENING'!W251="","",IFERROR(INDEX('SCORING MASTER'!$D$5:$D$7,MATCH('STUDENT SCREENING'!W251,'SCORING MASTER'!$C$5:$C$7,0)),""))</f>
        <v/>
      </c>
      <c r="Y251" s="58" t="str">
        <f aca="false">IF('STUDENT SCREENING'!X251="","",IFERROR(INDEX('SCORING MASTER'!$D$9:$D$11,MATCH('STUDENT SCREENING'!X251,'SCORING MASTER'!$C$9:$C$11,0)),""))</f>
        <v/>
      </c>
      <c r="Z251" s="58" t="str">
        <f aca="false">IF('STUDENT SCREENING'!Y251="","",IFERROR(INDEX('SCORING MASTER'!$D$13:$D$15,MATCH('STUDENT SCREENING'!Y251,'SCORING MASTER'!$C$13:$C$15,0)),""))</f>
        <v/>
      </c>
      <c r="AA251" s="58" t="str">
        <f aca="false">IF('STUDENT SCREENING'!Z251="","",IFERROR(INDEX('SCORING MASTER'!$D$17:$D$19,MATCH('STUDENT SCREENING'!Z251,'SCORING MASTER'!$C$17:$C$19,0)),""))</f>
        <v/>
      </c>
      <c r="AB251" s="58" t="str">
        <f aca="false">IF('STUDENT SCREENING'!AA251="","",IFERROR(INDEX('SCORING MASTER'!$D$21:$D$23,MATCH('STUDENT SCREENING'!AA251,'SCORING MASTER'!$C$21:$C$23,0)),""))</f>
        <v/>
      </c>
      <c r="AC251" s="58" t="str">
        <f aca="false">IF('STUDENT SCREENING'!AB251="","",IFERROR(INDEX('SCORING MASTER'!$D$25:$D$27,MATCH('STUDENT SCREENING'!AB251,'SCORING MASTER'!$C$25:$C$27,0)),""))</f>
        <v/>
      </c>
      <c r="AD251" s="58" t="str">
        <f aca="false">IF('STUDENT SCREENING'!AC251="","",IFERROR(INDEX('SCORING MASTER'!$D$29:$D$31,MATCH('STUDENT SCREENING'!AC251,'SCORING MASTER'!$C$29:$C$31,0)),""))</f>
        <v/>
      </c>
      <c r="AE251" s="58" t="str">
        <f aca="false">IF('STUDENT SCREENING'!AD251="","",IFERROR(INDEX('SCORING MASTER'!$D$33:$D$35,MATCH('STUDENT SCREENING'!AD251,'SCORING MASTER'!$C$33:$C$35,0)),""))</f>
        <v/>
      </c>
      <c r="AF251" s="58" t="str">
        <f aca="false">IF('STUDENT SCREENING'!AE251="","",IFERROR(INDEX('SCORING MASTER'!$D$37:$D$39,MATCH('STUDENT SCREENING'!AE251,'SCORING MASTER'!$C$37:$C$39,0)),""))</f>
        <v/>
      </c>
      <c r="AG251" s="58" t="str">
        <f aca="false">IF('STUDENT SCREENING'!AF251="","",IFERROR(INDEX('SCORING MASTER'!$D$41:$D$43,MATCH('STUDENT SCREENING'!AF251,'SCORING MASTER'!$C$41:$C$43,0)),""))</f>
        <v/>
      </c>
      <c r="AH251" s="58" t="str">
        <f aca="false">IF('STUDENT SCREENING'!AG251="","",IFERROR(INDEX('SCORING MASTER'!$D$45:$D$47,MATCH('STUDENT SCREENING'!AG251,'SCORING MASTER'!$C$45:$C$47,0)),""))</f>
        <v/>
      </c>
      <c r="AI251" s="58" t="str">
        <f aca="false">IF('STUDENT SCREENING'!AH251="","",IFERROR(INDEX('SCORING MASTER'!$D$49:$D$52,MATCH('STUDENT SCREENING'!AH251,'SCORING MASTER'!$C$49:$C$52,0)),""))</f>
        <v/>
      </c>
      <c r="AJ251" s="58" t="str">
        <f aca="false">IF('STUDENT SCREENING'!AI251="","",IFERROR(INDEX('SCORING MASTER'!$D$54:$D$57,MATCH('STUDENT SCREENING'!AI251,'SCORING MASTER'!$C$54:$C$57,0)),""))</f>
        <v/>
      </c>
      <c r="AK251" s="58" t="str">
        <f aca="false">IF('STUDENT SCREENING'!AJ251="","",IFERROR(INDEX('SCORING MASTER'!$D$59:$D$60,MATCH('STUDENT SCREENING'!AJ251,'SCORING MASTER'!$C$59:$C$60,0)),""))</f>
        <v/>
      </c>
      <c r="AL251" s="58" t="str">
        <f aca="false">IF('STUDENT SCREENING'!AK251="","",IFERROR(INDEX('SCORING MASTER'!$D$62:$D$63,MATCH('STUDENT SCREENING'!AK251,'SCORING MASTER'!$C$62:$C$63,0)),""))</f>
        <v/>
      </c>
      <c r="AM251" s="58" t="str">
        <f aca="false">IF('STUDENT SCREENING'!AL251="","",IFERROR(INDEX('SCORING MASTER'!$D$65:$D$66,MATCH('STUDENT SCREENING'!AL251,'SCORING MASTER'!$C$65:$C$66,0)),""))</f>
        <v/>
      </c>
      <c r="AN251" s="58" t="str">
        <f aca="false">IF('STUDENT SCREENING'!AM251="","",IFERROR(INDEX('SCORING MASTER'!$D$68:$D$69,MATCH('STUDENT SCREENING'!AM251,'SCORING MASTER'!$C$68:$C$69,0)),""))</f>
        <v/>
      </c>
      <c r="AO251" s="58" t="str">
        <f aca="false">IF('STUDENT SCREENING'!AN251="","",IFERROR(INDEX('SCORING MASTER'!$D$71:$D$72,MATCH('STUDENT SCREENING'!AN251,'SCORING MASTER'!$C$71:$C$72,0)),""))</f>
        <v/>
      </c>
      <c r="AP251" s="58" t="str">
        <f aca="false">IF('STUDENT SCREENING'!AO251="","",IFERROR(INDEX('SCORING MASTER'!$D$74:$D$75,MATCH('STUDENT SCREENING'!AO251,'SCORING MASTER'!$C$74:$C$75,0)),""))</f>
        <v/>
      </c>
      <c r="AQ251" s="58" t="str">
        <f aca="false">IF('STUDENT SCREENING'!AP251="","",IFERROR(INDEX('SCORING MASTER'!$D$77:$D$78,MATCH('STUDENT SCREENING'!AP251,'SCORING MASTER'!$C$77:$C$78,0)),""))</f>
        <v/>
      </c>
      <c r="AR251" s="58" t="str">
        <f aca="false">IF('STUDENT SCREENING'!AQ251="","",IFERROR(INDEX('SCORING MASTER'!$D$80:$D$82,MATCH('STUDENT SCREENING'!AQ251,'SCORING MASTER'!$C$80:$C$82,0)),""))</f>
        <v/>
      </c>
      <c r="AS251" s="58" t="str">
        <f aca="false">IF('STUDENT SCREENING'!AR251="","",IFERROR(INDEX('SCORING MASTER'!$D$84:$D$86,MATCH('STUDENT SCREENING'!AR251,'SCORING MASTER'!$C$84:$C$86,0)),""))</f>
        <v/>
      </c>
      <c r="AT251" s="58" t="str">
        <f aca="false">IF('STUDENT SCREENING'!AS251="","",IFERROR(INDEX('SCORING MASTER'!$D$88:$D$90,MATCH('STUDENT SCREENING'!AS251,'SCORING MASTER'!$C$88:$C$90,0)),""))</f>
        <v/>
      </c>
      <c r="AU251" s="58" t="str">
        <f aca="false">IF('STUDENT SCREENING'!AT251="","",IFERROR(INDEX('SCORING MASTER'!$D$92:$D$93,MATCH('STUDENT SCREENING'!AT251,'SCORING MASTER'!$C$92:$C$93,0)),""))</f>
        <v/>
      </c>
      <c r="AV251" s="58" t="str">
        <f aca="false">IF('STUDENT SCREENING'!AU251="","",IFERROR(INDEX('SCORING MASTER'!$D$95:$D$96,MATCH('STUDENT SCREENING'!AU251,'SCORING MASTER'!$C$95:$C$96,0)),""))</f>
        <v/>
      </c>
      <c r="AW251" s="58" t="str">
        <f aca="false">IF('STUDENT SCREENING'!AV251="","",IFERROR(INDEX('SCORING MASTER'!$D$98:$D$99,MATCH('STUDENT SCREENING'!AV251,'SCORING MASTER'!$C$98:$C$99,0)),""))</f>
        <v/>
      </c>
      <c r="AX251" s="58" t="str">
        <f aca="false">IF('STUDENT SCREENING'!AW251="","",IFERROR(INDEX('SCORING MASTER'!$D$101:$D$102,MATCH('STUDENT SCREENING'!AW251,'SCORING MASTER'!$C$101:$C$102,0)),""))</f>
        <v/>
      </c>
      <c r="AY251" s="58" t="str">
        <f aca="false">IF('STUDENT SCREENING'!AX251="","",IFERROR(INDEX('SCORING MASTER'!$D$104:$D$105,MATCH('STUDENT SCREENING'!AX251,'SCORING MASTER'!$C$104:$C$105,0)),""))</f>
        <v/>
      </c>
      <c r="AZ251" s="58" t="str">
        <f aca="false">IF('STUDENT SCREENING'!AY251="","",IFERROR(INDEX('SCORING MASTER'!$D$107:$D$108,MATCH('STUDENT SCREENING'!AY251,'SCORING MASTER'!$C$107:$C$108,0)),""))</f>
        <v/>
      </c>
      <c r="BA251" s="58" t="str">
        <f aca="false">IF('STUDENT SCREENING'!AZ251="","",IFERROR(INDEX('SCORING MASTER'!$D$110:$D$111,MATCH('STUDENT SCREENING'!AZ251,'SCORING MASTER'!$C$110:$C$111,0)),""))</f>
        <v/>
      </c>
      <c r="BB251" s="58" t="str">
        <f aca="false">IF('STUDENT SCREENING'!BA251="","",IFERROR(INDEX('SCORING MASTER'!$D$113:$D$115,MATCH('STUDENT SCREENING'!BA251,'SCORING MASTER'!$C$113:$C$115,0)),""))</f>
        <v/>
      </c>
      <c r="BC251" s="58" t="str">
        <f aca="false">IF('STUDENT SCREENING'!BB251="","",IFERROR(INDEX('SCORING MASTER'!$D$117:$D$119,MATCH('STUDENT SCREENING'!BB251,'SCORING MASTER'!$C$117:$C$119,0)),""))</f>
        <v/>
      </c>
      <c r="BD251" s="58" t="str">
        <f aca="false">IF('STUDENT SCREENING'!BC251="","",IFERROR(INDEX('SCORING MASTER'!$D$121:$D$123,MATCH('STUDENT SCREENING'!BC251,'SCORING MASTER'!$C$121:$C$123,0)),""))</f>
        <v/>
      </c>
      <c r="BE251" s="58" t="str">
        <f aca="false">IF('STUDENT SCREENING'!BD251="","",IFERROR(INDEX('SCORING MASTER'!$D$125:$D$126,MATCH('STUDENT SCREENING'!BD251,'SCORING MASTER'!$C$125:$C$126,0)),""))</f>
        <v/>
      </c>
      <c r="BF251" s="58" t="str">
        <f aca="false">IF('STUDENT SCREENING'!BE251="","",IFERROR(INDEX('SCORING MASTER'!$D$128:$D$129,MATCH('STUDENT SCREENING'!BE251,'SCORING MASTER'!$C$128:$C$129,0)),""))</f>
        <v/>
      </c>
      <c r="BG251" s="58" t="str">
        <f aca="false">IF('STUDENT SCREENING'!BP251="","",IFERROR(MATCH('STUDENT SCREENING'!BP251,{"Red - High Risk","Orange - Moderate Risk","Yellow - Mild Risk","Light Green - Mild Watch","Green - Healthy"},0)-1,""))</f>
        <v/>
      </c>
      <c r="BH251" s="58" t="str">
        <f aca="false">IF('STUDENT SCREENING'!BQ251="","",IF('STUDENT SCREENING'!BQ251="Yes",1,0))</f>
        <v/>
      </c>
      <c r="BI251" s="58" t="str">
        <f aca="false">IF('STUDENT SCREENING'!BR251="","",IF('STUDENT SCREENING'!BR251="Yes",1,0))</f>
        <v/>
      </c>
    </row>
    <row r="252" customFormat="false" ht="15" hidden="false" customHeight="false" outlineLevel="0" collapsed="false">
      <c r="A252" s="57" t="str">
        <f aca="false">'STUDENT SCREENING'!A252</f>
        <v/>
      </c>
      <c r="B252" s="57" t="n">
        <f aca="false">'STUDENT SCREENING'!C252</f>
        <v>0</v>
      </c>
      <c r="C252" s="57" t="n">
        <f aca="false">'STUDENT SCREENING'!D252</f>
        <v>0</v>
      </c>
      <c r="D252" s="57" t="n">
        <f aca="false">'STUDENT SCREENING'!E252</f>
        <v>0</v>
      </c>
      <c r="E252" s="57" t="n">
        <f aca="false">'STUDENT SCREENING'!F252</f>
        <v>0</v>
      </c>
      <c r="F252" s="57" t="n">
        <f aca="false">'STUDENT SCREENING'!K252</f>
        <v>0</v>
      </c>
      <c r="G252" s="57" t="n">
        <f aca="false">'STUDENT SCREENING'!J252</f>
        <v>0</v>
      </c>
      <c r="H252" s="57" t="str">
        <f aca="false">IF('STUDENT SCREENING'!K252="","",IFERROR(MATCH('STUDENT SCREENING'!K252,Adm_Gender,0),""))</f>
        <v/>
      </c>
      <c r="I252" s="57" t="n">
        <f aca="false">'STUDENT SCREENING'!Q252</f>
        <v>0</v>
      </c>
      <c r="J252" s="57" t="n">
        <f aca="false">'STUDENT SCREENING'!R252</f>
        <v>0</v>
      </c>
      <c r="K252" s="57" t="str">
        <f aca="false">'STUDENT SCREENING'!S252</f>
        <v/>
      </c>
      <c r="L252" s="57" t="n">
        <f aca="false">'STUDENT SCREENING'!U252</f>
        <v>0</v>
      </c>
      <c r="M252" s="57" t="n">
        <f aca="false">'STUDENT SCREENING'!V252</f>
        <v>0</v>
      </c>
      <c r="N252" s="57" t="str">
        <f aca="false">'STUDENT SCREENING'!BF252</f>
        <v/>
      </c>
      <c r="O252" s="57" t="str">
        <f aca="false">'STUDENT SCREENING'!BG252</f>
        <v/>
      </c>
      <c r="P252" s="57" t="str">
        <f aca="false">'STUDENT SCREENING'!BH252</f>
        <v/>
      </c>
      <c r="Q252" s="57" t="str">
        <f aca="false">'STUDENT SCREENING'!BI252</f>
        <v/>
      </c>
      <c r="R252" s="57" t="str">
        <f aca="false">'STUDENT SCREENING'!BJ252</f>
        <v/>
      </c>
      <c r="S252" s="57" t="str">
        <f aca="false">'STUDENT SCREENING'!BK252</f>
        <v/>
      </c>
      <c r="T252" s="57" t="str">
        <f aca="false">'STUDENT SCREENING'!BL252</f>
        <v/>
      </c>
      <c r="U252" s="57" t="str">
        <f aca="false">'STUDENT SCREENING'!BM252</f>
        <v/>
      </c>
      <c r="V252" s="57" t="str">
        <f aca="false">'STUDENT SCREENING'!BN252</f>
        <v/>
      </c>
      <c r="W252" s="57" t="str">
        <f aca="false">'STUDENT SCREENING'!BO252</f>
        <v/>
      </c>
      <c r="X252" s="57" t="str">
        <f aca="false">IF('STUDENT SCREENING'!W252="","",IFERROR(INDEX('SCORING MASTER'!$D$5:$D$7,MATCH('STUDENT SCREENING'!W252,'SCORING MASTER'!$C$5:$C$7,0)),""))</f>
        <v/>
      </c>
      <c r="Y252" s="57" t="str">
        <f aca="false">IF('STUDENT SCREENING'!X252="","",IFERROR(INDEX('SCORING MASTER'!$D$9:$D$11,MATCH('STUDENT SCREENING'!X252,'SCORING MASTER'!$C$9:$C$11,0)),""))</f>
        <v/>
      </c>
      <c r="Z252" s="57" t="str">
        <f aca="false">IF('STUDENT SCREENING'!Y252="","",IFERROR(INDEX('SCORING MASTER'!$D$13:$D$15,MATCH('STUDENT SCREENING'!Y252,'SCORING MASTER'!$C$13:$C$15,0)),""))</f>
        <v/>
      </c>
      <c r="AA252" s="57" t="str">
        <f aca="false">IF('STUDENT SCREENING'!Z252="","",IFERROR(INDEX('SCORING MASTER'!$D$17:$D$19,MATCH('STUDENT SCREENING'!Z252,'SCORING MASTER'!$C$17:$C$19,0)),""))</f>
        <v/>
      </c>
      <c r="AB252" s="57" t="str">
        <f aca="false">IF('STUDENT SCREENING'!AA252="","",IFERROR(INDEX('SCORING MASTER'!$D$21:$D$23,MATCH('STUDENT SCREENING'!AA252,'SCORING MASTER'!$C$21:$C$23,0)),""))</f>
        <v/>
      </c>
      <c r="AC252" s="57" t="str">
        <f aca="false">IF('STUDENT SCREENING'!AB252="","",IFERROR(INDEX('SCORING MASTER'!$D$25:$D$27,MATCH('STUDENT SCREENING'!AB252,'SCORING MASTER'!$C$25:$C$27,0)),""))</f>
        <v/>
      </c>
      <c r="AD252" s="57" t="str">
        <f aca="false">IF('STUDENT SCREENING'!AC252="","",IFERROR(INDEX('SCORING MASTER'!$D$29:$D$31,MATCH('STUDENT SCREENING'!AC252,'SCORING MASTER'!$C$29:$C$31,0)),""))</f>
        <v/>
      </c>
      <c r="AE252" s="57" t="str">
        <f aca="false">IF('STUDENT SCREENING'!AD252="","",IFERROR(INDEX('SCORING MASTER'!$D$33:$D$35,MATCH('STUDENT SCREENING'!AD252,'SCORING MASTER'!$C$33:$C$35,0)),""))</f>
        <v/>
      </c>
      <c r="AF252" s="57" t="str">
        <f aca="false">IF('STUDENT SCREENING'!AE252="","",IFERROR(INDEX('SCORING MASTER'!$D$37:$D$39,MATCH('STUDENT SCREENING'!AE252,'SCORING MASTER'!$C$37:$C$39,0)),""))</f>
        <v/>
      </c>
      <c r="AG252" s="57" t="str">
        <f aca="false">IF('STUDENT SCREENING'!AF252="","",IFERROR(INDEX('SCORING MASTER'!$D$41:$D$43,MATCH('STUDENT SCREENING'!AF252,'SCORING MASTER'!$C$41:$C$43,0)),""))</f>
        <v/>
      </c>
      <c r="AH252" s="57" t="str">
        <f aca="false">IF('STUDENT SCREENING'!AG252="","",IFERROR(INDEX('SCORING MASTER'!$D$45:$D$47,MATCH('STUDENT SCREENING'!AG252,'SCORING MASTER'!$C$45:$C$47,0)),""))</f>
        <v/>
      </c>
      <c r="AI252" s="57" t="str">
        <f aca="false">IF('STUDENT SCREENING'!AH252="","",IFERROR(INDEX('SCORING MASTER'!$D$49:$D$52,MATCH('STUDENT SCREENING'!AH252,'SCORING MASTER'!$C$49:$C$52,0)),""))</f>
        <v/>
      </c>
      <c r="AJ252" s="57" t="str">
        <f aca="false">IF('STUDENT SCREENING'!AI252="","",IFERROR(INDEX('SCORING MASTER'!$D$54:$D$57,MATCH('STUDENT SCREENING'!AI252,'SCORING MASTER'!$C$54:$C$57,0)),""))</f>
        <v/>
      </c>
      <c r="AK252" s="57" t="str">
        <f aca="false">IF('STUDENT SCREENING'!AJ252="","",IFERROR(INDEX('SCORING MASTER'!$D$59:$D$60,MATCH('STUDENT SCREENING'!AJ252,'SCORING MASTER'!$C$59:$C$60,0)),""))</f>
        <v/>
      </c>
      <c r="AL252" s="57" t="str">
        <f aca="false">IF('STUDENT SCREENING'!AK252="","",IFERROR(INDEX('SCORING MASTER'!$D$62:$D$63,MATCH('STUDENT SCREENING'!AK252,'SCORING MASTER'!$C$62:$C$63,0)),""))</f>
        <v/>
      </c>
      <c r="AM252" s="57" t="str">
        <f aca="false">IF('STUDENT SCREENING'!AL252="","",IFERROR(INDEX('SCORING MASTER'!$D$65:$D$66,MATCH('STUDENT SCREENING'!AL252,'SCORING MASTER'!$C$65:$C$66,0)),""))</f>
        <v/>
      </c>
      <c r="AN252" s="57" t="str">
        <f aca="false">IF('STUDENT SCREENING'!AM252="","",IFERROR(INDEX('SCORING MASTER'!$D$68:$D$69,MATCH('STUDENT SCREENING'!AM252,'SCORING MASTER'!$C$68:$C$69,0)),""))</f>
        <v/>
      </c>
      <c r="AO252" s="57" t="str">
        <f aca="false">IF('STUDENT SCREENING'!AN252="","",IFERROR(INDEX('SCORING MASTER'!$D$71:$D$72,MATCH('STUDENT SCREENING'!AN252,'SCORING MASTER'!$C$71:$C$72,0)),""))</f>
        <v/>
      </c>
      <c r="AP252" s="57" t="str">
        <f aca="false">IF('STUDENT SCREENING'!AO252="","",IFERROR(INDEX('SCORING MASTER'!$D$74:$D$75,MATCH('STUDENT SCREENING'!AO252,'SCORING MASTER'!$C$74:$C$75,0)),""))</f>
        <v/>
      </c>
      <c r="AQ252" s="57" t="str">
        <f aca="false">IF('STUDENT SCREENING'!AP252="","",IFERROR(INDEX('SCORING MASTER'!$D$77:$D$78,MATCH('STUDENT SCREENING'!AP252,'SCORING MASTER'!$C$77:$C$78,0)),""))</f>
        <v/>
      </c>
      <c r="AR252" s="57" t="str">
        <f aca="false">IF('STUDENT SCREENING'!AQ252="","",IFERROR(INDEX('SCORING MASTER'!$D$80:$D$82,MATCH('STUDENT SCREENING'!AQ252,'SCORING MASTER'!$C$80:$C$82,0)),""))</f>
        <v/>
      </c>
      <c r="AS252" s="57" t="str">
        <f aca="false">IF('STUDENT SCREENING'!AR252="","",IFERROR(INDEX('SCORING MASTER'!$D$84:$D$86,MATCH('STUDENT SCREENING'!AR252,'SCORING MASTER'!$C$84:$C$86,0)),""))</f>
        <v/>
      </c>
      <c r="AT252" s="57" t="str">
        <f aca="false">IF('STUDENT SCREENING'!AS252="","",IFERROR(INDEX('SCORING MASTER'!$D$88:$D$90,MATCH('STUDENT SCREENING'!AS252,'SCORING MASTER'!$C$88:$C$90,0)),""))</f>
        <v/>
      </c>
      <c r="AU252" s="57" t="str">
        <f aca="false">IF('STUDENT SCREENING'!AT252="","",IFERROR(INDEX('SCORING MASTER'!$D$92:$D$93,MATCH('STUDENT SCREENING'!AT252,'SCORING MASTER'!$C$92:$C$93,0)),""))</f>
        <v/>
      </c>
      <c r="AV252" s="57" t="str">
        <f aca="false">IF('STUDENT SCREENING'!AU252="","",IFERROR(INDEX('SCORING MASTER'!$D$95:$D$96,MATCH('STUDENT SCREENING'!AU252,'SCORING MASTER'!$C$95:$C$96,0)),""))</f>
        <v/>
      </c>
      <c r="AW252" s="57" t="str">
        <f aca="false">IF('STUDENT SCREENING'!AV252="","",IFERROR(INDEX('SCORING MASTER'!$D$98:$D$99,MATCH('STUDENT SCREENING'!AV252,'SCORING MASTER'!$C$98:$C$99,0)),""))</f>
        <v/>
      </c>
      <c r="AX252" s="57" t="str">
        <f aca="false">IF('STUDENT SCREENING'!AW252="","",IFERROR(INDEX('SCORING MASTER'!$D$101:$D$102,MATCH('STUDENT SCREENING'!AW252,'SCORING MASTER'!$C$101:$C$102,0)),""))</f>
        <v/>
      </c>
      <c r="AY252" s="57" t="str">
        <f aca="false">IF('STUDENT SCREENING'!AX252="","",IFERROR(INDEX('SCORING MASTER'!$D$104:$D$105,MATCH('STUDENT SCREENING'!AX252,'SCORING MASTER'!$C$104:$C$105,0)),""))</f>
        <v/>
      </c>
      <c r="AZ252" s="57" t="str">
        <f aca="false">IF('STUDENT SCREENING'!AY252="","",IFERROR(INDEX('SCORING MASTER'!$D$107:$D$108,MATCH('STUDENT SCREENING'!AY252,'SCORING MASTER'!$C$107:$C$108,0)),""))</f>
        <v/>
      </c>
      <c r="BA252" s="57" t="str">
        <f aca="false">IF('STUDENT SCREENING'!AZ252="","",IFERROR(INDEX('SCORING MASTER'!$D$110:$D$111,MATCH('STUDENT SCREENING'!AZ252,'SCORING MASTER'!$C$110:$C$111,0)),""))</f>
        <v/>
      </c>
      <c r="BB252" s="57" t="str">
        <f aca="false">IF('STUDENT SCREENING'!BA252="","",IFERROR(INDEX('SCORING MASTER'!$D$113:$D$115,MATCH('STUDENT SCREENING'!BA252,'SCORING MASTER'!$C$113:$C$115,0)),""))</f>
        <v/>
      </c>
      <c r="BC252" s="57" t="str">
        <f aca="false">IF('STUDENT SCREENING'!BB252="","",IFERROR(INDEX('SCORING MASTER'!$D$117:$D$119,MATCH('STUDENT SCREENING'!BB252,'SCORING MASTER'!$C$117:$C$119,0)),""))</f>
        <v/>
      </c>
      <c r="BD252" s="57" t="str">
        <f aca="false">IF('STUDENT SCREENING'!BC252="","",IFERROR(INDEX('SCORING MASTER'!$D$121:$D$123,MATCH('STUDENT SCREENING'!BC252,'SCORING MASTER'!$C$121:$C$123,0)),""))</f>
        <v/>
      </c>
      <c r="BE252" s="57" t="str">
        <f aca="false">IF('STUDENT SCREENING'!BD252="","",IFERROR(INDEX('SCORING MASTER'!$D$125:$D$126,MATCH('STUDENT SCREENING'!BD252,'SCORING MASTER'!$C$125:$C$126,0)),""))</f>
        <v/>
      </c>
      <c r="BF252" s="57" t="str">
        <f aca="false">IF('STUDENT SCREENING'!BE252="","",IFERROR(INDEX('SCORING MASTER'!$D$128:$D$129,MATCH('STUDENT SCREENING'!BE252,'SCORING MASTER'!$C$128:$C$129,0)),""))</f>
        <v/>
      </c>
      <c r="BG252" s="57" t="str">
        <f aca="false">IF('STUDENT SCREENING'!BP252="","",IFERROR(MATCH('STUDENT SCREENING'!BP252,{"Red - High Risk","Orange - Moderate Risk","Yellow - Mild Risk","Light Green - Mild Watch","Green - Healthy"},0)-1,""))</f>
        <v/>
      </c>
      <c r="BH252" s="57" t="str">
        <f aca="false">IF('STUDENT SCREENING'!BQ252="","",IF('STUDENT SCREENING'!BQ252="Yes",1,0))</f>
        <v/>
      </c>
      <c r="BI252" s="57" t="str">
        <f aca="false">IF('STUDENT SCREENING'!BR252="","",IF('STUDENT SCREENING'!BR252="Yes",1,0))</f>
        <v/>
      </c>
    </row>
    <row r="253" customFormat="false" ht="15" hidden="false" customHeight="false" outlineLevel="0" collapsed="false">
      <c r="A253" s="58" t="str">
        <f aca="false">'STUDENT SCREENING'!A253</f>
        <v/>
      </c>
      <c r="B253" s="58" t="n">
        <f aca="false">'STUDENT SCREENING'!C253</f>
        <v>0</v>
      </c>
      <c r="C253" s="58" t="n">
        <f aca="false">'STUDENT SCREENING'!D253</f>
        <v>0</v>
      </c>
      <c r="D253" s="58" t="n">
        <f aca="false">'STUDENT SCREENING'!E253</f>
        <v>0</v>
      </c>
      <c r="E253" s="58" t="n">
        <f aca="false">'STUDENT SCREENING'!F253</f>
        <v>0</v>
      </c>
      <c r="F253" s="58" t="n">
        <f aca="false">'STUDENT SCREENING'!K253</f>
        <v>0</v>
      </c>
      <c r="G253" s="58" t="n">
        <f aca="false">'STUDENT SCREENING'!J253</f>
        <v>0</v>
      </c>
      <c r="H253" s="58" t="str">
        <f aca="false">IF('STUDENT SCREENING'!K253="","",IFERROR(MATCH('STUDENT SCREENING'!K253,Adm_Gender,0),""))</f>
        <v/>
      </c>
      <c r="I253" s="58" t="n">
        <f aca="false">'STUDENT SCREENING'!Q253</f>
        <v>0</v>
      </c>
      <c r="J253" s="58" t="n">
        <f aca="false">'STUDENT SCREENING'!R253</f>
        <v>0</v>
      </c>
      <c r="K253" s="58" t="str">
        <f aca="false">'STUDENT SCREENING'!S253</f>
        <v/>
      </c>
      <c r="L253" s="58" t="n">
        <f aca="false">'STUDENT SCREENING'!U253</f>
        <v>0</v>
      </c>
      <c r="M253" s="58" t="n">
        <f aca="false">'STUDENT SCREENING'!V253</f>
        <v>0</v>
      </c>
      <c r="N253" s="58" t="str">
        <f aca="false">'STUDENT SCREENING'!BF253</f>
        <v/>
      </c>
      <c r="O253" s="58" t="str">
        <f aca="false">'STUDENT SCREENING'!BG253</f>
        <v/>
      </c>
      <c r="P253" s="58" t="str">
        <f aca="false">'STUDENT SCREENING'!BH253</f>
        <v/>
      </c>
      <c r="Q253" s="58" t="str">
        <f aca="false">'STUDENT SCREENING'!BI253</f>
        <v/>
      </c>
      <c r="R253" s="58" t="str">
        <f aca="false">'STUDENT SCREENING'!BJ253</f>
        <v/>
      </c>
      <c r="S253" s="58" t="str">
        <f aca="false">'STUDENT SCREENING'!BK253</f>
        <v/>
      </c>
      <c r="T253" s="58" t="str">
        <f aca="false">'STUDENT SCREENING'!BL253</f>
        <v/>
      </c>
      <c r="U253" s="58" t="str">
        <f aca="false">'STUDENT SCREENING'!BM253</f>
        <v/>
      </c>
      <c r="V253" s="58" t="str">
        <f aca="false">'STUDENT SCREENING'!BN253</f>
        <v/>
      </c>
      <c r="W253" s="58" t="str">
        <f aca="false">'STUDENT SCREENING'!BO253</f>
        <v/>
      </c>
      <c r="X253" s="58" t="str">
        <f aca="false">IF('STUDENT SCREENING'!W253="","",IFERROR(INDEX('SCORING MASTER'!$D$5:$D$7,MATCH('STUDENT SCREENING'!W253,'SCORING MASTER'!$C$5:$C$7,0)),""))</f>
        <v/>
      </c>
      <c r="Y253" s="58" t="str">
        <f aca="false">IF('STUDENT SCREENING'!X253="","",IFERROR(INDEX('SCORING MASTER'!$D$9:$D$11,MATCH('STUDENT SCREENING'!X253,'SCORING MASTER'!$C$9:$C$11,0)),""))</f>
        <v/>
      </c>
      <c r="Z253" s="58" t="str">
        <f aca="false">IF('STUDENT SCREENING'!Y253="","",IFERROR(INDEX('SCORING MASTER'!$D$13:$D$15,MATCH('STUDENT SCREENING'!Y253,'SCORING MASTER'!$C$13:$C$15,0)),""))</f>
        <v/>
      </c>
      <c r="AA253" s="58" t="str">
        <f aca="false">IF('STUDENT SCREENING'!Z253="","",IFERROR(INDEX('SCORING MASTER'!$D$17:$D$19,MATCH('STUDENT SCREENING'!Z253,'SCORING MASTER'!$C$17:$C$19,0)),""))</f>
        <v/>
      </c>
      <c r="AB253" s="58" t="str">
        <f aca="false">IF('STUDENT SCREENING'!AA253="","",IFERROR(INDEX('SCORING MASTER'!$D$21:$D$23,MATCH('STUDENT SCREENING'!AA253,'SCORING MASTER'!$C$21:$C$23,0)),""))</f>
        <v/>
      </c>
      <c r="AC253" s="58" t="str">
        <f aca="false">IF('STUDENT SCREENING'!AB253="","",IFERROR(INDEX('SCORING MASTER'!$D$25:$D$27,MATCH('STUDENT SCREENING'!AB253,'SCORING MASTER'!$C$25:$C$27,0)),""))</f>
        <v/>
      </c>
      <c r="AD253" s="58" t="str">
        <f aca="false">IF('STUDENT SCREENING'!AC253="","",IFERROR(INDEX('SCORING MASTER'!$D$29:$D$31,MATCH('STUDENT SCREENING'!AC253,'SCORING MASTER'!$C$29:$C$31,0)),""))</f>
        <v/>
      </c>
      <c r="AE253" s="58" t="str">
        <f aca="false">IF('STUDENT SCREENING'!AD253="","",IFERROR(INDEX('SCORING MASTER'!$D$33:$D$35,MATCH('STUDENT SCREENING'!AD253,'SCORING MASTER'!$C$33:$C$35,0)),""))</f>
        <v/>
      </c>
      <c r="AF253" s="58" t="str">
        <f aca="false">IF('STUDENT SCREENING'!AE253="","",IFERROR(INDEX('SCORING MASTER'!$D$37:$D$39,MATCH('STUDENT SCREENING'!AE253,'SCORING MASTER'!$C$37:$C$39,0)),""))</f>
        <v/>
      </c>
      <c r="AG253" s="58" t="str">
        <f aca="false">IF('STUDENT SCREENING'!AF253="","",IFERROR(INDEX('SCORING MASTER'!$D$41:$D$43,MATCH('STUDENT SCREENING'!AF253,'SCORING MASTER'!$C$41:$C$43,0)),""))</f>
        <v/>
      </c>
      <c r="AH253" s="58" t="str">
        <f aca="false">IF('STUDENT SCREENING'!AG253="","",IFERROR(INDEX('SCORING MASTER'!$D$45:$D$47,MATCH('STUDENT SCREENING'!AG253,'SCORING MASTER'!$C$45:$C$47,0)),""))</f>
        <v/>
      </c>
      <c r="AI253" s="58" t="str">
        <f aca="false">IF('STUDENT SCREENING'!AH253="","",IFERROR(INDEX('SCORING MASTER'!$D$49:$D$52,MATCH('STUDENT SCREENING'!AH253,'SCORING MASTER'!$C$49:$C$52,0)),""))</f>
        <v/>
      </c>
      <c r="AJ253" s="58" t="str">
        <f aca="false">IF('STUDENT SCREENING'!AI253="","",IFERROR(INDEX('SCORING MASTER'!$D$54:$D$57,MATCH('STUDENT SCREENING'!AI253,'SCORING MASTER'!$C$54:$C$57,0)),""))</f>
        <v/>
      </c>
      <c r="AK253" s="58" t="str">
        <f aca="false">IF('STUDENT SCREENING'!AJ253="","",IFERROR(INDEX('SCORING MASTER'!$D$59:$D$60,MATCH('STUDENT SCREENING'!AJ253,'SCORING MASTER'!$C$59:$C$60,0)),""))</f>
        <v/>
      </c>
      <c r="AL253" s="58" t="str">
        <f aca="false">IF('STUDENT SCREENING'!AK253="","",IFERROR(INDEX('SCORING MASTER'!$D$62:$D$63,MATCH('STUDENT SCREENING'!AK253,'SCORING MASTER'!$C$62:$C$63,0)),""))</f>
        <v/>
      </c>
      <c r="AM253" s="58" t="str">
        <f aca="false">IF('STUDENT SCREENING'!AL253="","",IFERROR(INDEX('SCORING MASTER'!$D$65:$D$66,MATCH('STUDENT SCREENING'!AL253,'SCORING MASTER'!$C$65:$C$66,0)),""))</f>
        <v/>
      </c>
      <c r="AN253" s="58" t="str">
        <f aca="false">IF('STUDENT SCREENING'!AM253="","",IFERROR(INDEX('SCORING MASTER'!$D$68:$D$69,MATCH('STUDENT SCREENING'!AM253,'SCORING MASTER'!$C$68:$C$69,0)),""))</f>
        <v/>
      </c>
      <c r="AO253" s="58" t="str">
        <f aca="false">IF('STUDENT SCREENING'!AN253="","",IFERROR(INDEX('SCORING MASTER'!$D$71:$D$72,MATCH('STUDENT SCREENING'!AN253,'SCORING MASTER'!$C$71:$C$72,0)),""))</f>
        <v/>
      </c>
      <c r="AP253" s="58" t="str">
        <f aca="false">IF('STUDENT SCREENING'!AO253="","",IFERROR(INDEX('SCORING MASTER'!$D$74:$D$75,MATCH('STUDENT SCREENING'!AO253,'SCORING MASTER'!$C$74:$C$75,0)),""))</f>
        <v/>
      </c>
      <c r="AQ253" s="58" t="str">
        <f aca="false">IF('STUDENT SCREENING'!AP253="","",IFERROR(INDEX('SCORING MASTER'!$D$77:$D$78,MATCH('STUDENT SCREENING'!AP253,'SCORING MASTER'!$C$77:$C$78,0)),""))</f>
        <v/>
      </c>
      <c r="AR253" s="58" t="str">
        <f aca="false">IF('STUDENT SCREENING'!AQ253="","",IFERROR(INDEX('SCORING MASTER'!$D$80:$D$82,MATCH('STUDENT SCREENING'!AQ253,'SCORING MASTER'!$C$80:$C$82,0)),""))</f>
        <v/>
      </c>
      <c r="AS253" s="58" t="str">
        <f aca="false">IF('STUDENT SCREENING'!AR253="","",IFERROR(INDEX('SCORING MASTER'!$D$84:$D$86,MATCH('STUDENT SCREENING'!AR253,'SCORING MASTER'!$C$84:$C$86,0)),""))</f>
        <v/>
      </c>
      <c r="AT253" s="58" t="str">
        <f aca="false">IF('STUDENT SCREENING'!AS253="","",IFERROR(INDEX('SCORING MASTER'!$D$88:$D$90,MATCH('STUDENT SCREENING'!AS253,'SCORING MASTER'!$C$88:$C$90,0)),""))</f>
        <v/>
      </c>
      <c r="AU253" s="58" t="str">
        <f aca="false">IF('STUDENT SCREENING'!AT253="","",IFERROR(INDEX('SCORING MASTER'!$D$92:$D$93,MATCH('STUDENT SCREENING'!AT253,'SCORING MASTER'!$C$92:$C$93,0)),""))</f>
        <v/>
      </c>
      <c r="AV253" s="58" t="str">
        <f aca="false">IF('STUDENT SCREENING'!AU253="","",IFERROR(INDEX('SCORING MASTER'!$D$95:$D$96,MATCH('STUDENT SCREENING'!AU253,'SCORING MASTER'!$C$95:$C$96,0)),""))</f>
        <v/>
      </c>
      <c r="AW253" s="58" t="str">
        <f aca="false">IF('STUDENT SCREENING'!AV253="","",IFERROR(INDEX('SCORING MASTER'!$D$98:$D$99,MATCH('STUDENT SCREENING'!AV253,'SCORING MASTER'!$C$98:$C$99,0)),""))</f>
        <v/>
      </c>
      <c r="AX253" s="58" t="str">
        <f aca="false">IF('STUDENT SCREENING'!AW253="","",IFERROR(INDEX('SCORING MASTER'!$D$101:$D$102,MATCH('STUDENT SCREENING'!AW253,'SCORING MASTER'!$C$101:$C$102,0)),""))</f>
        <v/>
      </c>
      <c r="AY253" s="58" t="str">
        <f aca="false">IF('STUDENT SCREENING'!AX253="","",IFERROR(INDEX('SCORING MASTER'!$D$104:$D$105,MATCH('STUDENT SCREENING'!AX253,'SCORING MASTER'!$C$104:$C$105,0)),""))</f>
        <v/>
      </c>
      <c r="AZ253" s="58" t="str">
        <f aca="false">IF('STUDENT SCREENING'!AY253="","",IFERROR(INDEX('SCORING MASTER'!$D$107:$D$108,MATCH('STUDENT SCREENING'!AY253,'SCORING MASTER'!$C$107:$C$108,0)),""))</f>
        <v/>
      </c>
      <c r="BA253" s="58" t="str">
        <f aca="false">IF('STUDENT SCREENING'!AZ253="","",IFERROR(INDEX('SCORING MASTER'!$D$110:$D$111,MATCH('STUDENT SCREENING'!AZ253,'SCORING MASTER'!$C$110:$C$111,0)),""))</f>
        <v/>
      </c>
      <c r="BB253" s="58" t="str">
        <f aca="false">IF('STUDENT SCREENING'!BA253="","",IFERROR(INDEX('SCORING MASTER'!$D$113:$D$115,MATCH('STUDENT SCREENING'!BA253,'SCORING MASTER'!$C$113:$C$115,0)),""))</f>
        <v/>
      </c>
      <c r="BC253" s="58" t="str">
        <f aca="false">IF('STUDENT SCREENING'!BB253="","",IFERROR(INDEX('SCORING MASTER'!$D$117:$D$119,MATCH('STUDENT SCREENING'!BB253,'SCORING MASTER'!$C$117:$C$119,0)),""))</f>
        <v/>
      </c>
      <c r="BD253" s="58" t="str">
        <f aca="false">IF('STUDENT SCREENING'!BC253="","",IFERROR(INDEX('SCORING MASTER'!$D$121:$D$123,MATCH('STUDENT SCREENING'!BC253,'SCORING MASTER'!$C$121:$C$123,0)),""))</f>
        <v/>
      </c>
      <c r="BE253" s="58" t="str">
        <f aca="false">IF('STUDENT SCREENING'!BD253="","",IFERROR(INDEX('SCORING MASTER'!$D$125:$D$126,MATCH('STUDENT SCREENING'!BD253,'SCORING MASTER'!$C$125:$C$126,0)),""))</f>
        <v/>
      </c>
      <c r="BF253" s="58" t="str">
        <f aca="false">IF('STUDENT SCREENING'!BE253="","",IFERROR(INDEX('SCORING MASTER'!$D$128:$D$129,MATCH('STUDENT SCREENING'!BE253,'SCORING MASTER'!$C$128:$C$129,0)),""))</f>
        <v/>
      </c>
      <c r="BG253" s="58" t="str">
        <f aca="false">IF('STUDENT SCREENING'!BP253="","",IFERROR(MATCH('STUDENT SCREENING'!BP253,{"Red - High Risk","Orange - Moderate Risk","Yellow - Mild Risk","Light Green - Mild Watch","Green - Healthy"},0)-1,""))</f>
        <v/>
      </c>
      <c r="BH253" s="58" t="str">
        <f aca="false">IF('STUDENT SCREENING'!BQ253="","",IF('STUDENT SCREENING'!BQ253="Yes",1,0))</f>
        <v/>
      </c>
      <c r="BI253" s="58" t="str">
        <f aca="false">IF('STUDENT SCREENING'!BR253="","",IF('STUDENT SCREENING'!BR253="Yes",1,0))</f>
        <v/>
      </c>
    </row>
    <row r="254" customFormat="false" ht="15" hidden="false" customHeight="false" outlineLevel="0" collapsed="false">
      <c r="A254" s="57" t="str">
        <f aca="false">'STUDENT SCREENING'!A254</f>
        <v/>
      </c>
      <c r="B254" s="57" t="n">
        <f aca="false">'STUDENT SCREENING'!C254</f>
        <v>0</v>
      </c>
      <c r="C254" s="57" t="n">
        <f aca="false">'STUDENT SCREENING'!D254</f>
        <v>0</v>
      </c>
      <c r="D254" s="57" t="n">
        <f aca="false">'STUDENT SCREENING'!E254</f>
        <v>0</v>
      </c>
      <c r="E254" s="57" t="n">
        <f aca="false">'STUDENT SCREENING'!F254</f>
        <v>0</v>
      </c>
      <c r="F254" s="57" t="n">
        <f aca="false">'STUDENT SCREENING'!K254</f>
        <v>0</v>
      </c>
      <c r="G254" s="57" t="n">
        <f aca="false">'STUDENT SCREENING'!J254</f>
        <v>0</v>
      </c>
      <c r="H254" s="57" t="str">
        <f aca="false">IF('STUDENT SCREENING'!K254="","",IFERROR(MATCH('STUDENT SCREENING'!K254,Adm_Gender,0),""))</f>
        <v/>
      </c>
      <c r="I254" s="57" t="n">
        <f aca="false">'STUDENT SCREENING'!Q254</f>
        <v>0</v>
      </c>
      <c r="J254" s="57" t="n">
        <f aca="false">'STUDENT SCREENING'!R254</f>
        <v>0</v>
      </c>
      <c r="K254" s="57" t="str">
        <f aca="false">'STUDENT SCREENING'!S254</f>
        <v/>
      </c>
      <c r="L254" s="57" t="n">
        <f aca="false">'STUDENT SCREENING'!U254</f>
        <v>0</v>
      </c>
      <c r="M254" s="57" t="n">
        <f aca="false">'STUDENT SCREENING'!V254</f>
        <v>0</v>
      </c>
      <c r="N254" s="57" t="str">
        <f aca="false">'STUDENT SCREENING'!BF254</f>
        <v/>
      </c>
      <c r="O254" s="57" t="str">
        <f aca="false">'STUDENT SCREENING'!BG254</f>
        <v/>
      </c>
      <c r="P254" s="57" t="str">
        <f aca="false">'STUDENT SCREENING'!BH254</f>
        <v/>
      </c>
      <c r="Q254" s="57" t="str">
        <f aca="false">'STUDENT SCREENING'!BI254</f>
        <v/>
      </c>
      <c r="R254" s="57" t="str">
        <f aca="false">'STUDENT SCREENING'!BJ254</f>
        <v/>
      </c>
      <c r="S254" s="57" t="str">
        <f aca="false">'STUDENT SCREENING'!BK254</f>
        <v/>
      </c>
      <c r="T254" s="57" t="str">
        <f aca="false">'STUDENT SCREENING'!BL254</f>
        <v/>
      </c>
      <c r="U254" s="57" t="str">
        <f aca="false">'STUDENT SCREENING'!BM254</f>
        <v/>
      </c>
      <c r="V254" s="57" t="str">
        <f aca="false">'STUDENT SCREENING'!BN254</f>
        <v/>
      </c>
      <c r="W254" s="57" t="str">
        <f aca="false">'STUDENT SCREENING'!BO254</f>
        <v/>
      </c>
      <c r="X254" s="57" t="str">
        <f aca="false">IF('STUDENT SCREENING'!W254="","",IFERROR(INDEX('SCORING MASTER'!$D$5:$D$7,MATCH('STUDENT SCREENING'!W254,'SCORING MASTER'!$C$5:$C$7,0)),""))</f>
        <v/>
      </c>
      <c r="Y254" s="57" t="str">
        <f aca="false">IF('STUDENT SCREENING'!X254="","",IFERROR(INDEX('SCORING MASTER'!$D$9:$D$11,MATCH('STUDENT SCREENING'!X254,'SCORING MASTER'!$C$9:$C$11,0)),""))</f>
        <v/>
      </c>
      <c r="Z254" s="57" t="str">
        <f aca="false">IF('STUDENT SCREENING'!Y254="","",IFERROR(INDEX('SCORING MASTER'!$D$13:$D$15,MATCH('STUDENT SCREENING'!Y254,'SCORING MASTER'!$C$13:$C$15,0)),""))</f>
        <v/>
      </c>
      <c r="AA254" s="57" t="str">
        <f aca="false">IF('STUDENT SCREENING'!Z254="","",IFERROR(INDEX('SCORING MASTER'!$D$17:$D$19,MATCH('STUDENT SCREENING'!Z254,'SCORING MASTER'!$C$17:$C$19,0)),""))</f>
        <v/>
      </c>
      <c r="AB254" s="57" t="str">
        <f aca="false">IF('STUDENT SCREENING'!AA254="","",IFERROR(INDEX('SCORING MASTER'!$D$21:$D$23,MATCH('STUDENT SCREENING'!AA254,'SCORING MASTER'!$C$21:$C$23,0)),""))</f>
        <v/>
      </c>
      <c r="AC254" s="57" t="str">
        <f aca="false">IF('STUDENT SCREENING'!AB254="","",IFERROR(INDEX('SCORING MASTER'!$D$25:$D$27,MATCH('STUDENT SCREENING'!AB254,'SCORING MASTER'!$C$25:$C$27,0)),""))</f>
        <v/>
      </c>
      <c r="AD254" s="57" t="str">
        <f aca="false">IF('STUDENT SCREENING'!AC254="","",IFERROR(INDEX('SCORING MASTER'!$D$29:$D$31,MATCH('STUDENT SCREENING'!AC254,'SCORING MASTER'!$C$29:$C$31,0)),""))</f>
        <v/>
      </c>
      <c r="AE254" s="57" t="str">
        <f aca="false">IF('STUDENT SCREENING'!AD254="","",IFERROR(INDEX('SCORING MASTER'!$D$33:$D$35,MATCH('STUDENT SCREENING'!AD254,'SCORING MASTER'!$C$33:$C$35,0)),""))</f>
        <v/>
      </c>
      <c r="AF254" s="57" t="str">
        <f aca="false">IF('STUDENT SCREENING'!AE254="","",IFERROR(INDEX('SCORING MASTER'!$D$37:$D$39,MATCH('STUDENT SCREENING'!AE254,'SCORING MASTER'!$C$37:$C$39,0)),""))</f>
        <v/>
      </c>
      <c r="AG254" s="57" t="str">
        <f aca="false">IF('STUDENT SCREENING'!AF254="","",IFERROR(INDEX('SCORING MASTER'!$D$41:$D$43,MATCH('STUDENT SCREENING'!AF254,'SCORING MASTER'!$C$41:$C$43,0)),""))</f>
        <v/>
      </c>
      <c r="AH254" s="57" t="str">
        <f aca="false">IF('STUDENT SCREENING'!AG254="","",IFERROR(INDEX('SCORING MASTER'!$D$45:$D$47,MATCH('STUDENT SCREENING'!AG254,'SCORING MASTER'!$C$45:$C$47,0)),""))</f>
        <v/>
      </c>
      <c r="AI254" s="57" t="str">
        <f aca="false">IF('STUDENT SCREENING'!AH254="","",IFERROR(INDEX('SCORING MASTER'!$D$49:$D$52,MATCH('STUDENT SCREENING'!AH254,'SCORING MASTER'!$C$49:$C$52,0)),""))</f>
        <v/>
      </c>
      <c r="AJ254" s="57" t="str">
        <f aca="false">IF('STUDENT SCREENING'!AI254="","",IFERROR(INDEX('SCORING MASTER'!$D$54:$D$57,MATCH('STUDENT SCREENING'!AI254,'SCORING MASTER'!$C$54:$C$57,0)),""))</f>
        <v/>
      </c>
      <c r="AK254" s="57" t="str">
        <f aca="false">IF('STUDENT SCREENING'!AJ254="","",IFERROR(INDEX('SCORING MASTER'!$D$59:$D$60,MATCH('STUDENT SCREENING'!AJ254,'SCORING MASTER'!$C$59:$C$60,0)),""))</f>
        <v/>
      </c>
      <c r="AL254" s="57" t="str">
        <f aca="false">IF('STUDENT SCREENING'!AK254="","",IFERROR(INDEX('SCORING MASTER'!$D$62:$D$63,MATCH('STUDENT SCREENING'!AK254,'SCORING MASTER'!$C$62:$C$63,0)),""))</f>
        <v/>
      </c>
      <c r="AM254" s="57" t="str">
        <f aca="false">IF('STUDENT SCREENING'!AL254="","",IFERROR(INDEX('SCORING MASTER'!$D$65:$D$66,MATCH('STUDENT SCREENING'!AL254,'SCORING MASTER'!$C$65:$C$66,0)),""))</f>
        <v/>
      </c>
      <c r="AN254" s="57" t="str">
        <f aca="false">IF('STUDENT SCREENING'!AM254="","",IFERROR(INDEX('SCORING MASTER'!$D$68:$D$69,MATCH('STUDENT SCREENING'!AM254,'SCORING MASTER'!$C$68:$C$69,0)),""))</f>
        <v/>
      </c>
      <c r="AO254" s="57" t="str">
        <f aca="false">IF('STUDENT SCREENING'!AN254="","",IFERROR(INDEX('SCORING MASTER'!$D$71:$D$72,MATCH('STUDENT SCREENING'!AN254,'SCORING MASTER'!$C$71:$C$72,0)),""))</f>
        <v/>
      </c>
      <c r="AP254" s="57" t="str">
        <f aca="false">IF('STUDENT SCREENING'!AO254="","",IFERROR(INDEX('SCORING MASTER'!$D$74:$D$75,MATCH('STUDENT SCREENING'!AO254,'SCORING MASTER'!$C$74:$C$75,0)),""))</f>
        <v/>
      </c>
      <c r="AQ254" s="57" t="str">
        <f aca="false">IF('STUDENT SCREENING'!AP254="","",IFERROR(INDEX('SCORING MASTER'!$D$77:$D$78,MATCH('STUDENT SCREENING'!AP254,'SCORING MASTER'!$C$77:$C$78,0)),""))</f>
        <v/>
      </c>
      <c r="AR254" s="57" t="str">
        <f aca="false">IF('STUDENT SCREENING'!AQ254="","",IFERROR(INDEX('SCORING MASTER'!$D$80:$D$82,MATCH('STUDENT SCREENING'!AQ254,'SCORING MASTER'!$C$80:$C$82,0)),""))</f>
        <v/>
      </c>
      <c r="AS254" s="57" t="str">
        <f aca="false">IF('STUDENT SCREENING'!AR254="","",IFERROR(INDEX('SCORING MASTER'!$D$84:$D$86,MATCH('STUDENT SCREENING'!AR254,'SCORING MASTER'!$C$84:$C$86,0)),""))</f>
        <v/>
      </c>
      <c r="AT254" s="57" t="str">
        <f aca="false">IF('STUDENT SCREENING'!AS254="","",IFERROR(INDEX('SCORING MASTER'!$D$88:$D$90,MATCH('STUDENT SCREENING'!AS254,'SCORING MASTER'!$C$88:$C$90,0)),""))</f>
        <v/>
      </c>
      <c r="AU254" s="57" t="str">
        <f aca="false">IF('STUDENT SCREENING'!AT254="","",IFERROR(INDEX('SCORING MASTER'!$D$92:$D$93,MATCH('STUDENT SCREENING'!AT254,'SCORING MASTER'!$C$92:$C$93,0)),""))</f>
        <v/>
      </c>
      <c r="AV254" s="57" t="str">
        <f aca="false">IF('STUDENT SCREENING'!AU254="","",IFERROR(INDEX('SCORING MASTER'!$D$95:$D$96,MATCH('STUDENT SCREENING'!AU254,'SCORING MASTER'!$C$95:$C$96,0)),""))</f>
        <v/>
      </c>
      <c r="AW254" s="57" t="str">
        <f aca="false">IF('STUDENT SCREENING'!AV254="","",IFERROR(INDEX('SCORING MASTER'!$D$98:$D$99,MATCH('STUDENT SCREENING'!AV254,'SCORING MASTER'!$C$98:$C$99,0)),""))</f>
        <v/>
      </c>
      <c r="AX254" s="57" t="str">
        <f aca="false">IF('STUDENT SCREENING'!AW254="","",IFERROR(INDEX('SCORING MASTER'!$D$101:$D$102,MATCH('STUDENT SCREENING'!AW254,'SCORING MASTER'!$C$101:$C$102,0)),""))</f>
        <v/>
      </c>
      <c r="AY254" s="57" t="str">
        <f aca="false">IF('STUDENT SCREENING'!AX254="","",IFERROR(INDEX('SCORING MASTER'!$D$104:$D$105,MATCH('STUDENT SCREENING'!AX254,'SCORING MASTER'!$C$104:$C$105,0)),""))</f>
        <v/>
      </c>
      <c r="AZ254" s="57" t="str">
        <f aca="false">IF('STUDENT SCREENING'!AY254="","",IFERROR(INDEX('SCORING MASTER'!$D$107:$D$108,MATCH('STUDENT SCREENING'!AY254,'SCORING MASTER'!$C$107:$C$108,0)),""))</f>
        <v/>
      </c>
      <c r="BA254" s="57" t="str">
        <f aca="false">IF('STUDENT SCREENING'!AZ254="","",IFERROR(INDEX('SCORING MASTER'!$D$110:$D$111,MATCH('STUDENT SCREENING'!AZ254,'SCORING MASTER'!$C$110:$C$111,0)),""))</f>
        <v/>
      </c>
      <c r="BB254" s="57" t="str">
        <f aca="false">IF('STUDENT SCREENING'!BA254="","",IFERROR(INDEX('SCORING MASTER'!$D$113:$D$115,MATCH('STUDENT SCREENING'!BA254,'SCORING MASTER'!$C$113:$C$115,0)),""))</f>
        <v/>
      </c>
      <c r="BC254" s="57" t="str">
        <f aca="false">IF('STUDENT SCREENING'!BB254="","",IFERROR(INDEX('SCORING MASTER'!$D$117:$D$119,MATCH('STUDENT SCREENING'!BB254,'SCORING MASTER'!$C$117:$C$119,0)),""))</f>
        <v/>
      </c>
      <c r="BD254" s="57" t="str">
        <f aca="false">IF('STUDENT SCREENING'!BC254="","",IFERROR(INDEX('SCORING MASTER'!$D$121:$D$123,MATCH('STUDENT SCREENING'!BC254,'SCORING MASTER'!$C$121:$C$123,0)),""))</f>
        <v/>
      </c>
      <c r="BE254" s="57" t="str">
        <f aca="false">IF('STUDENT SCREENING'!BD254="","",IFERROR(INDEX('SCORING MASTER'!$D$125:$D$126,MATCH('STUDENT SCREENING'!BD254,'SCORING MASTER'!$C$125:$C$126,0)),""))</f>
        <v/>
      </c>
      <c r="BF254" s="57" t="str">
        <f aca="false">IF('STUDENT SCREENING'!BE254="","",IFERROR(INDEX('SCORING MASTER'!$D$128:$D$129,MATCH('STUDENT SCREENING'!BE254,'SCORING MASTER'!$C$128:$C$129,0)),""))</f>
        <v/>
      </c>
      <c r="BG254" s="57" t="str">
        <f aca="false">IF('STUDENT SCREENING'!BP254="","",IFERROR(MATCH('STUDENT SCREENING'!BP254,{"Red - High Risk","Orange - Moderate Risk","Yellow - Mild Risk","Light Green - Mild Watch","Green - Healthy"},0)-1,""))</f>
        <v/>
      </c>
      <c r="BH254" s="57" t="str">
        <f aca="false">IF('STUDENT SCREENING'!BQ254="","",IF('STUDENT SCREENING'!BQ254="Yes",1,0))</f>
        <v/>
      </c>
      <c r="BI254" s="57" t="str">
        <f aca="false">IF('STUDENT SCREENING'!BR254="","",IF('STUDENT SCREENING'!BR254="Yes",1,0))</f>
        <v/>
      </c>
    </row>
    <row r="255" customFormat="false" ht="15" hidden="false" customHeight="false" outlineLevel="0" collapsed="false">
      <c r="A255" s="58" t="str">
        <f aca="false">'STUDENT SCREENING'!A255</f>
        <v/>
      </c>
      <c r="B255" s="58" t="n">
        <f aca="false">'STUDENT SCREENING'!C255</f>
        <v>0</v>
      </c>
      <c r="C255" s="58" t="n">
        <f aca="false">'STUDENT SCREENING'!D255</f>
        <v>0</v>
      </c>
      <c r="D255" s="58" t="n">
        <f aca="false">'STUDENT SCREENING'!E255</f>
        <v>0</v>
      </c>
      <c r="E255" s="58" t="n">
        <f aca="false">'STUDENT SCREENING'!F255</f>
        <v>0</v>
      </c>
      <c r="F255" s="58" t="n">
        <f aca="false">'STUDENT SCREENING'!K255</f>
        <v>0</v>
      </c>
      <c r="G255" s="58" t="n">
        <f aca="false">'STUDENT SCREENING'!J255</f>
        <v>0</v>
      </c>
      <c r="H255" s="58" t="str">
        <f aca="false">IF('STUDENT SCREENING'!K255="","",IFERROR(MATCH('STUDENT SCREENING'!K255,Adm_Gender,0),""))</f>
        <v/>
      </c>
      <c r="I255" s="58" t="n">
        <f aca="false">'STUDENT SCREENING'!Q255</f>
        <v>0</v>
      </c>
      <c r="J255" s="58" t="n">
        <f aca="false">'STUDENT SCREENING'!R255</f>
        <v>0</v>
      </c>
      <c r="K255" s="58" t="str">
        <f aca="false">'STUDENT SCREENING'!S255</f>
        <v/>
      </c>
      <c r="L255" s="58" t="n">
        <f aca="false">'STUDENT SCREENING'!U255</f>
        <v>0</v>
      </c>
      <c r="M255" s="58" t="n">
        <f aca="false">'STUDENT SCREENING'!V255</f>
        <v>0</v>
      </c>
      <c r="N255" s="58" t="str">
        <f aca="false">'STUDENT SCREENING'!BF255</f>
        <v/>
      </c>
      <c r="O255" s="58" t="str">
        <f aca="false">'STUDENT SCREENING'!BG255</f>
        <v/>
      </c>
      <c r="P255" s="58" t="str">
        <f aca="false">'STUDENT SCREENING'!BH255</f>
        <v/>
      </c>
      <c r="Q255" s="58" t="str">
        <f aca="false">'STUDENT SCREENING'!BI255</f>
        <v/>
      </c>
      <c r="R255" s="58" t="str">
        <f aca="false">'STUDENT SCREENING'!BJ255</f>
        <v/>
      </c>
      <c r="S255" s="58" t="str">
        <f aca="false">'STUDENT SCREENING'!BK255</f>
        <v/>
      </c>
      <c r="T255" s="58" t="str">
        <f aca="false">'STUDENT SCREENING'!BL255</f>
        <v/>
      </c>
      <c r="U255" s="58" t="str">
        <f aca="false">'STUDENT SCREENING'!BM255</f>
        <v/>
      </c>
      <c r="V255" s="58" t="str">
        <f aca="false">'STUDENT SCREENING'!BN255</f>
        <v/>
      </c>
      <c r="W255" s="58" t="str">
        <f aca="false">'STUDENT SCREENING'!BO255</f>
        <v/>
      </c>
      <c r="X255" s="58" t="str">
        <f aca="false">IF('STUDENT SCREENING'!W255="","",IFERROR(INDEX('SCORING MASTER'!$D$5:$D$7,MATCH('STUDENT SCREENING'!W255,'SCORING MASTER'!$C$5:$C$7,0)),""))</f>
        <v/>
      </c>
      <c r="Y255" s="58" t="str">
        <f aca="false">IF('STUDENT SCREENING'!X255="","",IFERROR(INDEX('SCORING MASTER'!$D$9:$D$11,MATCH('STUDENT SCREENING'!X255,'SCORING MASTER'!$C$9:$C$11,0)),""))</f>
        <v/>
      </c>
      <c r="Z255" s="58" t="str">
        <f aca="false">IF('STUDENT SCREENING'!Y255="","",IFERROR(INDEX('SCORING MASTER'!$D$13:$D$15,MATCH('STUDENT SCREENING'!Y255,'SCORING MASTER'!$C$13:$C$15,0)),""))</f>
        <v/>
      </c>
      <c r="AA255" s="58" t="str">
        <f aca="false">IF('STUDENT SCREENING'!Z255="","",IFERROR(INDEX('SCORING MASTER'!$D$17:$D$19,MATCH('STUDENT SCREENING'!Z255,'SCORING MASTER'!$C$17:$C$19,0)),""))</f>
        <v/>
      </c>
      <c r="AB255" s="58" t="str">
        <f aca="false">IF('STUDENT SCREENING'!AA255="","",IFERROR(INDEX('SCORING MASTER'!$D$21:$D$23,MATCH('STUDENT SCREENING'!AA255,'SCORING MASTER'!$C$21:$C$23,0)),""))</f>
        <v/>
      </c>
      <c r="AC255" s="58" t="str">
        <f aca="false">IF('STUDENT SCREENING'!AB255="","",IFERROR(INDEX('SCORING MASTER'!$D$25:$D$27,MATCH('STUDENT SCREENING'!AB255,'SCORING MASTER'!$C$25:$C$27,0)),""))</f>
        <v/>
      </c>
      <c r="AD255" s="58" t="str">
        <f aca="false">IF('STUDENT SCREENING'!AC255="","",IFERROR(INDEX('SCORING MASTER'!$D$29:$D$31,MATCH('STUDENT SCREENING'!AC255,'SCORING MASTER'!$C$29:$C$31,0)),""))</f>
        <v/>
      </c>
      <c r="AE255" s="58" t="str">
        <f aca="false">IF('STUDENT SCREENING'!AD255="","",IFERROR(INDEX('SCORING MASTER'!$D$33:$D$35,MATCH('STUDENT SCREENING'!AD255,'SCORING MASTER'!$C$33:$C$35,0)),""))</f>
        <v/>
      </c>
      <c r="AF255" s="58" t="str">
        <f aca="false">IF('STUDENT SCREENING'!AE255="","",IFERROR(INDEX('SCORING MASTER'!$D$37:$D$39,MATCH('STUDENT SCREENING'!AE255,'SCORING MASTER'!$C$37:$C$39,0)),""))</f>
        <v/>
      </c>
      <c r="AG255" s="58" t="str">
        <f aca="false">IF('STUDENT SCREENING'!AF255="","",IFERROR(INDEX('SCORING MASTER'!$D$41:$D$43,MATCH('STUDENT SCREENING'!AF255,'SCORING MASTER'!$C$41:$C$43,0)),""))</f>
        <v/>
      </c>
      <c r="AH255" s="58" t="str">
        <f aca="false">IF('STUDENT SCREENING'!AG255="","",IFERROR(INDEX('SCORING MASTER'!$D$45:$D$47,MATCH('STUDENT SCREENING'!AG255,'SCORING MASTER'!$C$45:$C$47,0)),""))</f>
        <v/>
      </c>
      <c r="AI255" s="58" t="str">
        <f aca="false">IF('STUDENT SCREENING'!AH255="","",IFERROR(INDEX('SCORING MASTER'!$D$49:$D$52,MATCH('STUDENT SCREENING'!AH255,'SCORING MASTER'!$C$49:$C$52,0)),""))</f>
        <v/>
      </c>
      <c r="AJ255" s="58" t="str">
        <f aca="false">IF('STUDENT SCREENING'!AI255="","",IFERROR(INDEX('SCORING MASTER'!$D$54:$D$57,MATCH('STUDENT SCREENING'!AI255,'SCORING MASTER'!$C$54:$C$57,0)),""))</f>
        <v/>
      </c>
      <c r="AK255" s="58" t="str">
        <f aca="false">IF('STUDENT SCREENING'!AJ255="","",IFERROR(INDEX('SCORING MASTER'!$D$59:$D$60,MATCH('STUDENT SCREENING'!AJ255,'SCORING MASTER'!$C$59:$C$60,0)),""))</f>
        <v/>
      </c>
      <c r="AL255" s="58" t="str">
        <f aca="false">IF('STUDENT SCREENING'!AK255="","",IFERROR(INDEX('SCORING MASTER'!$D$62:$D$63,MATCH('STUDENT SCREENING'!AK255,'SCORING MASTER'!$C$62:$C$63,0)),""))</f>
        <v/>
      </c>
      <c r="AM255" s="58" t="str">
        <f aca="false">IF('STUDENT SCREENING'!AL255="","",IFERROR(INDEX('SCORING MASTER'!$D$65:$D$66,MATCH('STUDENT SCREENING'!AL255,'SCORING MASTER'!$C$65:$C$66,0)),""))</f>
        <v/>
      </c>
      <c r="AN255" s="58" t="str">
        <f aca="false">IF('STUDENT SCREENING'!AM255="","",IFERROR(INDEX('SCORING MASTER'!$D$68:$D$69,MATCH('STUDENT SCREENING'!AM255,'SCORING MASTER'!$C$68:$C$69,0)),""))</f>
        <v/>
      </c>
      <c r="AO255" s="58" t="str">
        <f aca="false">IF('STUDENT SCREENING'!AN255="","",IFERROR(INDEX('SCORING MASTER'!$D$71:$D$72,MATCH('STUDENT SCREENING'!AN255,'SCORING MASTER'!$C$71:$C$72,0)),""))</f>
        <v/>
      </c>
      <c r="AP255" s="58" t="str">
        <f aca="false">IF('STUDENT SCREENING'!AO255="","",IFERROR(INDEX('SCORING MASTER'!$D$74:$D$75,MATCH('STUDENT SCREENING'!AO255,'SCORING MASTER'!$C$74:$C$75,0)),""))</f>
        <v/>
      </c>
      <c r="AQ255" s="58" t="str">
        <f aca="false">IF('STUDENT SCREENING'!AP255="","",IFERROR(INDEX('SCORING MASTER'!$D$77:$D$78,MATCH('STUDENT SCREENING'!AP255,'SCORING MASTER'!$C$77:$C$78,0)),""))</f>
        <v/>
      </c>
      <c r="AR255" s="58" t="str">
        <f aca="false">IF('STUDENT SCREENING'!AQ255="","",IFERROR(INDEX('SCORING MASTER'!$D$80:$D$82,MATCH('STUDENT SCREENING'!AQ255,'SCORING MASTER'!$C$80:$C$82,0)),""))</f>
        <v/>
      </c>
      <c r="AS255" s="58" t="str">
        <f aca="false">IF('STUDENT SCREENING'!AR255="","",IFERROR(INDEX('SCORING MASTER'!$D$84:$D$86,MATCH('STUDENT SCREENING'!AR255,'SCORING MASTER'!$C$84:$C$86,0)),""))</f>
        <v/>
      </c>
      <c r="AT255" s="58" t="str">
        <f aca="false">IF('STUDENT SCREENING'!AS255="","",IFERROR(INDEX('SCORING MASTER'!$D$88:$D$90,MATCH('STUDENT SCREENING'!AS255,'SCORING MASTER'!$C$88:$C$90,0)),""))</f>
        <v/>
      </c>
      <c r="AU255" s="58" t="str">
        <f aca="false">IF('STUDENT SCREENING'!AT255="","",IFERROR(INDEX('SCORING MASTER'!$D$92:$D$93,MATCH('STUDENT SCREENING'!AT255,'SCORING MASTER'!$C$92:$C$93,0)),""))</f>
        <v/>
      </c>
      <c r="AV255" s="58" t="str">
        <f aca="false">IF('STUDENT SCREENING'!AU255="","",IFERROR(INDEX('SCORING MASTER'!$D$95:$D$96,MATCH('STUDENT SCREENING'!AU255,'SCORING MASTER'!$C$95:$C$96,0)),""))</f>
        <v/>
      </c>
      <c r="AW255" s="58" t="str">
        <f aca="false">IF('STUDENT SCREENING'!AV255="","",IFERROR(INDEX('SCORING MASTER'!$D$98:$D$99,MATCH('STUDENT SCREENING'!AV255,'SCORING MASTER'!$C$98:$C$99,0)),""))</f>
        <v/>
      </c>
      <c r="AX255" s="58" t="str">
        <f aca="false">IF('STUDENT SCREENING'!AW255="","",IFERROR(INDEX('SCORING MASTER'!$D$101:$D$102,MATCH('STUDENT SCREENING'!AW255,'SCORING MASTER'!$C$101:$C$102,0)),""))</f>
        <v/>
      </c>
      <c r="AY255" s="58" t="str">
        <f aca="false">IF('STUDENT SCREENING'!AX255="","",IFERROR(INDEX('SCORING MASTER'!$D$104:$D$105,MATCH('STUDENT SCREENING'!AX255,'SCORING MASTER'!$C$104:$C$105,0)),""))</f>
        <v/>
      </c>
      <c r="AZ255" s="58" t="str">
        <f aca="false">IF('STUDENT SCREENING'!AY255="","",IFERROR(INDEX('SCORING MASTER'!$D$107:$D$108,MATCH('STUDENT SCREENING'!AY255,'SCORING MASTER'!$C$107:$C$108,0)),""))</f>
        <v/>
      </c>
      <c r="BA255" s="58" t="str">
        <f aca="false">IF('STUDENT SCREENING'!AZ255="","",IFERROR(INDEX('SCORING MASTER'!$D$110:$D$111,MATCH('STUDENT SCREENING'!AZ255,'SCORING MASTER'!$C$110:$C$111,0)),""))</f>
        <v/>
      </c>
      <c r="BB255" s="58" t="str">
        <f aca="false">IF('STUDENT SCREENING'!BA255="","",IFERROR(INDEX('SCORING MASTER'!$D$113:$D$115,MATCH('STUDENT SCREENING'!BA255,'SCORING MASTER'!$C$113:$C$115,0)),""))</f>
        <v/>
      </c>
      <c r="BC255" s="58" t="str">
        <f aca="false">IF('STUDENT SCREENING'!BB255="","",IFERROR(INDEX('SCORING MASTER'!$D$117:$D$119,MATCH('STUDENT SCREENING'!BB255,'SCORING MASTER'!$C$117:$C$119,0)),""))</f>
        <v/>
      </c>
      <c r="BD255" s="58" t="str">
        <f aca="false">IF('STUDENT SCREENING'!BC255="","",IFERROR(INDEX('SCORING MASTER'!$D$121:$D$123,MATCH('STUDENT SCREENING'!BC255,'SCORING MASTER'!$C$121:$C$123,0)),""))</f>
        <v/>
      </c>
      <c r="BE255" s="58" t="str">
        <f aca="false">IF('STUDENT SCREENING'!BD255="","",IFERROR(INDEX('SCORING MASTER'!$D$125:$D$126,MATCH('STUDENT SCREENING'!BD255,'SCORING MASTER'!$C$125:$C$126,0)),""))</f>
        <v/>
      </c>
      <c r="BF255" s="58" t="str">
        <f aca="false">IF('STUDENT SCREENING'!BE255="","",IFERROR(INDEX('SCORING MASTER'!$D$128:$D$129,MATCH('STUDENT SCREENING'!BE255,'SCORING MASTER'!$C$128:$C$129,0)),""))</f>
        <v/>
      </c>
      <c r="BG255" s="58" t="str">
        <f aca="false">IF('STUDENT SCREENING'!BP255="","",IFERROR(MATCH('STUDENT SCREENING'!BP255,{"Red - High Risk","Orange - Moderate Risk","Yellow - Mild Risk","Light Green - Mild Watch","Green - Healthy"},0)-1,""))</f>
        <v/>
      </c>
      <c r="BH255" s="58" t="str">
        <f aca="false">IF('STUDENT SCREENING'!BQ255="","",IF('STUDENT SCREENING'!BQ255="Yes",1,0))</f>
        <v/>
      </c>
      <c r="BI255" s="58" t="str">
        <f aca="false">IF('STUDENT SCREENING'!BR255="","",IF('STUDENT SCREENING'!BR255="Yes",1,0))</f>
        <v/>
      </c>
    </row>
    <row r="256" customFormat="false" ht="15" hidden="false" customHeight="false" outlineLevel="0" collapsed="false">
      <c r="A256" s="57" t="str">
        <f aca="false">'STUDENT SCREENING'!A256</f>
        <v/>
      </c>
      <c r="B256" s="57" t="n">
        <f aca="false">'STUDENT SCREENING'!C256</f>
        <v>0</v>
      </c>
      <c r="C256" s="57" t="n">
        <f aca="false">'STUDENT SCREENING'!D256</f>
        <v>0</v>
      </c>
      <c r="D256" s="57" t="n">
        <f aca="false">'STUDENT SCREENING'!E256</f>
        <v>0</v>
      </c>
      <c r="E256" s="57" t="n">
        <f aca="false">'STUDENT SCREENING'!F256</f>
        <v>0</v>
      </c>
      <c r="F256" s="57" t="n">
        <f aca="false">'STUDENT SCREENING'!K256</f>
        <v>0</v>
      </c>
      <c r="G256" s="57" t="n">
        <f aca="false">'STUDENT SCREENING'!J256</f>
        <v>0</v>
      </c>
      <c r="H256" s="57" t="str">
        <f aca="false">IF('STUDENT SCREENING'!K256="","",IFERROR(MATCH('STUDENT SCREENING'!K256,Adm_Gender,0),""))</f>
        <v/>
      </c>
      <c r="I256" s="57" t="n">
        <f aca="false">'STUDENT SCREENING'!Q256</f>
        <v>0</v>
      </c>
      <c r="J256" s="57" t="n">
        <f aca="false">'STUDENT SCREENING'!R256</f>
        <v>0</v>
      </c>
      <c r="K256" s="57" t="str">
        <f aca="false">'STUDENT SCREENING'!S256</f>
        <v/>
      </c>
      <c r="L256" s="57" t="n">
        <f aca="false">'STUDENT SCREENING'!U256</f>
        <v>0</v>
      </c>
      <c r="M256" s="57" t="n">
        <f aca="false">'STUDENT SCREENING'!V256</f>
        <v>0</v>
      </c>
      <c r="N256" s="57" t="str">
        <f aca="false">'STUDENT SCREENING'!BF256</f>
        <v/>
      </c>
      <c r="O256" s="57" t="str">
        <f aca="false">'STUDENT SCREENING'!BG256</f>
        <v/>
      </c>
      <c r="P256" s="57" t="str">
        <f aca="false">'STUDENT SCREENING'!BH256</f>
        <v/>
      </c>
      <c r="Q256" s="57" t="str">
        <f aca="false">'STUDENT SCREENING'!BI256</f>
        <v/>
      </c>
      <c r="R256" s="57" t="str">
        <f aca="false">'STUDENT SCREENING'!BJ256</f>
        <v/>
      </c>
      <c r="S256" s="57" t="str">
        <f aca="false">'STUDENT SCREENING'!BK256</f>
        <v/>
      </c>
      <c r="T256" s="57" t="str">
        <f aca="false">'STUDENT SCREENING'!BL256</f>
        <v/>
      </c>
      <c r="U256" s="57" t="str">
        <f aca="false">'STUDENT SCREENING'!BM256</f>
        <v/>
      </c>
      <c r="V256" s="57" t="str">
        <f aca="false">'STUDENT SCREENING'!BN256</f>
        <v/>
      </c>
      <c r="W256" s="57" t="str">
        <f aca="false">'STUDENT SCREENING'!BO256</f>
        <v/>
      </c>
      <c r="X256" s="57" t="str">
        <f aca="false">IF('STUDENT SCREENING'!W256="","",IFERROR(INDEX('SCORING MASTER'!$D$5:$D$7,MATCH('STUDENT SCREENING'!W256,'SCORING MASTER'!$C$5:$C$7,0)),""))</f>
        <v/>
      </c>
      <c r="Y256" s="57" t="str">
        <f aca="false">IF('STUDENT SCREENING'!X256="","",IFERROR(INDEX('SCORING MASTER'!$D$9:$D$11,MATCH('STUDENT SCREENING'!X256,'SCORING MASTER'!$C$9:$C$11,0)),""))</f>
        <v/>
      </c>
      <c r="Z256" s="57" t="str">
        <f aca="false">IF('STUDENT SCREENING'!Y256="","",IFERROR(INDEX('SCORING MASTER'!$D$13:$D$15,MATCH('STUDENT SCREENING'!Y256,'SCORING MASTER'!$C$13:$C$15,0)),""))</f>
        <v/>
      </c>
      <c r="AA256" s="57" t="str">
        <f aca="false">IF('STUDENT SCREENING'!Z256="","",IFERROR(INDEX('SCORING MASTER'!$D$17:$D$19,MATCH('STUDENT SCREENING'!Z256,'SCORING MASTER'!$C$17:$C$19,0)),""))</f>
        <v/>
      </c>
      <c r="AB256" s="57" t="str">
        <f aca="false">IF('STUDENT SCREENING'!AA256="","",IFERROR(INDEX('SCORING MASTER'!$D$21:$D$23,MATCH('STUDENT SCREENING'!AA256,'SCORING MASTER'!$C$21:$C$23,0)),""))</f>
        <v/>
      </c>
      <c r="AC256" s="57" t="str">
        <f aca="false">IF('STUDENT SCREENING'!AB256="","",IFERROR(INDEX('SCORING MASTER'!$D$25:$D$27,MATCH('STUDENT SCREENING'!AB256,'SCORING MASTER'!$C$25:$C$27,0)),""))</f>
        <v/>
      </c>
      <c r="AD256" s="57" t="str">
        <f aca="false">IF('STUDENT SCREENING'!AC256="","",IFERROR(INDEX('SCORING MASTER'!$D$29:$D$31,MATCH('STUDENT SCREENING'!AC256,'SCORING MASTER'!$C$29:$C$31,0)),""))</f>
        <v/>
      </c>
      <c r="AE256" s="57" t="str">
        <f aca="false">IF('STUDENT SCREENING'!AD256="","",IFERROR(INDEX('SCORING MASTER'!$D$33:$D$35,MATCH('STUDENT SCREENING'!AD256,'SCORING MASTER'!$C$33:$C$35,0)),""))</f>
        <v/>
      </c>
      <c r="AF256" s="57" t="str">
        <f aca="false">IF('STUDENT SCREENING'!AE256="","",IFERROR(INDEX('SCORING MASTER'!$D$37:$D$39,MATCH('STUDENT SCREENING'!AE256,'SCORING MASTER'!$C$37:$C$39,0)),""))</f>
        <v/>
      </c>
      <c r="AG256" s="57" t="str">
        <f aca="false">IF('STUDENT SCREENING'!AF256="","",IFERROR(INDEX('SCORING MASTER'!$D$41:$D$43,MATCH('STUDENT SCREENING'!AF256,'SCORING MASTER'!$C$41:$C$43,0)),""))</f>
        <v/>
      </c>
      <c r="AH256" s="57" t="str">
        <f aca="false">IF('STUDENT SCREENING'!AG256="","",IFERROR(INDEX('SCORING MASTER'!$D$45:$D$47,MATCH('STUDENT SCREENING'!AG256,'SCORING MASTER'!$C$45:$C$47,0)),""))</f>
        <v/>
      </c>
      <c r="AI256" s="57" t="str">
        <f aca="false">IF('STUDENT SCREENING'!AH256="","",IFERROR(INDEX('SCORING MASTER'!$D$49:$D$52,MATCH('STUDENT SCREENING'!AH256,'SCORING MASTER'!$C$49:$C$52,0)),""))</f>
        <v/>
      </c>
      <c r="AJ256" s="57" t="str">
        <f aca="false">IF('STUDENT SCREENING'!AI256="","",IFERROR(INDEX('SCORING MASTER'!$D$54:$D$57,MATCH('STUDENT SCREENING'!AI256,'SCORING MASTER'!$C$54:$C$57,0)),""))</f>
        <v/>
      </c>
      <c r="AK256" s="57" t="str">
        <f aca="false">IF('STUDENT SCREENING'!AJ256="","",IFERROR(INDEX('SCORING MASTER'!$D$59:$D$60,MATCH('STUDENT SCREENING'!AJ256,'SCORING MASTER'!$C$59:$C$60,0)),""))</f>
        <v/>
      </c>
      <c r="AL256" s="57" t="str">
        <f aca="false">IF('STUDENT SCREENING'!AK256="","",IFERROR(INDEX('SCORING MASTER'!$D$62:$D$63,MATCH('STUDENT SCREENING'!AK256,'SCORING MASTER'!$C$62:$C$63,0)),""))</f>
        <v/>
      </c>
      <c r="AM256" s="57" t="str">
        <f aca="false">IF('STUDENT SCREENING'!AL256="","",IFERROR(INDEX('SCORING MASTER'!$D$65:$D$66,MATCH('STUDENT SCREENING'!AL256,'SCORING MASTER'!$C$65:$C$66,0)),""))</f>
        <v/>
      </c>
      <c r="AN256" s="57" t="str">
        <f aca="false">IF('STUDENT SCREENING'!AM256="","",IFERROR(INDEX('SCORING MASTER'!$D$68:$D$69,MATCH('STUDENT SCREENING'!AM256,'SCORING MASTER'!$C$68:$C$69,0)),""))</f>
        <v/>
      </c>
      <c r="AO256" s="57" t="str">
        <f aca="false">IF('STUDENT SCREENING'!AN256="","",IFERROR(INDEX('SCORING MASTER'!$D$71:$D$72,MATCH('STUDENT SCREENING'!AN256,'SCORING MASTER'!$C$71:$C$72,0)),""))</f>
        <v/>
      </c>
      <c r="AP256" s="57" t="str">
        <f aca="false">IF('STUDENT SCREENING'!AO256="","",IFERROR(INDEX('SCORING MASTER'!$D$74:$D$75,MATCH('STUDENT SCREENING'!AO256,'SCORING MASTER'!$C$74:$C$75,0)),""))</f>
        <v/>
      </c>
      <c r="AQ256" s="57" t="str">
        <f aca="false">IF('STUDENT SCREENING'!AP256="","",IFERROR(INDEX('SCORING MASTER'!$D$77:$D$78,MATCH('STUDENT SCREENING'!AP256,'SCORING MASTER'!$C$77:$C$78,0)),""))</f>
        <v/>
      </c>
      <c r="AR256" s="57" t="str">
        <f aca="false">IF('STUDENT SCREENING'!AQ256="","",IFERROR(INDEX('SCORING MASTER'!$D$80:$D$82,MATCH('STUDENT SCREENING'!AQ256,'SCORING MASTER'!$C$80:$C$82,0)),""))</f>
        <v/>
      </c>
      <c r="AS256" s="57" t="str">
        <f aca="false">IF('STUDENT SCREENING'!AR256="","",IFERROR(INDEX('SCORING MASTER'!$D$84:$D$86,MATCH('STUDENT SCREENING'!AR256,'SCORING MASTER'!$C$84:$C$86,0)),""))</f>
        <v/>
      </c>
      <c r="AT256" s="57" t="str">
        <f aca="false">IF('STUDENT SCREENING'!AS256="","",IFERROR(INDEX('SCORING MASTER'!$D$88:$D$90,MATCH('STUDENT SCREENING'!AS256,'SCORING MASTER'!$C$88:$C$90,0)),""))</f>
        <v/>
      </c>
      <c r="AU256" s="57" t="str">
        <f aca="false">IF('STUDENT SCREENING'!AT256="","",IFERROR(INDEX('SCORING MASTER'!$D$92:$D$93,MATCH('STUDENT SCREENING'!AT256,'SCORING MASTER'!$C$92:$C$93,0)),""))</f>
        <v/>
      </c>
      <c r="AV256" s="57" t="str">
        <f aca="false">IF('STUDENT SCREENING'!AU256="","",IFERROR(INDEX('SCORING MASTER'!$D$95:$D$96,MATCH('STUDENT SCREENING'!AU256,'SCORING MASTER'!$C$95:$C$96,0)),""))</f>
        <v/>
      </c>
      <c r="AW256" s="57" t="str">
        <f aca="false">IF('STUDENT SCREENING'!AV256="","",IFERROR(INDEX('SCORING MASTER'!$D$98:$D$99,MATCH('STUDENT SCREENING'!AV256,'SCORING MASTER'!$C$98:$C$99,0)),""))</f>
        <v/>
      </c>
      <c r="AX256" s="57" t="str">
        <f aca="false">IF('STUDENT SCREENING'!AW256="","",IFERROR(INDEX('SCORING MASTER'!$D$101:$D$102,MATCH('STUDENT SCREENING'!AW256,'SCORING MASTER'!$C$101:$C$102,0)),""))</f>
        <v/>
      </c>
      <c r="AY256" s="57" t="str">
        <f aca="false">IF('STUDENT SCREENING'!AX256="","",IFERROR(INDEX('SCORING MASTER'!$D$104:$D$105,MATCH('STUDENT SCREENING'!AX256,'SCORING MASTER'!$C$104:$C$105,0)),""))</f>
        <v/>
      </c>
      <c r="AZ256" s="57" t="str">
        <f aca="false">IF('STUDENT SCREENING'!AY256="","",IFERROR(INDEX('SCORING MASTER'!$D$107:$D$108,MATCH('STUDENT SCREENING'!AY256,'SCORING MASTER'!$C$107:$C$108,0)),""))</f>
        <v/>
      </c>
      <c r="BA256" s="57" t="str">
        <f aca="false">IF('STUDENT SCREENING'!AZ256="","",IFERROR(INDEX('SCORING MASTER'!$D$110:$D$111,MATCH('STUDENT SCREENING'!AZ256,'SCORING MASTER'!$C$110:$C$111,0)),""))</f>
        <v/>
      </c>
      <c r="BB256" s="57" t="str">
        <f aca="false">IF('STUDENT SCREENING'!BA256="","",IFERROR(INDEX('SCORING MASTER'!$D$113:$D$115,MATCH('STUDENT SCREENING'!BA256,'SCORING MASTER'!$C$113:$C$115,0)),""))</f>
        <v/>
      </c>
      <c r="BC256" s="57" t="str">
        <f aca="false">IF('STUDENT SCREENING'!BB256="","",IFERROR(INDEX('SCORING MASTER'!$D$117:$D$119,MATCH('STUDENT SCREENING'!BB256,'SCORING MASTER'!$C$117:$C$119,0)),""))</f>
        <v/>
      </c>
      <c r="BD256" s="57" t="str">
        <f aca="false">IF('STUDENT SCREENING'!BC256="","",IFERROR(INDEX('SCORING MASTER'!$D$121:$D$123,MATCH('STUDENT SCREENING'!BC256,'SCORING MASTER'!$C$121:$C$123,0)),""))</f>
        <v/>
      </c>
      <c r="BE256" s="57" t="str">
        <f aca="false">IF('STUDENT SCREENING'!BD256="","",IFERROR(INDEX('SCORING MASTER'!$D$125:$D$126,MATCH('STUDENT SCREENING'!BD256,'SCORING MASTER'!$C$125:$C$126,0)),""))</f>
        <v/>
      </c>
      <c r="BF256" s="57" t="str">
        <f aca="false">IF('STUDENT SCREENING'!BE256="","",IFERROR(INDEX('SCORING MASTER'!$D$128:$D$129,MATCH('STUDENT SCREENING'!BE256,'SCORING MASTER'!$C$128:$C$129,0)),""))</f>
        <v/>
      </c>
      <c r="BG256" s="57" t="str">
        <f aca="false">IF('STUDENT SCREENING'!BP256="","",IFERROR(MATCH('STUDENT SCREENING'!BP256,{"Red - High Risk","Orange - Moderate Risk","Yellow - Mild Risk","Light Green - Mild Watch","Green - Healthy"},0)-1,""))</f>
        <v/>
      </c>
      <c r="BH256" s="57" t="str">
        <f aca="false">IF('STUDENT SCREENING'!BQ256="","",IF('STUDENT SCREENING'!BQ256="Yes",1,0))</f>
        <v/>
      </c>
      <c r="BI256" s="57" t="str">
        <f aca="false">IF('STUDENT SCREENING'!BR256="","",IF('STUDENT SCREENING'!BR256="Yes",1,0))</f>
        <v/>
      </c>
    </row>
    <row r="257" customFormat="false" ht="15" hidden="false" customHeight="false" outlineLevel="0" collapsed="false">
      <c r="A257" s="58" t="str">
        <f aca="false">'STUDENT SCREENING'!A257</f>
        <v/>
      </c>
      <c r="B257" s="58" t="n">
        <f aca="false">'STUDENT SCREENING'!C257</f>
        <v>0</v>
      </c>
      <c r="C257" s="58" t="n">
        <f aca="false">'STUDENT SCREENING'!D257</f>
        <v>0</v>
      </c>
      <c r="D257" s="58" t="n">
        <f aca="false">'STUDENT SCREENING'!E257</f>
        <v>0</v>
      </c>
      <c r="E257" s="58" t="n">
        <f aca="false">'STUDENT SCREENING'!F257</f>
        <v>0</v>
      </c>
      <c r="F257" s="58" t="n">
        <f aca="false">'STUDENT SCREENING'!K257</f>
        <v>0</v>
      </c>
      <c r="G257" s="58" t="n">
        <f aca="false">'STUDENT SCREENING'!J257</f>
        <v>0</v>
      </c>
      <c r="H257" s="58" t="str">
        <f aca="false">IF('STUDENT SCREENING'!K257="","",IFERROR(MATCH('STUDENT SCREENING'!K257,Adm_Gender,0),""))</f>
        <v/>
      </c>
      <c r="I257" s="58" t="n">
        <f aca="false">'STUDENT SCREENING'!Q257</f>
        <v>0</v>
      </c>
      <c r="J257" s="58" t="n">
        <f aca="false">'STUDENT SCREENING'!R257</f>
        <v>0</v>
      </c>
      <c r="K257" s="58" t="str">
        <f aca="false">'STUDENT SCREENING'!S257</f>
        <v/>
      </c>
      <c r="L257" s="58" t="n">
        <f aca="false">'STUDENT SCREENING'!U257</f>
        <v>0</v>
      </c>
      <c r="M257" s="58" t="n">
        <f aca="false">'STUDENT SCREENING'!V257</f>
        <v>0</v>
      </c>
      <c r="N257" s="58" t="str">
        <f aca="false">'STUDENT SCREENING'!BF257</f>
        <v/>
      </c>
      <c r="O257" s="58" t="str">
        <f aca="false">'STUDENT SCREENING'!BG257</f>
        <v/>
      </c>
      <c r="P257" s="58" t="str">
        <f aca="false">'STUDENT SCREENING'!BH257</f>
        <v/>
      </c>
      <c r="Q257" s="58" t="str">
        <f aca="false">'STUDENT SCREENING'!BI257</f>
        <v/>
      </c>
      <c r="R257" s="58" t="str">
        <f aca="false">'STUDENT SCREENING'!BJ257</f>
        <v/>
      </c>
      <c r="S257" s="58" t="str">
        <f aca="false">'STUDENT SCREENING'!BK257</f>
        <v/>
      </c>
      <c r="T257" s="58" t="str">
        <f aca="false">'STUDENT SCREENING'!BL257</f>
        <v/>
      </c>
      <c r="U257" s="58" t="str">
        <f aca="false">'STUDENT SCREENING'!BM257</f>
        <v/>
      </c>
      <c r="V257" s="58" t="str">
        <f aca="false">'STUDENT SCREENING'!BN257</f>
        <v/>
      </c>
      <c r="W257" s="58" t="str">
        <f aca="false">'STUDENT SCREENING'!BO257</f>
        <v/>
      </c>
      <c r="X257" s="58" t="str">
        <f aca="false">IF('STUDENT SCREENING'!W257="","",IFERROR(INDEX('SCORING MASTER'!$D$5:$D$7,MATCH('STUDENT SCREENING'!W257,'SCORING MASTER'!$C$5:$C$7,0)),""))</f>
        <v/>
      </c>
      <c r="Y257" s="58" t="str">
        <f aca="false">IF('STUDENT SCREENING'!X257="","",IFERROR(INDEX('SCORING MASTER'!$D$9:$D$11,MATCH('STUDENT SCREENING'!X257,'SCORING MASTER'!$C$9:$C$11,0)),""))</f>
        <v/>
      </c>
      <c r="Z257" s="58" t="str">
        <f aca="false">IF('STUDENT SCREENING'!Y257="","",IFERROR(INDEX('SCORING MASTER'!$D$13:$D$15,MATCH('STUDENT SCREENING'!Y257,'SCORING MASTER'!$C$13:$C$15,0)),""))</f>
        <v/>
      </c>
      <c r="AA257" s="58" t="str">
        <f aca="false">IF('STUDENT SCREENING'!Z257="","",IFERROR(INDEX('SCORING MASTER'!$D$17:$D$19,MATCH('STUDENT SCREENING'!Z257,'SCORING MASTER'!$C$17:$C$19,0)),""))</f>
        <v/>
      </c>
      <c r="AB257" s="58" t="str">
        <f aca="false">IF('STUDENT SCREENING'!AA257="","",IFERROR(INDEX('SCORING MASTER'!$D$21:$D$23,MATCH('STUDENT SCREENING'!AA257,'SCORING MASTER'!$C$21:$C$23,0)),""))</f>
        <v/>
      </c>
      <c r="AC257" s="58" t="str">
        <f aca="false">IF('STUDENT SCREENING'!AB257="","",IFERROR(INDEX('SCORING MASTER'!$D$25:$D$27,MATCH('STUDENT SCREENING'!AB257,'SCORING MASTER'!$C$25:$C$27,0)),""))</f>
        <v/>
      </c>
      <c r="AD257" s="58" t="str">
        <f aca="false">IF('STUDENT SCREENING'!AC257="","",IFERROR(INDEX('SCORING MASTER'!$D$29:$D$31,MATCH('STUDENT SCREENING'!AC257,'SCORING MASTER'!$C$29:$C$31,0)),""))</f>
        <v/>
      </c>
      <c r="AE257" s="58" t="str">
        <f aca="false">IF('STUDENT SCREENING'!AD257="","",IFERROR(INDEX('SCORING MASTER'!$D$33:$D$35,MATCH('STUDENT SCREENING'!AD257,'SCORING MASTER'!$C$33:$C$35,0)),""))</f>
        <v/>
      </c>
      <c r="AF257" s="58" t="str">
        <f aca="false">IF('STUDENT SCREENING'!AE257="","",IFERROR(INDEX('SCORING MASTER'!$D$37:$D$39,MATCH('STUDENT SCREENING'!AE257,'SCORING MASTER'!$C$37:$C$39,0)),""))</f>
        <v/>
      </c>
      <c r="AG257" s="58" t="str">
        <f aca="false">IF('STUDENT SCREENING'!AF257="","",IFERROR(INDEX('SCORING MASTER'!$D$41:$D$43,MATCH('STUDENT SCREENING'!AF257,'SCORING MASTER'!$C$41:$C$43,0)),""))</f>
        <v/>
      </c>
      <c r="AH257" s="58" t="str">
        <f aca="false">IF('STUDENT SCREENING'!AG257="","",IFERROR(INDEX('SCORING MASTER'!$D$45:$D$47,MATCH('STUDENT SCREENING'!AG257,'SCORING MASTER'!$C$45:$C$47,0)),""))</f>
        <v/>
      </c>
      <c r="AI257" s="58" t="str">
        <f aca="false">IF('STUDENT SCREENING'!AH257="","",IFERROR(INDEX('SCORING MASTER'!$D$49:$D$52,MATCH('STUDENT SCREENING'!AH257,'SCORING MASTER'!$C$49:$C$52,0)),""))</f>
        <v/>
      </c>
      <c r="AJ257" s="58" t="str">
        <f aca="false">IF('STUDENT SCREENING'!AI257="","",IFERROR(INDEX('SCORING MASTER'!$D$54:$D$57,MATCH('STUDENT SCREENING'!AI257,'SCORING MASTER'!$C$54:$C$57,0)),""))</f>
        <v/>
      </c>
      <c r="AK257" s="58" t="str">
        <f aca="false">IF('STUDENT SCREENING'!AJ257="","",IFERROR(INDEX('SCORING MASTER'!$D$59:$D$60,MATCH('STUDENT SCREENING'!AJ257,'SCORING MASTER'!$C$59:$C$60,0)),""))</f>
        <v/>
      </c>
      <c r="AL257" s="58" t="str">
        <f aca="false">IF('STUDENT SCREENING'!AK257="","",IFERROR(INDEX('SCORING MASTER'!$D$62:$D$63,MATCH('STUDENT SCREENING'!AK257,'SCORING MASTER'!$C$62:$C$63,0)),""))</f>
        <v/>
      </c>
      <c r="AM257" s="58" t="str">
        <f aca="false">IF('STUDENT SCREENING'!AL257="","",IFERROR(INDEX('SCORING MASTER'!$D$65:$D$66,MATCH('STUDENT SCREENING'!AL257,'SCORING MASTER'!$C$65:$C$66,0)),""))</f>
        <v/>
      </c>
      <c r="AN257" s="58" t="str">
        <f aca="false">IF('STUDENT SCREENING'!AM257="","",IFERROR(INDEX('SCORING MASTER'!$D$68:$D$69,MATCH('STUDENT SCREENING'!AM257,'SCORING MASTER'!$C$68:$C$69,0)),""))</f>
        <v/>
      </c>
      <c r="AO257" s="58" t="str">
        <f aca="false">IF('STUDENT SCREENING'!AN257="","",IFERROR(INDEX('SCORING MASTER'!$D$71:$D$72,MATCH('STUDENT SCREENING'!AN257,'SCORING MASTER'!$C$71:$C$72,0)),""))</f>
        <v/>
      </c>
      <c r="AP257" s="58" t="str">
        <f aca="false">IF('STUDENT SCREENING'!AO257="","",IFERROR(INDEX('SCORING MASTER'!$D$74:$D$75,MATCH('STUDENT SCREENING'!AO257,'SCORING MASTER'!$C$74:$C$75,0)),""))</f>
        <v/>
      </c>
      <c r="AQ257" s="58" t="str">
        <f aca="false">IF('STUDENT SCREENING'!AP257="","",IFERROR(INDEX('SCORING MASTER'!$D$77:$D$78,MATCH('STUDENT SCREENING'!AP257,'SCORING MASTER'!$C$77:$C$78,0)),""))</f>
        <v/>
      </c>
      <c r="AR257" s="58" t="str">
        <f aca="false">IF('STUDENT SCREENING'!AQ257="","",IFERROR(INDEX('SCORING MASTER'!$D$80:$D$82,MATCH('STUDENT SCREENING'!AQ257,'SCORING MASTER'!$C$80:$C$82,0)),""))</f>
        <v/>
      </c>
      <c r="AS257" s="58" t="str">
        <f aca="false">IF('STUDENT SCREENING'!AR257="","",IFERROR(INDEX('SCORING MASTER'!$D$84:$D$86,MATCH('STUDENT SCREENING'!AR257,'SCORING MASTER'!$C$84:$C$86,0)),""))</f>
        <v/>
      </c>
      <c r="AT257" s="58" t="str">
        <f aca="false">IF('STUDENT SCREENING'!AS257="","",IFERROR(INDEX('SCORING MASTER'!$D$88:$D$90,MATCH('STUDENT SCREENING'!AS257,'SCORING MASTER'!$C$88:$C$90,0)),""))</f>
        <v/>
      </c>
      <c r="AU257" s="58" t="str">
        <f aca="false">IF('STUDENT SCREENING'!AT257="","",IFERROR(INDEX('SCORING MASTER'!$D$92:$D$93,MATCH('STUDENT SCREENING'!AT257,'SCORING MASTER'!$C$92:$C$93,0)),""))</f>
        <v/>
      </c>
      <c r="AV257" s="58" t="str">
        <f aca="false">IF('STUDENT SCREENING'!AU257="","",IFERROR(INDEX('SCORING MASTER'!$D$95:$D$96,MATCH('STUDENT SCREENING'!AU257,'SCORING MASTER'!$C$95:$C$96,0)),""))</f>
        <v/>
      </c>
      <c r="AW257" s="58" t="str">
        <f aca="false">IF('STUDENT SCREENING'!AV257="","",IFERROR(INDEX('SCORING MASTER'!$D$98:$D$99,MATCH('STUDENT SCREENING'!AV257,'SCORING MASTER'!$C$98:$C$99,0)),""))</f>
        <v/>
      </c>
      <c r="AX257" s="58" t="str">
        <f aca="false">IF('STUDENT SCREENING'!AW257="","",IFERROR(INDEX('SCORING MASTER'!$D$101:$D$102,MATCH('STUDENT SCREENING'!AW257,'SCORING MASTER'!$C$101:$C$102,0)),""))</f>
        <v/>
      </c>
      <c r="AY257" s="58" t="str">
        <f aca="false">IF('STUDENT SCREENING'!AX257="","",IFERROR(INDEX('SCORING MASTER'!$D$104:$D$105,MATCH('STUDENT SCREENING'!AX257,'SCORING MASTER'!$C$104:$C$105,0)),""))</f>
        <v/>
      </c>
      <c r="AZ257" s="58" t="str">
        <f aca="false">IF('STUDENT SCREENING'!AY257="","",IFERROR(INDEX('SCORING MASTER'!$D$107:$D$108,MATCH('STUDENT SCREENING'!AY257,'SCORING MASTER'!$C$107:$C$108,0)),""))</f>
        <v/>
      </c>
      <c r="BA257" s="58" t="str">
        <f aca="false">IF('STUDENT SCREENING'!AZ257="","",IFERROR(INDEX('SCORING MASTER'!$D$110:$D$111,MATCH('STUDENT SCREENING'!AZ257,'SCORING MASTER'!$C$110:$C$111,0)),""))</f>
        <v/>
      </c>
      <c r="BB257" s="58" t="str">
        <f aca="false">IF('STUDENT SCREENING'!BA257="","",IFERROR(INDEX('SCORING MASTER'!$D$113:$D$115,MATCH('STUDENT SCREENING'!BA257,'SCORING MASTER'!$C$113:$C$115,0)),""))</f>
        <v/>
      </c>
      <c r="BC257" s="58" t="str">
        <f aca="false">IF('STUDENT SCREENING'!BB257="","",IFERROR(INDEX('SCORING MASTER'!$D$117:$D$119,MATCH('STUDENT SCREENING'!BB257,'SCORING MASTER'!$C$117:$C$119,0)),""))</f>
        <v/>
      </c>
      <c r="BD257" s="58" t="str">
        <f aca="false">IF('STUDENT SCREENING'!BC257="","",IFERROR(INDEX('SCORING MASTER'!$D$121:$D$123,MATCH('STUDENT SCREENING'!BC257,'SCORING MASTER'!$C$121:$C$123,0)),""))</f>
        <v/>
      </c>
      <c r="BE257" s="58" t="str">
        <f aca="false">IF('STUDENT SCREENING'!BD257="","",IFERROR(INDEX('SCORING MASTER'!$D$125:$D$126,MATCH('STUDENT SCREENING'!BD257,'SCORING MASTER'!$C$125:$C$126,0)),""))</f>
        <v/>
      </c>
      <c r="BF257" s="58" t="str">
        <f aca="false">IF('STUDENT SCREENING'!BE257="","",IFERROR(INDEX('SCORING MASTER'!$D$128:$D$129,MATCH('STUDENT SCREENING'!BE257,'SCORING MASTER'!$C$128:$C$129,0)),""))</f>
        <v/>
      </c>
      <c r="BG257" s="58" t="str">
        <f aca="false">IF('STUDENT SCREENING'!BP257="","",IFERROR(MATCH('STUDENT SCREENING'!BP257,{"Red - High Risk","Orange - Moderate Risk","Yellow - Mild Risk","Light Green - Mild Watch","Green - Healthy"},0)-1,""))</f>
        <v/>
      </c>
      <c r="BH257" s="58" t="str">
        <f aca="false">IF('STUDENT SCREENING'!BQ257="","",IF('STUDENT SCREENING'!BQ257="Yes",1,0))</f>
        <v/>
      </c>
      <c r="BI257" s="58" t="str">
        <f aca="false">IF('STUDENT SCREENING'!BR257="","",IF('STUDENT SCREENING'!BR257="Yes",1,0))</f>
        <v/>
      </c>
    </row>
    <row r="258" customFormat="false" ht="15" hidden="false" customHeight="false" outlineLevel="0" collapsed="false">
      <c r="A258" s="57" t="str">
        <f aca="false">'STUDENT SCREENING'!A258</f>
        <v/>
      </c>
      <c r="B258" s="57" t="n">
        <f aca="false">'STUDENT SCREENING'!C258</f>
        <v>0</v>
      </c>
      <c r="C258" s="57" t="n">
        <f aca="false">'STUDENT SCREENING'!D258</f>
        <v>0</v>
      </c>
      <c r="D258" s="57" t="n">
        <f aca="false">'STUDENT SCREENING'!E258</f>
        <v>0</v>
      </c>
      <c r="E258" s="57" t="n">
        <f aca="false">'STUDENT SCREENING'!F258</f>
        <v>0</v>
      </c>
      <c r="F258" s="57" t="n">
        <f aca="false">'STUDENT SCREENING'!K258</f>
        <v>0</v>
      </c>
      <c r="G258" s="57" t="n">
        <f aca="false">'STUDENT SCREENING'!J258</f>
        <v>0</v>
      </c>
      <c r="H258" s="57" t="str">
        <f aca="false">IF('STUDENT SCREENING'!K258="","",IFERROR(MATCH('STUDENT SCREENING'!K258,Adm_Gender,0),""))</f>
        <v/>
      </c>
      <c r="I258" s="57" t="n">
        <f aca="false">'STUDENT SCREENING'!Q258</f>
        <v>0</v>
      </c>
      <c r="J258" s="57" t="n">
        <f aca="false">'STUDENT SCREENING'!R258</f>
        <v>0</v>
      </c>
      <c r="K258" s="57" t="str">
        <f aca="false">'STUDENT SCREENING'!S258</f>
        <v/>
      </c>
      <c r="L258" s="57" t="n">
        <f aca="false">'STUDENT SCREENING'!U258</f>
        <v>0</v>
      </c>
      <c r="M258" s="57" t="n">
        <f aca="false">'STUDENT SCREENING'!V258</f>
        <v>0</v>
      </c>
      <c r="N258" s="57" t="str">
        <f aca="false">'STUDENT SCREENING'!BF258</f>
        <v/>
      </c>
      <c r="O258" s="57" t="str">
        <f aca="false">'STUDENT SCREENING'!BG258</f>
        <v/>
      </c>
      <c r="P258" s="57" t="str">
        <f aca="false">'STUDENT SCREENING'!BH258</f>
        <v/>
      </c>
      <c r="Q258" s="57" t="str">
        <f aca="false">'STUDENT SCREENING'!BI258</f>
        <v/>
      </c>
      <c r="R258" s="57" t="str">
        <f aca="false">'STUDENT SCREENING'!BJ258</f>
        <v/>
      </c>
      <c r="S258" s="57" t="str">
        <f aca="false">'STUDENT SCREENING'!BK258</f>
        <v/>
      </c>
      <c r="T258" s="57" t="str">
        <f aca="false">'STUDENT SCREENING'!BL258</f>
        <v/>
      </c>
      <c r="U258" s="57" t="str">
        <f aca="false">'STUDENT SCREENING'!BM258</f>
        <v/>
      </c>
      <c r="V258" s="57" t="str">
        <f aca="false">'STUDENT SCREENING'!BN258</f>
        <v/>
      </c>
      <c r="W258" s="57" t="str">
        <f aca="false">'STUDENT SCREENING'!BO258</f>
        <v/>
      </c>
      <c r="X258" s="57" t="str">
        <f aca="false">IF('STUDENT SCREENING'!W258="","",IFERROR(INDEX('SCORING MASTER'!$D$5:$D$7,MATCH('STUDENT SCREENING'!W258,'SCORING MASTER'!$C$5:$C$7,0)),""))</f>
        <v/>
      </c>
      <c r="Y258" s="57" t="str">
        <f aca="false">IF('STUDENT SCREENING'!X258="","",IFERROR(INDEX('SCORING MASTER'!$D$9:$D$11,MATCH('STUDENT SCREENING'!X258,'SCORING MASTER'!$C$9:$C$11,0)),""))</f>
        <v/>
      </c>
      <c r="Z258" s="57" t="str">
        <f aca="false">IF('STUDENT SCREENING'!Y258="","",IFERROR(INDEX('SCORING MASTER'!$D$13:$D$15,MATCH('STUDENT SCREENING'!Y258,'SCORING MASTER'!$C$13:$C$15,0)),""))</f>
        <v/>
      </c>
      <c r="AA258" s="57" t="str">
        <f aca="false">IF('STUDENT SCREENING'!Z258="","",IFERROR(INDEX('SCORING MASTER'!$D$17:$D$19,MATCH('STUDENT SCREENING'!Z258,'SCORING MASTER'!$C$17:$C$19,0)),""))</f>
        <v/>
      </c>
      <c r="AB258" s="57" t="str">
        <f aca="false">IF('STUDENT SCREENING'!AA258="","",IFERROR(INDEX('SCORING MASTER'!$D$21:$D$23,MATCH('STUDENT SCREENING'!AA258,'SCORING MASTER'!$C$21:$C$23,0)),""))</f>
        <v/>
      </c>
      <c r="AC258" s="57" t="str">
        <f aca="false">IF('STUDENT SCREENING'!AB258="","",IFERROR(INDEX('SCORING MASTER'!$D$25:$D$27,MATCH('STUDENT SCREENING'!AB258,'SCORING MASTER'!$C$25:$C$27,0)),""))</f>
        <v/>
      </c>
      <c r="AD258" s="57" t="str">
        <f aca="false">IF('STUDENT SCREENING'!AC258="","",IFERROR(INDEX('SCORING MASTER'!$D$29:$D$31,MATCH('STUDENT SCREENING'!AC258,'SCORING MASTER'!$C$29:$C$31,0)),""))</f>
        <v/>
      </c>
      <c r="AE258" s="57" t="str">
        <f aca="false">IF('STUDENT SCREENING'!AD258="","",IFERROR(INDEX('SCORING MASTER'!$D$33:$D$35,MATCH('STUDENT SCREENING'!AD258,'SCORING MASTER'!$C$33:$C$35,0)),""))</f>
        <v/>
      </c>
      <c r="AF258" s="57" t="str">
        <f aca="false">IF('STUDENT SCREENING'!AE258="","",IFERROR(INDEX('SCORING MASTER'!$D$37:$D$39,MATCH('STUDENT SCREENING'!AE258,'SCORING MASTER'!$C$37:$C$39,0)),""))</f>
        <v/>
      </c>
      <c r="AG258" s="57" t="str">
        <f aca="false">IF('STUDENT SCREENING'!AF258="","",IFERROR(INDEX('SCORING MASTER'!$D$41:$D$43,MATCH('STUDENT SCREENING'!AF258,'SCORING MASTER'!$C$41:$C$43,0)),""))</f>
        <v/>
      </c>
      <c r="AH258" s="57" t="str">
        <f aca="false">IF('STUDENT SCREENING'!AG258="","",IFERROR(INDEX('SCORING MASTER'!$D$45:$D$47,MATCH('STUDENT SCREENING'!AG258,'SCORING MASTER'!$C$45:$C$47,0)),""))</f>
        <v/>
      </c>
      <c r="AI258" s="57" t="str">
        <f aca="false">IF('STUDENT SCREENING'!AH258="","",IFERROR(INDEX('SCORING MASTER'!$D$49:$D$52,MATCH('STUDENT SCREENING'!AH258,'SCORING MASTER'!$C$49:$C$52,0)),""))</f>
        <v/>
      </c>
      <c r="AJ258" s="57" t="str">
        <f aca="false">IF('STUDENT SCREENING'!AI258="","",IFERROR(INDEX('SCORING MASTER'!$D$54:$D$57,MATCH('STUDENT SCREENING'!AI258,'SCORING MASTER'!$C$54:$C$57,0)),""))</f>
        <v/>
      </c>
      <c r="AK258" s="57" t="str">
        <f aca="false">IF('STUDENT SCREENING'!AJ258="","",IFERROR(INDEX('SCORING MASTER'!$D$59:$D$60,MATCH('STUDENT SCREENING'!AJ258,'SCORING MASTER'!$C$59:$C$60,0)),""))</f>
        <v/>
      </c>
      <c r="AL258" s="57" t="str">
        <f aca="false">IF('STUDENT SCREENING'!AK258="","",IFERROR(INDEX('SCORING MASTER'!$D$62:$D$63,MATCH('STUDENT SCREENING'!AK258,'SCORING MASTER'!$C$62:$C$63,0)),""))</f>
        <v/>
      </c>
      <c r="AM258" s="57" t="str">
        <f aca="false">IF('STUDENT SCREENING'!AL258="","",IFERROR(INDEX('SCORING MASTER'!$D$65:$D$66,MATCH('STUDENT SCREENING'!AL258,'SCORING MASTER'!$C$65:$C$66,0)),""))</f>
        <v/>
      </c>
      <c r="AN258" s="57" t="str">
        <f aca="false">IF('STUDENT SCREENING'!AM258="","",IFERROR(INDEX('SCORING MASTER'!$D$68:$D$69,MATCH('STUDENT SCREENING'!AM258,'SCORING MASTER'!$C$68:$C$69,0)),""))</f>
        <v/>
      </c>
      <c r="AO258" s="57" t="str">
        <f aca="false">IF('STUDENT SCREENING'!AN258="","",IFERROR(INDEX('SCORING MASTER'!$D$71:$D$72,MATCH('STUDENT SCREENING'!AN258,'SCORING MASTER'!$C$71:$C$72,0)),""))</f>
        <v/>
      </c>
      <c r="AP258" s="57" t="str">
        <f aca="false">IF('STUDENT SCREENING'!AO258="","",IFERROR(INDEX('SCORING MASTER'!$D$74:$D$75,MATCH('STUDENT SCREENING'!AO258,'SCORING MASTER'!$C$74:$C$75,0)),""))</f>
        <v/>
      </c>
      <c r="AQ258" s="57" t="str">
        <f aca="false">IF('STUDENT SCREENING'!AP258="","",IFERROR(INDEX('SCORING MASTER'!$D$77:$D$78,MATCH('STUDENT SCREENING'!AP258,'SCORING MASTER'!$C$77:$C$78,0)),""))</f>
        <v/>
      </c>
      <c r="AR258" s="57" t="str">
        <f aca="false">IF('STUDENT SCREENING'!AQ258="","",IFERROR(INDEX('SCORING MASTER'!$D$80:$D$82,MATCH('STUDENT SCREENING'!AQ258,'SCORING MASTER'!$C$80:$C$82,0)),""))</f>
        <v/>
      </c>
      <c r="AS258" s="57" t="str">
        <f aca="false">IF('STUDENT SCREENING'!AR258="","",IFERROR(INDEX('SCORING MASTER'!$D$84:$D$86,MATCH('STUDENT SCREENING'!AR258,'SCORING MASTER'!$C$84:$C$86,0)),""))</f>
        <v/>
      </c>
      <c r="AT258" s="57" t="str">
        <f aca="false">IF('STUDENT SCREENING'!AS258="","",IFERROR(INDEX('SCORING MASTER'!$D$88:$D$90,MATCH('STUDENT SCREENING'!AS258,'SCORING MASTER'!$C$88:$C$90,0)),""))</f>
        <v/>
      </c>
      <c r="AU258" s="57" t="str">
        <f aca="false">IF('STUDENT SCREENING'!AT258="","",IFERROR(INDEX('SCORING MASTER'!$D$92:$D$93,MATCH('STUDENT SCREENING'!AT258,'SCORING MASTER'!$C$92:$C$93,0)),""))</f>
        <v/>
      </c>
      <c r="AV258" s="57" t="str">
        <f aca="false">IF('STUDENT SCREENING'!AU258="","",IFERROR(INDEX('SCORING MASTER'!$D$95:$D$96,MATCH('STUDENT SCREENING'!AU258,'SCORING MASTER'!$C$95:$C$96,0)),""))</f>
        <v/>
      </c>
      <c r="AW258" s="57" t="str">
        <f aca="false">IF('STUDENT SCREENING'!AV258="","",IFERROR(INDEX('SCORING MASTER'!$D$98:$D$99,MATCH('STUDENT SCREENING'!AV258,'SCORING MASTER'!$C$98:$C$99,0)),""))</f>
        <v/>
      </c>
      <c r="AX258" s="57" t="str">
        <f aca="false">IF('STUDENT SCREENING'!AW258="","",IFERROR(INDEX('SCORING MASTER'!$D$101:$D$102,MATCH('STUDENT SCREENING'!AW258,'SCORING MASTER'!$C$101:$C$102,0)),""))</f>
        <v/>
      </c>
      <c r="AY258" s="57" t="str">
        <f aca="false">IF('STUDENT SCREENING'!AX258="","",IFERROR(INDEX('SCORING MASTER'!$D$104:$D$105,MATCH('STUDENT SCREENING'!AX258,'SCORING MASTER'!$C$104:$C$105,0)),""))</f>
        <v/>
      </c>
      <c r="AZ258" s="57" t="str">
        <f aca="false">IF('STUDENT SCREENING'!AY258="","",IFERROR(INDEX('SCORING MASTER'!$D$107:$D$108,MATCH('STUDENT SCREENING'!AY258,'SCORING MASTER'!$C$107:$C$108,0)),""))</f>
        <v/>
      </c>
      <c r="BA258" s="57" t="str">
        <f aca="false">IF('STUDENT SCREENING'!AZ258="","",IFERROR(INDEX('SCORING MASTER'!$D$110:$D$111,MATCH('STUDENT SCREENING'!AZ258,'SCORING MASTER'!$C$110:$C$111,0)),""))</f>
        <v/>
      </c>
      <c r="BB258" s="57" t="str">
        <f aca="false">IF('STUDENT SCREENING'!BA258="","",IFERROR(INDEX('SCORING MASTER'!$D$113:$D$115,MATCH('STUDENT SCREENING'!BA258,'SCORING MASTER'!$C$113:$C$115,0)),""))</f>
        <v/>
      </c>
      <c r="BC258" s="57" t="str">
        <f aca="false">IF('STUDENT SCREENING'!BB258="","",IFERROR(INDEX('SCORING MASTER'!$D$117:$D$119,MATCH('STUDENT SCREENING'!BB258,'SCORING MASTER'!$C$117:$C$119,0)),""))</f>
        <v/>
      </c>
      <c r="BD258" s="57" t="str">
        <f aca="false">IF('STUDENT SCREENING'!BC258="","",IFERROR(INDEX('SCORING MASTER'!$D$121:$D$123,MATCH('STUDENT SCREENING'!BC258,'SCORING MASTER'!$C$121:$C$123,0)),""))</f>
        <v/>
      </c>
      <c r="BE258" s="57" t="str">
        <f aca="false">IF('STUDENT SCREENING'!BD258="","",IFERROR(INDEX('SCORING MASTER'!$D$125:$D$126,MATCH('STUDENT SCREENING'!BD258,'SCORING MASTER'!$C$125:$C$126,0)),""))</f>
        <v/>
      </c>
      <c r="BF258" s="57" t="str">
        <f aca="false">IF('STUDENT SCREENING'!BE258="","",IFERROR(INDEX('SCORING MASTER'!$D$128:$D$129,MATCH('STUDENT SCREENING'!BE258,'SCORING MASTER'!$C$128:$C$129,0)),""))</f>
        <v/>
      </c>
      <c r="BG258" s="57" t="str">
        <f aca="false">IF('STUDENT SCREENING'!BP258="","",IFERROR(MATCH('STUDENT SCREENING'!BP258,{"Red - High Risk","Orange - Moderate Risk","Yellow - Mild Risk","Light Green - Mild Watch","Green - Healthy"},0)-1,""))</f>
        <v/>
      </c>
      <c r="BH258" s="57" t="str">
        <f aca="false">IF('STUDENT SCREENING'!BQ258="","",IF('STUDENT SCREENING'!BQ258="Yes",1,0))</f>
        <v/>
      </c>
      <c r="BI258" s="57" t="str">
        <f aca="false">IF('STUDENT SCREENING'!BR258="","",IF('STUDENT SCREENING'!BR258="Yes",1,0))</f>
        <v/>
      </c>
    </row>
    <row r="259" customFormat="false" ht="15" hidden="false" customHeight="false" outlineLevel="0" collapsed="false">
      <c r="A259" s="58" t="str">
        <f aca="false">'STUDENT SCREENING'!A259</f>
        <v/>
      </c>
      <c r="B259" s="58" t="n">
        <f aca="false">'STUDENT SCREENING'!C259</f>
        <v>0</v>
      </c>
      <c r="C259" s="58" t="n">
        <f aca="false">'STUDENT SCREENING'!D259</f>
        <v>0</v>
      </c>
      <c r="D259" s="58" t="n">
        <f aca="false">'STUDENT SCREENING'!E259</f>
        <v>0</v>
      </c>
      <c r="E259" s="58" t="n">
        <f aca="false">'STUDENT SCREENING'!F259</f>
        <v>0</v>
      </c>
      <c r="F259" s="58" t="n">
        <f aca="false">'STUDENT SCREENING'!K259</f>
        <v>0</v>
      </c>
      <c r="G259" s="58" t="n">
        <f aca="false">'STUDENT SCREENING'!J259</f>
        <v>0</v>
      </c>
      <c r="H259" s="58" t="str">
        <f aca="false">IF('STUDENT SCREENING'!K259="","",IFERROR(MATCH('STUDENT SCREENING'!K259,Adm_Gender,0),""))</f>
        <v/>
      </c>
      <c r="I259" s="58" t="n">
        <f aca="false">'STUDENT SCREENING'!Q259</f>
        <v>0</v>
      </c>
      <c r="J259" s="58" t="n">
        <f aca="false">'STUDENT SCREENING'!R259</f>
        <v>0</v>
      </c>
      <c r="K259" s="58" t="str">
        <f aca="false">'STUDENT SCREENING'!S259</f>
        <v/>
      </c>
      <c r="L259" s="58" t="n">
        <f aca="false">'STUDENT SCREENING'!U259</f>
        <v>0</v>
      </c>
      <c r="M259" s="58" t="n">
        <f aca="false">'STUDENT SCREENING'!V259</f>
        <v>0</v>
      </c>
      <c r="N259" s="58" t="str">
        <f aca="false">'STUDENT SCREENING'!BF259</f>
        <v/>
      </c>
      <c r="O259" s="58" t="str">
        <f aca="false">'STUDENT SCREENING'!BG259</f>
        <v/>
      </c>
      <c r="P259" s="58" t="str">
        <f aca="false">'STUDENT SCREENING'!BH259</f>
        <v/>
      </c>
      <c r="Q259" s="58" t="str">
        <f aca="false">'STUDENT SCREENING'!BI259</f>
        <v/>
      </c>
      <c r="R259" s="58" t="str">
        <f aca="false">'STUDENT SCREENING'!BJ259</f>
        <v/>
      </c>
      <c r="S259" s="58" t="str">
        <f aca="false">'STUDENT SCREENING'!BK259</f>
        <v/>
      </c>
      <c r="T259" s="58" t="str">
        <f aca="false">'STUDENT SCREENING'!BL259</f>
        <v/>
      </c>
      <c r="U259" s="58" t="str">
        <f aca="false">'STUDENT SCREENING'!BM259</f>
        <v/>
      </c>
      <c r="V259" s="58" t="str">
        <f aca="false">'STUDENT SCREENING'!BN259</f>
        <v/>
      </c>
      <c r="W259" s="58" t="str">
        <f aca="false">'STUDENT SCREENING'!BO259</f>
        <v/>
      </c>
      <c r="X259" s="58" t="str">
        <f aca="false">IF('STUDENT SCREENING'!W259="","",IFERROR(INDEX('SCORING MASTER'!$D$5:$D$7,MATCH('STUDENT SCREENING'!W259,'SCORING MASTER'!$C$5:$C$7,0)),""))</f>
        <v/>
      </c>
      <c r="Y259" s="58" t="str">
        <f aca="false">IF('STUDENT SCREENING'!X259="","",IFERROR(INDEX('SCORING MASTER'!$D$9:$D$11,MATCH('STUDENT SCREENING'!X259,'SCORING MASTER'!$C$9:$C$11,0)),""))</f>
        <v/>
      </c>
      <c r="Z259" s="58" t="str">
        <f aca="false">IF('STUDENT SCREENING'!Y259="","",IFERROR(INDEX('SCORING MASTER'!$D$13:$D$15,MATCH('STUDENT SCREENING'!Y259,'SCORING MASTER'!$C$13:$C$15,0)),""))</f>
        <v/>
      </c>
      <c r="AA259" s="58" t="str">
        <f aca="false">IF('STUDENT SCREENING'!Z259="","",IFERROR(INDEX('SCORING MASTER'!$D$17:$D$19,MATCH('STUDENT SCREENING'!Z259,'SCORING MASTER'!$C$17:$C$19,0)),""))</f>
        <v/>
      </c>
      <c r="AB259" s="58" t="str">
        <f aca="false">IF('STUDENT SCREENING'!AA259="","",IFERROR(INDEX('SCORING MASTER'!$D$21:$D$23,MATCH('STUDENT SCREENING'!AA259,'SCORING MASTER'!$C$21:$C$23,0)),""))</f>
        <v/>
      </c>
      <c r="AC259" s="58" t="str">
        <f aca="false">IF('STUDENT SCREENING'!AB259="","",IFERROR(INDEX('SCORING MASTER'!$D$25:$D$27,MATCH('STUDENT SCREENING'!AB259,'SCORING MASTER'!$C$25:$C$27,0)),""))</f>
        <v/>
      </c>
      <c r="AD259" s="58" t="str">
        <f aca="false">IF('STUDENT SCREENING'!AC259="","",IFERROR(INDEX('SCORING MASTER'!$D$29:$D$31,MATCH('STUDENT SCREENING'!AC259,'SCORING MASTER'!$C$29:$C$31,0)),""))</f>
        <v/>
      </c>
      <c r="AE259" s="58" t="str">
        <f aca="false">IF('STUDENT SCREENING'!AD259="","",IFERROR(INDEX('SCORING MASTER'!$D$33:$D$35,MATCH('STUDENT SCREENING'!AD259,'SCORING MASTER'!$C$33:$C$35,0)),""))</f>
        <v/>
      </c>
      <c r="AF259" s="58" t="str">
        <f aca="false">IF('STUDENT SCREENING'!AE259="","",IFERROR(INDEX('SCORING MASTER'!$D$37:$D$39,MATCH('STUDENT SCREENING'!AE259,'SCORING MASTER'!$C$37:$C$39,0)),""))</f>
        <v/>
      </c>
      <c r="AG259" s="58" t="str">
        <f aca="false">IF('STUDENT SCREENING'!AF259="","",IFERROR(INDEX('SCORING MASTER'!$D$41:$D$43,MATCH('STUDENT SCREENING'!AF259,'SCORING MASTER'!$C$41:$C$43,0)),""))</f>
        <v/>
      </c>
      <c r="AH259" s="58" t="str">
        <f aca="false">IF('STUDENT SCREENING'!AG259="","",IFERROR(INDEX('SCORING MASTER'!$D$45:$D$47,MATCH('STUDENT SCREENING'!AG259,'SCORING MASTER'!$C$45:$C$47,0)),""))</f>
        <v/>
      </c>
      <c r="AI259" s="58" t="str">
        <f aca="false">IF('STUDENT SCREENING'!AH259="","",IFERROR(INDEX('SCORING MASTER'!$D$49:$D$52,MATCH('STUDENT SCREENING'!AH259,'SCORING MASTER'!$C$49:$C$52,0)),""))</f>
        <v/>
      </c>
      <c r="AJ259" s="58" t="str">
        <f aca="false">IF('STUDENT SCREENING'!AI259="","",IFERROR(INDEX('SCORING MASTER'!$D$54:$D$57,MATCH('STUDENT SCREENING'!AI259,'SCORING MASTER'!$C$54:$C$57,0)),""))</f>
        <v/>
      </c>
      <c r="AK259" s="58" t="str">
        <f aca="false">IF('STUDENT SCREENING'!AJ259="","",IFERROR(INDEX('SCORING MASTER'!$D$59:$D$60,MATCH('STUDENT SCREENING'!AJ259,'SCORING MASTER'!$C$59:$C$60,0)),""))</f>
        <v/>
      </c>
      <c r="AL259" s="58" t="str">
        <f aca="false">IF('STUDENT SCREENING'!AK259="","",IFERROR(INDEX('SCORING MASTER'!$D$62:$D$63,MATCH('STUDENT SCREENING'!AK259,'SCORING MASTER'!$C$62:$C$63,0)),""))</f>
        <v/>
      </c>
      <c r="AM259" s="58" t="str">
        <f aca="false">IF('STUDENT SCREENING'!AL259="","",IFERROR(INDEX('SCORING MASTER'!$D$65:$D$66,MATCH('STUDENT SCREENING'!AL259,'SCORING MASTER'!$C$65:$C$66,0)),""))</f>
        <v/>
      </c>
      <c r="AN259" s="58" t="str">
        <f aca="false">IF('STUDENT SCREENING'!AM259="","",IFERROR(INDEX('SCORING MASTER'!$D$68:$D$69,MATCH('STUDENT SCREENING'!AM259,'SCORING MASTER'!$C$68:$C$69,0)),""))</f>
        <v/>
      </c>
      <c r="AO259" s="58" t="str">
        <f aca="false">IF('STUDENT SCREENING'!AN259="","",IFERROR(INDEX('SCORING MASTER'!$D$71:$D$72,MATCH('STUDENT SCREENING'!AN259,'SCORING MASTER'!$C$71:$C$72,0)),""))</f>
        <v/>
      </c>
      <c r="AP259" s="58" t="str">
        <f aca="false">IF('STUDENT SCREENING'!AO259="","",IFERROR(INDEX('SCORING MASTER'!$D$74:$D$75,MATCH('STUDENT SCREENING'!AO259,'SCORING MASTER'!$C$74:$C$75,0)),""))</f>
        <v/>
      </c>
      <c r="AQ259" s="58" t="str">
        <f aca="false">IF('STUDENT SCREENING'!AP259="","",IFERROR(INDEX('SCORING MASTER'!$D$77:$D$78,MATCH('STUDENT SCREENING'!AP259,'SCORING MASTER'!$C$77:$C$78,0)),""))</f>
        <v/>
      </c>
      <c r="AR259" s="58" t="str">
        <f aca="false">IF('STUDENT SCREENING'!AQ259="","",IFERROR(INDEX('SCORING MASTER'!$D$80:$D$82,MATCH('STUDENT SCREENING'!AQ259,'SCORING MASTER'!$C$80:$C$82,0)),""))</f>
        <v/>
      </c>
      <c r="AS259" s="58" t="str">
        <f aca="false">IF('STUDENT SCREENING'!AR259="","",IFERROR(INDEX('SCORING MASTER'!$D$84:$D$86,MATCH('STUDENT SCREENING'!AR259,'SCORING MASTER'!$C$84:$C$86,0)),""))</f>
        <v/>
      </c>
      <c r="AT259" s="58" t="str">
        <f aca="false">IF('STUDENT SCREENING'!AS259="","",IFERROR(INDEX('SCORING MASTER'!$D$88:$D$90,MATCH('STUDENT SCREENING'!AS259,'SCORING MASTER'!$C$88:$C$90,0)),""))</f>
        <v/>
      </c>
      <c r="AU259" s="58" t="str">
        <f aca="false">IF('STUDENT SCREENING'!AT259="","",IFERROR(INDEX('SCORING MASTER'!$D$92:$D$93,MATCH('STUDENT SCREENING'!AT259,'SCORING MASTER'!$C$92:$C$93,0)),""))</f>
        <v/>
      </c>
      <c r="AV259" s="58" t="str">
        <f aca="false">IF('STUDENT SCREENING'!AU259="","",IFERROR(INDEX('SCORING MASTER'!$D$95:$D$96,MATCH('STUDENT SCREENING'!AU259,'SCORING MASTER'!$C$95:$C$96,0)),""))</f>
        <v/>
      </c>
      <c r="AW259" s="58" t="str">
        <f aca="false">IF('STUDENT SCREENING'!AV259="","",IFERROR(INDEX('SCORING MASTER'!$D$98:$D$99,MATCH('STUDENT SCREENING'!AV259,'SCORING MASTER'!$C$98:$C$99,0)),""))</f>
        <v/>
      </c>
      <c r="AX259" s="58" t="str">
        <f aca="false">IF('STUDENT SCREENING'!AW259="","",IFERROR(INDEX('SCORING MASTER'!$D$101:$D$102,MATCH('STUDENT SCREENING'!AW259,'SCORING MASTER'!$C$101:$C$102,0)),""))</f>
        <v/>
      </c>
      <c r="AY259" s="58" t="str">
        <f aca="false">IF('STUDENT SCREENING'!AX259="","",IFERROR(INDEX('SCORING MASTER'!$D$104:$D$105,MATCH('STUDENT SCREENING'!AX259,'SCORING MASTER'!$C$104:$C$105,0)),""))</f>
        <v/>
      </c>
      <c r="AZ259" s="58" t="str">
        <f aca="false">IF('STUDENT SCREENING'!AY259="","",IFERROR(INDEX('SCORING MASTER'!$D$107:$D$108,MATCH('STUDENT SCREENING'!AY259,'SCORING MASTER'!$C$107:$C$108,0)),""))</f>
        <v/>
      </c>
      <c r="BA259" s="58" t="str">
        <f aca="false">IF('STUDENT SCREENING'!AZ259="","",IFERROR(INDEX('SCORING MASTER'!$D$110:$D$111,MATCH('STUDENT SCREENING'!AZ259,'SCORING MASTER'!$C$110:$C$111,0)),""))</f>
        <v/>
      </c>
      <c r="BB259" s="58" t="str">
        <f aca="false">IF('STUDENT SCREENING'!BA259="","",IFERROR(INDEX('SCORING MASTER'!$D$113:$D$115,MATCH('STUDENT SCREENING'!BA259,'SCORING MASTER'!$C$113:$C$115,0)),""))</f>
        <v/>
      </c>
      <c r="BC259" s="58" t="str">
        <f aca="false">IF('STUDENT SCREENING'!BB259="","",IFERROR(INDEX('SCORING MASTER'!$D$117:$D$119,MATCH('STUDENT SCREENING'!BB259,'SCORING MASTER'!$C$117:$C$119,0)),""))</f>
        <v/>
      </c>
      <c r="BD259" s="58" t="str">
        <f aca="false">IF('STUDENT SCREENING'!BC259="","",IFERROR(INDEX('SCORING MASTER'!$D$121:$D$123,MATCH('STUDENT SCREENING'!BC259,'SCORING MASTER'!$C$121:$C$123,0)),""))</f>
        <v/>
      </c>
      <c r="BE259" s="58" t="str">
        <f aca="false">IF('STUDENT SCREENING'!BD259="","",IFERROR(INDEX('SCORING MASTER'!$D$125:$D$126,MATCH('STUDENT SCREENING'!BD259,'SCORING MASTER'!$C$125:$C$126,0)),""))</f>
        <v/>
      </c>
      <c r="BF259" s="58" t="str">
        <f aca="false">IF('STUDENT SCREENING'!BE259="","",IFERROR(INDEX('SCORING MASTER'!$D$128:$D$129,MATCH('STUDENT SCREENING'!BE259,'SCORING MASTER'!$C$128:$C$129,0)),""))</f>
        <v/>
      </c>
      <c r="BG259" s="58" t="str">
        <f aca="false">IF('STUDENT SCREENING'!BP259="","",IFERROR(MATCH('STUDENT SCREENING'!BP259,{"Red - High Risk","Orange - Moderate Risk","Yellow - Mild Risk","Light Green - Mild Watch","Green - Healthy"},0)-1,""))</f>
        <v/>
      </c>
      <c r="BH259" s="58" t="str">
        <f aca="false">IF('STUDENT SCREENING'!BQ259="","",IF('STUDENT SCREENING'!BQ259="Yes",1,0))</f>
        <v/>
      </c>
      <c r="BI259" s="58" t="str">
        <f aca="false">IF('STUDENT SCREENING'!BR259="","",IF('STUDENT SCREENING'!BR259="Yes",1,0))</f>
        <v/>
      </c>
    </row>
    <row r="260" customFormat="false" ht="15" hidden="false" customHeight="false" outlineLevel="0" collapsed="false">
      <c r="A260" s="57" t="str">
        <f aca="false">'STUDENT SCREENING'!A260</f>
        <v/>
      </c>
      <c r="B260" s="57" t="n">
        <f aca="false">'STUDENT SCREENING'!C260</f>
        <v>0</v>
      </c>
      <c r="C260" s="57" t="n">
        <f aca="false">'STUDENT SCREENING'!D260</f>
        <v>0</v>
      </c>
      <c r="D260" s="57" t="n">
        <f aca="false">'STUDENT SCREENING'!E260</f>
        <v>0</v>
      </c>
      <c r="E260" s="57" t="n">
        <f aca="false">'STUDENT SCREENING'!F260</f>
        <v>0</v>
      </c>
      <c r="F260" s="57" t="n">
        <f aca="false">'STUDENT SCREENING'!K260</f>
        <v>0</v>
      </c>
      <c r="G260" s="57" t="n">
        <f aca="false">'STUDENT SCREENING'!J260</f>
        <v>0</v>
      </c>
      <c r="H260" s="57" t="str">
        <f aca="false">IF('STUDENT SCREENING'!K260="","",IFERROR(MATCH('STUDENT SCREENING'!K260,Adm_Gender,0),""))</f>
        <v/>
      </c>
      <c r="I260" s="57" t="n">
        <f aca="false">'STUDENT SCREENING'!Q260</f>
        <v>0</v>
      </c>
      <c r="J260" s="57" t="n">
        <f aca="false">'STUDENT SCREENING'!R260</f>
        <v>0</v>
      </c>
      <c r="K260" s="57" t="str">
        <f aca="false">'STUDENT SCREENING'!S260</f>
        <v/>
      </c>
      <c r="L260" s="57" t="n">
        <f aca="false">'STUDENT SCREENING'!U260</f>
        <v>0</v>
      </c>
      <c r="M260" s="57" t="n">
        <f aca="false">'STUDENT SCREENING'!V260</f>
        <v>0</v>
      </c>
      <c r="N260" s="57" t="str">
        <f aca="false">'STUDENT SCREENING'!BF260</f>
        <v/>
      </c>
      <c r="O260" s="57" t="str">
        <f aca="false">'STUDENT SCREENING'!BG260</f>
        <v/>
      </c>
      <c r="P260" s="57" t="str">
        <f aca="false">'STUDENT SCREENING'!BH260</f>
        <v/>
      </c>
      <c r="Q260" s="57" t="str">
        <f aca="false">'STUDENT SCREENING'!BI260</f>
        <v/>
      </c>
      <c r="R260" s="57" t="str">
        <f aca="false">'STUDENT SCREENING'!BJ260</f>
        <v/>
      </c>
      <c r="S260" s="57" t="str">
        <f aca="false">'STUDENT SCREENING'!BK260</f>
        <v/>
      </c>
      <c r="T260" s="57" t="str">
        <f aca="false">'STUDENT SCREENING'!BL260</f>
        <v/>
      </c>
      <c r="U260" s="57" t="str">
        <f aca="false">'STUDENT SCREENING'!BM260</f>
        <v/>
      </c>
      <c r="V260" s="57" t="str">
        <f aca="false">'STUDENT SCREENING'!BN260</f>
        <v/>
      </c>
      <c r="W260" s="57" t="str">
        <f aca="false">'STUDENT SCREENING'!BO260</f>
        <v/>
      </c>
      <c r="X260" s="57" t="str">
        <f aca="false">IF('STUDENT SCREENING'!W260="","",IFERROR(INDEX('SCORING MASTER'!$D$5:$D$7,MATCH('STUDENT SCREENING'!W260,'SCORING MASTER'!$C$5:$C$7,0)),""))</f>
        <v/>
      </c>
      <c r="Y260" s="57" t="str">
        <f aca="false">IF('STUDENT SCREENING'!X260="","",IFERROR(INDEX('SCORING MASTER'!$D$9:$D$11,MATCH('STUDENT SCREENING'!X260,'SCORING MASTER'!$C$9:$C$11,0)),""))</f>
        <v/>
      </c>
      <c r="Z260" s="57" t="str">
        <f aca="false">IF('STUDENT SCREENING'!Y260="","",IFERROR(INDEX('SCORING MASTER'!$D$13:$D$15,MATCH('STUDENT SCREENING'!Y260,'SCORING MASTER'!$C$13:$C$15,0)),""))</f>
        <v/>
      </c>
      <c r="AA260" s="57" t="str">
        <f aca="false">IF('STUDENT SCREENING'!Z260="","",IFERROR(INDEX('SCORING MASTER'!$D$17:$D$19,MATCH('STUDENT SCREENING'!Z260,'SCORING MASTER'!$C$17:$C$19,0)),""))</f>
        <v/>
      </c>
      <c r="AB260" s="57" t="str">
        <f aca="false">IF('STUDENT SCREENING'!AA260="","",IFERROR(INDEX('SCORING MASTER'!$D$21:$D$23,MATCH('STUDENT SCREENING'!AA260,'SCORING MASTER'!$C$21:$C$23,0)),""))</f>
        <v/>
      </c>
      <c r="AC260" s="57" t="str">
        <f aca="false">IF('STUDENT SCREENING'!AB260="","",IFERROR(INDEX('SCORING MASTER'!$D$25:$D$27,MATCH('STUDENT SCREENING'!AB260,'SCORING MASTER'!$C$25:$C$27,0)),""))</f>
        <v/>
      </c>
      <c r="AD260" s="57" t="str">
        <f aca="false">IF('STUDENT SCREENING'!AC260="","",IFERROR(INDEX('SCORING MASTER'!$D$29:$D$31,MATCH('STUDENT SCREENING'!AC260,'SCORING MASTER'!$C$29:$C$31,0)),""))</f>
        <v/>
      </c>
      <c r="AE260" s="57" t="str">
        <f aca="false">IF('STUDENT SCREENING'!AD260="","",IFERROR(INDEX('SCORING MASTER'!$D$33:$D$35,MATCH('STUDENT SCREENING'!AD260,'SCORING MASTER'!$C$33:$C$35,0)),""))</f>
        <v/>
      </c>
      <c r="AF260" s="57" t="str">
        <f aca="false">IF('STUDENT SCREENING'!AE260="","",IFERROR(INDEX('SCORING MASTER'!$D$37:$D$39,MATCH('STUDENT SCREENING'!AE260,'SCORING MASTER'!$C$37:$C$39,0)),""))</f>
        <v/>
      </c>
      <c r="AG260" s="57" t="str">
        <f aca="false">IF('STUDENT SCREENING'!AF260="","",IFERROR(INDEX('SCORING MASTER'!$D$41:$D$43,MATCH('STUDENT SCREENING'!AF260,'SCORING MASTER'!$C$41:$C$43,0)),""))</f>
        <v/>
      </c>
      <c r="AH260" s="57" t="str">
        <f aca="false">IF('STUDENT SCREENING'!AG260="","",IFERROR(INDEX('SCORING MASTER'!$D$45:$D$47,MATCH('STUDENT SCREENING'!AG260,'SCORING MASTER'!$C$45:$C$47,0)),""))</f>
        <v/>
      </c>
      <c r="AI260" s="57" t="str">
        <f aca="false">IF('STUDENT SCREENING'!AH260="","",IFERROR(INDEX('SCORING MASTER'!$D$49:$D$52,MATCH('STUDENT SCREENING'!AH260,'SCORING MASTER'!$C$49:$C$52,0)),""))</f>
        <v/>
      </c>
      <c r="AJ260" s="57" t="str">
        <f aca="false">IF('STUDENT SCREENING'!AI260="","",IFERROR(INDEX('SCORING MASTER'!$D$54:$D$57,MATCH('STUDENT SCREENING'!AI260,'SCORING MASTER'!$C$54:$C$57,0)),""))</f>
        <v/>
      </c>
      <c r="AK260" s="57" t="str">
        <f aca="false">IF('STUDENT SCREENING'!AJ260="","",IFERROR(INDEX('SCORING MASTER'!$D$59:$D$60,MATCH('STUDENT SCREENING'!AJ260,'SCORING MASTER'!$C$59:$C$60,0)),""))</f>
        <v/>
      </c>
      <c r="AL260" s="57" t="str">
        <f aca="false">IF('STUDENT SCREENING'!AK260="","",IFERROR(INDEX('SCORING MASTER'!$D$62:$D$63,MATCH('STUDENT SCREENING'!AK260,'SCORING MASTER'!$C$62:$C$63,0)),""))</f>
        <v/>
      </c>
      <c r="AM260" s="57" t="str">
        <f aca="false">IF('STUDENT SCREENING'!AL260="","",IFERROR(INDEX('SCORING MASTER'!$D$65:$D$66,MATCH('STUDENT SCREENING'!AL260,'SCORING MASTER'!$C$65:$C$66,0)),""))</f>
        <v/>
      </c>
      <c r="AN260" s="57" t="str">
        <f aca="false">IF('STUDENT SCREENING'!AM260="","",IFERROR(INDEX('SCORING MASTER'!$D$68:$D$69,MATCH('STUDENT SCREENING'!AM260,'SCORING MASTER'!$C$68:$C$69,0)),""))</f>
        <v/>
      </c>
      <c r="AO260" s="57" t="str">
        <f aca="false">IF('STUDENT SCREENING'!AN260="","",IFERROR(INDEX('SCORING MASTER'!$D$71:$D$72,MATCH('STUDENT SCREENING'!AN260,'SCORING MASTER'!$C$71:$C$72,0)),""))</f>
        <v/>
      </c>
      <c r="AP260" s="57" t="str">
        <f aca="false">IF('STUDENT SCREENING'!AO260="","",IFERROR(INDEX('SCORING MASTER'!$D$74:$D$75,MATCH('STUDENT SCREENING'!AO260,'SCORING MASTER'!$C$74:$C$75,0)),""))</f>
        <v/>
      </c>
      <c r="AQ260" s="57" t="str">
        <f aca="false">IF('STUDENT SCREENING'!AP260="","",IFERROR(INDEX('SCORING MASTER'!$D$77:$D$78,MATCH('STUDENT SCREENING'!AP260,'SCORING MASTER'!$C$77:$C$78,0)),""))</f>
        <v/>
      </c>
      <c r="AR260" s="57" t="str">
        <f aca="false">IF('STUDENT SCREENING'!AQ260="","",IFERROR(INDEX('SCORING MASTER'!$D$80:$D$82,MATCH('STUDENT SCREENING'!AQ260,'SCORING MASTER'!$C$80:$C$82,0)),""))</f>
        <v/>
      </c>
      <c r="AS260" s="57" t="str">
        <f aca="false">IF('STUDENT SCREENING'!AR260="","",IFERROR(INDEX('SCORING MASTER'!$D$84:$D$86,MATCH('STUDENT SCREENING'!AR260,'SCORING MASTER'!$C$84:$C$86,0)),""))</f>
        <v/>
      </c>
      <c r="AT260" s="57" t="str">
        <f aca="false">IF('STUDENT SCREENING'!AS260="","",IFERROR(INDEX('SCORING MASTER'!$D$88:$D$90,MATCH('STUDENT SCREENING'!AS260,'SCORING MASTER'!$C$88:$C$90,0)),""))</f>
        <v/>
      </c>
      <c r="AU260" s="57" t="str">
        <f aca="false">IF('STUDENT SCREENING'!AT260="","",IFERROR(INDEX('SCORING MASTER'!$D$92:$D$93,MATCH('STUDENT SCREENING'!AT260,'SCORING MASTER'!$C$92:$C$93,0)),""))</f>
        <v/>
      </c>
      <c r="AV260" s="57" t="str">
        <f aca="false">IF('STUDENT SCREENING'!AU260="","",IFERROR(INDEX('SCORING MASTER'!$D$95:$D$96,MATCH('STUDENT SCREENING'!AU260,'SCORING MASTER'!$C$95:$C$96,0)),""))</f>
        <v/>
      </c>
      <c r="AW260" s="57" t="str">
        <f aca="false">IF('STUDENT SCREENING'!AV260="","",IFERROR(INDEX('SCORING MASTER'!$D$98:$D$99,MATCH('STUDENT SCREENING'!AV260,'SCORING MASTER'!$C$98:$C$99,0)),""))</f>
        <v/>
      </c>
      <c r="AX260" s="57" t="str">
        <f aca="false">IF('STUDENT SCREENING'!AW260="","",IFERROR(INDEX('SCORING MASTER'!$D$101:$D$102,MATCH('STUDENT SCREENING'!AW260,'SCORING MASTER'!$C$101:$C$102,0)),""))</f>
        <v/>
      </c>
      <c r="AY260" s="57" t="str">
        <f aca="false">IF('STUDENT SCREENING'!AX260="","",IFERROR(INDEX('SCORING MASTER'!$D$104:$D$105,MATCH('STUDENT SCREENING'!AX260,'SCORING MASTER'!$C$104:$C$105,0)),""))</f>
        <v/>
      </c>
      <c r="AZ260" s="57" t="str">
        <f aca="false">IF('STUDENT SCREENING'!AY260="","",IFERROR(INDEX('SCORING MASTER'!$D$107:$D$108,MATCH('STUDENT SCREENING'!AY260,'SCORING MASTER'!$C$107:$C$108,0)),""))</f>
        <v/>
      </c>
      <c r="BA260" s="57" t="str">
        <f aca="false">IF('STUDENT SCREENING'!AZ260="","",IFERROR(INDEX('SCORING MASTER'!$D$110:$D$111,MATCH('STUDENT SCREENING'!AZ260,'SCORING MASTER'!$C$110:$C$111,0)),""))</f>
        <v/>
      </c>
      <c r="BB260" s="57" t="str">
        <f aca="false">IF('STUDENT SCREENING'!BA260="","",IFERROR(INDEX('SCORING MASTER'!$D$113:$D$115,MATCH('STUDENT SCREENING'!BA260,'SCORING MASTER'!$C$113:$C$115,0)),""))</f>
        <v/>
      </c>
      <c r="BC260" s="57" t="str">
        <f aca="false">IF('STUDENT SCREENING'!BB260="","",IFERROR(INDEX('SCORING MASTER'!$D$117:$D$119,MATCH('STUDENT SCREENING'!BB260,'SCORING MASTER'!$C$117:$C$119,0)),""))</f>
        <v/>
      </c>
      <c r="BD260" s="57" t="str">
        <f aca="false">IF('STUDENT SCREENING'!BC260="","",IFERROR(INDEX('SCORING MASTER'!$D$121:$D$123,MATCH('STUDENT SCREENING'!BC260,'SCORING MASTER'!$C$121:$C$123,0)),""))</f>
        <v/>
      </c>
      <c r="BE260" s="57" t="str">
        <f aca="false">IF('STUDENT SCREENING'!BD260="","",IFERROR(INDEX('SCORING MASTER'!$D$125:$D$126,MATCH('STUDENT SCREENING'!BD260,'SCORING MASTER'!$C$125:$C$126,0)),""))</f>
        <v/>
      </c>
      <c r="BF260" s="57" t="str">
        <f aca="false">IF('STUDENT SCREENING'!BE260="","",IFERROR(INDEX('SCORING MASTER'!$D$128:$D$129,MATCH('STUDENT SCREENING'!BE260,'SCORING MASTER'!$C$128:$C$129,0)),""))</f>
        <v/>
      </c>
      <c r="BG260" s="57" t="str">
        <f aca="false">IF('STUDENT SCREENING'!BP260="","",IFERROR(MATCH('STUDENT SCREENING'!BP260,{"Red - High Risk","Orange - Moderate Risk","Yellow - Mild Risk","Light Green - Mild Watch","Green - Healthy"},0)-1,""))</f>
        <v/>
      </c>
      <c r="BH260" s="57" t="str">
        <f aca="false">IF('STUDENT SCREENING'!BQ260="","",IF('STUDENT SCREENING'!BQ260="Yes",1,0))</f>
        <v/>
      </c>
      <c r="BI260" s="57" t="str">
        <f aca="false">IF('STUDENT SCREENING'!BR260="","",IF('STUDENT SCREENING'!BR260="Yes",1,0))</f>
        <v/>
      </c>
    </row>
    <row r="261" customFormat="false" ht="15" hidden="false" customHeight="false" outlineLevel="0" collapsed="false">
      <c r="A261" s="58" t="str">
        <f aca="false">'STUDENT SCREENING'!A261</f>
        <v/>
      </c>
      <c r="B261" s="58" t="n">
        <f aca="false">'STUDENT SCREENING'!C261</f>
        <v>0</v>
      </c>
      <c r="C261" s="58" t="n">
        <f aca="false">'STUDENT SCREENING'!D261</f>
        <v>0</v>
      </c>
      <c r="D261" s="58" t="n">
        <f aca="false">'STUDENT SCREENING'!E261</f>
        <v>0</v>
      </c>
      <c r="E261" s="58" t="n">
        <f aca="false">'STUDENT SCREENING'!F261</f>
        <v>0</v>
      </c>
      <c r="F261" s="58" t="n">
        <f aca="false">'STUDENT SCREENING'!K261</f>
        <v>0</v>
      </c>
      <c r="G261" s="58" t="n">
        <f aca="false">'STUDENT SCREENING'!J261</f>
        <v>0</v>
      </c>
      <c r="H261" s="58" t="str">
        <f aca="false">IF('STUDENT SCREENING'!K261="","",IFERROR(MATCH('STUDENT SCREENING'!K261,Adm_Gender,0),""))</f>
        <v/>
      </c>
      <c r="I261" s="58" t="n">
        <f aca="false">'STUDENT SCREENING'!Q261</f>
        <v>0</v>
      </c>
      <c r="J261" s="58" t="n">
        <f aca="false">'STUDENT SCREENING'!R261</f>
        <v>0</v>
      </c>
      <c r="K261" s="58" t="str">
        <f aca="false">'STUDENT SCREENING'!S261</f>
        <v/>
      </c>
      <c r="L261" s="58" t="n">
        <f aca="false">'STUDENT SCREENING'!U261</f>
        <v>0</v>
      </c>
      <c r="M261" s="58" t="n">
        <f aca="false">'STUDENT SCREENING'!V261</f>
        <v>0</v>
      </c>
      <c r="N261" s="58" t="str">
        <f aca="false">'STUDENT SCREENING'!BF261</f>
        <v/>
      </c>
      <c r="O261" s="58" t="str">
        <f aca="false">'STUDENT SCREENING'!BG261</f>
        <v/>
      </c>
      <c r="P261" s="58" t="str">
        <f aca="false">'STUDENT SCREENING'!BH261</f>
        <v/>
      </c>
      <c r="Q261" s="58" t="str">
        <f aca="false">'STUDENT SCREENING'!BI261</f>
        <v/>
      </c>
      <c r="R261" s="58" t="str">
        <f aca="false">'STUDENT SCREENING'!BJ261</f>
        <v/>
      </c>
      <c r="S261" s="58" t="str">
        <f aca="false">'STUDENT SCREENING'!BK261</f>
        <v/>
      </c>
      <c r="T261" s="58" t="str">
        <f aca="false">'STUDENT SCREENING'!BL261</f>
        <v/>
      </c>
      <c r="U261" s="58" t="str">
        <f aca="false">'STUDENT SCREENING'!BM261</f>
        <v/>
      </c>
      <c r="V261" s="58" t="str">
        <f aca="false">'STUDENT SCREENING'!BN261</f>
        <v/>
      </c>
      <c r="W261" s="58" t="str">
        <f aca="false">'STUDENT SCREENING'!BO261</f>
        <v/>
      </c>
      <c r="X261" s="58" t="str">
        <f aca="false">IF('STUDENT SCREENING'!W261="","",IFERROR(INDEX('SCORING MASTER'!$D$5:$D$7,MATCH('STUDENT SCREENING'!W261,'SCORING MASTER'!$C$5:$C$7,0)),""))</f>
        <v/>
      </c>
      <c r="Y261" s="58" t="str">
        <f aca="false">IF('STUDENT SCREENING'!X261="","",IFERROR(INDEX('SCORING MASTER'!$D$9:$D$11,MATCH('STUDENT SCREENING'!X261,'SCORING MASTER'!$C$9:$C$11,0)),""))</f>
        <v/>
      </c>
      <c r="Z261" s="58" t="str">
        <f aca="false">IF('STUDENT SCREENING'!Y261="","",IFERROR(INDEX('SCORING MASTER'!$D$13:$D$15,MATCH('STUDENT SCREENING'!Y261,'SCORING MASTER'!$C$13:$C$15,0)),""))</f>
        <v/>
      </c>
      <c r="AA261" s="58" t="str">
        <f aca="false">IF('STUDENT SCREENING'!Z261="","",IFERROR(INDEX('SCORING MASTER'!$D$17:$D$19,MATCH('STUDENT SCREENING'!Z261,'SCORING MASTER'!$C$17:$C$19,0)),""))</f>
        <v/>
      </c>
      <c r="AB261" s="58" t="str">
        <f aca="false">IF('STUDENT SCREENING'!AA261="","",IFERROR(INDEX('SCORING MASTER'!$D$21:$D$23,MATCH('STUDENT SCREENING'!AA261,'SCORING MASTER'!$C$21:$C$23,0)),""))</f>
        <v/>
      </c>
      <c r="AC261" s="58" t="str">
        <f aca="false">IF('STUDENT SCREENING'!AB261="","",IFERROR(INDEX('SCORING MASTER'!$D$25:$D$27,MATCH('STUDENT SCREENING'!AB261,'SCORING MASTER'!$C$25:$C$27,0)),""))</f>
        <v/>
      </c>
      <c r="AD261" s="58" t="str">
        <f aca="false">IF('STUDENT SCREENING'!AC261="","",IFERROR(INDEX('SCORING MASTER'!$D$29:$D$31,MATCH('STUDENT SCREENING'!AC261,'SCORING MASTER'!$C$29:$C$31,0)),""))</f>
        <v/>
      </c>
      <c r="AE261" s="58" t="str">
        <f aca="false">IF('STUDENT SCREENING'!AD261="","",IFERROR(INDEX('SCORING MASTER'!$D$33:$D$35,MATCH('STUDENT SCREENING'!AD261,'SCORING MASTER'!$C$33:$C$35,0)),""))</f>
        <v/>
      </c>
      <c r="AF261" s="58" t="str">
        <f aca="false">IF('STUDENT SCREENING'!AE261="","",IFERROR(INDEX('SCORING MASTER'!$D$37:$D$39,MATCH('STUDENT SCREENING'!AE261,'SCORING MASTER'!$C$37:$C$39,0)),""))</f>
        <v/>
      </c>
      <c r="AG261" s="58" t="str">
        <f aca="false">IF('STUDENT SCREENING'!AF261="","",IFERROR(INDEX('SCORING MASTER'!$D$41:$D$43,MATCH('STUDENT SCREENING'!AF261,'SCORING MASTER'!$C$41:$C$43,0)),""))</f>
        <v/>
      </c>
      <c r="AH261" s="58" t="str">
        <f aca="false">IF('STUDENT SCREENING'!AG261="","",IFERROR(INDEX('SCORING MASTER'!$D$45:$D$47,MATCH('STUDENT SCREENING'!AG261,'SCORING MASTER'!$C$45:$C$47,0)),""))</f>
        <v/>
      </c>
      <c r="AI261" s="58" t="str">
        <f aca="false">IF('STUDENT SCREENING'!AH261="","",IFERROR(INDEX('SCORING MASTER'!$D$49:$D$52,MATCH('STUDENT SCREENING'!AH261,'SCORING MASTER'!$C$49:$C$52,0)),""))</f>
        <v/>
      </c>
      <c r="AJ261" s="58" t="str">
        <f aca="false">IF('STUDENT SCREENING'!AI261="","",IFERROR(INDEX('SCORING MASTER'!$D$54:$D$57,MATCH('STUDENT SCREENING'!AI261,'SCORING MASTER'!$C$54:$C$57,0)),""))</f>
        <v/>
      </c>
      <c r="AK261" s="58" t="str">
        <f aca="false">IF('STUDENT SCREENING'!AJ261="","",IFERROR(INDEX('SCORING MASTER'!$D$59:$D$60,MATCH('STUDENT SCREENING'!AJ261,'SCORING MASTER'!$C$59:$C$60,0)),""))</f>
        <v/>
      </c>
      <c r="AL261" s="58" t="str">
        <f aca="false">IF('STUDENT SCREENING'!AK261="","",IFERROR(INDEX('SCORING MASTER'!$D$62:$D$63,MATCH('STUDENT SCREENING'!AK261,'SCORING MASTER'!$C$62:$C$63,0)),""))</f>
        <v/>
      </c>
      <c r="AM261" s="58" t="str">
        <f aca="false">IF('STUDENT SCREENING'!AL261="","",IFERROR(INDEX('SCORING MASTER'!$D$65:$D$66,MATCH('STUDENT SCREENING'!AL261,'SCORING MASTER'!$C$65:$C$66,0)),""))</f>
        <v/>
      </c>
      <c r="AN261" s="58" t="str">
        <f aca="false">IF('STUDENT SCREENING'!AM261="","",IFERROR(INDEX('SCORING MASTER'!$D$68:$D$69,MATCH('STUDENT SCREENING'!AM261,'SCORING MASTER'!$C$68:$C$69,0)),""))</f>
        <v/>
      </c>
      <c r="AO261" s="58" t="str">
        <f aca="false">IF('STUDENT SCREENING'!AN261="","",IFERROR(INDEX('SCORING MASTER'!$D$71:$D$72,MATCH('STUDENT SCREENING'!AN261,'SCORING MASTER'!$C$71:$C$72,0)),""))</f>
        <v/>
      </c>
      <c r="AP261" s="58" t="str">
        <f aca="false">IF('STUDENT SCREENING'!AO261="","",IFERROR(INDEX('SCORING MASTER'!$D$74:$D$75,MATCH('STUDENT SCREENING'!AO261,'SCORING MASTER'!$C$74:$C$75,0)),""))</f>
        <v/>
      </c>
      <c r="AQ261" s="58" t="str">
        <f aca="false">IF('STUDENT SCREENING'!AP261="","",IFERROR(INDEX('SCORING MASTER'!$D$77:$D$78,MATCH('STUDENT SCREENING'!AP261,'SCORING MASTER'!$C$77:$C$78,0)),""))</f>
        <v/>
      </c>
      <c r="AR261" s="58" t="str">
        <f aca="false">IF('STUDENT SCREENING'!AQ261="","",IFERROR(INDEX('SCORING MASTER'!$D$80:$D$82,MATCH('STUDENT SCREENING'!AQ261,'SCORING MASTER'!$C$80:$C$82,0)),""))</f>
        <v/>
      </c>
      <c r="AS261" s="58" t="str">
        <f aca="false">IF('STUDENT SCREENING'!AR261="","",IFERROR(INDEX('SCORING MASTER'!$D$84:$D$86,MATCH('STUDENT SCREENING'!AR261,'SCORING MASTER'!$C$84:$C$86,0)),""))</f>
        <v/>
      </c>
      <c r="AT261" s="58" t="str">
        <f aca="false">IF('STUDENT SCREENING'!AS261="","",IFERROR(INDEX('SCORING MASTER'!$D$88:$D$90,MATCH('STUDENT SCREENING'!AS261,'SCORING MASTER'!$C$88:$C$90,0)),""))</f>
        <v/>
      </c>
      <c r="AU261" s="58" t="str">
        <f aca="false">IF('STUDENT SCREENING'!AT261="","",IFERROR(INDEX('SCORING MASTER'!$D$92:$D$93,MATCH('STUDENT SCREENING'!AT261,'SCORING MASTER'!$C$92:$C$93,0)),""))</f>
        <v/>
      </c>
      <c r="AV261" s="58" t="str">
        <f aca="false">IF('STUDENT SCREENING'!AU261="","",IFERROR(INDEX('SCORING MASTER'!$D$95:$D$96,MATCH('STUDENT SCREENING'!AU261,'SCORING MASTER'!$C$95:$C$96,0)),""))</f>
        <v/>
      </c>
      <c r="AW261" s="58" t="str">
        <f aca="false">IF('STUDENT SCREENING'!AV261="","",IFERROR(INDEX('SCORING MASTER'!$D$98:$D$99,MATCH('STUDENT SCREENING'!AV261,'SCORING MASTER'!$C$98:$C$99,0)),""))</f>
        <v/>
      </c>
      <c r="AX261" s="58" t="str">
        <f aca="false">IF('STUDENT SCREENING'!AW261="","",IFERROR(INDEX('SCORING MASTER'!$D$101:$D$102,MATCH('STUDENT SCREENING'!AW261,'SCORING MASTER'!$C$101:$C$102,0)),""))</f>
        <v/>
      </c>
      <c r="AY261" s="58" t="str">
        <f aca="false">IF('STUDENT SCREENING'!AX261="","",IFERROR(INDEX('SCORING MASTER'!$D$104:$D$105,MATCH('STUDENT SCREENING'!AX261,'SCORING MASTER'!$C$104:$C$105,0)),""))</f>
        <v/>
      </c>
      <c r="AZ261" s="58" t="str">
        <f aca="false">IF('STUDENT SCREENING'!AY261="","",IFERROR(INDEX('SCORING MASTER'!$D$107:$D$108,MATCH('STUDENT SCREENING'!AY261,'SCORING MASTER'!$C$107:$C$108,0)),""))</f>
        <v/>
      </c>
      <c r="BA261" s="58" t="str">
        <f aca="false">IF('STUDENT SCREENING'!AZ261="","",IFERROR(INDEX('SCORING MASTER'!$D$110:$D$111,MATCH('STUDENT SCREENING'!AZ261,'SCORING MASTER'!$C$110:$C$111,0)),""))</f>
        <v/>
      </c>
      <c r="BB261" s="58" t="str">
        <f aca="false">IF('STUDENT SCREENING'!BA261="","",IFERROR(INDEX('SCORING MASTER'!$D$113:$D$115,MATCH('STUDENT SCREENING'!BA261,'SCORING MASTER'!$C$113:$C$115,0)),""))</f>
        <v/>
      </c>
      <c r="BC261" s="58" t="str">
        <f aca="false">IF('STUDENT SCREENING'!BB261="","",IFERROR(INDEX('SCORING MASTER'!$D$117:$D$119,MATCH('STUDENT SCREENING'!BB261,'SCORING MASTER'!$C$117:$C$119,0)),""))</f>
        <v/>
      </c>
      <c r="BD261" s="58" t="str">
        <f aca="false">IF('STUDENT SCREENING'!BC261="","",IFERROR(INDEX('SCORING MASTER'!$D$121:$D$123,MATCH('STUDENT SCREENING'!BC261,'SCORING MASTER'!$C$121:$C$123,0)),""))</f>
        <v/>
      </c>
      <c r="BE261" s="58" t="str">
        <f aca="false">IF('STUDENT SCREENING'!BD261="","",IFERROR(INDEX('SCORING MASTER'!$D$125:$D$126,MATCH('STUDENT SCREENING'!BD261,'SCORING MASTER'!$C$125:$C$126,0)),""))</f>
        <v/>
      </c>
      <c r="BF261" s="58" t="str">
        <f aca="false">IF('STUDENT SCREENING'!BE261="","",IFERROR(INDEX('SCORING MASTER'!$D$128:$D$129,MATCH('STUDENT SCREENING'!BE261,'SCORING MASTER'!$C$128:$C$129,0)),""))</f>
        <v/>
      </c>
      <c r="BG261" s="58" t="str">
        <f aca="false">IF('STUDENT SCREENING'!BP261="","",IFERROR(MATCH('STUDENT SCREENING'!BP261,{"Red - High Risk","Orange - Moderate Risk","Yellow - Mild Risk","Light Green - Mild Watch","Green - Healthy"},0)-1,""))</f>
        <v/>
      </c>
      <c r="BH261" s="58" t="str">
        <f aca="false">IF('STUDENT SCREENING'!BQ261="","",IF('STUDENT SCREENING'!BQ261="Yes",1,0))</f>
        <v/>
      </c>
      <c r="BI261" s="58" t="str">
        <f aca="false">IF('STUDENT SCREENING'!BR261="","",IF('STUDENT SCREENING'!BR261="Yes",1,0))</f>
        <v/>
      </c>
    </row>
    <row r="262" customFormat="false" ht="15" hidden="false" customHeight="false" outlineLevel="0" collapsed="false">
      <c r="A262" s="57" t="str">
        <f aca="false">'STUDENT SCREENING'!A262</f>
        <v/>
      </c>
      <c r="B262" s="57" t="n">
        <f aca="false">'STUDENT SCREENING'!C262</f>
        <v>0</v>
      </c>
      <c r="C262" s="57" t="n">
        <f aca="false">'STUDENT SCREENING'!D262</f>
        <v>0</v>
      </c>
      <c r="D262" s="57" t="n">
        <f aca="false">'STUDENT SCREENING'!E262</f>
        <v>0</v>
      </c>
      <c r="E262" s="57" t="n">
        <f aca="false">'STUDENT SCREENING'!F262</f>
        <v>0</v>
      </c>
      <c r="F262" s="57" t="n">
        <f aca="false">'STUDENT SCREENING'!K262</f>
        <v>0</v>
      </c>
      <c r="G262" s="57" t="n">
        <f aca="false">'STUDENT SCREENING'!J262</f>
        <v>0</v>
      </c>
      <c r="H262" s="57" t="str">
        <f aca="false">IF('STUDENT SCREENING'!K262="","",IFERROR(MATCH('STUDENT SCREENING'!K262,Adm_Gender,0),""))</f>
        <v/>
      </c>
      <c r="I262" s="57" t="n">
        <f aca="false">'STUDENT SCREENING'!Q262</f>
        <v>0</v>
      </c>
      <c r="J262" s="57" t="n">
        <f aca="false">'STUDENT SCREENING'!R262</f>
        <v>0</v>
      </c>
      <c r="K262" s="57" t="str">
        <f aca="false">'STUDENT SCREENING'!S262</f>
        <v/>
      </c>
      <c r="L262" s="57" t="n">
        <f aca="false">'STUDENT SCREENING'!U262</f>
        <v>0</v>
      </c>
      <c r="M262" s="57" t="n">
        <f aca="false">'STUDENT SCREENING'!V262</f>
        <v>0</v>
      </c>
      <c r="N262" s="57" t="str">
        <f aca="false">'STUDENT SCREENING'!BF262</f>
        <v/>
      </c>
      <c r="O262" s="57" t="str">
        <f aca="false">'STUDENT SCREENING'!BG262</f>
        <v/>
      </c>
      <c r="P262" s="57" t="str">
        <f aca="false">'STUDENT SCREENING'!BH262</f>
        <v/>
      </c>
      <c r="Q262" s="57" t="str">
        <f aca="false">'STUDENT SCREENING'!BI262</f>
        <v/>
      </c>
      <c r="R262" s="57" t="str">
        <f aca="false">'STUDENT SCREENING'!BJ262</f>
        <v/>
      </c>
      <c r="S262" s="57" t="str">
        <f aca="false">'STUDENT SCREENING'!BK262</f>
        <v/>
      </c>
      <c r="T262" s="57" t="str">
        <f aca="false">'STUDENT SCREENING'!BL262</f>
        <v/>
      </c>
      <c r="U262" s="57" t="str">
        <f aca="false">'STUDENT SCREENING'!BM262</f>
        <v/>
      </c>
      <c r="V262" s="57" t="str">
        <f aca="false">'STUDENT SCREENING'!BN262</f>
        <v/>
      </c>
      <c r="W262" s="57" t="str">
        <f aca="false">'STUDENT SCREENING'!BO262</f>
        <v/>
      </c>
      <c r="X262" s="57" t="str">
        <f aca="false">IF('STUDENT SCREENING'!W262="","",IFERROR(INDEX('SCORING MASTER'!$D$5:$D$7,MATCH('STUDENT SCREENING'!W262,'SCORING MASTER'!$C$5:$C$7,0)),""))</f>
        <v/>
      </c>
      <c r="Y262" s="57" t="str">
        <f aca="false">IF('STUDENT SCREENING'!X262="","",IFERROR(INDEX('SCORING MASTER'!$D$9:$D$11,MATCH('STUDENT SCREENING'!X262,'SCORING MASTER'!$C$9:$C$11,0)),""))</f>
        <v/>
      </c>
      <c r="Z262" s="57" t="str">
        <f aca="false">IF('STUDENT SCREENING'!Y262="","",IFERROR(INDEX('SCORING MASTER'!$D$13:$D$15,MATCH('STUDENT SCREENING'!Y262,'SCORING MASTER'!$C$13:$C$15,0)),""))</f>
        <v/>
      </c>
      <c r="AA262" s="57" t="str">
        <f aca="false">IF('STUDENT SCREENING'!Z262="","",IFERROR(INDEX('SCORING MASTER'!$D$17:$D$19,MATCH('STUDENT SCREENING'!Z262,'SCORING MASTER'!$C$17:$C$19,0)),""))</f>
        <v/>
      </c>
      <c r="AB262" s="57" t="str">
        <f aca="false">IF('STUDENT SCREENING'!AA262="","",IFERROR(INDEX('SCORING MASTER'!$D$21:$D$23,MATCH('STUDENT SCREENING'!AA262,'SCORING MASTER'!$C$21:$C$23,0)),""))</f>
        <v/>
      </c>
      <c r="AC262" s="57" t="str">
        <f aca="false">IF('STUDENT SCREENING'!AB262="","",IFERROR(INDEX('SCORING MASTER'!$D$25:$D$27,MATCH('STUDENT SCREENING'!AB262,'SCORING MASTER'!$C$25:$C$27,0)),""))</f>
        <v/>
      </c>
      <c r="AD262" s="57" t="str">
        <f aca="false">IF('STUDENT SCREENING'!AC262="","",IFERROR(INDEX('SCORING MASTER'!$D$29:$D$31,MATCH('STUDENT SCREENING'!AC262,'SCORING MASTER'!$C$29:$C$31,0)),""))</f>
        <v/>
      </c>
      <c r="AE262" s="57" t="str">
        <f aca="false">IF('STUDENT SCREENING'!AD262="","",IFERROR(INDEX('SCORING MASTER'!$D$33:$D$35,MATCH('STUDENT SCREENING'!AD262,'SCORING MASTER'!$C$33:$C$35,0)),""))</f>
        <v/>
      </c>
      <c r="AF262" s="57" t="str">
        <f aca="false">IF('STUDENT SCREENING'!AE262="","",IFERROR(INDEX('SCORING MASTER'!$D$37:$D$39,MATCH('STUDENT SCREENING'!AE262,'SCORING MASTER'!$C$37:$C$39,0)),""))</f>
        <v/>
      </c>
      <c r="AG262" s="57" t="str">
        <f aca="false">IF('STUDENT SCREENING'!AF262="","",IFERROR(INDEX('SCORING MASTER'!$D$41:$D$43,MATCH('STUDENT SCREENING'!AF262,'SCORING MASTER'!$C$41:$C$43,0)),""))</f>
        <v/>
      </c>
      <c r="AH262" s="57" t="str">
        <f aca="false">IF('STUDENT SCREENING'!AG262="","",IFERROR(INDEX('SCORING MASTER'!$D$45:$D$47,MATCH('STUDENT SCREENING'!AG262,'SCORING MASTER'!$C$45:$C$47,0)),""))</f>
        <v/>
      </c>
      <c r="AI262" s="57" t="str">
        <f aca="false">IF('STUDENT SCREENING'!AH262="","",IFERROR(INDEX('SCORING MASTER'!$D$49:$D$52,MATCH('STUDENT SCREENING'!AH262,'SCORING MASTER'!$C$49:$C$52,0)),""))</f>
        <v/>
      </c>
      <c r="AJ262" s="57" t="str">
        <f aca="false">IF('STUDENT SCREENING'!AI262="","",IFERROR(INDEX('SCORING MASTER'!$D$54:$D$57,MATCH('STUDENT SCREENING'!AI262,'SCORING MASTER'!$C$54:$C$57,0)),""))</f>
        <v/>
      </c>
      <c r="AK262" s="57" t="str">
        <f aca="false">IF('STUDENT SCREENING'!AJ262="","",IFERROR(INDEX('SCORING MASTER'!$D$59:$D$60,MATCH('STUDENT SCREENING'!AJ262,'SCORING MASTER'!$C$59:$C$60,0)),""))</f>
        <v/>
      </c>
      <c r="AL262" s="57" t="str">
        <f aca="false">IF('STUDENT SCREENING'!AK262="","",IFERROR(INDEX('SCORING MASTER'!$D$62:$D$63,MATCH('STUDENT SCREENING'!AK262,'SCORING MASTER'!$C$62:$C$63,0)),""))</f>
        <v/>
      </c>
      <c r="AM262" s="57" t="str">
        <f aca="false">IF('STUDENT SCREENING'!AL262="","",IFERROR(INDEX('SCORING MASTER'!$D$65:$D$66,MATCH('STUDENT SCREENING'!AL262,'SCORING MASTER'!$C$65:$C$66,0)),""))</f>
        <v/>
      </c>
      <c r="AN262" s="57" t="str">
        <f aca="false">IF('STUDENT SCREENING'!AM262="","",IFERROR(INDEX('SCORING MASTER'!$D$68:$D$69,MATCH('STUDENT SCREENING'!AM262,'SCORING MASTER'!$C$68:$C$69,0)),""))</f>
        <v/>
      </c>
      <c r="AO262" s="57" t="str">
        <f aca="false">IF('STUDENT SCREENING'!AN262="","",IFERROR(INDEX('SCORING MASTER'!$D$71:$D$72,MATCH('STUDENT SCREENING'!AN262,'SCORING MASTER'!$C$71:$C$72,0)),""))</f>
        <v/>
      </c>
      <c r="AP262" s="57" t="str">
        <f aca="false">IF('STUDENT SCREENING'!AO262="","",IFERROR(INDEX('SCORING MASTER'!$D$74:$D$75,MATCH('STUDENT SCREENING'!AO262,'SCORING MASTER'!$C$74:$C$75,0)),""))</f>
        <v/>
      </c>
      <c r="AQ262" s="57" t="str">
        <f aca="false">IF('STUDENT SCREENING'!AP262="","",IFERROR(INDEX('SCORING MASTER'!$D$77:$D$78,MATCH('STUDENT SCREENING'!AP262,'SCORING MASTER'!$C$77:$C$78,0)),""))</f>
        <v/>
      </c>
      <c r="AR262" s="57" t="str">
        <f aca="false">IF('STUDENT SCREENING'!AQ262="","",IFERROR(INDEX('SCORING MASTER'!$D$80:$D$82,MATCH('STUDENT SCREENING'!AQ262,'SCORING MASTER'!$C$80:$C$82,0)),""))</f>
        <v/>
      </c>
      <c r="AS262" s="57" t="str">
        <f aca="false">IF('STUDENT SCREENING'!AR262="","",IFERROR(INDEX('SCORING MASTER'!$D$84:$D$86,MATCH('STUDENT SCREENING'!AR262,'SCORING MASTER'!$C$84:$C$86,0)),""))</f>
        <v/>
      </c>
      <c r="AT262" s="57" t="str">
        <f aca="false">IF('STUDENT SCREENING'!AS262="","",IFERROR(INDEX('SCORING MASTER'!$D$88:$D$90,MATCH('STUDENT SCREENING'!AS262,'SCORING MASTER'!$C$88:$C$90,0)),""))</f>
        <v/>
      </c>
      <c r="AU262" s="57" t="str">
        <f aca="false">IF('STUDENT SCREENING'!AT262="","",IFERROR(INDEX('SCORING MASTER'!$D$92:$D$93,MATCH('STUDENT SCREENING'!AT262,'SCORING MASTER'!$C$92:$C$93,0)),""))</f>
        <v/>
      </c>
      <c r="AV262" s="57" t="str">
        <f aca="false">IF('STUDENT SCREENING'!AU262="","",IFERROR(INDEX('SCORING MASTER'!$D$95:$D$96,MATCH('STUDENT SCREENING'!AU262,'SCORING MASTER'!$C$95:$C$96,0)),""))</f>
        <v/>
      </c>
      <c r="AW262" s="57" t="str">
        <f aca="false">IF('STUDENT SCREENING'!AV262="","",IFERROR(INDEX('SCORING MASTER'!$D$98:$D$99,MATCH('STUDENT SCREENING'!AV262,'SCORING MASTER'!$C$98:$C$99,0)),""))</f>
        <v/>
      </c>
      <c r="AX262" s="57" t="str">
        <f aca="false">IF('STUDENT SCREENING'!AW262="","",IFERROR(INDEX('SCORING MASTER'!$D$101:$D$102,MATCH('STUDENT SCREENING'!AW262,'SCORING MASTER'!$C$101:$C$102,0)),""))</f>
        <v/>
      </c>
      <c r="AY262" s="57" t="str">
        <f aca="false">IF('STUDENT SCREENING'!AX262="","",IFERROR(INDEX('SCORING MASTER'!$D$104:$D$105,MATCH('STUDENT SCREENING'!AX262,'SCORING MASTER'!$C$104:$C$105,0)),""))</f>
        <v/>
      </c>
      <c r="AZ262" s="57" t="str">
        <f aca="false">IF('STUDENT SCREENING'!AY262="","",IFERROR(INDEX('SCORING MASTER'!$D$107:$D$108,MATCH('STUDENT SCREENING'!AY262,'SCORING MASTER'!$C$107:$C$108,0)),""))</f>
        <v/>
      </c>
      <c r="BA262" s="57" t="str">
        <f aca="false">IF('STUDENT SCREENING'!AZ262="","",IFERROR(INDEX('SCORING MASTER'!$D$110:$D$111,MATCH('STUDENT SCREENING'!AZ262,'SCORING MASTER'!$C$110:$C$111,0)),""))</f>
        <v/>
      </c>
      <c r="BB262" s="57" t="str">
        <f aca="false">IF('STUDENT SCREENING'!BA262="","",IFERROR(INDEX('SCORING MASTER'!$D$113:$D$115,MATCH('STUDENT SCREENING'!BA262,'SCORING MASTER'!$C$113:$C$115,0)),""))</f>
        <v/>
      </c>
      <c r="BC262" s="57" t="str">
        <f aca="false">IF('STUDENT SCREENING'!BB262="","",IFERROR(INDEX('SCORING MASTER'!$D$117:$D$119,MATCH('STUDENT SCREENING'!BB262,'SCORING MASTER'!$C$117:$C$119,0)),""))</f>
        <v/>
      </c>
      <c r="BD262" s="57" t="str">
        <f aca="false">IF('STUDENT SCREENING'!BC262="","",IFERROR(INDEX('SCORING MASTER'!$D$121:$D$123,MATCH('STUDENT SCREENING'!BC262,'SCORING MASTER'!$C$121:$C$123,0)),""))</f>
        <v/>
      </c>
      <c r="BE262" s="57" t="str">
        <f aca="false">IF('STUDENT SCREENING'!BD262="","",IFERROR(INDEX('SCORING MASTER'!$D$125:$D$126,MATCH('STUDENT SCREENING'!BD262,'SCORING MASTER'!$C$125:$C$126,0)),""))</f>
        <v/>
      </c>
      <c r="BF262" s="57" t="str">
        <f aca="false">IF('STUDENT SCREENING'!BE262="","",IFERROR(INDEX('SCORING MASTER'!$D$128:$D$129,MATCH('STUDENT SCREENING'!BE262,'SCORING MASTER'!$C$128:$C$129,0)),""))</f>
        <v/>
      </c>
      <c r="BG262" s="57" t="str">
        <f aca="false">IF('STUDENT SCREENING'!BP262="","",IFERROR(MATCH('STUDENT SCREENING'!BP262,{"Red - High Risk","Orange - Moderate Risk","Yellow - Mild Risk","Light Green - Mild Watch","Green - Healthy"},0)-1,""))</f>
        <v/>
      </c>
      <c r="BH262" s="57" t="str">
        <f aca="false">IF('STUDENT SCREENING'!BQ262="","",IF('STUDENT SCREENING'!BQ262="Yes",1,0))</f>
        <v/>
      </c>
      <c r="BI262" s="57" t="str">
        <f aca="false">IF('STUDENT SCREENING'!BR262="","",IF('STUDENT SCREENING'!BR262="Yes",1,0))</f>
        <v/>
      </c>
    </row>
    <row r="263" customFormat="false" ht="15" hidden="false" customHeight="false" outlineLevel="0" collapsed="false">
      <c r="A263" s="58" t="str">
        <f aca="false">'STUDENT SCREENING'!A263</f>
        <v/>
      </c>
      <c r="B263" s="58" t="n">
        <f aca="false">'STUDENT SCREENING'!C263</f>
        <v>0</v>
      </c>
      <c r="C263" s="58" t="n">
        <f aca="false">'STUDENT SCREENING'!D263</f>
        <v>0</v>
      </c>
      <c r="D263" s="58" t="n">
        <f aca="false">'STUDENT SCREENING'!E263</f>
        <v>0</v>
      </c>
      <c r="E263" s="58" t="n">
        <f aca="false">'STUDENT SCREENING'!F263</f>
        <v>0</v>
      </c>
      <c r="F263" s="58" t="n">
        <f aca="false">'STUDENT SCREENING'!K263</f>
        <v>0</v>
      </c>
      <c r="G263" s="58" t="n">
        <f aca="false">'STUDENT SCREENING'!J263</f>
        <v>0</v>
      </c>
      <c r="H263" s="58" t="str">
        <f aca="false">IF('STUDENT SCREENING'!K263="","",IFERROR(MATCH('STUDENT SCREENING'!K263,Adm_Gender,0),""))</f>
        <v/>
      </c>
      <c r="I263" s="58" t="n">
        <f aca="false">'STUDENT SCREENING'!Q263</f>
        <v>0</v>
      </c>
      <c r="J263" s="58" t="n">
        <f aca="false">'STUDENT SCREENING'!R263</f>
        <v>0</v>
      </c>
      <c r="K263" s="58" t="str">
        <f aca="false">'STUDENT SCREENING'!S263</f>
        <v/>
      </c>
      <c r="L263" s="58" t="n">
        <f aca="false">'STUDENT SCREENING'!U263</f>
        <v>0</v>
      </c>
      <c r="M263" s="58" t="n">
        <f aca="false">'STUDENT SCREENING'!V263</f>
        <v>0</v>
      </c>
      <c r="N263" s="58" t="str">
        <f aca="false">'STUDENT SCREENING'!BF263</f>
        <v/>
      </c>
      <c r="O263" s="58" t="str">
        <f aca="false">'STUDENT SCREENING'!BG263</f>
        <v/>
      </c>
      <c r="P263" s="58" t="str">
        <f aca="false">'STUDENT SCREENING'!BH263</f>
        <v/>
      </c>
      <c r="Q263" s="58" t="str">
        <f aca="false">'STUDENT SCREENING'!BI263</f>
        <v/>
      </c>
      <c r="R263" s="58" t="str">
        <f aca="false">'STUDENT SCREENING'!BJ263</f>
        <v/>
      </c>
      <c r="S263" s="58" t="str">
        <f aca="false">'STUDENT SCREENING'!BK263</f>
        <v/>
      </c>
      <c r="T263" s="58" t="str">
        <f aca="false">'STUDENT SCREENING'!BL263</f>
        <v/>
      </c>
      <c r="U263" s="58" t="str">
        <f aca="false">'STUDENT SCREENING'!BM263</f>
        <v/>
      </c>
      <c r="V263" s="58" t="str">
        <f aca="false">'STUDENT SCREENING'!BN263</f>
        <v/>
      </c>
      <c r="W263" s="58" t="str">
        <f aca="false">'STUDENT SCREENING'!BO263</f>
        <v/>
      </c>
      <c r="X263" s="58" t="str">
        <f aca="false">IF('STUDENT SCREENING'!W263="","",IFERROR(INDEX('SCORING MASTER'!$D$5:$D$7,MATCH('STUDENT SCREENING'!W263,'SCORING MASTER'!$C$5:$C$7,0)),""))</f>
        <v/>
      </c>
      <c r="Y263" s="58" t="str">
        <f aca="false">IF('STUDENT SCREENING'!X263="","",IFERROR(INDEX('SCORING MASTER'!$D$9:$D$11,MATCH('STUDENT SCREENING'!X263,'SCORING MASTER'!$C$9:$C$11,0)),""))</f>
        <v/>
      </c>
      <c r="Z263" s="58" t="str">
        <f aca="false">IF('STUDENT SCREENING'!Y263="","",IFERROR(INDEX('SCORING MASTER'!$D$13:$D$15,MATCH('STUDENT SCREENING'!Y263,'SCORING MASTER'!$C$13:$C$15,0)),""))</f>
        <v/>
      </c>
      <c r="AA263" s="58" t="str">
        <f aca="false">IF('STUDENT SCREENING'!Z263="","",IFERROR(INDEX('SCORING MASTER'!$D$17:$D$19,MATCH('STUDENT SCREENING'!Z263,'SCORING MASTER'!$C$17:$C$19,0)),""))</f>
        <v/>
      </c>
      <c r="AB263" s="58" t="str">
        <f aca="false">IF('STUDENT SCREENING'!AA263="","",IFERROR(INDEX('SCORING MASTER'!$D$21:$D$23,MATCH('STUDENT SCREENING'!AA263,'SCORING MASTER'!$C$21:$C$23,0)),""))</f>
        <v/>
      </c>
      <c r="AC263" s="58" t="str">
        <f aca="false">IF('STUDENT SCREENING'!AB263="","",IFERROR(INDEX('SCORING MASTER'!$D$25:$D$27,MATCH('STUDENT SCREENING'!AB263,'SCORING MASTER'!$C$25:$C$27,0)),""))</f>
        <v/>
      </c>
      <c r="AD263" s="58" t="str">
        <f aca="false">IF('STUDENT SCREENING'!AC263="","",IFERROR(INDEX('SCORING MASTER'!$D$29:$D$31,MATCH('STUDENT SCREENING'!AC263,'SCORING MASTER'!$C$29:$C$31,0)),""))</f>
        <v/>
      </c>
      <c r="AE263" s="58" t="str">
        <f aca="false">IF('STUDENT SCREENING'!AD263="","",IFERROR(INDEX('SCORING MASTER'!$D$33:$D$35,MATCH('STUDENT SCREENING'!AD263,'SCORING MASTER'!$C$33:$C$35,0)),""))</f>
        <v/>
      </c>
      <c r="AF263" s="58" t="str">
        <f aca="false">IF('STUDENT SCREENING'!AE263="","",IFERROR(INDEX('SCORING MASTER'!$D$37:$D$39,MATCH('STUDENT SCREENING'!AE263,'SCORING MASTER'!$C$37:$C$39,0)),""))</f>
        <v/>
      </c>
      <c r="AG263" s="58" t="str">
        <f aca="false">IF('STUDENT SCREENING'!AF263="","",IFERROR(INDEX('SCORING MASTER'!$D$41:$D$43,MATCH('STUDENT SCREENING'!AF263,'SCORING MASTER'!$C$41:$C$43,0)),""))</f>
        <v/>
      </c>
      <c r="AH263" s="58" t="str">
        <f aca="false">IF('STUDENT SCREENING'!AG263="","",IFERROR(INDEX('SCORING MASTER'!$D$45:$D$47,MATCH('STUDENT SCREENING'!AG263,'SCORING MASTER'!$C$45:$C$47,0)),""))</f>
        <v/>
      </c>
      <c r="AI263" s="58" t="str">
        <f aca="false">IF('STUDENT SCREENING'!AH263="","",IFERROR(INDEX('SCORING MASTER'!$D$49:$D$52,MATCH('STUDENT SCREENING'!AH263,'SCORING MASTER'!$C$49:$C$52,0)),""))</f>
        <v/>
      </c>
      <c r="AJ263" s="58" t="str">
        <f aca="false">IF('STUDENT SCREENING'!AI263="","",IFERROR(INDEX('SCORING MASTER'!$D$54:$D$57,MATCH('STUDENT SCREENING'!AI263,'SCORING MASTER'!$C$54:$C$57,0)),""))</f>
        <v/>
      </c>
      <c r="AK263" s="58" t="str">
        <f aca="false">IF('STUDENT SCREENING'!AJ263="","",IFERROR(INDEX('SCORING MASTER'!$D$59:$D$60,MATCH('STUDENT SCREENING'!AJ263,'SCORING MASTER'!$C$59:$C$60,0)),""))</f>
        <v/>
      </c>
      <c r="AL263" s="58" t="str">
        <f aca="false">IF('STUDENT SCREENING'!AK263="","",IFERROR(INDEX('SCORING MASTER'!$D$62:$D$63,MATCH('STUDENT SCREENING'!AK263,'SCORING MASTER'!$C$62:$C$63,0)),""))</f>
        <v/>
      </c>
      <c r="AM263" s="58" t="str">
        <f aca="false">IF('STUDENT SCREENING'!AL263="","",IFERROR(INDEX('SCORING MASTER'!$D$65:$D$66,MATCH('STUDENT SCREENING'!AL263,'SCORING MASTER'!$C$65:$C$66,0)),""))</f>
        <v/>
      </c>
      <c r="AN263" s="58" t="str">
        <f aca="false">IF('STUDENT SCREENING'!AM263="","",IFERROR(INDEX('SCORING MASTER'!$D$68:$D$69,MATCH('STUDENT SCREENING'!AM263,'SCORING MASTER'!$C$68:$C$69,0)),""))</f>
        <v/>
      </c>
      <c r="AO263" s="58" t="str">
        <f aca="false">IF('STUDENT SCREENING'!AN263="","",IFERROR(INDEX('SCORING MASTER'!$D$71:$D$72,MATCH('STUDENT SCREENING'!AN263,'SCORING MASTER'!$C$71:$C$72,0)),""))</f>
        <v/>
      </c>
      <c r="AP263" s="58" t="str">
        <f aca="false">IF('STUDENT SCREENING'!AO263="","",IFERROR(INDEX('SCORING MASTER'!$D$74:$D$75,MATCH('STUDENT SCREENING'!AO263,'SCORING MASTER'!$C$74:$C$75,0)),""))</f>
        <v/>
      </c>
      <c r="AQ263" s="58" t="str">
        <f aca="false">IF('STUDENT SCREENING'!AP263="","",IFERROR(INDEX('SCORING MASTER'!$D$77:$D$78,MATCH('STUDENT SCREENING'!AP263,'SCORING MASTER'!$C$77:$C$78,0)),""))</f>
        <v/>
      </c>
      <c r="AR263" s="58" t="str">
        <f aca="false">IF('STUDENT SCREENING'!AQ263="","",IFERROR(INDEX('SCORING MASTER'!$D$80:$D$82,MATCH('STUDENT SCREENING'!AQ263,'SCORING MASTER'!$C$80:$C$82,0)),""))</f>
        <v/>
      </c>
      <c r="AS263" s="58" t="str">
        <f aca="false">IF('STUDENT SCREENING'!AR263="","",IFERROR(INDEX('SCORING MASTER'!$D$84:$D$86,MATCH('STUDENT SCREENING'!AR263,'SCORING MASTER'!$C$84:$C$86,0)),""))</f>
        <v/>
      </c>
      <c r="AT263" s="58" t="str">
        <f aca="false">IF('STUDENT SCREENING'!AS263="","",IFERROR(INDEX('SCORING MASTER'!$D$88:$D$90,MATCH('STUDENT SCREENING'!AS263,'SCORING MASTER'!$C$88:$C$90,0)),""))</f>
        <v/>
      </c>
      <c r="AU263" s="58" t="str">
        <f aca="false">IF('STUDENT SCREENING'!AT263="","",IFERROR(INDEX('SCORING MASTER'!$D$92:$D$93,MATCH('STUDENT SCREENING'!AT263,'SCORING MASTER'!$C$92:$C$93,0)),""))</f>
        <v/>
      </c>
      <c r="AV263" s="58" t="str">
        <f aca="false">IF('STUDENT SCREENING'!AU263="","",IFERROR(INDEX('SCORING MASTER'!$D$95:$D$96,MATCH('STUDENT SCREENING'!AU263,'SCORING MASTER'!$C$95:$C$96,0)),""))</f>
        <v/>
      </c>
      <c r="AW263" s="58" t="str">
        <f aca="false">IF('STUDENT SCREENING'!AV263="","",IFERROR(INDEX('SCORING MASTER'!$D$98:$D$99,MATCH('STUDENT SCREENING'!AV263,'SCORING MASTER'!$C$98:$C$99,0)),""))</f>
        <v/>
      </c>
      <c r="AX263" s="58" t="str">
        <f aca="false">IF('STUDENT SCREENING'!AW263="","",IFERROR(INDEX('SCORING MASTER'!$D$101:$D$102,MATCH('STUDENT SCREENING'!AW263,'SCORING MASTER'!$C$101:$C$102,0)),""))</f>
        <v/>
      </c>
      <c r="AY263" s="58" t="str">
        <f aca="false">IF('STUDENT SCREENING'!AX263="","",IFERROR(INDEX('SCORING MASTER'!$D$104:$D$105,MATCH('STUDENT SCREENING'!AX263,'SCORING MASTER'!$C$104:$C$105,0)),""))</f>
        <v/>
      </c>
      <c r="AZ263" s="58" t="str">
        <f aca="false">IF('STUDENT SCREENING'!AY263="","",IFERROR(INDEX('SCORING MASTER'!$D$107:$D$108,MATCH('STUDENT SCREENING'!AY263,'SCORING MASTER'!$C$107:$C$108,0)),""))</f>
        <v/>
      </c>
      <c r="BA263" s="58" t="str">
        <f aca="false">IF('STUDENT SCREENING'!AZ263="","",IFERROR(INDEX('SCORING MASTER'!$D$110:$D$111,MATCH('STUDENT SCREENING'!AZ263,'SCORING MASTER'!$C$110:$C$111,0)),""))</f>
        <v/>
      </c>
      <c r="BB263" s="58" t="str">
        <f aca="false">IF('STUDENT SCREENING'!BA263="","",IFERROR(INDEX('SCORING MASTER'!$D$113:$D$115,MATCH('STUDENT SCREENING'!BA263,'SCORING MASTER'!$C$113:$C$115,0)),""))</f>
        <v/>
      </c>
      <c r="BC263" s="58" t="str">
        <f aca="false">IF('STUDENT SCREENING'!BB263="","",IFERROR(INDEX('SCORING MASTER'!$D$117:$D$119,MATCH('STUDENT SCREENING'!BB263,'SCORING MASTER'!$C$117:$C$119,0)),""))</f>
        <v/>
      </c>
      <c r="BD263" s="58" t="str">
        <f aca="false">IF('STUDENT SCREENING'!BC263="","",IFERROR(INDEX('SCORING MASTER'!$D$121:$D$123,MATCH('STUDENT SCREENING'!BC263,'SCORING MASTER'!$C$121:$C$123,0)),""))</f>
        <v/>
      </c>
      <c r="BE263" s="58" t="str">
        <f aca="false">IF('STUDENT SCREENING'!BD263="","",IFERROR(INDEX('SCORING MASTER'!$D$125:$D$126,MATCH('STUDENT SCREENING'!BD263,'SCORING MASTER'!$C$125:$C$126,0)),""))</f>
        <v/>
      </c>
      <c r="BF263" s="58" t="str">
        <f aca="false">IF('STUDENT SCREENING'!BE263="","",IFERROR(INDEX('SCORING MASTER'!$D$128:$D$129,MATCH('STUDENT SCREENING'!BE263,'SCORING MASTER'!$C$128:$C$129,0)),""))</f>
        <v/>
      </c>
      <c r="BG263" s="58" t="str">
        <f aca="false">IF('STUDENT SCREENING'!BP263="","",IFERROR(MATCH('STUDENT SCREENING'!BP263,{"Red - High Risk","Orange - Moderate Risk","Yellow - Mild Risk","Light Green - Mild Watch","Green - Healthy"},0)-1,""))</f>
        <v/>
      </c>
      <c r="BH263" s="58" t="str">
        <f aca="false">IF('STUDENT SCREENING'!BQ263="","",IF('STUDENT SCREENING'!BQ263="Yes",1,0))</f>
        <v/>
      </c>
      <c r="BI263" s="58" t="str">
        <f aca="false">IF('STUDENT SCREENING'!BR263="","",IF('STUDENT SCREENING'!BR263="Yes",1,0))</f>
        <v/>
      </c>
    </row>
    <row r="264" customFormat="false" ht="15" hidden="false" customHeight="false" outlineLevel="0" collapsed="false">
      <c r="A264" s="57" t="str">
        <f aca="false">'STUDENT SCREENING'!A264</f>
        <v/>
      </c>
      <c r="B264" s="57" t="n">
        <f aca="false">'STUDENT SCREENING'!C264</f>
        <v>0</v>
      </c>
      <c r="C264" s="57" t="n">
        <f aca="false">'STUDENT SCREENING'!D264</f>
        <v>0</v>
      </c>
      <c r="D264" s="57" t="n">
        <f aca="false">'STUDENT SCREENING'!E264</f>
        <v>0</v>
      </c>
      <c r="E264" s="57" t="n">
        <f aca="false">'STUDENT SCREENING'!F264</f>
        <v>0</v>
      </c>
      <c r="F264" s="57" t="n">
        <f aca="false">'STUDENT SCREENING'!K264</f>
        <v>0</v>
      </c>
      <c r="G264" s="57" t="n">
        <f aca="false">'STUDENT SCREENING'!J264</f>
        <v>0</v>
      </c>
      <c r="H264" s="57" t="str">
        <f aca="false">IF('STUDENT SCREENING'!K264="","",IFERROR(MATCH('STUDENT SCREENING'!K264,Adm_Gender,0),""))</f>
        <v/>
      </c>
      <c r="I264" s="57" t="n">
        <f aca="false">'STUDENT SCREENING'!Q264</f>
        <v>0</v>
      </c>
      <c r="J264" s="57" t="n">
        <f aca="false">'STUDENT SCREENING'!R264</f>
        <v>0</v>
      </c>
      <c r="K264" s="57" t="str">
        <f aca="false">'STUDENT SCREENING'!S264</f>
        <v/>
      </c>
      <c r="L264" s="57" t="n">
        <f aca="false">'STUDENT SCREENING'!U264</f>
        <v>0</v>
      </c>
      <c r="M264" s="57" t="n">
        <f aca="false">'STUDENT SCREENING'!V264</f>
        <v>0</v>
      </c>
      <c r="N264" s="57" t="str">
        <f aca="false">'STUDENT SCREENING'!BF264</f>
        <v/>
      </c>
      <c r="O264" s="57" t="str">
        <f aca="false">'STUDENT SCREENING'!BG264</f>
        <v/>
      </c>
      <c r="P264" s="57" t="str">
        <f aca="false">'STUDENT SCREENING'!BH264</f>
        <v/>
      </c>
      <c r="Q264" s="57" t="str">
        <f aca="false">'STUDENT SCREENING'!BI264</f>
        <v/>
      </c>
      <c r="R264" s="57" t="str">
        <f aca="false">'STUDENT SCREENING'!BJ264</f>
        <v/>
      </c>
      <c r="S264" s="57" t="str">
        <f aca="false">'STUDENT SCREENING'!BK264</f>
        <v/>
      </c>
      <c r="T264" s="57" t="str">
        <f aca="false">'STUDENT SCREENING'!BL264</f>
        <v/>
      </c>
      <c r="U264" s="57" t="str">
        <f aca="false">'STUDENT SCREENING'!BM264</f>
        <v/>
      </c>
      <c r="V264" s="57" t="str">
        <f aca="false">'STUDENT SCREENING'!BN264</f>
        <v/>
      </c>
      <c r="W264" s="57" t="str">
        <f aca="false">'STUDENT SCREENING'!BO264</f>
        <v/>
      </c>
      <c r="X264" s="57" t="str">
        <f aca="false">IF('STUDENT SCREENING'!W264="","",IFERROR(INDEX('SCORING MASTER'!$D$5:$D$7,MATCH('STUDENT SCREENING'!W264,'SCORING MASTER'!$C$5:$C$7,0)),""))</f>
        <v/>
      </c>
      <c r="Y264" s="57" t="str">
        <f aca="false">IF('STUDENT SCREENING'!X264="","",IFERROR(INDEX('SCORING MASTER'!$D$9:$D$11,MATCH('STUDENT SCREENING'!X264,'SCORING MASTER'!$C$9:$C$11,0)),""))</f>
        <v/>
      </c>
      <c r="Z264" s="57" t="str">
        <f aca="false">IF('STUDENT SCREENING'!Y264="","",IFERROR(INDEX('SCORING MASTER'!$D$13:$D$15,MATCH('STUDENT SCREENING'!Y264,'SCORING MASTER'!$C$13:$C$15,0)),""))</f>
        <v/>
      </c>
      <c r="AA264" s="57" t="str">
        <f aca="false">IF('STUDENT SCREENING'!Z264="","",IFERROR(INDEX('SCORING MASTER'!$D$17:$D$19,MATCH('STUDENT SCREENING'!Z264,'SCORING MASTER'!$C$17:$C$19,0)),""))</f>
        <v/>
      </c>
      <c r="AB264" s="57" t="str">
        <f aca="false">IF('STUDENT SCREENING'!AA264="","",IFERROR(INDEX('SCORING MASTER'!$D$21:$D$23,MATCH('STUDENT SCREENING'!AA264,'SCORING MASTER'!$C$21:$C$23,0)),""))</f>
        <v/>
      </c>
      <c r="AC264" s="57" t="str">
        <f aca="false">IF('STUDENT SCREENING'!AB264="","",IFERROR(INDEX('SCORING MASTER'!$D$25:$D$27,MATCH('STUDENT SCREENING'!AB264,'SCORING MASTER'!$C$25:$C$27,0)),""))</f>
        <v/>
      </c>
      <c r="AD264" s="57" t="str">
        <f aca="false">IF('STUDENT SCREENING'!AC264="","",IFERROR(INDEX('SCORING MASTER'!$D$29:$D$31,MATCH('STUDENT SCREENING'!AC264,'SCORING MASTER'!$C$29:$C$31,0)),""))</f>
        <v/>
      </c>
      <c r="AE264" s="57" t="str">
        <f aca="false">IF('STUDENT SCREENING'!AD264="","",IFERROR(INDEX('SCORING MASTER'!$D$33:$D$35,MATCH('STUDENT SCREENING'!AD264,'SCORING MASTER'!$C$33:$C$35,0)),""))</f>
        <v/>
      </c>
      <c r="AF264" s="57" t="str">
        <f aca="false">IF('STUDENT SCREENING'!AE264="","",IFERROR(INDEX('SCORING MASTER'!$D$37:$D$39,MATCH('STUDENT SCREENING'!AE264,'SCORING MASTER'!$C$37:$C$39,0)),""))</f>
        <v/>
      </c>
      <c r="AG264" s="57" t="str">
        <f aca="false">IF('STUDENT SCREENING'!AF264="","",IFERROR(INDEX('SCORING MASTER'!$D$41:$D$43,MATCH('STUDENT SCREENING'!AF264,'SCORING MASTER'!$C$41:$C$43,0)),""))</f>
        <v/>
      </c>
      <c r="AH264" s="57" t="str">
        <f aca="false">IF('STUDENT SCREENING'!AG264="","",IFERROR(INDEX('SCORING MASTER'!$D$45:$D$47,MATCH('STUDENT SCREENING'!AG264,'SCORING MASTER'!$C$45:$C$47,0)),""))</f>
        <v/>
      </c>
      <c r="AI264" s="57" t="str">
        <f aca="false">IF('STUDENT SCREENING'!AH264="","",IFERROR(INDEX('SCORING MASTER'!$D$49:$D$52,MATCH('STUDENT SCREENING'!AH264,'SCORING MASTER'!$C$49:$C$52,0)),""))</f>
        <v/>
      </c>
      <c r="AJ264" s="57" t="str">
        <f aca="false">IF('STUDENT SCREENING'!AI264="","",IFERROR(INDEX('SCORING MASTER'!$D$54:$D$57,MATCH('STUDENT SCREENING'!AI264,'SCORING MASTER'!$C$54:$C$57,0)),""))</f>
        <v/>
      </c>
      <c r="AK264" s="57" t="str">
        <f aca="false">IF('STUDENT SCREENING'!AJ264="","",IFERROR(INDEX('SCORING MASTER'!$D$59:$D$60,MATCH('STUDENT SCREENING'!AJ264,'SCORING MASTER'!$C$59:$C$60,0)),""))</f>
        <v/>
      </c>
      <c r="AL264" s="57" t="str">
        <f aca="false">IF('STUDENT SCREENING'!AK264="","",IFERROR(INDEX('SCORING MASTER'!$D$62:$D$63,MATCH('STUDENT SCREENING'!AK264,'SCORING MASTER'!$C$62:$C$63,0)),""))</f>
        <v/>
      </c>
      <c r="AM264" s="57" t="str">
        <f aca="false">IF('STUDENT SCREENING'!AL264="","",IFERROR(INDEX('SCORING MASTER'!$D$65:$D$66,MATCH('STUDENT SCREENING'!AL264,'SCORING MASTER'!$C$65:$C$66,0)),""))</f>
        <v/>
      </c>
      <c r="AN264" s="57" t="str">
        <f aca="false">IF('STUDENT SCREENING'!AM264="","",IFERROR(INDEX('SCORING MASTER'!$D$68:$D$69,MATCH('STUDENT SCREENING'!AM264,'SCORING MASTER'!$C$68:$C$69,0)),""))</f>
        <v/>
      </c>
      <c r="AO264" s="57" t="str">
        <f aca="false">IF('STUDENT SCREENING'!AN264="","",IFERROR(INDEX('SCORING MASTER'!$D$71:$D$72,MATCH('STUDENT SCREENING'!AN264,'SCORING MASTER'!$C$71:$C$72,0)),""))</f>
        <v/>
      </c>
      <c r="AP264" s="57" t="str">
        <f aca="false">IF('STUDENT SCREENING'!AO264="","",IFERROR(INDEX('SCORING MASTER'!$D$74:$D$75,MATCH('STUDENT SCREENING'!AO264,'SCORING MASTER'!$C$74:$C$75,0)),""))</f>
        <v/>
      </c>
      <c r="AQ264" s="57" t="str">
        <f aca="false">IF('STUDENT SCREENING'!AP264="","",IFERROR(INDEX('SCORING MASTER'!$D$77:$D$78,MATCH('STUDENT SCREENING'!AP264,'SCORING MASTER'!$C$77:$C$78,0)),""))</f>
        <v/>
      </c>
      <c r="AR264" s="57" t="str">
        <f aca="false">IF('STUDENT SCREENING'!AQ264="","",IFERROR(INDEX('SCORING MASTER'!$D$80:$D$82,MATCH('STUDENT SCREENING'!AQ264,'SCORING MASTER'!$C$80:$C$82,0)),""))</f>
        <v/>
      </c>
      <c r="AS264" s="57" t="str">
        <f aca="false">IF('STUDENT SCREENING'!AR264="","",IFERROR(INDEX('SCORING MASTER'!$D$84:$D$86,MATCH('STUDENT SCREENING'!AR264,'SCORING MASTER'!$C$84:$C$86,0)),""))</f>
        <v/>
      </c>
      <c r="AT264" s="57" t="str">
        <f aca="false">IF('STUDENT SCREENING'!AS264="","",IFERROR(INDEX('SCORING MASTER'!$D$88:$D$90,MATCH('STUDENT SCREENING'!AS264,'SCORING MASTER'!$C$88:$C$90,0)),""))</f>
        <v/>
      </c>
      <c r="AU264" s="57" t="str">
        <f aca="false">IF('STUDENT SCREENING'!AT264="","",IFERROR(INDEX('SCORING MASTER'!$D$92:$D$93,MATCH('STUDENT SCREENING'!AT264,'SCORING MASTER'!$C$92:$C$93,0)),""))</f>
        <v/>
      </c>
      <c r="AV264" s="57" t="str">
        <f aca="false">IF('STUDENT SCREENING'!AU264="","",IFERROR(INDEX('SCORING MASTER'!$D$95:$D$96,MATCH('STUDENT SCREENING'!AU264,'SCORING MASTER'!$C$95:$C$96,0)),""))</f>
        <v/>
      </c>
      <c r="AW264" s="57" t="str">
        <f aca="false">IF('STUDENT SCREENING'!AV264="","",IFERROR(INDEX('SCORING MASTER'!$D$98:$D$99,MATCH('STUDENT SCREENING'!AV264,'SCORING MASTER'!$C$98:$C$99,0)),""))</f>
        <v/>
      </c>
      <c r="AX264" s="57" t="str">
        <f aca="false">IF('STUDENT SCREENING'!AW264="","",IFERROR(INDEX('SCORING MASTER'!$D$101:$D$102,MATCH('STUDENT SCREENING'!AW264,'SCORING MASTER'!$C$101:$C$102,0)),""))</f>
        <v/>
      </c>
      <c r="AY264" s="57" t="str">
        <f aca="false">IF('STUDENT SCREENING'!AX264="","",IFERROR(INDEX('SCORING MASTER'!$D$104:$D$105,MATCH('STUDENT SCREENING'!AX264,'SCORING MASTER'!$C$104:$C$105,0)),""))</f>
        <v/>
      </c>
      <c r="AZ264" s="57" t="str">
        <f aca="false">IF('STUDENT SCREENING'!AY264="","",IFERROR(INDEX('SCORING MASTER'!$D$107:$D$108,MATCH('STUDENT SCREENING'!AY264,'SCORING MASTER'!$C$107:$C$108,0)),""))</f>
        <v/>
      </c>
      <c r="BA264" s="57" t="str">
        <f aca="false">IF('STUDENT SCREENING'!AZ264="","",IFERROR(INDEX('SCORING MASTER'!$D$110:$D$111,MATCH('STUDENT SCREENING'!AZ264,'SCORING MASTER'!$C$110:$C$111,0)),""))</f>
        <v/>
      </c>
      <c r="BB264" s="57" t="str">
        <f aca="false">IF('STUDENT SCREENING'!BA264="","",IFERROR(INDEX('SCORING MASTER'!$D$113:$D$115,MATCH('STUDENT SCREENING'!BA264,'SCORING MASTER'!$C$113:$C$115,0)),""))</f>
        <v/>
      </c>
      <c r="BC264" s="57" t="str">
        <f aca="false">IF('STUDENT SCREENING'!BB264="","",IFERROR(INDEX('SCORING MASTER'!$D$117:$D$119,MATCH('STUDENT SCREENING'!BB264,'SCORING MASTER'!$C$117:$C$119,0)),""))</f>
        <v/>
      </c>
      <c r="BD264" s="57" t="str">
        <f aca="false">IF('STUDENT SCREENING'!BC264="","",IFERROR(INDEX('SCORING MASTER'!$D$121:$D$123,MATCH('STUDENT SCREENING'!BC264,'SCORING MASTER'!$C$121:$C$123,0)),""))</f>
        <v/>
      </c>
      <c r="BE264" s="57" t="str">
        <f aca="false">IF('STUDENT SCREENING'!BD264="","",IFERROR(INDEX('SCORING MASTER'!$D$125:$D$126,MATCH('STUDENT SCREENING'!BD264,'SCORING MASTER'!$C$125:$C$126,0)),""))</f>
        <v/>
      </c>
      <c r="BF264" s="57" t="str">
        <f aca="false">IF('STUDENT SCREENING'!BE264="","",IFERROR(INDEX('SCORING MASTER'!$D$128:$D$129,MATCH('STUDENT SCREENING'!BE264,'SCORING MASTER'!$C$128:$C$129,0)),""))</f>
        <v/>
      </c>
      <c r="BG264" s="57" t="str">
        <f aca="false">IF('STUDENT SCREENING'!BP264="","",IFERROR(MATCH('STUDENT SCREENING'!BP264,{"Red - High Risk","Orange - Moderate Risk","Yellow - Mild Risk","Light Green - Mild Watch","Green - Healthy"},0)-1,""))</f>
        <v/>
      </c>
      <c r="BH264" s="57" t="str">
        <f aca="false">IF('STUDENT SCREENING'!BQ264="","",IF('STUDENT SCREENING'!BQ264="Yes",1,0))</f>
        <v/>
      </c>
      <c r="BI264" s="57" t="str">
        <f aca="false">IF('STUDENT SCREENING'!BR264="","",IF('STUDENT SCREENING'!BR264="Yes",1,0))</f>
        <v/>
      </c>
    </row>
    <row r="265" customFormat="false" ht="15" hidden="false" customHeight="false" outlineLevel="0" collapsed="false">
      <c r="A265" s="58" t="str">
        <f aca="false">'STUDENT SCREENING'!A265</f>
        <v/>
      </c>
      <c r="B265" s="58" t="n">
        <f aca="false">'STUDENT SCREENING'!C265</f>
        <v>0</v>
      </c>
      <c r="C265" s="58" t="n">
        <f aca="false">'STUDENT SCREENING'!D265</f>
        <v>0</v>
      </c>
      <c r="D265" s="58" t="n">
        <f aca="false">'STUDENT SCREENING'!E265</f>
        <v>0</v>
      </c>
      <c r="E265" s="58" t="n">
        <f aca="false">'STUDENT SCREENING'!F265</f>
        <v>0</v>
      </c>
      <c r="F265" s="58" t="n">
        <f aca="false">'STUDENT SCREENING'!K265</f>
        <v>0</v>
      </c>
      <c r="G265" s="58" t="n">
        <f aca="false">'STUDENT SCREENING'!J265</f>
        <v>0</v>
      </c>
      <c r="H265" s="58" t="str">
        <f aca="false">IF('STUDENT SCREENING'!K265="","",IFERROR(MATCH('STUDENT SCREENING'!K265,Adm_Gender,0),""))</f>
        <v/>
      </c>
      <c r="I265" s="58" t="n">
        <f aca="false">'STUDENT SCREENING'!Q265</f>
        <v>0</v>
      </c>
      <c r="J265" s="58" t="n">
        <f aca="false">'STUDENT SCREENING'!R265</f>
        <v>0</v>
      </c>
      <c r="K265" s="58" t="str">
        <f aca="false">'STUDENT SCREENING'!S265</f>
        <v/>
      </c>
      <c r="L265" s="58" t="n">
        <f aca="false">'STUDENT SCREENING'!U265</f>
        <v>0</v>
      </c>
      <c r="M265" s="58" t="n">
        <f aca="false">'STUDENT SCREENING'!V265</f>
        <v>0</v>
      </c>
      <c r="N265" s="58" t="str">
        <f aca="false">'STUDENT SCREENING'!BF265</f>
        <v/>
      </c>
      <c r="O265" s="58" t="str">
        <f aca="false">'STUDENT SCREENING'!BG265</f>
        <v/>
      </c>
      <c r="P265" s="58" t="str">
        <f aca="false">'STUDENT SCREENING'!BH265</f>
        <v/>
      </c>
      <c r="Q265" s="58" t="str">
        <f aca="false">'STUDENT SCREENING'!BI265</f>
        <v/>
      </c>
      <c r="R265" s="58" t="str">
        <f aca="false">'STUDENT SCREENING'!BJ265</f>
        <v/>
      </c>
      <c r="S265" s="58" t="str">
        <f aca="false">'STUDENT SCREENING'!BK265</f>
        <v/>
      </c>
      <c r="T265" s="58" t="str">
        <f aca="false">'STUDENT SCREENING'!BL265</f>
        <v/>
      </c>
      <c r="U265" s="58" t="str">
        <f aca="false">'STUDENT SCREENING'!BM265</f>
        <v/>
      </c>
      <c r="V265" s="58" t="str">
        <f aca="false">'STUDENT SCREENING'!BN265</f>
        <v/>
      </c>
      <c r="W265" s="58" t="str">
        <f aca="false">'STUDENT SCREENING'!BO265</f>
        <v/>
      </c>
      <c r="X265" s="58" t="str">
        <f aca="false">IF('STUDENT SCREENING'!W265="","",IFERROR(INDEX('SCORING MASTER'!$D$5:$D$7,MATCH('STUDENT SCREENING'!W265,'SCORING MASTER'!$C$5:$C$7,0)),""))</f>
        <v/>
      </c>
      <c r="Y265" s="58" t="str">
        <f aca="false">IF('STUDENT SCREENING'!X265="","",IFERROR(INDEX('SCORING MASTER'!$D$9:$D$11,MATCH('STUDENT SCREENING'!X265,'SCORING MASTER'!$C$9:$C$11,0)),""))</f>
        <v/>
      </c>
      <c r="Z265" s="58" t="str">
        <f aca="false">IF('STUDENT SCREENING'!Y265="","",IFERROR(INDEX('SCORING MASTER'!$D$13:$D$15,MATCH('STUDENT SCREENING'!Y265,'SCORING MASTER'!$C$13:$C$15,0)),""))</f>
        <v/>
      </c>
      <c r="AA265" s="58" t="str">
        <f aca="false">IF('STUDENT SCREENING'!Z265="","",IFERROR(INDEX('SCORING MASTER'!$D$17:$D$19,MATCH('STUDENT SCREENING'!Z265,'SCORING MASTER'!$C$17:$C$19,0)),""))</f>
        <v/>
      </c>
      <c r="AB265" s="58" t="str">
        <f aca="false">IF('STUDENT SCREENING'!AA265="","",IFERROR(INDEX('SCORING MASTER'!$D$21:$D$23,MATCH('STUDENT SCREENING'!AA265,'SCORING MASTER'!$C$21:$C$23,0)),""))</f>
        <v/>
      </c>
      <c r="AC265" s="58" t="str">
        <f aca="false">IF('STUDENT SCREENING'!AB265="","",IFERROR(INDEX('SCORING MASTER'!$D$25:$D$27,MATCH('STUDENT SCREENING'!AB265,'SCORING MASTER'!$C$25:$C$27,0)),""))</f>
        <v/>
      </c>
      <c r="AD265" s="58" t="str">
        <f aca="false">IF('STUDENT SCREENING'!AC265="","",IFERROR(INDEX('SCORING MASTER'!$D$29:$D$31,MATCH('STUDENT SCREENING'!AC265,'SCORING MASTER'!$C$29:$C$31,0)),""))</f>
        <v/>
      </c>
      <c r="AE265" s="58" t="str">
        <f aca="false">IF('STUDENT SCREENING'!AD265="","",IFERROR(INDEX('SCORING MASTER'!$D$33:$D$35,MATCH('STUDENT SCREENING'!AD265,'SCORING MASTER'!$C$33:$C$35,0)),""))</f>
        <v/>
      </c>
      <c r="AF265" s="58" t="str">
        <f aca="false">IF('STUDENT SCREENING'!AE265="","",IFERROR(INDEX('SCORING MASTER'!$D$37:$D$39,MATCH('STUDENT SCREENING'!AE265,'SCORING MASTER'!$C$37:$C$39,0)),""))</f>
        <v/>
      </c>
      <c r="AG265" s="58" t="str">
        <f aca="false">IF('STUDENT SCREENING'!AF265="","",IFERROR(INDEX('SCORING MASTER'!$D$41:$D$43,MATCH('STUDENT SCREENING'!AF265,'SCORING MASTER'!$C$41:$C$43,0)),""))</f>
        <v/>
      </c>
      <c r="AH265" s="58" t="str">
        <f aca="false">IF('STUDENT SCREENING'!AG265="","",IFERROR(INDEX('SCORING MASTER'!$D$45:$D$47,MATCH('STUDENT SCREENING'!AG265,'SCORING MASTER'!$C$45:$C$47,0)),""))</f>
        <v/>
      </c>
      <c r="AI265" s="58" t="str">
        <f aca="false">IF('STUDENT SCREENING'!AH265="","",IFERROR(INDEX('SCORING MASTER'!$D$49:$D$52,MATCH('STUDENT SCREENING'!AH265,'SCORING MASTER'!$C$49:$C$52,0)),""))</f>
        <v/>
      </c>
      <c r="AJ265" s="58" t="str">
        <f aca="false">IF('STUDENT SCREENING'!AI265="","",IFERROR(INDEX('SCORING MASTER'!$D$54:$D$57,MATCH('STUDENT SCREENING'!AI265,'SCORING MASTER'!$C$54:$C$57,0)),""))</f>
        <v/>
      </c>
      <c r="AK265" s="58" t="str">
        <f aca="false">IF('STUDENT SCREENING'!AJ265="","",IFERROR(INDEX('SCORING MASTER'!$D$59:$D$60,MATCH('STUDENT SCREENING'!AJ265,'SCORING MASTER'!$C$59:$C$60,0)),""))</f>
        <v/>
      </c>
      <c r="AL265" s="58" t="str">
        <f aca="false">IF('STUDENT SCREENING'!AK265="","",IFERROR(INDEX('SCORING MASTER'!$D$62:$D$63,MATCH('STUDENT SCREENING'!AK265,'SCORING MASTER'!$C$62:$C$63,0)),""))</f>
        <v/>
      </c>
      <c r="AM265" s="58" t="str">
        <f aca="false">IF('STUDENT SCREENING'!AL265="","",IFERROR(INDEX('SCORING MASTER'!$D$65:$D$66,MATCH('STUDENT SCREENING'!AL265,'SCORING MASTER'!$C$65:$C$66,0)),""))</f>
        <v/>
      </c>
      <c r="AN265" s="58" t="str">
        <f aca="false">IF('STUDENT SCREENING'!AM265="","",IFERROR(INDEX('SCORING MASTER'!$D$68:$D$69,MATCH('STUDENT SCREENING'!AM265,'SCORING MASTER'!$C$68:$C$69,0)),""))</f>
        <v/>
      </c>
      <c r="AO265" s="58" t="str">
        <f aca="false">IF('STUDENT SCREENING'!AN265="","",IFERROR(INDEX('SCORING MASTER'!$D$71:$D$72,MATCH('STUDENT SCREENING'!AN265,'SCORING MASTER'!$C$71:$C$72,0)),""))</f>
        <v/>
      </c>
      <c r="AP265" s="58" t="str">
        <f aca="false">IF('STUDENT SCREENING'!AO265="","",IFERROR(INDEX('SCORING MASTER'!$D$74:$D$75,MATCH('STUDENT SCREENING'!AO265,'SCORING MASTER'!$C$74:$C$75,0)),""))</f>
        <v/>
      </c>
      <c r="AQ265" s="58" t="str">
        <f aca="false">IF('STUDENT SCREENING'!AP265="","",IFERROR(INDEX('SCORING MASTER'!$D$77:$D$78,MATCH('STUDENT SCREENING'!AP265,'SCORING MASTER'!$C$77:$C$78,0)),""))</f>
        <v/>
      </c>
      <c r="AR265" s="58" t="str">
        <f aca="false">IF('STUDENT SCREENING'!AQ265="","",IFERROR(INDEX('SCORING MASTER'!$D$80:$D$82,MATCH('STUDENT SCREENING'!AQ265,'SCORING MASTER'!$C$80:$C$82,0)),""))</f>
        <v/>
      </c>
      <c r="AS265" s="58" t="str">
        <f aca="false">IF('STUDENT SCREENING'!AR265="","",IFERROR(INDEX('SCORING MASTER'!$D$84:$D$86,MATCH('STUDENT SCREENING'!AR265,'SCORING MASTER'!$C$84:$C$86,0)),""))</f>
        <v/>
      </c>
      <c r="AT265" s="58" t="str">
        <f aca="false">IF('STUDENT SCREENING'!AS265="","",IFERROR(INDEX('SCORING MASTER'!$D$88:$D$90,MATCH('STUDENT SCREENING'!AS265,'SCORING MASTER'!$C$88:$C$90,0)),""))</f>
        <v/>
      </c>
      <c r="AU265" s="58" t="str">
        <f aca="false">IF('STUDENT SCREENING'!AT265="","",IFERROR(INDEX('SCORING MASTER'!$D$92:$D$93,MATCH('STUDENT SCREENING'!AT265,'SCORING MASTER'!$C$92:$C$93,0)),""))</f>
        <v/>
      </c>
      <c r="AV265" s="58" t="str">
        <f aca="false">IF('STUDENT SCREENING'!AU265="","",IFERROR(INDEX('SCORING MASTER'!$D$95:$D$96,MATCH('STUDENT SCREENING'!AU265,'SCORING MASTER'!$C$95:$C$96,0)),""))</f>
        <v/>
      </c>
      <c r="AW265" s="58" t="str">
        <f aca="false">IF('STUDENT SCREENING'!AV265="","",IFERROR(INDEX('SCORING MASTER'!$D$98:$D$99,MATCH('STUDENT SCREENING'!AV265,'SCORING MASTER'!$C$98:$C$99,0)),""))</f>
        <v/>
      </c>
      <c r="AX265" s="58" t="str">
        <f aca="false">IF('STUDENT SCREENING'!AW265="","",IFERROR(INDEX('SCORING MASTER'!$D$101:$D$102,MATCH('STUDENT SCREENING'!AW265,'SCORING MASTER'!$C$101:$C$102,0)),""))</f>
        <v/>
      </c>
      <c r="AY265" s="58" t="str">
        <f aca="false">IF('STUDENT SCREENING'!AX265="","",IFERROR(INDEX('SCORING MASTER'!$D$104:$D$105,MATCH('STUDENT SCREENING'!AX265,'SCORING MASTER'!$C$104:$C$105,0)),""))</f>
        <v/>
      </c>
      <c r="AZ265" s="58" t="str">
        <f aca="false">IF('STUDENT SCREENING'!AY265="","",IFERROR(INDEX('SCORING MASTER'!$D$107:$D$108,MATCH('STUDENT SCREENING'!AY265,'SCORING MASTER'!$C$107:$C$108,0)),""))</f>
        <v/>
      </c>
      <c r="BA265" s="58" t="str">
        <f aca="false">IF('STUDENT SCREENING'!AZ265="","",IFERROR(INDEX('SCORING MASTER'!$D$110:$D$111,MATCH('STUDENT SCREENING'!AZ265,'SCORING MASTER'!$C$110:$C$111,0)),""))</f>
        <v/>
      </c>
      <c r="BB265" s="58" t="str">
        <f aca="false">IF('STUDENT SCREENING'!BA265="","",IFERROR(INDEX('SCORING MASTER'!$D$113:$D$115,MATCH('STUDENT SCREENING'!BA265,'SCORING MASTER'!$C$113:$C$115,0)),""))</f>
        <v/>
      </c>
      <c r="BC265" s="58" t="str">
        <f aca="false">IF('STUDENT SCREENING'!BB265="","",IFERROR(INDEX('SCORING MASTER'!$D$117:$D$119,MATCH('STUDENT SCREENING'!BB265,'SCORING MASTER'!$C$117:$C$119,0)),""))</f>
        <v/>
      </c>
      <c r="BD265" s="58" t="str">
        <f aca="false">IF('STUDENT SCREENING'!BC265="","",IFERROR(INDEX('SCORING MASTER'!$D$121:$D$123,MATCH('STUDENT SCREENING'!BC265,'SCORING MASTER'!$C$121:$C$123,0)),""))</f>
        <v/>
      </c>
      <c r="BE265" s="58" t="str">
        <f aca="false">IF('STUDENT SCREENING'!BD265="","",IFERROR(INDEX('SCORING MASTER'!$D$125:$D$126,MATCH('STUDENT SCREENING'!BD265,'SCORING MASTER'!$C$125:$C$126,0)),""))</f>
        <v/>
      </c>
      <c r="BF265" s="58" t="str">
        <f aca="false">IF('STUDENT SCREENING'!BE265="","",IFERROR(INDEX('SCORING MASTER'!$D$128:$D$129,MATCH('STUDENT SCREENING'!BE265,'SCORING MASTER'!$C$128:$C$129,0)),""))</f>
        <v/>
      </c>
      <c r="BG265" s="58" t="str">
        <f aca="false">IF('STUDENT SCREENING'!BP265="","",IFERROR(MATCH('STUDENT SCREENING'!BP265,{"Red - High Risk","Orange - Moderate Risk","Yellow - Mild Risk","Light Green - Mild Watch","Green - Healthy"},0)-1,""))</f>
        <v/>
      </c>
      <c r="BH265" s="58" t="str">
        <f aca="false">IF('STUDENT SCREENING'!BQ265="","",IF('STUDENT SCREENING'!BQ265="Yes",1,0))</f>
        <v/>
      </c>
      <c r="BI265" s="58" t="str">
        <f aca="false">IF('STUDENT SCREENING'!BR265="","",IF('STUDENT SCREENING'!BR265="Yes",1,0))</f>
        <v/>
      </c>
    </row>
    <row r="266" customFormat="false" ht="15" hidden="false" customHeight="false" outlineLevel="0" collapsed="false">
      <c r="A266" s="57" t="str">
        <f aca="false">'STUDENT SCREENING'!A266</f>
        <v/>
      </c>
      <c r="B266" s="57" t="n">
        <f aca="false">'STUDENT SCREENING'!C266</f>
        <v>0</v>
      </c>
      <c r="C266" s="57" t="n">
        <f aca="false">'STUDENT SCREENING'!D266</f>
        <v>0</v>
      </c>
      <c r="D266" s="57" t="n">
        <f aca="false">'STUDENT SCREENING'!E266</f>
        <v>0</v>
      </c>
      <c r="E266" s="57" t="n">
        <f aca="false">'STUDENT SCREENING'!F266</f>
        <v>0</v>
      </c>
      <c r="F266" s="57" t="n">
        <f aca="false">'STUDENT SCREENING'!K266</f>
        <v>0</v>
      </c>
      <c r="G266" s="57" t="n">
        <f aca="false">'STUDENT SCREENING'!J266</f>
        <v>0</v>
      </c>
      <c r="H266" s="57" t="str">
        <f aca="false">IF('STUDENT SCREENING'!K266="","",IFERROR(MATCH('STUDENT SCREENING'!K266,Adm_Gender,0),""))</f>
        <v/>
      </c>
      <c r="I266" s="57" t="n">
        <f aca="false">'STUDENT SCREENING'!Q266</f>
        <v>0</v>
      </c>
      <c r="J266" s="57" t="n">
        <f aca="false">'STUDENT SCREENING'!R266</f>
        <v>0</v>
      </c>
      <c r="K266" s="57" t="str">
        <f aca="false">'STUDENT SCREENING'!S266</f>
        <v/>
      </c>
      <c r="L266" s="57" t="n">
        <f aca="false">'STUDENT SCREENING'!U266</f>
        <v>0</v>
      </c>
      <c r="M266" s="57" t="n">
        <f aca="false">'STUDENT SCREENING'!V266</f>
        <v>0</v>
      </c>
      <c r="N266" s="57" t="str">
        <f aca="false">'STUDENT SCREENING'!BF266</f>
        <v/>
      </c>
      <c r="O266" s="57" t="str">
        <f aca="false">'STUDENT SCREENING'!BG266</f>
        <v/>
      </c>
      <c r="P266" s="57" t="str">
        <f aca="false">'STUDENT SCREENING'!BH266</f>
        <v/>
      </c>
      <c r="Q266" s="57" t="str">
        <f aca="false">'STUDENT SCREENING'!BI266</f>
        <v/>
      </c>
      <c r="R266" s="57" t="str">
        <f aca="false">'STUDENT SCREENING'!BJ266</f>
        <v/>
      </c>
      <c r="S266" s="57" t="str">
        <f aca="false">'STUDENT SCREENING'!BK266</f>
        <v/>
      </c>
      <c r="T266" s="57" t="str">
        <f aca="false">'STUDENT SCREENING'!BL266</f>
        <v/>
      </c>
      <c r="U266" s="57" t="str">
        <f aca="false">'STUDENT SCREENING'!BM266</f>
        <v/>
      </c>
      <c r="V266" s="57" t="str">
        <f aca="false">'STUDENT SCREENING'!BN266</f>
        <v/>
      </c>
      <c r="W266" s="57" t="str">
        <f aca="false">'STUDENT SCREENING'!BO266</f>
        <v/>
      </c>
      <c r="X266" s="57" t="str">
        <f aca="false">IF('STUDENT SCREENING'!W266="","",IFERROR(INDEX('SCORING MASTER'!$D$5:$D$7,MATCH('STUDENT SCREENING'!W266,'SCORING MASTER'!$C$5:$C$7,0)),""))</f>
        <v/>
      </c>
      <c r="Y266" s="57" t="str">
        <f aca="false">IF('STUDENT SCREENING'!X266="","",IFERROR(INDEX('SCORING MASTER'!$D$9:$D$11,MATCH('STUDENT SCREENING'!X266,'SCORING MASTER'!$C$9:$C$11,0)),""))</f>
        <v/>
      </c>
      <c r="Z266" s="57" t="str">
        <f aca="false">IF('STUDENT SCREENING'!Y266="","",IFERROR(INDEX('SCORING MASTER'!$D$13:$D$15,MATCH('STUDENT SCREENING'!Y266,'SCORING MASTER'!$C$13:$C$15,0)),""))</f>
        <v/>
      </c>
      <c r="AA266" s="57" t="str">
        <f aca="false">IF('STUDENT SCREENING'!Z266="","",IFERROR(INDEX('SCORING MASTER'!$D$17:$D$19,MATCH('STUDENT SCREENING'!Z266,'SCORING MASTER'!$C$17:$C$19,0)),""))</f>
        <v/>
      </c>
      <c r="AB266" s="57" t="str">
        <f aca="false">IF('STUDENT SCREENING'!AA266="","",IFERROR(INDEX('SCORING MASTER'!$D$21:$D$23,MATCH('STUDENT SCREENING'!AA266,'SCORING MASTER'!$C$21:$C$23,0)),""))</f>
        <v/>
      </c>
      <c r="AC266" s="57" t="str">
        <f aca="false">IF('STUDENT SCREENING'!AB266="","",IFERROR(INDEX('SCORING MASTER'!$D$25:$D$27,MATCH('STUDENT SCREENING'!AB266,'SCORING MASTER'!$C$25:$C$27,0)),""))</f>
        <v/>
      </c>
      <c r="AD266" s="57" t="str">
        <f aca="false">IF('STUDENT SCREENING'!AC266="","",IFERROR(INDEX('SCORING MASTER'!$D$29:$D$31,MATCH('STUDENT SCREENING'!AC266,'SCORING MASTER'!$C$29:$C$31,0)),""))</f>
        <v/>
      </c>
      <c r="AE266" s="57" t="str">
        <f aca="false">IF('STUDENT SCREENING'!AD266="","",IFERROR(INDEX('SCORING MASTER'!$D$33:$D$35,MATCH('STUDENT SCREENING'!AD266,'SCORING MASTER'!$C$33:$C$35,0)),""))</f>
        <v/>
      </c>
      <c r="AF266" s="57" t="str">
        <f aca="false">IF('STUDENT SCREENING'!AE266="","",IFERROR(INDEX('SCORING MASTER'!$D$37:$D$39,MATCH('STUDENT SCREENING'!AE266,'SCORING MASTER'!$C$37:$C$39,0)),""))</f>
        <v/>
      </c>
      <c r="AG266" s="57" t="str">
        <f aca="false">IF('STUDENT SCREENING'!AF266="","",IFERROR(INDEX('SCORING MASTER'!$D$41:$D$43,MATCH('STUDENT SCREENING'!AF266,'SCORING MASTER'!$C$41:$C$43,0)),""))</f>
        <v/>
      </c>
      <c r="AH266" s="57" t="str">
        <f aca="false">IF('STUDENT SCREENING'!AG266="","",IFERROR(INDEX('SCORING MASTER'!$D$45:$D$47,MATCH('STUDENT SCREENING'!AG266,'SCORING MASTER'!$C$45:$C$47,0)),""))</f>
        <v/>
      </c>
      <c r="AI266" s="57" t="str">
        <f aca="false">IF('STUDENT SCREENING'!AH266="","",IFERROR(INDEX('SCORING MASTER'!$D$49:$D$52,MATCH('STUDENT SCREENING'!AH266,'SCORING MASTER'!$C$49:$C$52,0)),""))</f>
        <v/>
      </c>
      <c r="AJ266" s="57" t="str">
        <f aca="false">IF('STUDENT SCREENING'!AI266="","",IFERROR(INDEX('SCORING MASTER'!$D$54:$D$57,MATCH('STUDENT SCREENING'!AI266,'SCORING MASTER'!$C$54:$C$57,0)),""))</f>
        <v/>
      </c>
      <c r="AK266" s="57" t="str">
        <f aca="false">IF('STUDENT SCREENING'!AJ266="","",IFERROR(INDEX('SCORING MASTER'!$D$59:$D$60,MATCH('STUDENT SCREENING'!AJ266,'SCORING MASTER'!$C$59:$C$60,0)),""))</f>
        <v/>
      </c>
      <c r="AL266" s="57" t="str">
        <f aca="false">IF('STUDENT SCREENING'!AK266="","",IFERROR(INDEX('SCORING MASTER'!$D$62:$D$63,MATCH('STUDENT SCREENING'!AK266,'SCORING MASTER'!$C$62:$C$63,0)),""))</f>
        <v/>
      </c>
      <c r="AM266" s="57" t="str">
        <f aca="false">IF('STUDENT SCREENING'!AL266="","",IFERROR(INDEX('SCORING MASTER'!$D$65:$D$66,MATCH('STUDENT SCREENING'!AL266,'SCORING MASTER'!$C$65:$C$66,0)),""))</f>
        <v/>
      </c>
      <c r="AN266" s="57" t="str">
        <f aca="false">IF('STUDENT SCREENING'!AM266="","",IFERROR(INDEX('SCORING MASTER'!$D$68:$D$69,MATCH('STUDENT SCREENING'!AM266,'SCORING MASTER'!$C$68:$C$69,0)),""))</f>
        <v/>
      </c>
      <c r="AO266" s="57" t="str">
        <f aca="false">IF('STUDENT SCREENING'!AN266="","",IFERROR(INDEX('SCORING MASTER'!$D$71:$D$72,MATCH('STUDENT SCREENING'!AN266,'SCORING MASTER'!$C$71:$C$72,0)),""))</f>
        <v/>
      </c>
      <c r="AP266" s="57" t="str">
        <f aca="false">IF('STUDENT SCREENING'!AO266="","",IFERROR(INDEX('SCORING MASTER'!$D$74:$D$75,MATCH('STUDENT SCREENING'!AO266,'SCORING MASTER'!$C$74:$C$75,0)),""))</f>
        <v/>
      </c>
      <c r="AQ266" s="57" t="str">
        <f aca="false">IF('STUDENT SCREENING'!AP266="","",IFERROR(INDEX('SCORING MASTER'!$D$77:$D$78,MATCH('STUDENT SCREENING'!AP266,'SCORING MASTER'!$C$77:$C$78,0)),""))</f>
        <v/>
      </c>
      <c r="AR266" s="57" t="str">
        <f aca="false">IF('STUDENT SCREENING'!AQ266="","",IFERROR(INDEX('SCORING MASTER'!$D$80:$D$82,MATCH('STUDENT SCREENING'!AQ266,'SCORING MASTER'!$C$80:$C$82,0)),""))</f>
        <v/>
      </c>
      <c r="AS266" s="57" t="str">
        <f aca="false">IF('STUDENT SCREENING'!AR266="","",IFERROR(INDEX('SCORING MASTER'!$D$84:$D$86,MATCH('STUDENT SCREENING'!AR266,'SCORING MASTER'!$C$84:$C$86,0)),""))</f>
        <v/>
      </c>
      <c r="AT266" s="57" t="str">
        <f aca="false">IF('STUDENT SCREENING'!AS266="","",IFERROR(INDEX('SCORING MASTER'!$D$88:$D$90,MATCH('STUDENT SCREENING'!AS266,'SCORING MASTER'!$C$88:$C$90,0)),""))</f>
        <v/>
      </c>
      <c r="AU266" s="57" t="str">
        <f aca="false">IF('STUDENT SCREENING'!AT266="","",IFERROR(INDEX('SCORING MASTER'!$D$92:$D$93,MATCH('STUDENT SCREENING'!AT266,'SCORING MASTER'!$C$92:$C$93,0)),""))</f>
        <v/>
      </c>
      <c r="AV266" s="57" t="str">
        <f aca="false">IF('STUDENT SCREENING'!AU266="","",IFERROR(INDEX('SCORING MASTER'!$D$95:$D$96,MATCH('STUDENT SCREENING'!AU266,'SCORING MASTER'!$C$95:$C$96,0)),""))</f>
        <v/>
      </c>
      <c r="AW266" s="57" t="str">
        <f aca="false">IF('STUDENT SCREENING'!AV266="","",IFERROR(INDEX('SCORING MASTER'!$D$98:$D$99,MATCH('STUDENT SCREENING'!AV266,'SCORING MASTER'!$C$98:$C$99,0)),""))</f>
        <v/>
      </c>
      <c r="AX266" s="57" t="str">
        <f aca="false">IF('STUDENT SCREENING'!AW266="","",IFERROR(INDEX('SCORING MASTER'!$D$101:$D$102,MATCH('STUDENT SCREENING'!AW266,'SCORING MASTER'!$C$101:$C$102,0)),""))</f>
        <v/>
      </c>
      <c r="AY266" s="57" t="str">
        <f aca="false">IF('STUDENT SCREENING'!AX266="","",IFERROR(INDEX('SCORING MASTER'!$D$104:$D$105,MATCH('STUDENT SCREENING'!AX266,'SCORING MASTER'!$C$104:$C$105,0)),""))</f>
        <v/>
      </c>
      <c r="AZ266" s="57" t="str">
        <f aca="false">IF('STUDENT SCREENING'!AY266="","",IFERROR(INDEX('SCORING MASTER'!$D$107:$D$108,MATCH('STUDENT SCREENING'!AY266,'SCORING MASTER'!$C$107:$C$108,0)),""))</f>
        <v/>
      </c>
      <c r="BA266" s="57" t="str">
        <f aca="false">IF('STUDENT SCREENING'!AZ266="","",IFERROR(INDEX('SCORING MASTER'!$D$110:$D$111,MATCH('STUDENT SCREENING'!AZ266,'SCORING MASTER'!$C$110:$C$111,0)),""))</f>
        <v/>
      </c>
      <c r="BB266" s="57" t="str">
        <f aca="false">IF('STUDENT SCREENING'!BA266="","",IFERROR(INDEX('SCORING MASTER'!$D$113:$D$115,MATCH('STUDENT SCREENING'!BA266,'SCORING MASTER'!$C$113:$C$115,0)),""))</f>
        <v/>
      </c>
      <c r="BC266" s="57" t="str">
        <f aca="false">IF('STUDENT SCREENING'!BB266="","",IFERROR(INDEX('SCORING MASTER'!$D$117:$D$119,MATCH('STUDENT SCREENING'!BB266,'SCORING MASTER'!$C$117:$C$119,0)),""))</f>
        <v/>
      </c>
      <c r="BD266" s="57" t="str">
        <f aca="false">IF('STUDENT SCREENING'!BC266="","",IFERROR(INDEX('SCORING MASTER'!$D$121:$D$123,MATCH('STUDENT SCREENING'!BC266,'SCORING MASTER'!$C$121:$C$123,0)),""))</f>
        <v/>
      </c>
      <c r="BE266" s="57" t="str">
        <f aca="false">IF('STUDENT SCREENING'!BD266="","",IFERROR(INDEX('SCORING MASTER'!$D$125:$D$126,MATCH('STUDENT SCREENING'!BD266,'SCORING MASTER'!$C$125:$C$126,0)),""))</f>
        <v/>
      </c>
      <c r="BF266" s="57" t="str">
        <f aca="false">IF('STUDENT SCREENING'!BE266="","",IFERROR(INDEX('SCORING MASTER'!$D$128:$D$129,MATCH('STUDENT SCREENING'!BE266,'SCORING MASTER'!$C$128:$C$129,0)),""))</f>
        <v/>
      </c>
      <c r="BG266" s="57" t="str">
        <f aca="false">IF('STUDENT SCREENING'!BP266="","",IFERROR(MATCH('STUDENT SCREENING'!BP266,{"Red - High Risk","Orange - Moderate Risk","Yellow - Mild Risk","Light Green - Mild Watch","Green - Healthy"},0)-1,""))</f>
        <v/>
      </c>
      <c r="BH266" s="57" t="str">
        <f aca="false">IF('STUDENT SCREENING'!BQ266="","",IF('STUDENT SCREENING'!BQ266="Yes",1,0))</f>
        <v/>
      </c>
      <c r="BI266" s="57" t="str">
        <f aca="false">IF('STUDENT SCREENING'!BR266="","",IF('STUDENT SCREENING'!BR266="Yes",1,0))</f>
        <v/>
      </c>
    </row>
    <row r="267" customFormat="false" ht="15" hidden="false" customHeight="false" outlineLevel="0" collapsed="false">
      <c r="A267" s="58" t="str">
        <f aca="false">'STUDENT SCREENING'!A267</f>
        <v/>
      </c>
      <c r="B267" s="58" t="n">
        <f aca="false">'STUDENT SCREENING'!C267</f>
        <v>0</v>
      </c>
      <c r="C267" s="58" t="n">
        <f aca="false">'STUDENT SCREENING'!D267</f>
        <v>0</v>
      </c>
      <c r="D267" s="58" t="n">
        <f aca="false">'STUDENT SCREENING'!E267</f>
        <v>0</v>
      </c>
      <c r="E267" s="58" t="n">
        <f aca="false">'STUDENT SCREENING'!F267</f>
        <v>0</v>
      </c>
      <c r="F267" s="58" t="n">
        <f aca="false">'STUDENT SCREENING'!K267</f>
        <v>0</v>
      </c>
      <c r="G267" s="58" t="n">
        <f aca="false">'STUDENT SCREENING'!J267</f>
        <v>0</v>
      </c>
      <c r="H267" s="58" t="str">
        <f aca="false">IF('STUDENT SCREENING'!K267="","",IFERROR(MATCH('STUDENT SCREENING'!K267,Adm_Gender,0),""))</f>
        <v/>
      </c>
      <c r="I267" s="58" t="n">
        <f aca="false">'STUDENT SCREENING'!Q267</f>
        <v>0</v>
      </c>
      <c r="J267" s="58" t="n">
        <f aca="false">'STUDENT SCREENING'!R267</f>
        <v>0</v>
      </c>
      <c r="K267" s="58" t="str">
        <f aca="false">'STUDENT SCREENING'!S267</f>
        <v/>
      </c>
      <c r="L267" s="58" t="n">
        <f aca="false">'STUDENT SCREENING'!U267</f>
        <v>0</v>
      </c>
      <c r="M267" s="58" t="n">
        <f aca="false">'STUDENT SCREENING'!V267</f>
        <v>0</v>
      </c>
      <c r="N267" s="58" t="str">
        <f aca="false">'STUDENT SCREENING'!BF267</f>
        <v/>
      </c>
      <c r="O267" s="58" t="str">
        <f aca="false">'STUDENT SCREENING'!BG267</f>
        <v/>
      </c>
      <c r="P267" s="58" t="str">
        <f aca="false">'STUDENT SCREENING'!BH267</f>
        <v/>
      </c>
      <c r="Q267" s="58" t="str">
        <f aca="false">'STUDENT SCREENING'!BI267</f>
        <v/>
      </c>
      <c r="R267" s="58" t="str">
        <f aca="false">'STUDENT SCREENING'!BJ267</f>
        <v/>
      </c>
      <c r="S267" s="58" t="str">
        <f aca="false">'STUDENT SCREENING'!BK267</f>
        <v/>
      </c>
      <c r="T267" s="58" t="str">
        <f aca="false">'STUDENT SCREENING'!BL267</f>
        <v/>
      </c>
      <c r="U267" s="58" t="str">
        <f aca="false">'STUDENT SCREENING'!BM267</f>
        <v/>
      </c>
      <c r="V267" s="58" t="str">
        <f aca="false">'STUDENT SCREENING'!BN267</f>
        <v/>
      </c>
      <c r="W267" s="58" t="str">
        <f aca="false">'STUDENT SCREENING'!BO267</f>
        <v/>
      </c>
      <c r="X267" s="58" t="str">
        <f aca="false">IF('STUDENT SCREENING'!W267="","",IFERROR(INDEX('SCORING MASTER'!$D$5:$D$7,MATCH('STUDENT SCREENING'!W267,'SCORING MASTER'!$C$5:$C$7,0)),""))</f>
        <v/>
      </c>
      <c r="Y267" s="58" t="str">
        <f aca="false">IF('STUDENT SCREENING'!X267="","",IFERROR(INDEX('SCORING MASTER'!$D$9:$D$11,MATCH('STUDENT SCREENING'!X267,'SCORING MASTER'!$C$9:$C$11,0)),""))</f>
        <v/>
      </c>
      <c r="Z267" s="58" t="str">
        <f aca="false">IF('STUDENT SCREENING'!Y267="","",IFERROR(INDEX('SCORING MASTER'!$D$13:$D$15,MATCH('STUDENT SCREENING'!Y267,'SCORING MASTER'!$C$13:$C$15,0)),""))</f>
        <v/>
      </c>
      <c r="AA267" s="58" t="str">
        <f aca="false">IF('STUDENT SCREENING'!Z267="","",IFERROR(INDEX('SCORING MASTER'!$D$17:$D$19,MATCH('STUDENT SCREENING'!Z267,'SCORING MASTER'!$C$17:$C$19,0)),""))</f>
        <v/>
      </c>
      <c r="AB267" s="58" t="str">
        <f aca="false">IF('STUDENT SCREENING'!AA267="","",IFERROR(INDEX('SCORING MASTER'!$D$21:$D$23,MATCH('STUDENT SCREENING'!AA267,'SCORING MASTER'!$C$21:$C$23,0)),""))</f>
        <v/>
      </c>
      <c r="AC267" s="58" t="str">
        <f aca="false">IF('STUDENT SCREENING'!AB267="","",IFERROR(INDEX('SCORING MASTER'!$D$25:$D$27,MATCH('STUDENT SCREENING'!AB267,'SCORING MASTER'!$C$25:$C$27,0)),""))</f>
        <v/>
      </c>
      <c r="AD267" s="58" t="str">
        <f aca="false">IF('STUDENT SCREENING'!AC267="","",IFERROR(INDEX('SCORING MASTER'!$D$29:$D$31,MATCH('STUDENT SCREENING'!AC267,'SCORING MASTER'!$C$29:$C$31,0)),""))</f>
        <v/>
      </c>
      <c r="AE267" s="58" t="str">
        <f aca="false">IF('STUDENT SCREENING'!AD267="","",IFERROR(INDEX('SCORING MASTER'!$D$33:$D$35,MATCH('STUDENT SCREENING'!AD267,'SCORING MASTER'!$C$33:$C$35,0)),""))</f>
        <v/>
      </c>
      <c r="AF267" s="58" t="str">
        <f aca="false">IF('STUDENT SCREENING'!AE267="","",IFERROR(INDEX('SCORING MASTER'!$D$37:$D$39,MATCH('STUDENT SCREENING'!AE267,'SCORING MASTER'!$C$37:$C$39,0)),""))</f>
        <v/>
      </c>
      <c r="AG267" s="58" t="str">
        <f aca="false">IF('STUDENT SCREENING'!AF267="","",IFERROR(INDEX('SCORING MASTER'!$D$41:$D$43,MATCH('STUDENT SCREENING'!AF267,'SCORING MASTER'!$C$41:$C$43,0)),""))</f>
        <v/>
      </c>
      <c r="AH267" s="58" t="str">
        <f aca="false">IF('STUDENT SCREENING'!AG267="","",IFERROR(INDEX('SCORING MASTER'!$D$45:$D$47,MATCH('STUDENT SCREENING'!AG267,'SCORING MASTER'!$C$45:$C$47,0)),""))</f>
        <v/>
      </c>
      <c r="AI267" s="58" t="str">
        <f aca="false">IF('STUDENT SCREENING'!AH267="","",IFERROR(INDEX('SCORING MASTER'!$D$49:$D$52,MATCH('STUDENT SCREENING'!AH267,'SCORING MASTER'!$C$49:$C$52,0)),""))</f>
        <v/>
      </c>
      <c r="AJ267" s="58" t="str">
        <f aca="false">IF('STUDENT SCREENING'!AI267="","",IFERROR(INDEX('SCORING MASTER'!$D$54:$D$57,MATCH('STUDENT SCREENING'!AI267,'SCORING MASTER'!$C$54:$C$57,0)),""))</f>
        <v/>
      </c>
      <c r="AK267" s="58" t="str">
        <f aca="false">IF('STUDENT SCREENING'!AJ267="","",IFERROR(INDEX('SCORING MASTER'!$D$59:$D$60,MATCH('STUDENT SCREENING'!AJ267,'SCORING MASTER'!$C$59:$C$60,0)),""))</f>
        <v/>
      </c>
      <c r="AL267" s="58" t="str">
        <f aca="false">IF('STUDENT SCREENING'!AK267="","",IFERROR(INDEX('SCORING MASTER'!$D$62:$D$63,MATCH('STUDENT SCREENING'!AK267,'SCORING MASTER'!$C$62:$C$63,0)),""))</f>
        <v/>
      </c>
      <c r="AM267" s="58" t="str">
        <f aca="false">IF('STUDENT SCREENING'!AL267="","",IFERROR(INDEX('SCORING MASTER'!$D$65:$D$66,MATCH('STUDENT SCREENING'!AL267,'SCORING MASTER'!$C$65:$C$66,0)),""))</f>
        <v/>
      </c>
      <c r="AN267" s="58" t="str">
        <f aca="false">IF('STUDENT SCREENING'!AM267="","",IFERROR(INDEX('SCORING MASTER'!$D$68:$D$69,MATCH('STUDENT SCREENING'!AM267,'SCORING MASTER'!$C$68:$C$69,0)),""))</f>
        <v/>
      </c>
      <c r="AO267" s="58" t="str">
        <f aca="false">IF('STUDENT SCREENING'!AN267="","",IFERROR(INDEX('SCORING MASTER'!$D$71:$D$72,MATCH('STUDENT SCREENING'!AN267,'SCORING MASTER'!$C$71:$C$72,0)),""))</f>
        <v/>
      </c>
      <c r="AP267" s="58" t="str">
        <f aca="false">IF('STUDENT SCREENING'!AO267="","",IFERROR(INDEX('SCORING MASTER'!$D$74:$D$75,MATCH('STUDENT SCREENING'!AO267,'SCORING MASTER'!$C$74:$C$75,0)),""))</f>
        <v/>
      </c>
      <c r="AQ267" s="58" t="str">
        <f aca="false">IF('STUDENT SCREENING'!AP267="","",IFERROR(INDEX('SCORING MASTER'!$D$77:$D$78,MATCH('STUDENT SCREENING'!AP267,'SCORING MASTER'!$C$77:$C$78,0)),""))</f>
        <v/>
      </c>
      <c r="AR267" s="58" t="str">
        <f aca="false">IF('STUDENT SCREENING'!AQ267="","",IFERROR(INDEX('SCORING MASTER'!$D$80:$D$82,MATCH('STUDENT SCREENING'!AQ267,'SCORING MASTER'!$C$80:$C$82,0)),""))</f>
        <v/>
      </c>
      <c r="AS267" s="58" t="str">
        <f aca="false">IF('STUDENT SCREENING'!AR267="","",IFERROR(INDEX('SCORING MASTER'!$D$84:$D$86,MATCH('STUDENT SCREENING'!AR267,'SCORING MASTER'!$C$84:$C$86,0)),""))</f>
        <v/>
      </c>
      <c r="AT267" s="58" t="str">
        <f aca="false">IF('STUDENT SCREENING'!AS267="","",IFERROR(INDEX('SCORING MASTER'!$D$88:$D$90,MATCH('STUDENT SCREENING'!AS267,'SCORING MASTER'!$C$88:$C$90,0)),""))</f>
        <v/>
      </c>
      <c r="AU267" s="58" t="str">
        <f aca="false">IF('STUDENT SCREENING'!AT267="","",IFERROR(INDEX('SCORING MASTER'!$D$92:$D$93,MATCH('STUDENT SCREENING'!AT267,'SCORING MASTER'!$C$92:$C$93,0)),""))</f>
        <v/>
      </c>
      <c r="AV267" s="58" t="str">
        <f aca="false">IF('STUDENT SCREENING'!AU267="","",IFERROR(INDEX('SCORING MASTER'!$D$95:$D$96,MATCH('STUDENT SCREENING'!AU267,'SCORING MASTER'!$C$95:$C$96,0)),""))</f>
        <v/>
      </c>
      <c r="AW267" s="58" t="str">
        <f aca="false">IF('STUDENT SCREENING'!AV267="","",IFERROR(INDEX('SCORING MASTER'!$D$98:$D$99,MATCH('STUDENT SCREENING'!AV267,'SCORING MASTER'!$C$98:$C$99,0)),""))</f>
        <v/>
      </c>
      <c r="AX267" s="58" t="str">
        <f aca="false">IF('STUDENT SCREENING'!AW267="","",IFERROR(INDEX('SCORING MASTER'!$D$101:$D$102,MATCH('STUDENT SCREENING'!AW267,'SCORING MASTER'!$C$101:$C$102,0)),""))</f>
        <v/>
      </c>
      <c r="AY267" s="58" t="str">
        <f aca="false">IF('STUDENT SCREENING'!AX267="","",IFERROR(INDEX('SCORING MASTER'!$D$104:$D$105,MATCH('STUDENT SCREENING'!AX267,'SCORING MASTER'!$C$104:$C$105,0)),""))</f>
        <v/>
      </c>
      <c r="AZ267" s="58" t="str">
        <f aca="false">IF('STUDENT SCREENING'!AY267="","",IFERROR(INDEX('SCORING MASTER'!$D$107:$D$108,MATCH('STUDENT SCREENING'!AY267,'SCORING MASTER'!$C$107:$C$108,0)),""))</f>
        <v/>
      </c>
      <c r="BA267" s="58" t="str">
        <f aca="false">IF('STUDENT SCREENING'!AZ267="","",IFERROR(INDEX('SCORING MASTER'!$D$110:$D$111,MATCH('STUDENT SCREENING'!AZ267,'SCORING MASTER'!$C$110:$C$111,0)),""))</f>
        <v/>
      </c>
      <c r="BB267" s="58" t="str">
        <f aca="false">IF('STUDENT SCREENING'!BA267="","",IFERROR(INDEX('SCORING MASTER'!$D$113:$D$115,MATCH('STUDENT SCREENING'!BA267,'SCORING MASTER'!$C$113:$C$115,0)),""))</f>
        <v/>
      </c>
      <c r="BC267" s="58" t="str">
        <f aca="false">IF('STUDENT SCREENING'!BB267="","",IFERROR(INDEX('SCORING MASTER'!$D$117:$D$119,MATCH('STUDENT SCREENING'!BB267,'SCORING MASTER'!$C$117:$C$119,0)),""))</f>
        <v/>
      </c>
      <c r="BD267" s="58" t="str">
        <f aca="false">IF('STUDENT SCREENING'!BC267="","",IFERROR(INDEX('SCORING MASTER'!$D$121:$D$123,MATCH('STUDENT SCREENING'!BC267,'SCORING MASTER'!$C$121:$C$123,0)),""))</f>
        <v/>
      </c>
      <c r="BE267" s="58" t="str">
        <f aca="false">IF('STUDENT SCREENING'!BD267="","",IFERROR(INDEX('SCORING MASTER'!$D$125:$D$126,MATCH('STUDENT SCREENING'!BD267,'SCORING MASTER'!$C$125:$C$126,0)),""))</f>
        <v/>
      </c>
      <c r="BF267" s="58" t="str">
        <f aca="false">IF('STUDENT SCREENING'!BE267="","",IFERROR(INDEX('SCORING MASTER'!$D$128:$D$129,MATCH('STUDENT SCREENING'!BE267,'SCORING MASTER'!$C$128:$C$129,0)),""))</f>
        <v/>
      </c>
      <c r="BG267" s="58" t="str">
        <f aca="false">IF('STUDENT SCREENING'!BP267="","",IFERROR(MATCH('STUDENT SCREENING'!BP267,{"Red - High Risk","Orange - Moderate Risk","Yellow - Mild Risk","Light Green - Mild Watch","Green - Healthy"},0)-1,""))</f>
        <v/>
      </c>
      <c r="BH267" s="58" t="str">
        <f aca="false">IF('STUDENT SCREENING'!BQ267="","",IF('STUDENT SCREENING'!BQ267="Yes",1,0))</f>
        <v/>
      </c>
      <c r="BI267" s="58" t="str">
        <f aca="false">IF('STUDENT SCREENING'!BR267="","",IF('STUDENT SCREENING'!BR267="Yes",1,0))</f>
        <v/>
      </c>
    </row>
    <row r="268" customFormat="false" ht="15" hidden="false" customHeight="false" outlineLevel="0" collapsed="false">
      <c r="A268" s="57" t="str">
        <f aca="false">'STUDENT SCREENING'!A268</f>
        <v/>
      </c>
      <c r="B268" s="57" t="n">
        <f aca="false">'STUDENT SCREENING'!C268</f>
        <v>0</v>
      </c>
      <c r="C268" s="57" t="n">
        <f aca="false">'STUDENT SCREENING'!D268</f>
        <v>0</v>
      </c>
      <c r="D268" s="57" t="n">
        <f aca="false">'STUDENT SCREENING'!E268</f>
        <v>0</v>
      </c>
      <c r="E268" s="57" t="n">
        <f aca="false">'STUDENT SCREENING'!F268</f>
        <v>0</v>
      </c>
      <c r="F268" s="57" t="n">
        <f aca="false">'STUDENT SCREENING'!K268</f>
        <v>0</v>
      </c>
      <c r="G268" s="57" t="n">
        <f aca="false">'STUDENT SCREENING'!J268</f>
        <v>0</v>
      </c>
      <c r="H268" s="57" t="str">
        <f aca="false">IF('STUDENT SCREENING'!K268="","",IFERROR(MATCH('STUDENT SCREENING'!K268,Adm_Gender,0),""))</f>
        <v/>
      </c>
      <c r="I268" s="57" t="n">
        <f aca="false">'STUDENT SCREENING'!Q268</f>
        <v>0</v>
      </c>
      <c r="J268" s="57" t="n">
        <f aca="false">'STUDENT SCREENING'!R268</f>
        <v>0</v>
      </c>
      <c r="K268" s="57" t="str">
        <f aca="false">'STUDENT SCREENING'!S268</f>
        <v/>
      </c>
      <c r="L268" s="57" t="n">
        <f aca="false">'STUDENT SCREENING'!U268</f>
        <v>0</v>
      </c>
      <c r="M268" s="57" t="n">
        <f aca="false">'STUDENT SCREENING'!V268</f>
        <v>0</v>
      </c>
      <c r="N268" s="57" t="str">
        <f aca="false">'STUDENT SCREENING'!BF268</f>
        <v/>
      </c>
      <c r="O268" s="57" t="str">
        <f aca="false">'STUDENT SCREENING'!BG268</f>
        <v/>
      </c>
      <c r="P268" s="57" t="str">
        <f aca="false">'STUDENT SCREENING'!BH268</f>
        <v/>
      </c>
      <c r="Q268" s="57" t="str">
        <f aca="false">'STUDENT SCREENING'!BI268</f>
        <v/>
      </c>
      <c r="R268" s="57" t="str">
        <f aca="false">'STUDENT SCREENING'!BJ268</f>
        <v/>
      </c>
      <c r="S268" s="57" t="str">
        <f aca="false">'STUDENT SCREENING'!BK268</f>
        <v/>
      </c>
      <c r="T268" s="57" t="str">
        <f aca="false">'STUDENT SCREENING'!BL268</f>
        <v/>
      </c>
      <c r="U268" s="57" t="str">
        <f aca="false">'STUDENT SCREENING'!BM268</f>
        <v/>
      </c>
      <c r="V268" s="57" t="str">
        <f aca="false">'STUDENT SCREENING'!BN268</f>
        <v/>
      </c>
      <c r="W268" s="57" t="str">
        <f aca="false">'STUDENT SCREENING'!BO268</f>
        <v/>
      </c>
      <c r="X268" s="57" t="str">
        <f aca="false">IF('STUDENT SCREENING'!W268="","",IFERROR(INDEX('SCORING MASTER'!$D$5:$D$7,MATCH('STUDENT SCREENING'!W268,'SCORING MASTER'!$C$5:$C$7,0)),""))</f>
        <v/>
      </c>
      <c r="Y268" s="57" t="str">
        <f aca="false">IF('STUDENT SCREENING'!X268="","",IFERROR(INDEX('SCORING MASTER'!$D$9:$D$11,MATCH('STUDENT SCREENING'!X268,'SCORING MASTER'!$C$9:$C$11,0)),""))</f>
        <v/>
      </c>
      <c r="Z268" s="57" t="str">
        <f aca="false">IF('STUDENT SCREENING'!Y268="","",IFERROR(INDEX('SCORING MASTER'!$D$13:$D$15,MATCH('STUDENT SCREENING'!Y268,'SCORING MASTER'!$C$13:$C$15,0)),""))</f>
        <v/>
      </c>
      <c r="AA268" s="57" t="str">
        <f aca="false">IF('STUDENT SCREENING'!Z268="","",IFERROR(INDEX('SCORING MASTER'!$D$17:$D$19,MATCH('STUDENT SCREENING'!Z268,'SCORING MASTER'!$C$17:$C$19,0)),""))</f>
        <v/>
      </c>
      <c r="AB268" s="57" t="str">
        <f aca="false">IF('STUDENT SCREENING'!AA268="","",IFERROR(INDEX('SCORING MASTER'!$D$21:$D$23,MATCH('STUDENT SCREENING'!AA268,'SCORING MASTER'!$C$21:$C$23,0)),""))</f>
        <v/>
      </c>
      <c r="AC268" s="57" t="str">
        <f aca="false">IF('STUDENT SCREENING'!AB268="","",IFERROR(INDEX('SCORING MASTER'!$D$25:$D$27,MATCH('STUDENT SCREENING'!AB268,'SCORING MASTER'!$C$25:$C$27,0)),""))</f>
        <v/>
      </c>
      <c r="AD268" s="57" t="str">
        <f aca="false">IF('STUDENT SCREENING'!AC268="","",IFERROR(INDEX('SCORING MASTER'!$D$29:$D$31,MATCH('STUDENT SCREENING'!AC268,'SCORING MASTER'!$C$29:$C$31,0)),""))</f>
        <v/>
      </c>
      <c r="AE268" s="57" t="str">
        <f aca="false">IF('STUDENT SCREENING'!AD268="","",IFERROR(INDEX('SCORING MASTER'!$D$33:$D$35,MATCH('STUDENT SCREENING'!AD268,'SCORING MASTER'!$C$33:$C$35,0)),""))</f>
        <v/>
      </c>
      <c r="AF268" s="57" t="str">
        <f aca="false">IF('STUDENT SCREENING'!AE268="","",IFERROR(INDEX('SCORING MASTER'!$D$37:$D$39,MATCH('STUDENT SCREENING'!AE268,'SCORING MASTER'!$C$37:$C$39,0)),""))</f>
        <v/>
      </c>
      <c r="AG268" s="57" t="str">
        <f aca="false">IF('STUDENT SCREENING'!AF268="","",IFERROR(INDEX('SCORING MASTER'!$D$41:$D$43,MATCH('STUDENT SCREENING'!AF268,'SCORING MASTER'!$C$41:$C$43,0)),""))</f>
        <v/>
      </c>
      <c r="AH268" s="57" t="str">
        <f aca="false">IF('STUDENT SCREENING'!AG268="","",IFERROR(INDEX('SCORING MASTER'!$D$45:$D$47,MATCH('STUDENT SCREENING'!AG268,'SCORING MASTER'!$C$45:$C$47,0)),""))</f>
        <v/>
      </c>
      <c r="AI268" s="57" t="str">
        <f aca="false">IF('STUDENT SCREENING'!AH268="","",IFERROR(INDEX('SCORING MASTER'!$D$49:$D$52,MATCH('STUDENT SCREENING'!AH268,'SCORING MASTER'!$C$49:$C$52,0)),""))</f>
        <v/>
      </c>
      <c r="AJ268" s="57" t="str">
        <f aca="false">IF('STUDENT SCREENING'!AI268="","",IFERROR(INDEX('SCORING MASTER'!$D$54:$D$57,MATCH('STUDENT SCREENING'!AI268,'SCORING MASTER'!$C$54:$C$57,0)),""))</f>
        <v/>
      </c>
      <c r="AK268" s="57" t="str">
        <f aca="false">IF('STUDENT SCREENING'!AJ268="","",IFERROR(INDEX('SCORING MASTER'!$D$59:$D$60,MATCH('STUDENT SCREENING'!AJ268,'SCORING MASTER'!$C$59:$C$60,0)),""))</f>
        <v/>
      </c>
      <c r="AL268" s="57" t="str">
        <f aca="false">IF('STUDENT SCREENING'!AK268="","",IFERROR(INDEX('SCORING MASTER'!$D$62:$D$63,MATCH('STUDENT SCREENING'!AK268,'SCORING MASTER'!$C$62:$C$63,0)),""))</f>
        <v/>
      </c>
      <c r="AM268" s="57" t="str">
        <f aca="false">IF('STUDENT SCREENING'!AL268="","",IFERROR(INDEX('SCORING MASTER'!$D$65:$D$66,MATCH('STUDENT SCREENING'!AL268,'SCORING MASTER'!$C$65:$C$66,0)),""))</f>
        <v/>
      </c>
      <c r="AN268" s="57" t="str">
        <f aca="false">IF('STUDENT SCREENING'!AM268="","",IFERROR(INDEX('SCORING MASTER'!$D$68:$D$69,MATCH('STUDENT SCREENING'!AM268,'SCORING MASTER'!$C$68:$C$69,0)),""))</f>
        <v/>
      </c>
      <c r="AO268" s="57" t="str">
        <f aca="false">IF('STUDENT SCREENING'!AN268="","",IFERROR(INDEX('SCORING MASTER'!$D$71:$D$72,MATCH('STUDENT SCREENING'!AN268,'SCORING MASTER'!$C$71:$C$72,0)),""))</f>
        <v/>
      </c>
      <c r="AP268" s="57" t="str">
        <f aca="false">IF('STUDENT SCREENING'!AO268="","",IFERROR(INDEX('SCORING MASTER'!$D$74:$D$75,MATCH('STUDENT SCREENING'!AO268,'SCORING MASTER'!$C$74:$C$75,0)),""))</f>
        <v/>
      </c>
      <c r="AQ268" s="57" t="str">
        <f aca="false">IF('STUDENT SCREENING'!AP268="","",IFERROR(INDEX('SCORING MASTER'!$D$77:$D$78,MATCH('STUDENT SCREENING'!AP268,'SCORING MASTER'!$C$77:$C$78,0)),""))</f>
        <v/>
      </c>
      <c r="AR268" s="57" t="str">
        <f aca="false">IF('STUDENT SCREENING'!AQ268="","",IFERROR(INDEX('SCORING MASTER'!$D$80:$D$82,MATCH('STUDENT SCREENING'!AQ268,'SCORING MASTER'!$C$80:$C$82,0)),""))</f>
        <v/>
      </c>
      <c r="AS268" s="57" t="str">
        <f aca="false">IF('STUDENT SCREENING'!AR268="","",IFERROR(INDEX('SCORING MASTER'!$D$84:$D$86,MATCH('STUDENT SCREENING'!AR268,'SCORING MASTER'!$C$84:$C$86,0)),""))</f>
        <v/>
      </c>
      <c r="AT268" s="57" t="str">
        <f aca="false">IF('STUDENT SCREENING'!AS268="","",IFERROR(INDEX('SCORING MASTER'!$D$88:$D$90,MATCH('STUDENT SCREENING'!AS268,'SCORING MASTER'!$C$88:$C$90,0)),""))</f>
        <v/>
      </c>
      <c r="AU268" s="57" t="str">
        <f aca="false">IF('STUDENT SCREENING'!AT268="","",IFERROR(INDEX('SCORING MASTER'!$D$92:$D$93,MATCH('STUDENT SCREENING'!AT268,'SCORING MASTER'!$C$92:$C$93,0)),""))</f>
        <v/>
      </c>
      <c r="AV268" s="57" t="str">
        <f aca="false">IF('STUDENT SCREENING'!AU268="","",IFERROR(INDEX('SCORING MASTER'!$D$95:$D$96,MATCH('STUDENT SCREENING'!AU268,'SCORING MASTER'!$C$95:$C$96,0)),""))</f>
        <v/>
      </c>
      <c r="AW268" s="57" t="str">
        <f aca="false">IF('STUDENT SCREENING'!AV268="","",IFERROR(INDEX('SCORING MASTER'!$D$98:$D$99,MATCH('STUDENT SCREENING'!AV268,'SCORING MASTER'!$C$98:$C$99,0)),""))</f>
        <v/>
      </c>
      <c r="AX268" s="57" t="str">
        <f aca="false">IF('STUDENT SCREENING'!AW268="","",IFERROR(INDEX('SCORING MASTER'!$D$101:$D$102,MATCH('STUDENT SCREENING'!AW268,'SCORING MASTER'!$C$101:$C$102,0)),""))</f>
        <v/>
      </c>
      <c r="AY268" s="57" t="str">
        <f aca="false">IF('STUDENT SCREENING'!AX268="","",IFERROR(INDEX('SCORING MASTER'!$D$104:$D$105,MATCH('STUDENT SCREENING'!AX268,'SCORING MASTER'!$C$104:$C$105,0)),""))</f>
        <v/>
      </c>
      <c r="AZ268" s="57" t="str">
        <f aca="false">IF('STUDENT SCREENING'!AY268="","",IFERROR(INDEX('SCORING MASTER'!$D$107:$D$108,MATCH('STUDENT SCREENING'!AY268,'SCORING MASTER'!$C$107:$C$108,0)),""))</f>
        <v/>
      </c>
      <c r="BA268" s="57" t="str">
        <f aca="false">IF('STUDENT SCREENING'!AZ268="","",IFERROR(INDEX('SCORING MASTER'!$D$110:$D$111,MATCH('STUDENT SCREENING'!AZ268,'SCORING MASTER'!$C$110:$C$111,0)),""))</f>
        <v/>
      </c>
      <c r="BB268" s="57" t="str">
        <f aca="false">IF('STUDENT SCREENING'!BA268="","",IFERROR(INDEX('SCORING MASTER'!$D$113:$D$115,MATCH('STUDENT SCREENING'!BA268,'SCORING MASTER'!$C$113:$C$115,0)),""))</f>
        <v/>
      </c>
      <c r="BC268" s="57" t="str">
        <f aca="false">IF('STUDENT SCREENING'!BB268="","",IFERROR(INDEX('SCORING MASTER'!$D$117:$D$119,MATCH('STUDENT SCREENING'!BB268,'SCORING MASTER'!$C$117:$C$119,0)),""))</f>
        <v/>
      </c>
      <c r="BD268" s="57" t="str">
        <f aca="false">IF('STUDENT SCREENING'!BC268="","",IFERROR(INDEX('SCORING MASTER'!$D$121:$D$123,MATCH('STUDENT SCREENING'!BC268,'SCORING MASTER'!$C$121:$C$123,0)),""))</f>
        <v/>
      </c>
      <c r="BE268" s="57" t="str">
        <f aca="false">IF('STUDENT SCREENING'!BD268="","",IFERROR(INDEX('SCORING MASTER'!$D$125:$D$126,MATCH('STUDENT SCREENING'!BD268,'SCORING MASTER'!$C$125:$C$126,0)),""))</f>
        <v/>
      </c>
      <c r="BF268" s="57" t="str">
        <f aca="false">IF('STUDENT SCREENING'!BE268="","",IFERROR(INDEX('SCORING MASTER'!$D$128:$D$129,MATCH('STUDENT SCREENING'!BE268,'SCORING MASTER'!$C$128:$C$129,0)),""))</f>
        <v/>
      </c>
      <c r="BG268" s="57" t="str">
        <f aca="false">IF('STUDENT SCREENING'!BP268="","",IFERROR(MATCH('STUDENT SCREENING'!BP268,{"Red - High Risk","Orange - Moderate Risk","Yellow - Mild Risk","Light Green - Mild Watch","Green - Healthy"},0)-1,""))</f>
        <v/>
      </c>
      <c r="BH268" s="57" t="str">
        <f aca="false">IF('STUDENT SCREENING'!BQ268="","",IF('STUDENT SCREENING'!BQ268="Yes",1,0))</f>
        <v/>
      </c>
      <c r="BI268" s="57" t="str">
        <f aca="false">IF('STUDENT SCREENING'!BR268="","",IF('STUDENT SCREENING'!BR268="Yes",1,0))</f>
        <v/>
      </c>
    </row>
    <row r="269" customFormat="false" ht="15" hidden="false" customHeight="false" outlineLevel="0" collapsed="false">
      <c r="A269" s="58" t="str">
        <f aca="false">'STUDENT SCREENING'!A269</f>
        <v/>
      </c>
      <c r="B269" s="58" t="n">
        <f aca="false">'STUDENT SCREENING'!C269</f>
        <v>0</v>
      </c>
      <c r="C269" s="58" t="n">
        <f aca="false">'STUDENT SCREENING'!D269</f>
        <v>0</v>
      </c>
      <c r="D269" s="58" t="n">
        <f aca="false">'STUDENT SCREENING'!E269</f>
        <v>0</v>
      </c>
      <c r="E269" s="58" t="n">
        <f aca="false">'STUDENT SCREENING'!F269</f>
        <v>0</v>
      </c>
      <c r="F269" s="58" t="n">
        <f aca="false">'STUDENT SCREENING'!K269</f>
        <v>0</v>
      </c>
      <c r="G269" s="58" t="n">
        <f aca="false">'STUDENT SCREENING'!J269</f>
        <v>0</v>
      </c>
      <c r="H269" s="58" t="str">
        <f aca="false">IF('STUDENT SCREENING'!K269="","",IFERROR(MATCH('STUDENT SCREENING'!K269,Adm_Gender,0),""))</f>
        <v/>
      </c>
      <c r="I269" s="58" t="n">
        <f aca="false">'STUDENT SCREENING'!Q269</f>
        <v>0</v>
      </c>
      <c r="J269" s="58" t="n">
        <f aca="false">'STUDENT SCREENING'!R269</f>
        <v>0</v>
      </c>
      <c r="K269" s="58" t="str">
        <f aca="false">'STUDENT SCREENING'!S269</f>
        <v/>
      </c>
      <c r="L269" s="58" t="n">
        <f aca="false">'STUDENT SCREENING'!U269</f>
        <v>0</v>
      </c>
      <c r="M269" s="58" t="n">
        <f aca="false">'STUDENT SCREENING'!V269</f>
        <v>0</v>
      </c>
      <c r="N269" s="58" t="str">
        <f aca="false">'STUDENT SCREENING'!BF269</f>
        <v/>
      </c>
      <c r="O269" s="58" t="str">
        <f aca="false">'STUDENT SCREENING'!BG269</f>
        <v/>
      </c>
      <c r="P269" s="58" t="str">
        <f aca="false">'STUDENT SCREENING'!BH269</f>
        <v/>
      </c>
      <c r="Q269" s="58" t="str">
        <f aca="false">'STUDENT SCREENING'!BI269</f>
        <v/>
      </c>
      <c r="R269" s="58" t="str">
        <f aca="false">'STUDENT SCREENING'!BJ269</f>
        <v/>
      </c>
      <c r="S269" s="58" t="str">
        <f aca="false">'STUDENT SCREENING'!BK269</f>
        <v/>
      </c>
      <c r="T269" s="58" t="str">
        <f aca="false">'STUDENT SCREENING'!BL269</f>
        <v/>
      </c>
      <c r="U269" s="58" t="str">
        <f aca="false">'STUDENT SCREENING'!BM269</f>
        <v/>
      </c>
      <c r="V269" s="58" t="str">
        <f aca="false">'STUDENT SCREENING'!BN269</f>
        <v/>
      </c>
      <c r="W269" s="58" t="str">
        <f aca="false">'STUDENT SCREENING'!BO269</f>
        <v/>
      </c>
      <c r="X269" s="58" t="str">
        <f aca="false">IF('STUDENT SCREENING'!W269="","",IFERROR(INDEX('SCORING MASTER'!$D$5:$D$7,MATCH('STUDENT SCREENING'!W269,'SCORING MASTER'!$C$5:$C$7,0)),""))</f>
        <v/>
      </c>
      <c r="Y269" s="58" t="str">
        <f aca="false">IF('STUDENT SCREENING'!X269="","",IFERROR(INDEX('SCORING MASTER'!$D$9:$D$11,MATCH('STUDENT SCREENING'!X269,'SCORING MASTER'!$C$9:$C$11,0)),""))</f>
        <v/>
      </c>
      <c r="Z269" s="58" t="str">
        <f aca="false">IF('STUDENT SCREENING'!Y269="","",IFERROR(INDEX('SCORING MASTER'!$D$13:$D$15,MATCH('STUDENT SCREENING'!Y269,'SCORING MASTER'!$C$13:$C$15,0)),""))</f>
        <v/>
      </c>
      <c r="AA269" s="58" t="str">
        <f aca="false">IF('STUDENT SCREENING'!Z269="","",IFERROR(INDEX('SCORING MASTER'!$D$17:$D$19,MATCH('STUDENT SCREENING'!Z269,'SCORING MASTER'!$C$17:$C$19,0)),""))</f>
        <v/>
      </c>
      <c r="AB269" s="58" t="str">
        <f aca="false">IF('STUDENT SCREENING'!AA269="","",IFERROR(INDEX('SCORING MASTER'!$D$21:$D$23,MATCH('STUDENT SCREENING'!AA269,'SCORING MASTER'!$C$21:$C$23,0)),""))</f>
        <v/>
      </c>
      <c r="AC269" s="58" t="str">
        <f aca="false">IF('STUDENT SCREENING'!AB269="","",IFERROR(INDEX('SCORING MASTER'!$D$25:$D$27,MATCH('STUDENT SCREENING'!AB269,'SCORING MASTER'!$C$25:$C$27,0)),""))</f>
        <v/>
      </c>
      <c r="AD269" s="58" t="str">
        <f aca="false">IF('STUDENT SCREENING'!AC269="","",IFERROR(INDEX('SCORING MASTER'!$D$29:$D$31,MATCH('STUDENT SCREENING'!AC269,'SCORING MASTER'!$C$29:$C$31,0)),""))</f>
        <v/>
      </c>
      <c r="AE269" s="58" t="str">
        <f aca="false">IF('STUDENT SCREENING'!AD269="","",IFERROR(INDEX('SCORING MASTER'!$D$33:$D$35,MATCH('STUDENT SCREENING'!AD269,'SCORING MASTER'!$C$33:$C$35,0)),""))</f>
        <v/>
      </c>
      <c r="AF269" s="58" t="str">
        <f aca="false">IF('STUDENT SCREENING'!AE269="","",IFERROR(INDEX('SCORING MASTER'!$D$37:$D$39,MATCH('STUDENT SCREENING'!AE269,'SCORING MASTER'!$C$37:$C$39,0)),""))</f>
        <v/>
      </c>
      <c r="AG269" s="58" t="str">
        <f aca="false">IF('STUDENT SCREENING'!AF269="","",IFERROR(INDEX('SCORING MASTER'!$D$41:$D$43,MATCH('STUDENT SCREENING'!AF269,'SCORING MASTER'!$C$41:$C$43,0)),""))</f>
        <v/>
      </c>
      <c r="AH269" s="58" t="str">
        <f aca="false">IF('STUDENT SCREENING'!AG269="","",IFERROR(INDEX('SCORING MASTER'!$D$45:$D$47,MATCH('STUDENT SCREENING'!AG269,'SCORING MASTER'!$C$45:$C$47,0)),""))</f>
        <v/>
      </c>
      <c r="AI269" s="58" t="str">
        <f aca="false">IF('STUDENT SCREENING'!AH269="","",IFERROR(INDEX('SCORING MASTER'!$D$49:$D$52,MATCH('STUDENT SCREENING'!AH269,'SCORING MASTER'!$C$49:$C$52,0)),""))</f>
        <v/>
      </c>
      <c r="AJ269" s="58" t="str">
        <f aca="false">IF('STUDENT SCREENING'!AI269="","",IFERROR(INDEX('SCORING MASTER'!$D$54:$D$57,MATCH('STUDENT SCREENING'!AI269,'SCORING MASTER'!$C$54:$C$57,0)),""))</f>
        <v/>
      </c>
      <c r="AK269" s="58" t="str">
        <f aca="false">IF('STUDENT SCREENING'!AJ269="","",IFERROR(INDEX('SCORING MASTER'!$D$59:$D$60,MATCH('STUDENT SCREENING'!AJ269,'SCORING MASTER'!$C$59:$C$60,0)),""))</f>
        <v/>
      </c>
      <c r="AL269" s="58" t="str">
        <f aca="false">IF('STUDENT SCREENING'!AK269="","",IFERROR(INDEX('SCORING MASTER'!$D$62:$D$63,MATCH('STUDENT SCREENING'!AK269,'SCORING MASTER'!$C$62:$C$63,0)),""))</f>
        <v/>
      </c>
      <c r="AM269" s="58" t="str">
        <f aca="false">IF('STUDENT SCREENING'!AL269="","",IFERROR(INDEX('SCORING MASTER'!$D$65:$D$66,MATCH('STUDENT SCREENING'!AL269,'SCORING MASTER'!$C$65:$C$66,0)),""))</f>
        <v/>
      </c>
      <c r="AN269" s="58" t="str">
        <f aca="false">IF('STUDENT SCREENING'!AM269="","",IFERROR(INDEX('SCORING MASTER'!$D$68:$D$69,MATCH('STUDENT SCREENING'!AM269,'SCORING MASTER'!$C$68:$C$69,0)),""))</f>
        <v/>
      </c>
      <c r="AO269" s="58" t="str">
        <f aca="false">IF('STUDENT SCREENING'!AN269="","",IFERROR(INDEX('SCORING MASTER'!$D$71:$D$72,MATCH('STUDENT SCREENING'!AN269,'SCORING MASTER'!$C$71:$C$72,0)),""))</f>
        <v/>
      </c>
      <c r="AP269" s="58" t="str">
        <f aca="false">IF('STUDENT SCREENING'!AO269="","",IFERROR(INDEX('SCORING MASTER'!$D$74:$D$75,MATCH('STUDENT SCREENING'!AO269,'SCORING MASTER'!$C$74:$C$75,0)),""))</f>
        <v/>
      </c>
      <c r="AQ269" s="58" t="str">
        <f aca="false">IF('STUDENT SCREENING'!AP269="","",IFERROR(INDEX('SCORING MASTER'!$D$77:$D$78,MATCH('STUDENT SCREENING'!AP269,'SCORING MASTER'!$C$77:$C$78,0)),""))</f>
        <v/>
      </c>
      <c r="AR269" s="58" t="str">
        <f aca="false">IF('STUDENT SCREENING'!AQ269="","",IFERROR(INDEX('SCORING MASTER'!$D$80:$D$82,MATCH('STUDENT SCREENING'!AQ269,'SCORING MASTER'!$C$80:$C$82,0)),""))</f>
        <v/>
      </c>
      <c r="AS269" s="58" t="str">
        <f aca="false">IF('STUDENT SCREENING'!AR269="","",IFERROR(INDEX('SCORING MASTER'!$D$84:$D$86,MATCH('STUDENT SCREENING'!AR269,'SCORING MASTER'!$C$84:$C$86,0)),""))</f>
        <v/>
      </c>
      <c r="AT269" s="58" t="str">
        <f aca="false">IF('STUDENT SCREENING'!AS269="","",IFERROR(INDEX('SCORING MASTER'!$D$88:$D$90,MATCH('STUDENT SCREENING'!AS269,'SCORING MASTER'!$C$88:$C$90,0)),""))</f>
        <v/>
      </c>
      <c r="AU269" s="58" t="str">
        <f aca="false">IF('STUDENT SCREENING'!AT269="","",IFERROR(INDEX('SCORING MASTER'!$D$92:$D$93,MATCH('STUDENT SCREENING'!AT269,'SCORING MASTER'!$C$92:$C$93,0)),""))</f>
        <v/>
      </c>
      <c r="AV269" s="58" t="str">
        <f aca="false">IF('STUDENT SCREENING'!AU269="","",IFERROR(INDEX('SCORING MASTER'!$D$95:$D$96,MATCH('STUDENT SCREENING'!AU269,'SCORING MASTER'!$C$95:$C$96,0)),""))</f>
        <v/>
      </c>
      <c r="AW269" s="58" t="str">
        <f aca="false">IF('STUDENT SCREENING'!AV269="","",IFERROR(INDEX('SCORING MASTER'!$D$98:$D$99,MATCH('STUDENT SCREENING'!AV269,'SCORING MASTER'!$C$98:$C$99,0)),""))</f>
        <v/>
      </c>
      <c r="AX269" s="58" t="str">
        <f aca="false">IF('STUDENT SCREENING'!AW269="","",IFERROR(INDEX('SCORING MASTER'!$D$101:$D$102,MATCH('STUDENT SCREENING'!AW269,'SCORING MASTER'!$C$101:$C$102,0)),""))</f>
        <v/>
      </c>
      <c r="AY269" s="58" t="str">
        <f aca="false">IF('STUDENT SCREENING'!AX269="","",IFERROR(INDEX('SCORING MASTER'!$D$104:$D$105,MATCH('STUDENT SCREENING'!AX269,'SCORING MASTER'!$C$104:$C$105,0)),""))</f>
        <v/>
      </c>
      <c r="AZ269" s="58" t="str">
        <f aca="false">IF('STUDENT SCREENING'!AY269="","",IFERROR(INDEX('SCORING MASTER'!$D$107:$D$108,MATCH('STUDENT SCREENING'!AY269,'SCORING MASTER'!$C$107:$C$108,0)),""))</f>
        <v/>
      </c>
      <c r="BA269" s="58" t="str">
        <f aca="false">IF('STUDENT SCREENING'!AZ269="","",IFERROR(INDEX('SCORING MASTER'!$D$110:$D$111,MATCH('STUDENT SCREENING'!AZ269,'SCORING MASTER'!$C$110:$C$111,0)),""))</f>
        <v/>
      </c>
      <c r="BB269" s="58" t="str">
        <f aca="false">IF('STUDENT SCREENING'!BA269="","",IFERROR(INDEX('SCORING MASTER'!$D$113:$D$115,MATCH('STUDENT SCREENING'!BA269,'SCORING MASTER'!$C$113:$C$115,0)),""))</f>
        <v/>
      </c>
      <c r="BC269" s="58" t="str">
        <f aca="false">IF('STUDENT SCREENING'!BB269="","",IFERROR(INDEX('SCORING MASTER'!$D$117:$D$119,MATCH('STUDENT SCREENING'!BB269,'SCORING MASTER'!$C$117:$C$119,0)),""))</f>
        <v/>
      </c>
      <c r="BD269" s="58" t="str">
        <f aca="false">IF('STUDENT SCREENING'!BC269="","",IFERROR(INDEX('SCORING MASTER'!$D$121:$D$123,MATCH('STUDENT SCREENING'!BC269,'SCORING MASTER'!$C$121:$C$123,0)),""))</f>
        <v/>
      </c>
      <c r="BE269" s="58" t="str">
        <f aca="false">IF('STUDENT SCREENING'!BD269="","",IFERROR(INDEX('SCORING MASTER'!$D$125:$D$126,MATCH('STUDENT SCREENING'!BD269,'SCORING MASTER'!$C$125:$C$126,0)),""))</f>
        <v/>
      </c>
      <c r="BF269" s="58" t="str">
        <f aca="false">IF('STUDENT SCREENING'!BE269="","",IFERROR(INDEX('SCORING MASTER'!$D$128:$D$129,MATCH('STUDENT SCREENING'!BE269,'SCORING MASTER'!$C$128:$C$129,0)),""))</f>
        <v/>
      </c>
      <c r="BG269" s="58" t="str">
        <f aca="false">IF('STUDENT SCREENING'!BP269="","",IFERROR(MATCH('STUDENT SCREENING'!BP269,{"Red - High Risk","Orange - Moderate Risk","Yellow - Mild Risk","Light Green - Mild Watch","Green - Healthy"},0)-1,""))</f>
        <v/>
      </c>
      <c r="BH269" s="58" t="str">
        <f aca="false">IF('STUDENT SCREENING'!BQ269="","",IF('STUDENT SCREENING'!BQ269="Yes",1,0))</f>
        <v/>
      </c>
      <c r="BI269" s="58" t="str">
        <f aca="false">IF('STUDENT SCREENING'!BR269="","",IF('STUDENT SCREENING'!BR269="Yes",1,0))</f>
        <v/>
      </c>
    </row>
    <row r="270" customFormat="false" ht="15" hidden="false" customHeight="false" outlineLevel="0" collapsed="false">
      <c r="A270" s="57" t="str">
        <f aca="false">'STUDENT SCREENING'!A270</f>
        <v/>
      </c>
      <c r="B270" s="57" t="n">
        <f aca="false">'STUDENT SCREENING'!C270</f>
        <v>0</v>
      </c>
      <c r="C270" s="57" t="n">
        <f aca="false">'STUDENT SCREENING'!D270</f>
        <v>0</v>
      </c>
      <c r="D270" s="57" t="n">
        <f aca="false">'STUDENT SCREENING'!E270</f>
        <v>0</v>
      </c>
      <c r="E270" s="57" t="n">
        <f aca="false">'STUDENT SCREENING'!F270</f>
        <v>0</v>
      </c>
      <c r="F270" s="57" t="n">
        <f aca="false">'STUDENT SCREENING'!K270</f>
        <v>0</v>
      </c>
      <c r="G270" s="57" t="n">
        <f aca="false">'STUDENT SCREENING'!J270</f>
        <v>0</v>
      </c>
      <c r="H270" s="57" t="str">
        <f aca="false">IF('STUDENT SCREENING'!K270="","",IFERROR(MATCH('STUDENT SCREENING'!K270,Adm_Gender,0),""))</f>
        <v/>
      </c>
      <c r="I270" s="57" t="n">
        <f aca="false">'STUDENT SCREENING'!Q270</f>
        <v>0</v>
      </c>
      <c r="J270" s="57" t="n">
        <f aca="false">'STUDENT SCREENING'!R270</f>
        <v>0</v>
      </c>
      <c r="K270" s="57" t="str">
        <f aca="false">'STUDENT SCREENING'!S270</f>
        <v/>
      </c>
      <c r="L270" s="57" t="n">
        <f aca="false">'STUDENT SCREENING'!U270</f>
        <v>0</v>
      </c>
      <c r="M270" s="57" t="n">
        <f aca="false">'STUDENT SCREENING'!V270</f>
        <v>0</v>
      </c>
      <c r="N270" s="57" t="str">
        <f aca="false">'STUDENT SCREENING'!BF270</f>
        <v/>
      </c>
      <c r="O270" s="57" t="str">
        <f aca="false">'STUDENT SCREENING'!BG270</f>
        <v/>
      </c>
      <c r="P270" s="57" t="str">
        <f aca="false">'STUDENT SCREENING'!BH270</f>
        <v/>
      </c>
      <c r="Q270" s="57" t="str">
        <f aca="false">'STUDENT SCREENING'!BI270</f>
        <v/>
      </c>
      <c r="R270" s="57" t="str">
        <f aca="false">'STUDENT SCREENING'!BJ270</f>
        <v/>
      </c>
      <c r="S270" s="57" t="str">
        <f aca="false">'STUDENT SCREENING'!BK270</f>
        <v/>
      </c>
      <c r="T270" s="57" t="str">
        <f aca="false">'STUDENT SCREENING'!BL270</f>
        <v/>
      </c>
      <c r="U270" s="57" t="str">
        <f aca="false">'STUDENT SCREENING'!BM270</f>
        <v/>
      </c>
      <c r="V270" s="57" t="str">
        <f aca="false">'STUDENT SCREENING'!BN270</f>
        <v/>
      </c>
      <c r="W270" s="57" t="str">
        <f aca="false">'STUDENT SCREENING'!BO270</f>
        <v/>
      </c>
      <c r="X270" s="57" t="str">
        <f aca="false">IF('STUDENT SCREENING'!W270="","",IFERROR(INDEX('SCORING MASTER'!$D$5:$D$7,MATCH('STUDENT SCREENING'!W270,'SCORING MASTER'!$C$5:$C$7,0)),""))</f>
        <v/>
      </c>
      <c r="Y270" s="57" t="str">
        <f aca="false">IF('STUDENT SCREENING'!X270="","",IFERROR(INDEX('SCORING MASTER'!$D$9:$D$11,MATCH('STUDENT SCREENING'!X270,'SCORING MASTER'!$C$9:$C$11,0)),""))</f>
        <v/>
      </c>
      <c r="Z270" s="57" t="str">
        <f aca="false">IF('STUDENT SCREENING'!Y270="","",IFERROR(INDEX('SCORING MASTER'!$D$13:$D$15,MATCH('STUDENT SCREENING'!Y270,'SCORING MASTER'!$C$13:$C$15,0)),""))</f>
        <v/>
      </c>
      <c r="AA270" s="57" t="str">
        <f aca="false">IF('STUDENT SCREENING'!Z270="","",IFERROR(INDEX('SCORING MASTER'!$D$17:$D$19,MATCH('STUDENT SCREENING'!Z270,'SCORING MASTER'!$C$17:$C$19,0)),""))</f>
        <v/>
      </c>
      <c r="AB270" s="57" t="str">
        <f aca="false">IF('STUDENT SCREENING'!AA270="","",IFERROR(INDEX('SCORING MASTER'!$D$21:$D$23,MATCH('STUDENT SCREENING'!AA270,'SCORING MASTER'!$C$21:$C$23,0)),""))</f>
        <v/>
      </c>
      <c r="AC270" s="57" t="str">
        <f aca="false">IF('STUDENT SCREENING'!AB270="","",IFERROR(INDEX('SCORING MASTER'!$D$25:$D$27,MATCH('STUDENT SCREENING'!AB270,'SCORING MASTER'!$C$25:$C$27,0)),""))</f>
        <v/>
      </c>
      <c r="AD270" s="57" t="str">
        <f aca="false">IF('STUDENT SCREENING'!AC270="","",IFERROR(INDEX('SCORING MASTER'!$D$29:$D$31,MATCH('STUDENT SCREENING'!AC270,'SCORING MASTER'!$C$29:$C$31,0)),""))</f>
        <v/>
      </c>
      <c r="AE270" s="57" t="str">
        <f aca="false">IF('STUDENT SCREENING'!AD270="","",IFERROR(INDEX('SCORING MASTER'!$D$33:$D$35,MATCH('STUDENT SCREENING'!AD270,'SCORING MASTER'!$C$33:$C$35,0)),""))</f>
        <v/>
      </c>
      <c r="AF270" s="57" t="str">
        <f aca="false">IF('STUDENT SCREENING'!AE270="","",IFERROR(INDEX('SCORING MASTER'!$D$37:$D$39,MATCH('STUDENT SCREENING'!AE270,'SCORING MASTER'!$C$37:$C$39,0)),""))</f>
        <v/>
      </c>
      <c r="AG270" s="57" t="str">
        <f aca="false">IF('STUDENT SCREENING'!AF270="","",IFERROR(INDEX('SCORING MASTER'!$D$41:$D$43,MATCH('STUDENT SCREENING'!AF270,'SCORING MASTER'!$C$41:$C$43,0)),""))</f>
        <v/>
      </c>
      <c r="AH270" s="57" t="str">
        <f aca="false">IF('STUDENT SCREENING'!AG270="","",IFERROR(INDEX('SCORING MASTER'!$D$45:$D$47,MATCH('STUDENT SCREENING'!AG270,'SCORING MASTER'!$C$45:$C$47,0)),""))</f>
        <v/>
      </c>
      <c r="AI270" s="57" t="str">
        <f aca="false">IF('STUDENT SCREENING'!AH270="","",IFERROR(INDEX('SCORING MASTER'!$D$49:$D$52,MATCH('STUDENT SCREENING'!AH270,'SCORING MASTER'!$C$49:$C$52,0)),""))</f>
        <v/>
      </c>
      <c r="AJ270" s="57" t="str">
        <f aca="false">IF('STUDENT SCREENING'!AI270="","",IFERROR(INDEX('SCORING MASTER'!$D$54:$D$57,MATCH('STUDENT SCREENING'!AI270,'SCORING MASTER'!$C$54:$C$57,0)),""))</f>
        <v/>
      </c>
      <c r="AK270" s="57" t="str">
        <f aca="false">IF('STUDENT SCREENING'!AJ270="","",IFERROR(INDEX('SCORING MASTER'!$D$59:$D$60,MATCH('STUDENT SCREENING'!AJ270,'SCORING MASTER'!$C$59:$C$60,0)),""))</f>
        <v/>
      </c>
      <c r="AL270" s="57" t="str">
        <f aca="false">IF('STUDENT SCREENING'!AK270="","",IFERROR(INDEX('SCORING MASTER'!$D$62:$D$63,MATCH('STUDENT SCREENING'!AK270,'SCORING MASTER'!$C$62:$C$63,0)),""))</f>
        <v/>
      </c>
      <c r="AM270" s="57" t="str">
        <f aca="false">IF('STUDENT SCREENING'!AL270="","",IFERROR(INDEX('SCORING MASTER'!$D$65:$D$66,MATCH('STUDENT SCREENING'!AL270,'SCORING MASTER'!$C$65:$C$66,0)),""))</f>
        <v/>
      </c>
      <c r="AN270" s="57" t="str">
        <f aca="false">IF('STUDENT SCREENING'!AM270="","",IFERROR(INDEX('SCORING MASTER'!$D$68:$D$69,MATCH('STUDENT SCREENING'!AM270,'SCORING MASTER'!$C$68:$C$69,0)),""))</f>
        <v/>
      </c>
      <c r="AO270" s="57" t="str">
        <f aca="false">IF('STUDENT SCREENING'!AN270="","",IFERROR(INDEX('SCORING MASTER'!$D$71:$D$72,MATCH('STUDENT SCREENING'!AN270,'SCORING MASTER'!$C$71:$C$72,0)),""))</f>
        <v/>
      </c>
      <c r="AP270" s="57" t="str">
        <f aca="false">IF('STUDENT SCREENING'!AO270="","",IFERROR(INDEX('SCORING MASTER'!$D$74:$D$75,MATCH('STUDENT SCREENING'!AO270,'SCORING MASTER'!$C$74:$C$75,0)),""))</f>
        <v/>
      </c>
      <c r="AQ270" s="57" t="str">
        <f aca="false">IF('STUDENT SCREENING'!AP270="","",IFERROR(INDEX('SCORING MASTER'!$D$77:$D$78,MATCH('STUDENT SCREENING'!AP270,'SCORING MASTER'!$C$77:$C$78,0)),""))</f>
        <v/>
      </c>
      <c r="AR270" s="57" t="str">
        <f aca="false">IF('STUDENT SCREENING'!AQ270="","",IFERROR(INDEX('SCORING MASTER'!$D$80:$D$82,MATCH('STUDENT SCREENING'!AQ270,'SCORING MASTER'!$C$80:$C$82,0)),""))</f>
        <v/>
      </c>
      <c r="AS270" s="57" t="str">
        <f aca="false">IF('STUDENT SCREENING'!AR270="","",IFERROR(INDEX('SCORING MASTER'!$D$84:$D$86,MATCH('STUDENT SCREENING'!AR270,'SCORING MASTER'!$C$84:$C$86,0)),""))</f>
        <v/>
      </c>
      <c r="AT270" s="57" t="str">
        <f aca="false">IF('STUDENT SCREENING'!AS270="","",IFERROR(INDEX('SCORING MASTER'!$D$88:$D$90,MATCH('STUDENT SCREENING'!AS270,'SCORING MASTER'!$C$88:$C$90,0)),""))</f>
        <v/>
      </c>
      <c r="AU270" s="57" t="str">
        <f aca="false">IF('STUDENT SCREENING'!AT270="","",IFERROR(INDEX('SCORING MASTER'!$D$92:$D$93,MATCH('STUDENT SCREENING'!AT270,'SCORING MASTER'!$C$92:$C$93,0)),""))</f>
        <v/>
      </c>
      <c r="AV270" s="57" t="str">
        <f aca="false">IF('STUDENT SCREENING'!AU270="","",IFERROR(INDEX('SCORING MASTER'!$D$95:$D$96,MATCH('STUDENT SCREENING'!AU270,'SCORING MASTER'!$C$95:$C$96,0)),""))</f>
        <v/>
      </c>
      <c r="AW270" s="57" t="str">
        <f aca="false">IF('STUDENT SCREENING'!AV270="","",IFERROR(INDEX('SCORING MASTER'!$D$98:$D$99,MATCH('STUDENT SCREENING'!AV270,'SCORING MASTER'!$C$98:$C$99,0)),""))</f>
        <v/>
      </c>
      <c r="AX270" s="57" t="str">
        <f aca="false">IF('STUDENT SCREENING'!AW270="","",IFERROR(INDEX('SCORING MASTER'!$D$101:$D$102,MATCH('STUDENT SCREENING'!AW270,'SCORING MASTER'!$C$101:$C$102,0)),""))</f>
        <v/>
      </c>
      <c r="AY270" s="57" t="str">
        <f aca="false">IF('STUDENT SCREENING'!AX270="","",IFERROR(INDEX('SCORING MASTER'!$D$104:$D$105,MATCH('STUDENT SCREENING'!AX270,'SCORING MASTER'!$C$104:$C$105,0)),""))</f>
        <v/>
      </c>
      <c r="AZ270" s="57" t="str">
        <f aca="false">IF('STUDENT SCREENING'!AY270="","",IFERROR(INDEX('SCORING MASTER'!$D$107:$D$108,MATCH('STUDENT SCREENING'!AY270,'SCORING MASTER'!$C$107:$C$108,0)),""))</f>
        <v/>
      </c>
      <c r="BA270" s="57" t="str">
        <f aca="false">IF('STUDENT SCREENING'!AZ270="","",IFERROR(INDEX('SCORING MASTER'!$D$110:$D$111,MATCH('STUDENT SCREENING'!AZ270,'SCORING MASTER'!$C$110:$C$111,0)),""))</f>
        <v/>
      </c>
      <c r="BB270" s="57" t="str">
        <f aca="false">IF('STUDENT SCREENING'!BA270="","",IFERROR(INDEX('SCORING MASTER'!$D$113:$D$115,MATCH('STUDENT SCREENING'!BA270,'SCORING MASTER'!$C$113:$C$115,0)),""))</f>
        <v/>
      </c>
      <c r="BC270" s="57" t="str">
        <f aca="false">IF('STUDENT SCREENING'!BB270="","",IFERROR(INDEX('SCORING MASTER'!$D$117:$D$119,MATCH('STUDENT SCREENING'!BB270,'SCORING MASTER'!$C$117:$C$119,0)),""))</f>
        <v/>
      </c>
      <c r="BD270" s="57" t="str">
        <f aca="false">IF('STUDENT SCREENING'!BC270="","",IFERROR(INDEX('SCORING MASTER'!$D$121:$D$123,MATCH('STUDENT SCREENING'!BC270,'SCORING MASTER'!$C$121:$C$123,0)),""))</f>
        <v/>
      </c>
      <c r="BE270" s="57" t="str">
        <f aca="false">IF('STUDENT SCREENING'!BD270="","",IFERROR(INDEX('SCORING MASTER'!$D$125:$D$126,MATCH('STUDENT SCREENING'!BD270,'SCORING MASTER'!$C$125:$C$126,0)),""))</f>
        <v/>
      </c>
      <c r="BF270" s="57" t="str">
        <f aca="false">IF('STUDENT SCREENING'!BE270="","",IFERROR(INDEX('SCORING MASTER'!$D$128:$D$129,MATCH('STUDENT SCREENING'!BE270,'SCORING MASTER'!$C$128:$C$129,0)),""))</f>
        <v/>
      </c>
      <c r="BG270" s="57" t="str">
        <f aca="false">IF('STUDENT SCREENING'!BP270="","",IFERROR(MATCH('STUDENT SCREENING'!BP270,{"Red - High Risk","Orange - Moderate Risk","Yellow - Mild Risk","Light Green - Mild Watch","Green - Healthy"},0)-1,""))</f>
        <v/>
      </c>
      <c r="BH270" s="57" t="str">
        <f aca="false">IF('STUDENT SCREENING'!BQ270="","",IF('STUDENT SCREENING'!BQ270="Yes",1,0))</f>
        <v/>
      </c>
      <c r="BI270" s="57" t="str">
        <f aca="false">IF('STUDENT SCREENING'!BR270="","",IF('STUDENT SCREENING'!BR270="Yes",1,0))</f>
        <v/>
      </c>
    </row>
    <row r="271" customFormat="false" ht="15" hidden="false" customHeight="false" outlineLevel="0" collapsed="false">
      <c r="A271" s="58" t="str">
        <f aca="false">'STUDENT SCREENING'!A271</f>
        <v/>
      </c>
      <c r="B271" s="58" t="n">
        <f aca="false">'STUDENT SCREENING'!C271</f>
        <v>0</v>
      </c>
      <c r="C271" s="58" t="n">
        <f aca="false">'STUDENT SCREENING'!D271</f>
        <v>0</v>
      </c>
      <c r="D271" s="58" t="n">
        <f aca="false">'STUDENT SCREENING'!E271</f>
        <v>0</v>
      </c>
      <c r="E271" s="58" t="n">
        <f aca="false">'STUDENT SCREENING'!F271</f>
        <v>0</v>
      </c>
      <c r="F271" s="58" t="n">
        <f aca="false">'STUDENT SCREENING'!K271</f>
        <v>0</v>
      </c>
      <c r="G271" s="58" t="n">
        <f aca="false">'STUDENT SCREENING'!J271</f>
        <v>0</v>
      </c>
      <c r="H271" s="58" t="str">
        <f aca="false">IF('STUDENT SCREENING'!K271="","",IFERROR(MATCH('STUDENT SCREENING'!K271,Adm_Gender,0),""))</f>
        <v/>
      </c>
      <c r="I271" s="58" t="n">
        <f aca="false">'STUDENT SCREENING'!Q271</f>
        <v>0</v>
      </c>
      <c r="J271" s="58" t="n">
        <f aca="false">'STUDENT SCREENING'!R271</f>
        <v>0</v>
      </c>
      <c r="K271" s="58" t="str">
        <f aca="false">'STUDENT SCREENING'!S271</f>
        <v/>
      </c>
      <c r="L271" s="58" t="n">
        <f aca="false">'STUDENT SCREENING'!U271</f>
        <v>0</v>
      </c>
      <c r="M271" s="58" t="n">
        <f aca="false">'STUDENT SCREENING'!V271</f>
        <v>0</v>
      </c>
      <c r="N271" s="58" t="str">
        <f aca="false">'STUDENT SCREENING'!BF271</f>
        <v/>
      </c>
      <c r="O271" s="58" t="str">
        <f aca="false">'STUDENT SCREENING'!BG271</f>
        <v/>
      </c>
      <c r="P271" s="58" t="str">
        <f aca="false">'STUDENT SCREENING'!BH271</f>
        <v/>
      </c>
      <c r="Q271" s="58" t="str">
        <f aca="false">'STUDENT SCREENING'!BI271</f>
        <v/>
      </c>
      <c r="R271" s="58" t="str">
        <f aca="false">'STUDENT SCREENING'!BJ271</f>
        <v/>
      </c>
      <c r="S271" s="58" t="str">
        <f aca="false">'STUDENT SCREENING'!BK271</f>
        <v/>
      </c>
      <c r="T271" s="58" t="str">
        <f aca="false">'STUDENT SCREENING'!BL271</f>
        <v/>
      </c>
      <c r="U271" s="58" t="str">
        <f aca="false">'STUDENT SCREENING'!BM271</f>
        <v/>
      </c>
      <c r="V271" s="58" t="str">
        <f aca="false">'STUDENT SCREENING'!BN271</f>
        <v/>
      </c>
      <c r="W271" s="58" t="str">
        <f aca="false">'STUDENT SCREENING'!BO271</f>
        <v/>
      </c>
      <c r="X271" s="58" t="str">
        <f aca="false">IF('STUDENT SCREENING'!W271="","",IFERROR(INDEX('SCORING MASTER'!$D$5:$D$7,MATCH('STUDENT SCREENING'!W271,'SCORING MASTER'!$C$5:$C$7,0)),""))</f>
        <v/>
      </c>
      <c r="Y271" s="58" t="str">
        <f aca="false">IF('STUDENT SCREENING'!X271="","",IFERROR(INDEX('SCORING MASTER'!$D$9:$D$11,MATCH('STUDENT SCREENING'!X271,'SCORING MASTER'!$C$9:$C$11,0)),""))</f>
        <v/>
      </c>
      <c r="Z271" s="58" t="str">
        <f aca="false">IF('STUDENT SCREENING'!Y271="","",IFERROR(INDEX('SCORING MASTER'!$D$13:$D$15,MATCH('STUDENT SCREENING'!Y271,'SCORING MASTER'!$C$13:$C$15,0)),""))</f>
        <v/>
      </c>
      <c r="AA271" s="58" t="str">
        <f aca="false">IF('STUDENT SCREENING'!Z271="","",IFERROR(INDEX('SCORING MASTER'!$D$17:$D$19,MATCH('STUDENT SCREENING'!Z271,'SCORING MASTER'!$C$17:$C$19,0)),""))</f>
        <v/>
      </c>
      <c r="AB271" s="58" t="str">
        <f aca="false">IF('STUDENT SCREENING'!AA271="","",IFERROR(INDEX('SCORING MASTER'!$D$21:$D$23,MATCH('STUDENT SCREENING'!AA271,'SCORING MASTER'!$C$21:$C$23,0)),""))</f>
        <v/>
      </c>
      <c r="AC271" s="58" t="str">
        <f aca="false">IF('STUDENT SCREENING'!AB271="","",IFERROR(INDEX('SCORING MASTER'!$D$25:$D$27,MATCH('STUDENT SCREENING'!AB271,'SCORING MASTER'!$C$25:$C$27,0)),""))</f>
        <v/>
      </c>
      <c r="AD271" s="58" t="str">
        <f aca="false">IF('STUDENT SCREENING'!AC271="","",IFERROR(INDEX('SCORING MASTER'!$D$29:$D$31,MATCH('STUDENT SCREENING'!AC271,'SCORING MASTER'!$C$29:$C$31,0)),""))</f>
        <v/>
      </c>
      <c r="AE271" s="58" t="str">
        <f aca="false">IF('STUDENT SCREENING'!AD271="","",IFERROR(INDEX('SCORING MASTER'!$D$33:$D$35,MATCH('STUDENT SCREENING'!AD271,'SCORING MASTER'!$C$33:$C$35,0)),""))</f>
        <v/>
      </c>
      <c r="AF271" s="58" t="str">
        <f aca="false">IF('STUDENT SCREENING'!AE271="","",IFERROR(INDEX('SCORING MASTER'!$D$37:$D$39,MATCH('STUDENT SCREENING'!AE271,'SCORING MASTER'!$C$37:$C$39,0)),""))</f>
        <v/>
      </c>
      <c r="AG271" s="58" t="str">
        <f aca="false">IF('STUDENT SCREENING'!AF271="","",IFERROR(INDEX('SCORING MASTER'!$D$41:$D$43,MATCH('STUDENT SCREENING'!AF271,'SCORING MASTER'!$C$41:$C$43,0)),""))</f>
        <v/>
      </c>
      <c r="AH271" s="58" t="str">
        <f aca="false">IF('STUDENT SCREENING'!AG271="","",IFERROR(INDEX('SCORING MASTER'!$D$45:$D$47,MATCH('STUDENT SCREENING'!AG271,'SCORING MASTER'!$C$45:$C$47,0)),""))</f>
        <v/>
      </c>
      <c r="AI271" s="58" t="str">
        <f aca="false">IF('STUDENT SCREENING'!AH271="","",IFERROR(INDEX('SCORING MASTER'!$D$49:$D$52,MATCH('STUDENT SCREENING'!AH271,'SCORING MASTER'!$C$49:$C$52,0)),""))</f>
        <v/>
      </c>
      <c r="AJ271" s="58" t="str">
        <f aca="false">IF('STUDENT SCREENING'!AI271="","",IFERROR(INDEX('SCORING MASTER'!$D$54:$D$57,MATCH('STUDENT SCREENING'!AI271,'SCORING MASTER'!$C$54:$C$57,0)),""))</f>
        <v/>
      </c>
      <c r="AK271" s="58" t="str">
        <f aca="false">IF('STUDENT SCREENING'!AJ271="","",IFERROR(INDEX('SCORING MASTER'!$D$59:$D$60,MATCH('STUDENT SCREENING'!AJ271,'SCORING MASTER'!$C$59:$C$60,0)),""))</f>
        <v/>
      </c>
      <c r="AL271" s="58" t="str">
        <f aca="false">IF('STUDENT SCREENING'!AK271="","",IFERROR(INDEX('SCORING MASTER'!$D$62:$D$63,MATCH('STUDENT SCREENING'!AK271,'SCORING MASTER'!$C$62:$C$63,0)),""))</f>
        <v/>
      </c>
      <c r="AM271" s="58" t="str">
        <f aca="false">IF('STUDENT SCREENING'!AL271="","",IFERROR(INDEX('SCORING MASTER'!$D$65:$D$66,MATCH('STUDENT SCREENING'!AL271,'SCORING MASTER'!$C$65:$C$66,0)),""))</f>
        <v/>
      </c>
      <c r="AN271" s="58" t="str">
        <f aca="false">IF('STUDENT SCREENING'!AM271="","",IFERROR(INDEX('SCORING MASTER'!$D$68:$D$69,MATCH('STUDENT SCREENING'!AM271,'SCORING MASTER'!$C$68:$C$69,0)),""))</f>
        <v/>
      </c>
      <c r="AO271" s="58" t="str">
        <f aca="false">IF('STUDENT SCREENING'!AN271="","",IFERROR(INDEX('SCORING MASTER'!$D$71:$D$72,MATCH('STUDENT SCREENING'!AN271,'SCORING MASTER'!$C$71:$C$72,0)),""))</f>
        <v/>
      </c>
      <c r="AP271" s="58" t="str">
        <f aca="false">IF('STUDENT SCREENING'!AO271="","",IFERROR(INDEX('SCORING MASTER'!$D$74:$D$75,MATCH('STUDENT SCREENING'!AO271,'SCORING MASTER'!$C$74:$C$75,0)),""))</f>
        <v/>
      </c>
      <c r="AQ271" s="58" t="str">
        <f aca="false">IF('STUDENT SCREENING'!AP271="","",IFERROR(INDEX('SCORING MASTER'!$D$77:$D$78,MATCH('STUDENT SCREENING'!AP271,'SCORING MASTER'!$C$77:$C$78,0)),""))</f>
        <v/>
      </c>
      <c r="AR271" s="58" t="str">
        <f aca="false">IF('STUDENT SCREENING'!AQ271="","",IFERROR(INDEX('SCORING MASTER'!$D$80:$D$82,MATCH('STUDENT SCREENING'!AQ271,'SCORING MASTER'!$C$80:$C$82,0)),""))</f>
        <v/>
      </c>
      <c r="AS271" s="58" t="str">
        <f aca="false">IF('STUDENT SCREENING'!AR271="","",IFERROR(INDEX('SCORING MASTER'!$D$84:$D$86,MATCH('STUDENT SCREENING'!AR271,'SCORING MASTER'!$C$84:$C$86,0)),""))</f>
        <v/>
      </c>
      <c r="AT271" s="58" t="str">
        <f aca="false">IF('STUDENT SCREENING'!AS271="","",IFERROR(INDEX('SCORING MASTER'!$D$88:$D$90,MATCH('STUDENT SCREENING'!AS271,'SCORING MASTER'!$C$88:$C$90,0)),""))</f>
        <v/>
      </c>
      <c r="AU271" s="58" t="str">
        <f aca="false">IF('STUDENT SCREENING'!AT271="","",IFERROR(INDEX('SCORING MASTER'!$D$92:$D$93,MATCH('STUDENT SCREENING'!AT271,'SCORING MASTER'!$C$92:$C$93,0)),""))</f>
        <v/>
      </c>
      <c r="AV271" s="58" t="str">
        <f aca="false">IF('STUDENT SCREENING'!AU271="","",IFERROR(INDEX('SCORING MASTER'!$D$95:$D$96,MATCH('STUDENT SCREENING'!AU271,'SCORING MASTER'!$C$95:$C$96,0)),""))</f>
        <v/>
      </c>
      <c r="AW271" s="58" t="str">
        <f aca="false">IF('STUDENT SCREENING'!AV271="","",IFERROR(INDEX('SCORING MASTER'!$D$98:$D$99,MATCH('STUDENT SCREENING'!AV271,'SCORING MASTER'!$C$98:$C$99,0)),""))</f>
        <v/>
      </c>
      <c r="AX271" s="58" t="str">
        <f aca="false">IF('STUDENT SCREENING'!AW271="","",IFERROR(INDEX('SCORING MASTER'!$D$101:$D$102,MATCH('STUDENT SCREENING'!AW271,'SCORING MASTER'!$C$101:$C$102,0)),""))</f>
        <v/>
      </c>
      <c r="AY271" s="58" t="str">
        <f aca="false">IF('STUDENT SCREENING'!AX271="","",IFERROR(INDEX('SCORING MASTER'!$D$104:$D$105,MATCH('STUDENT SCREENING'!AX271,'SCORING MASTER'!$C$104:$C$105,0)),""))</f>
        <v/>
      </c>
      <c r="AZ271" s="58" t="str">
        <f aca="false">IF('STUDENT SCREENING'!AY271="","",IFERROR(INDEX('SCORING MASTER'!$D$107:$D$108,MATCH('STUDENT SCREENING'!AY271,'SCORING MASTER'!$C$107:$C$108,0)),""))</f>
        <v/>
      </c>
      <c r="BA271" s="58" t="str">
        <f aca="false">IF('STUDENT SCREENING'!AZ271="","",IFERROR(INDEX('SCORING MASTER'!$D$110:$D$111,MATCH('STUDENT SCREENING'!AZ271,'SCORING MASTER'!$C$110:$C$111,0)),""))</f>
        <v/>
      </c>
      <c r="BB271" s="58" t="str">
        <f aca="false">IF('STUDENT SCREENING'!BA271="","",IFERROR(INDEX('SCORING MASTER'!$D$113:$D$115,MATCH('STUDENT SCREENING'!BA271,'SCORING MASTER'!$C$113:$C$115,0)),""))</f>
        <v/>
      </c>
      <c r="BC271" s="58" t="str">
        <f aca="false">IF('STUDENT SCREENING'!BB271="","",IFERROR(INDEX('SCORING MASTER'!$D$117:$D$119,MATCH('STUDENT SCREENING'!BB271,'SCORING MASTER'!$C$117:$C$119,0)),""))</f>
        <v/>
      </c>
      <c r="BD271" s="58" t="str">
        <f aca="false">IF('STUDENT SCREENING'!BC271="","",IFERROR(INDEX('SCORING MASTER'!$D$121:$D$123,MATCH('STUDENT SCREENING'!BC271,'SCORING MASTER'!$C$121:$C$123,0)),""))</f>
        <v/>
      </c>
      <c r="BE271" s="58" t="str">
        <f aca="false">IF('STUDENT SCREENING'!BD271="","",IFERROR(INDEX('SCORING MASTER'!$D$125:$D$126,MATCH('STUDENT SCREENING'!BD271,'SCORING MASTER'!$C$125:$C$126,0)),""))</f>
        <v/>
      </c>
      <c r="BF271" s="58" t="str">
        <f aca="false">IF('STUDENT SCREENING'!BE271="","",IFERROR(INDEX('SCORING MASTER'!$D$128:$D$129,MATCH('STUDENT SCREENING'!BE271,'SCORING MASTER'!$C$128:$C$129,0)),""))</f>
        <v/>
      </c>
      <c r="BG271" s="58" t="str">
        <f aca="false">IF('STUDENT SCREENING'!BP271="","",IFERROR(MATCH('STUDENT SCREENING'!BP271,{"Red - High Risk","Orange - Moderate Risk","Yellow - Mild Risk","Light Green - Mild Watch","Green - Healthy"},0)-1,""))</f>
        <v/>
      </c>
      <c r="BH271" s="58" t="str">
        <f aca="false">IF('STUDENT SCREENING'!BQ271="","",IF('STUDENT SCREENING'!BQ271="Yes",1,0))</f>
        <v/>
      </c>
      <c r="BI271" s="58" t="str">
        <f aca="false">IF('STUDENT SCREENING'!BR271="","",IF('STUDENT SCREENING'!BR271="Yes",1,0))</f>
        <v/>
      </c>
    </row>
    <row r="272" customFormat="false" ht="15" hidden="false" customHeight="false" outlineLevel="0" collapsed="false">
      <c r="A272" s="57" t="str">
        <f aca="false">'STUDENT SCREENING'!A272</f>
        <v/>
      </c>
      <c r="B272" s="57" t="n">
        <f aca="false">'STUDENT SCREENING'!C272</f>
        <v>0</v>
      </c>
      <c r="C272" s="57" t="n">
        <f aca="false">'STUDENT SCREENING'!D272</f>
        <v>0</v>
      </c>
      <c r="D272" s="57" t="n">
        <f aca="false">'STUDENT SCREENING'!E272</f>
        <v>0</v>
      </c>
      <c r="E272" s="57" t="n">
        <f aca="false">'STUDENT SCREENING'!F272</f>
        <v>0</v>
      </c>
      <c r="F272" s="57" t="n">
        <f aca="false">'STUDENT SCREENING'!K272</f>
        <v>0</v>
      </c>
      <c r="G272" s="57" t="n">
        <f aca="false">'STUDENT SCREENING'!J272</f>
        <v>0</v>
      </c>
      <c r="H272" s="57" t="str">
        <f aca="false">IF('STUDENT SCREENING'!K272="","",IFERROR(MATCH('STUDENT SCREENING'!K272,Adm_Gender,0),""))</f>
        <v/>
      </c>
      <c r="I272" s="57" t="n">
        <f aca="false">'STUDENT SCREENING'!Q272</f>
        <v>0</v>
      </c>
      <c r="J272" s="57" t="n">
        <f aca="false">'STUDENT SCREENING'!R272</f>
        <v>0</v>
      </c>
      <c r="K272" s="57" t="str">
        <f aca="false">'STUDENT SCREENING'!S272</f>
        <v/>
      </c>
      <c r="L272" s="57" t="n">
        <f aca="false">'STUDENT SCREENING'!U272</f>
        <v>0</v>
      </c>
      <c r="M272" s="57" t="n">
        <f aca="false">'STUDENT SCREENING'!V272</f>
        <v>0</v>
      </c>
      <c r="N272" s="57" t="str">
        <f aca="false">'STUDENT SCREENING'!BF272</f>
        <v/>
      </c>
      <c r="O272" s="57" t="str">
        <f aca="false">'STUDENT SCREENING'!BG272</f>
        <v/>
      </c>
      <c r="P272" s="57" t="str">
        <f aca="false">'STUDENT SCREENING'!BH272</f>
        <v/>
      </c>
      <c r="Q272" s="57" t="str">
        <f aca="false">'STUDENT SCREENING'!BI272</f>
        <v/>
      </c>
      <c r="R272" s="57" t="str">
        <f aca="false">'STUDENT SCREENING'!BJ272</f>
        <v/>
      </c>
      <c r="S272" s="57" t="str">
        <f aca="false">'STUDENT SCREENING'!BK272</f>
        <v/>
      </c>
      <c r="T272" s="57" t="str">
        <f aca="false">'STUDENT SCREENING'!BL272</f>
        <v/>
      </c>
      <c r="U272" s="57" t="str">
        <f aca="false">'STUDENT SCREENING'!BM272</f>
        <v/>
      </c>
      <c r="V272" s="57" t="str">
        <f aca="false">'STUDENT SCREENING'!BN272</f>
        <v/>
      </c>
      <c r="W272" s="57" t="str">
        <f aca="false">'STUDENT SCREENING'!BO272</f>
        <v/>
      </c>
      <c r="X272" s="57" t="str">
        <f aca="false">IF('STUDENT SCREENING'!W272="","",IFERROR(INDEX('SCORING MASTER'!$D$5:$D$7,MATCH('STUDENT SCREENING'!W272,'SCORING MASTER'!$C$5:$C$7,0)),""))</f>
        <v/>
      </c>
      <c r="Y272" s="57" t="str">
        <f aca="false">IF('STUDENT SCREENING'!X272="","",IFERROR(INDEX('SCORING MASTER'!$D$9:$D$11,MATCH('STUDENT SCREENING'!X272,'SCORING MASTER'!$C$9:$C$11,0)),""))</f>
        <v/>
      </c>
      <c r="Z272" s="57" t="str">
        <f aca="false">IF('STUDENT SCREENING'!Y272="","",IFERROR(INDEX('SCORING MASTER'!$D$13:$D$15,MATCH('STUDENT SCREENING'!Y272,'SCORING MASTER'!$C$13:$C$15,0)),""))</f>
        <v/>
      </c>
      <c r="AA272" s="57" t="str">
        <f aca="false">IF('STUDENT SCREENING'!Z272="","",IFERROR(INDEX('SCORING MASTER'!$D$17:$D$19,MATCH('STUDENT SCREENING'!Z272,'SCORING MASTER'!$C$17:$C$19,0)),""))</f>
        <v/>
      </c>
      <c r="AB272" s="57" t="str">
        <f aca="false">IF('STUDENT SCREENING'!AA272="","",IFERROR(INDEX('SCORING MASTER'!$D$21:$D$23,MATCH('STUDENT SCREENING'!AA272,'SCORING MASTER'!$C$21:$C$23,0)),""))</f>
        <v/>
      </c>
      <c r="AC272" s="57" t="str">
        <f aca="false">IF('STUDENT SCREENING'!AB272="","",IFERROR(INDEX('SCORING MASTER'!$D$25:$D$27,MATCH('STUDENT SCREENING'!AB272,'SCORING MASTER'!$C$25:$C$27,0)),""))</f>
        <v/>
      </c>
      <c r="AD272" s="57" t="str">
        <f aca="false">IF('STUDENT SCREENING'!AC272="","",IFERROR(INDEX('SCORING MASTER'!$D$29:$D$31,MATCH('STUDENT SCREENING'!AC272,'SCORING MASTER'!$C$29:$C$31,0)),""))</f>
        <v/>
      </c>
      <c r="AE272" s="57" t="str">
        <f aca="false">IF('STUDENT SCREENING'!AD272="","",IFERROR(INDEX('SCORING MASTER'!$D$33:$D$35,MATCH('STUDENT SCREENING'!AD272,'SCORING MASTER'!$C$33:$C$35,0)),""))</f>
        <v/>
      </c>
      <c r="AF272" s="57" t="str">
        <f aca="false">IF('STUDENT SCREENING'!AE272="","",IFERROR(INDEX('SCORING MASTER'!$D$37:$D$39,MATCH('STUDENT SCREENING'!AE272,'SCORING MASTER'!$C$37:$C$39,0)),""))</f>
        <v/>
      </c>
      <c r="AG272" s="57" t="str">
        <f aca="false">IF('STUDENT SCREENING'!AF272="","",IFERROR(INDEX('SCORING MASTER'!$D$41:$D$43,MATCH('STUDENT SCREENING'!AF272,'SCORING MASTER'!$C$41:$C$43,0)),""))</f>
        <v/>
      </c>
      <c r="AH272" s="57" t="str">
        <f aca="false">IF('STUDENT SCREENING'!AG272="","",IFERROR(INDEX('SCORING MASTER'!$D$45:$D$47,MATCH('STUDENT SCREENING'!AG272,'SCORING MASTER'!$C$45:$C$47,0)),""))</f>
        <v/>
      </c>
      <c r="AI272" s="57" t="str">
        <f aca="false">IF('STUDENT SCREENING'!AH272="","",IFERROR(INDEX('SCORING MASTER'!$D$49:$D$52,MATCH('STUDENT SCREENING'!AH272,'SCORING MASTER'!$C$49:$C$52,0)),""))</f>
        <v/>
      </c>
      <c r="AJ272" s="57" t="str">
        <f aca="false">IF('STUDENT SCREENING'!AI272="","",IFERROR(INDEX('SCORING MASTER'!$D$54:$D$57,MATCH('STUDENT SCREENING'!AI272,'SCORING MASTER'!$C$54:$C$57,0)),""))</f>
        <v/>
      </c>
      <c r="AK272" s="57" t="str">
        <f aca="false">IF('STUDENT SCREENING'!AJ272="","",IFERROR(INDEX('SCORING MASTER'!$D$59:$D$60,MATCH('STUDENT SCREENING'!AJ272,'SCORING MASTER'!$C$59:$C$60,0)),""))</f>
        <v/>
      </c>
      <c r="AL272" s="57" t="str">
        <f aca="false">IF('STUDENT SCREENING'!AK272="","",IFERROR(INDEX('SCORING MASTER'!$D$62:$D$63,MATCH('STUDENT SCREENING'!AK272,'SCORING MASTER'!$C$62:$C$63,0)),""))</f>
        <v/>
      </c>
      <c r="AM272" s="57" t="str">
        <f aca="false">IF('STUDENT SCREENING'!AL272="","",IFERROR(INDEX('SCORING MASTER'!$D$65:$D$66,MATCH('STUDENT SCREENING'!AL272,'SCORING MASTER'!$C$65:$C$66,0)),""))</f>
        <v/>
      </c>
      <c r="AN272" s="57" t="str">
        <f aca="false">IF('STUDENT SCREENING'!AM272="","",IFERROR(INDEX('SCORING MASTER'!$D$68:$D$69,MATCH('STUDENT SCREENING'!AM272,'SCORING MASTER'!$C$68:$C$69,0)),""))</f>
        <v/>
      </c>
      <c r="AO272" s="57" t="str">
        <f aca="false">IF('STUDENT SCREENING'!AN272="","",IFERROR(INDEX('SCORING MASTER'!$D$71:$D$72,MATCH('STUDENT SCREENING'!AN272,'SCORING MASTER'!$C$71:$C$72,0)),""))</f>
        <v/>
      </c>
      <c r="AP272" s="57" t="str">
        <f aca="false">IF('STUDENT SCREENING'!AO272="","",IFERROR(INDEX('SCORING MASTER'!$D$74:$D$75,MATCH('STUDENT SCREENING'!AO272,'SCORING MASTER'!$C$74:$C$75,0)),""))</f>
        <v/>
      </c>
      <c r="AQ272" s="57" t="str">
        <f aca="false">IF('STUDENT SCREENING'!AP272="","",IFERROR(INDEX('SCORING MASTER'!$D$77:$D$78,MATCH('STUDENT SCREENING'!AP272,'SCORING MASTER'!$C$77:$C$78,0)),""))</f>
        <v/>
      </c>
      <c r="AR272" s="57" t="str">
        <f aca="false">IF('STUDENT SCREENING'!AQ272="","",IFERROR(INDEX('SCORING MASTER'!$D$80:$D$82,MATCH('STUDENT SCREENING'!AQ272,'SCORING MASTER'!$C$80:$C$82,0)),""))</f>
        <v/>
      </c>
      <c r="AS272" s="57" t="str">
        <f aca="false">IF('STUDENT SCREENING'!AR272="","",IFERROR(INDEX('SCORING MASTER'!$D$84:$D$86,MATCH('STUDENT SCREENING'!AR272,'SCORING MASTER'!$C$84:$C$86,0)),""))</f>
        <v/>
      </c>
      <c r="AT272" s="57" t="str">
        <f aca="false">IF('STUDENT SCREENING'!AS272="","",IFERROR(INDEX('SCORING MASTER'!$D$88:$D$90,MATCH('STUDENT SCREENING'!AS272,'SCORING MASTER'!$C$88:$C$90,0)),""))</f>
        <v/>
      </c>
      <c r="AU272" s="57" t="str">
        <f aca="false">IF('STUDENT SCREENING'!AT272="","",IFERROR(INDEX('SCORING MASTER'!$D$92:$D$93,MATCH('STUDENT SCREENING'!AT272,'SCORING MASTER'!$C$92:$C$93,0)),""))</f>
        <v/>
      </c>
      <c r="AV272" s="57" t="str">
        <f aca="false">IF('STUDENT SCREENING'!AU272="","",IFERROR(INDEX('SCORING MASTER'!$D$95:$D$96,MATCH('STUDENT SCREENING'!AU272,'SCORING MASTER'!$C$95:$C$96,0)),""))</f>
        <v/>
      </c>
      <c r="AW272" s="57" t="str">
        <f aca="false">IF('STUDENT SCREENING'!AV272="","",IFERROR(INDEX('SCORING MASTER'!$D$98:$D$99,MATCH('STUDENT SCREENING'!AV272,'SCORING MASTER'!$C$98:$C$99,0)),""))</f>
        <v/>
      </c>
      <c r="AX272" s="57" t="str">
        <f aca="false">IF('STUDENT SCREENING'!AW272="","",IFERROR(INDEX('SCORING MASTER'!$D$101:$D$102,MATCH('STUDENT SCREENING'!AW272,'SCORING MASTER'!$C$101:$C$102,0)),""))</f>
        <v/>
      </c>
      <c r="AY272" s="57" t="str">
        <f aca="false">IF('STUDENT SCREENING'!AX272="","",IFERROR(INDEX('SCORING MASTER'!$D$104:$D$105,MATCH('STUDENT SCREENING'!AX272,'SCORING MASTER'!$C$104:$C$105,0)),""))</f>
        <v/>
      </c>
      <c r="AZ272" s="57" t="str">
        <f aca="false">IF('STUDENT SCREENING'!AY272="","",IFERROR(INDEX('SCORING MASTER'!$D$107:$D$108,MATCH('STUDENT SCREENING'!AY272,'SCORING MASTER'!$C$107:$C$108,0)),""))</f>
        <v/>
      </c>
      <c r="BA272" s="57" t="str">
        <f aca="false">IF('STUDENT SCREENING'!AZ272="","",IFERROR(INDEX('SCORING MASTER'!$D$110:$D$111,MATCH('STUDENT SCREENING'!AZ272,'SCORING MASTER'!$C$110:$C$111,0)),""))</f>
        <v/>
      </c>
      <c r="BB272" s="57" t="str">
        <f aca="false">IF('STUDENT SCREENING'!BA272="","",IFERROR(INDEX('SCORING MASTER'!$D$113:$D$115,MATCH('STUDENT SCREENING'!BA272,'SCORING MASTER'!$C$113:$C$115,0)),""))</f>
        <v/>
      </c>
      <c r="BC272" s="57" t="str">
        <f aca="false">IF('STUDENT SCREENING'!BB272="","",IFERROR(INDEX('SCORING MASTER'!$D$117:$D$119,MATCH('STUDENT SCREENING'!BB272,'SCORING MASTER'!$C$117:$C$119,0)),""))</f>
        <v/>
      </c>
      <c r="BD272" s="57" t="str">
        <f aca="false">IF('STUDENT SCREENING'!BC272="","",IFERROR(INDEX('SCORING MASTER'!$D$121:$D$123,MATCH('STUDENT SCREENING'!BC272,'SCORING MASTER'!$C$121:$C$123,0)),""))</f>
        <v/>
      </c>
      <c r="BE272" s="57" t="str">
        <f aca="false">IF('STUDENT SCREENING'!BD272="","",IFERROR(INDEX('SCORING MASTER'!$D$125:$D$126,MATCH('STUDENT SCREENING'!BD272,'SCORING MASTER'!$C$125:$C$126,0)),""))</f>
        <v/>
      </c>
      <c r="BF272" s="57" t="str">
        <f aca="false">IF('STUDENT SCREENING'!BE272="","",IFERROR(INDEX('SCORING MASTER'!$D$128:$D$129,MATCH('STUDENT SCREENING'!BE272,'SCORING MASTER'!$C$128:$C$129,0)),""))</f>
        <v/>
      </c>
      <c r="BG272" s="57" t="str">
        <f aca="false">IF('STUDENT SCREENING'!BP272="","",IFERROR(MATCH('STUDENT SCREENING'!BP272,{"Red - High Risk","Orange - Moderate Risk","Yellow - Mild Risk","Light Green - Mild Watch","Green - Healthy"},0)-1,""))</f>
        <v/>
      </c>
      <c r="BH272" s="57" t="str">
        <f aca="false">IF('STUDENT SCREENING'!BQ272="","",IF('STUDENT SCREENING'!BQ272="Yes",1,0))</f>
        <v/>
      </c>
      <c r="BI272" s="57" t="str">
        <f aca="false">IF('STUDENT SCREENING'!BR272="","",IF('STUDENT SCREENING'!BR272="Yes",1,0))</f>
        <v/>
      </c>
    </row>
    <row r="273" customFormat="false" ht="15" hidden="false" customHeight="false" outlineLevel="0" collapsed="false">
      <c r="A273" s="58" t="str">
        <f aca="false">'STUDENT SCREENING'!A273</f>
        <v/>
      </c>
      <c r="B273" s="58" t="n">
        <f aca="false">'STUDENT SCREENING'!C273</f>
        <v>0</v>
      </c>
      <c r="C273" s="58" t="n">
        <f aca="false">'STUDENT SCREENING'!D273</f>
        <v>0</v>
      </c>
      <c r="D273" s="58" t="n">
        <f aca="false">'STUDENT SCREENING'!E273</f>
        <v>0</v>
      </c>
      <c r="E273" s="58" t="n">
        <f aca="false">'STUDENT SCREENING'!F273</f>
        <v>0</v>
      </c>
      <c r="F273" s="58" t="n">
        <f aca="false">'STUDENT SCREENING'!K273</f>
        <v>0</v>
      </c>
      <c r="G273" s="58" t="n">
        <f aca="false">'STUDENT SCREENING'!J273</f>
        <v>0</v>
      </c>
      <c r="H273" s="58" t="str">
        <f aca="false">IF('STUDENT SCREENING'!K273="","",IFERROR(MATCH('STUDENT SCREENING'!K273,Adm_Gender,0),""))</f>
        <v/>
      </c>
      <c r="I273" s="58" t="n">
        <f aca="false">'STUDENT SCREENING'!Q273</f>
        <v>0</v>
      </c>
      <c r="J273" s="58" t="n">
        <f aca="false">'STUDENT SCREENING'!R273</f>
        <v>0</v>
      </c>
      <c r="K273" s="58" t="str">
        <f aca="false">'STUDENT SCREENING'!S273</f>
        <v/>
      </c>
      <c r="L273" s="58" t="n">
        <f aca="false">'STUDENT SCREENING'!U273</f>
        <v>0</v>
      </c>
      <c r="M273" s="58" t="n">
        <f aca="false">'STUDENT SCREENING'!V273</f>
        <v>0</v>
      </c>
      <c r="N273" s="58" t="str">
        <f aca="false">'STUDENT SCREENING'!BF273</f>
        <v/>
      </c>
      <c r="O273" s="58" t="str">
        <f aca="false">'STUDENT SCREENING'!BG273</f>
        <v/>
      </c>
      <c r="P273" s="58" t="str">
        <f aca="false">'STUDENT SCREENING'!BH273</f>
        <v/>
      </c>
      <c r="Q273" s="58" t="str">
        <f aca="false">'STUDENT SCREENING'!BI273</f>
        <v/>
      </c>
      <c r="R273" s="58" t="str">
        <f aca="false">'STUDENT SCREENING'!BJ273</f>
        <v/>
      </c>
      <c r="S273" s="58" t="str">
        <f aca="false">'STUDENT SCREENING'!BK273</f>
        <v/>
      </c>
      <c r="T273" s="58" t="str">
        <f aca="false">'STUDENT SCREENING'!BL273</f>
        <v/>
      </c>
      <c r="U273" s="58" t="str">
        <f aca="false">'STUDENT SCREENING'!BM273</f>
        <v/>
      </c>
      <c r="V273" s="58" t="str">
        <f aca="false">'STUDENT SCREENING'!BN273</f>
        <v/>
      </c>
      <c r="W273" s="58" t="str">
        <f aca="false">'STUDENT SCREENING'!BO273</f>
        <v/>
      </c>
      <c r="X273" s="58" t="str">
        <f aca="false">IF('STUDENT SCREENING'!W273="","",IFERROR(INDEX('SCORING MASTER'!$D$5:$D$7,MATCH('STUDENT SCREENING'!W273,'SCORING MASTER'!$C$5:$C$7,0)),""))</f>
        <v/>
      </c>
      <c r="Y273" s="58" t="str">
        <f aca="false">IF('STUDENT SCREENING'!X273="","",IFERROR(INDEX('SCORING MASTER'!$D$9:$D$11,MATCH('STUDENT SCREENING'!X273,'SCORING MASTER'!$C$9:$C$11,0)),""))</f>
        <v/>
      </c>
      <c r="Z273" s="58" t="str">
        <f aca="false">IF('STUDENT SCREENING'!Y273="","",IFERROR(INDEX('SCORING MASTER'!$D$13:$D$15,MATCH('STUDENT SCREENING'!Y273,'SCORING MASTER'!$C$13:$C$15,0)),""))</f>
        <v/>
      </c>
      <c r="AA273" s="58" t="str">
        <f aca="false">IF('STUDENT SCREENING'!Z273="","",IFERROR(INDEX('SCORING MASTER'!$D$17:$D$19,MATCH('STUDENT SCREENING'!Z273,'SCORING MASTER'!$C$17:$C$19,0)),""))</f>
        <v/>
      </c>
      <c r="AB273" s="58" t="str">
        <f aca="false">IF('STUDENT SCREENING'!AA273="","",IFERROR(INDEX('SCORING MASTER'!$D$21:$D$23,MATCH('STUDENT SCREENING'!AA273,'SCORING MASTER'!$C$21:$C$23,0)),""))</f>
        <v/>
      </c>
      <c r="AC273" s="58" t="str">
        <f aca="false">IF('STUDENT SCREENING'!AB273="","",IFERROR(INDEX('SCORING MASTER'!$D$25:$D$27,MATCH('STUDENT SCREENING'!AB273,'SCORING MASTER'!$C$25:$C$27,0)),""))</f>
        <v/>
      </c>
      <c r="AD273" s="58" t="str">
        <f aca="false">IF('STUDENT SCREENING'!AC273="","",IFERROR(INDEX('SCORING MASTER'!$D$29:$D$31,MATCH('STUDENT SCREENING'!AC273,'SCORING MASTER'!$C$29:$C$31,0)),""))</f>
        <v/>
      </c>
      <c r="AE273" s="58" t="str">
        <f aca="false">IF('STUDENT SCREENING'!AD273="","",IFERROR(INDEX('SCORING MASTER'!$D$33:$D$35,MATCH('STUDENT SCREENING'!AD273,'SCORING MASTER'!$C$33:$C$35,0)),""))</f>
        <v/>
      </c>
      <c r="AF273" s="58" t="str">
        <f aca="false">IF('STUDENT SCREENING'!AE273="","",IFERROR(INDEX('SCORING MASTER'!$D$37:$D$39,MATCH('STUDENT SCREENING'!AE273,'SCORING MASTER'!$C$37:$C$39,0)),""))</f>
        <v/>
      </c>
      <c r="AG273" s="58" t="str">
        <f aca="false">IF('STUDENT SCREENING'!AF273="","",IFERROR(INDEX('SCORING MASTER'!$D$41:$D$43,MATCH('STUDENT SCREENING'!AF273,'SCORING MASTER'!$C$41:$C$43,0)),""))</f>
        <v/>
      </c>
      <c r="AH273" s="58" t="str">
        <f aca="false">IF('STUDENT SCREENING'!AG273="","",IFERROR(INDEX('SCORING MASTER'!$D$45:$D$47,MATCH('STUDENT SCREENING'!AG273,'SCORING MASTER'!$C$45:$C$47,0)),""))</f>
        <v/>
      </c>
      <c r="AI273" s="58" t="str">
        <f aca="false">IF('STUDENT SCREENING'!AH273="","",IFERROR(INDEX('SCORING MASTER'!$D$49:$D$52,MATCH('STUDENT SCREENING'!AH273,'SCORING MASTER'!$C$49:$C$52,0)),""))</f>
        <v/>
      </c>
      <c r="AJ273" s="58" t="str">
        <f aca="false">IF('STUDENT SCREENING'!AI273="","",IFERROR(INDEX('SCORING MASTER'!$D$54:$D$57,MATCH('STUDENT SCREENING'!AI273,'SCORING MASTER'!$C$54:$C$57,0)),""))</f>
        <v/>
      </c>
      <c r="AK273" s="58" t="str">
        <f aca="false">IF('STUDENT SCREENING'!AJ273="","",IFERROR(INDEX('SCORING MASTER'!$D$59:$D$60,MATCH('STUDENT SCREENING'!AJ273,'SCORING MASTER'!$C$59:$C$60,0)),""))</f>
        <v/>
      </c>
      <c r="AL273" s="58" t="str">
        <f aca="false">IF('STUDENT SCREENING'!AK273="","",IFERROR(INDEX('SCORING MASTER'!$D$62:$D$63,MATCH('STUDENT SCREENING'!AK273,'SCORING MASTER'!$C$62:$C$63,0)),""))</f>
        <v/>
      </c>
      <c r="AM273" s="58" t="str">
        <f aca="false">IF('STUDENT SCREENING'!AL273="","",IFERROR(INDEX('SCORING MASTER'!$D$65:$D$66,MATCH('STUDENT SCREENING'!AL273,'SCORING MASTER'!$C$65:$C$66,0)),""))</f>
        <v/>
      </c>
      <c r="AN273" s="58" t="str">
        <f aca="false">IF('STUDENT SCREENING'!AM273="","",IFERROR(INDEX('SCORING MASTER'!$D$68:$D$69,MATCH('STUDENT SCREENING'!AM273,'SCORING MASTER'!$C$68:$C$69,0)),""))</f>
        <v/>
      </c>
      <c r="AO273" s="58" t="str">
        <f aca="false">IF('STUDENT SCREENING'!AN273="","",IFERROR(INDEX('SCORING MASTER'!$D$71:$D$72,MATCH('STUDENT SCREENING'!AN273,'SCORING MASTER'!$C$71:$C$72,0)),""))</f>
        <v/>
      </c>
      <c r="AP273" s="58" t="str">
        <f aca="false">IF('STUDENT SCREENING'!AO273="","",IFERROR(INDEX('SCORING MASTER'!$D$74:$D$75,MATCH('STUDENT SCREENING'!AO273,'SCORING MASTER'!$C$74:$C$75,0)),""))</f>
        <v/>
      </c>
      <c r="AQ273" s="58" t="str">
        <f aca="false">IF('STUDENT SCREENING'!AP273="","",IFERROR(INDEX('SCORING MASTER'!$D$77:$D$78,MATCH('STUDENT SCREENING'!AP273,'SCORING MASTER'!$C$77:$C$78,0)),""))</f>
        <v/>
      </c>
      <c r="AR273" s="58" t="str">
        <f aca="false">IF('STUDENT SCREENING'!AQ273="","",IFERROR(INDEX('SCORING MASTER'!$D$80:$D$82,MATCH('STUDENT SCREENING'!AQ273,'SCORING MASTER'!$C$80:$C$82,0)),""))</f>
        <v/>
      </c>
      <c r="AS273" s="58" t="str">
        <f aca="false">IF('STUDENT SCREENING'!AR273="","",IFERROR(INDEX('SCORING MASTER'!$D$84:$D$86,MATCH('STUDENT SCREENING'!AR273,'SCORING MASTER'!$C$84:$C$86,0)),""))</f>
        <v/>
      </c>
      <c r="AT273" s="58" t="str">
        <f aca="false">IF('STUDENT SCREENING'!AS273="","",IFERROR(INDEX('SCORING MASTER'!$D$88:$D$90,MATCH('STUDENT SCREENING'!AS273,'SCORING MASTER'!$C$88:$C$90,0)),""))</f>
        <v/>
      </c>
      <c r="AU273" s="58" t="str">
        <f aca="false">IF('STUDENT SCREENING'!AT273="","",IFERROR(INDEX('SCORING MASTER'!$D$92:$D$93,MATCH('STUDENT SCREENING'!AT273,'SCORING MASTER'!$C$92:$C$93,0)),""))</f>
        <v/>
      </c>
      <c r="AV273" s="58" t="str">
        <f aca="false">IF('STUDENT SCREENING'!AU273="","",IFERROR(INDEX('SCORING MASTER'!$D$95:$D$96,MATCH('STUDENT SCREENING'!AU273,'SCORING MASTER'!$C$95:$C$96,0)),""))</f>
        <v/>
      </c>
      <c r="AW273" s="58" t="str">
        <f aca="false">IF('STUDENT SCREENING'!AV273="","",IFERROR(INDEX('SCORING MASTER'!$D$98:$D$99,MATCH('STUDENT SCREENING'!AV273,'SCORING MASTER'!$C$98:$C$99,0)),""))</f>
        <v/>
      </c>
      <c r="AX273" s="58" t="str">
        <f aca="false">IF('STUDENT SCREENING'!AW273="","",IFERROR(INDEX('SCORING MASTER'!$D$101:$D$102,MATCH('STUDENT SCREENING'!AW273,'SCORING MASTER'!$C$101:$C$102,0)),""))</f>
        <v/>
      </c>
      <c r="AY273" s="58" t="str">
        <f aca="false">IF('STUDENT SCREENING'!AX273="","",IFERROR(INDEX('SCORING MASTER'!$D$104:$D$105,MATCH('STUDENT SCREENING'!AX273,'SCORING MASTER'!$C$104:$C$105,0)),""))</f>
        <v/>
      </c>
      <c r="AZ273" s="58" t="str">
        <f aca="false">IF('STUDENT SCREENING'!AY273="","",IFERROR(INDEX('SCORING MASTER'!$D$107:$D$108,MATCH('STUDENT SCREENING'!AY273,'SCORING MASTER'!$C$107:$C$108,0)),""))</f>
        <v/>
      </c>
      <c r="BA273" s="58" t="str">
        <f aca="false">IF('STUDENT SCREENING'!AZ273="","",IFERROR(INDEX('SCORING MASTER'!$D$110:$D$111,MATCH('STUDENT SCREENING'!AZ273,'SCORING MASTER'!$C$110:$C$111,0)),""))</f>
        <v/>
      </c>
      <c r="BB273" s="58" t="str">
        <f aca="false">IF('STUDENT SCREENING'!BA273="","",IFERROR(INDEX('SCORING MASTER'!$D$113:$D$115,MATCH('STUDENT SCREENING'!BA273,'SCORING MASTER'!$C$113:$C$115,0)),""))</f>
        <v/>
      </c>
      <c r="BC273" s="58" t="str">
        <f aca="false">IF('STUDENT SCREENING'!BB273="","",IFERROR(INDEX('SCORING MASTER'!$D$117:$D$119,MATCH('STUDENT SCREENING'!BB273,'SCORING MASTER'!$C$117:$C$119,0)),""))</f>
        <v/>
      </c>
      <c r="BD273" s="58" t="str">
        <f aca="false">IF('STUDENT SCREENING'!BC273="","",IFERROR(INDEX('SCORING MASTER'!$D$121:$D$123,MATCH('STUDENT SCREENING'!BC273,'SCORING MASTER'!$C$121:$C$123,0)),""))</f>
        <v/>
      </c>
      <c r="BE273" s="58" t="str">
        <f aca="false">IF('STUDENT SCREENING'!BD273="","",IFERROR(INDEX('SCORING MASTER'!$D$125:$D$126,MATCH('STUDENT SCREENING'!BD273,'SCORING MASTER'!$C$125:$C$126,0)),""))</f>
        <v/>
      </c>
      <c r="BF273" s="58" t="str">
        <f aca="false">IF('STUDENT SCREENING'!BE273="","",IFERROR(INDEX('SCORING MASTER'!$D$128:$D$129,MATCH('STUDENT SCREENING'!BE273,'SCORING MASTER'!$C$128:$C$129,0)),""))</f>
        <v/>
      </c>
      <c r="BG273" s="58" t="str">
        <f aca="false">IF('STUDENT SCREENING'!BP273="","",IFERROR(MATCH('STUDENT SCREENING'!BP273,{"Red - High Risk","Orange - Moderate Risk","Yellow - Mild Risk","Light Green - Mild Watch","Green - Healthy"},0)-1,""))</f>
        <v/>
      </c>
      <c r="BH273" s="58" t="str">
        <f aca="false">IF('STUDENT SCREENING'!BQ273="","",IF('STUDENT SCREENING'!BQ273="Yes",1,0))</f>
        <v/>
      </c>
      <c r="BI273" s="58" t="str">
        <f aca="false">IF('STUDENT SCREENING'!BR273="","",IF('STUDENT SCREENING'!BR273="Yes",1,0))</f>
        <v/>
      </c>
    </row>
    <row r="274" customFormat="false" ht="15" hidden="false" customHeight="false" outlineLevel="0" collapsed="false">
      <c r="A274" s="57" t="str">
        <f aca="false">'STUDENT SCREENING'!A274</f>
        <v/>
      </c>
      <c r="B274" s="57" t="n">
        <f aca="false">'STUDENT SCREENING'!C274</f>
        <v>0</v>
      </c>
      <c r="C274" s="57" t="n">
        <f aca="false">'STUDENT SCREENING'!D274</f>
        <v>0</v>
      </c>
      <c r="D274" s="57" t="n">
        <f aca="false">'STUDENT SCREENING'!E274</f>
        <v>0</v>
      </c>
      <c r="E274" s="57" t="n">
        <f aca="false">'STUDENT SCREENING'!F274</f>
        <v>0</v>
      </c>
      <c r="F274" s="57" t="n">
        <f aca="false">'STUDENT SCREENING'!K274</f>
        <v>0</v>
      </c>
      <c r="G274" s="57" t="n">
        <f aca="false">'STUDENT SCREENING'!J274</f>
        <v>0</v>
      </c>
      <c r="H274" s="57" t="str">
        <f aca="false">IF('STUDENT SCREENING'!K274="","",IFERROR(MATCH('STUDENT SCREENING'!K274,Adm_Gender,0),""))</f>
        <v/>
      </c>
      <c r="I274" s="57" t="n">
        <f aca="false">'STUDENT SCREENING'!Q274</f>
        <v>0</v>
      </c>
      <c r="J274" s="57" t="n">
        <f aca="false">'STUDENT SCREENING'!R274</f>
        <v>0</v>
      </c>
      <c r="K274" s="57" t="str">
        <f aca="false">'STUDENT SCREENING'!S274</f>
        <v/>
      </c>
      <c r="L274" s="57" t="n">
        <f aca="false">'STUDENT SCREENING'!U274</f>
        <v>0</v>
      </c>
      <c r="M274" s="57" t="n">
        <f aca="false">'STUDENT SCREENING'!V274</f>
        <v>0</v>
      </c>
      <c r="N274" s="57" t="str">
        <f aca="false">'STUDENT SCREENING'!BF274</f>
        <v/>
      </c>
      <c r="O274" s="57" t="str">
        <f aca="false">'STUDENT SCREENING'!BG274</f>
        <v/>
      </c>
      <c r="P274" s="57" t="str">
        <f aca="false">'STUDENT SCREENING'!BH274</f>
        <v/>
      </c>
      <c r="Q274" s="57" t="str">
        <f aca="false">'STUDENT SCREENING'!BI274</f>
        <v/>
      </c>
      <c r="R274" s="57" t="str">
        <f aca="false">'STUDENT SCREENING'!BJ274</f>
        <v/>
      </c>
      <c r="S274" s="57" t="str">
        <f aca="false">'STUDENT SCREENING'!BK274</f>
        <v/>
      </c>
      <c r="T274" s="57" t="str">
        <f aca="false">'STUDENT SCREENING'!BL274</f>
        <v/>
      </c>
      <c r="U274" s="57" t="str">
        <f aca="false">'STUDENT SCREENING'!BM274</f>
        <v/>
      </c>
      <c r="V274" s="57" t="str">
        <f aca="false">'STUDENT SCREENING'!BN274</f>
        <v/>
      </c>
      <c r="W274" s="57" t="str">
        <f aca="false">'STUDENT SCREENING'!BO274</f>
        <v/>
      </c>
      <c r="X274" s="57" t="str">
        <f aca="false">IF('STUDENT SCREENING'!W274="","",IFERROR(INDEX('SCORING MASTER'!$D$5:$D$7,MATCH('STUDENT SCREENING'!W274,'SCORING MASTER'!$C$5:$C$7,0)),""))</f>
        <v/>
      </c>
      <c r="Y274" s="57" t="str">
        <f aca="false">IF('STUDENT SCREENING'!X274="","",IFERROR(INDEX('SCORING MASTER'!$D$9:$D$11,MATCH('STUDENT SCREENING'!X274,'SCORING MASTER'!$C$9:$C$11,0)),""))</f>
        <v/>
      </c>
      <c r="Z274" s="57" t="str">
        <f aca="false">IF('STUDENT SCREENING'!Y274="","",IFERROR(INDEX('SCORING MASTER'!$D$13:$D$15,MATCH('STUDENT SCREENING'!Y274,'SCORING MASTER'!$C$13:$C$15,0)),""))</f>
        <v/>
      </c>
      <c r="AA274" s="57" t="str">
        <f aca="false">IF('STUDENT SCREENING'!Z274="","",IFERROR(INDEX('SCORING MASTER'!$D$17:$D$19,MATCH('STUDENT SCREENING'!Z274,'SCORING MASTER'!$C$17:$C$19,0)),""))</f>
        <v/>
      </c>
      <c r="AB274" s="57" t="str">
        <f aca="false">IF('STUDENT SCREENING'!AA274="","",IFERROR(INDEX('SCORING MASTER'!$D$21:$D$23,MATCH('STUDENT SCREENING'!AA274,'SCORING MASTER'!$C$21:$C$23,0)),""))</f>
        <v/>
      </c>
      <c r="AC274" s="57" t="str">
        <f aca="false">IF('STUDENT SCREENING'!AB274="","",IFERROR(INDEX('SCORING MASTER'!$D$25:$D$27,MATCH('STUDENT SCREENING'!AB274,'SCORING MASTER'!$C$25:$C$27,0)),""))</f>
        <v/>
      </c>
      <c r="AD274" s="57" t="str">
        <f aca="false">IF('STUDENT SCREENING'!AC274="","",IFERROR(INDEX('SCORING MASTER'!$D$29:$D$31,MATCH('STUDENT SCREENING'!AC274,'SCORING MASTER'!$C$29:$C$31,0)),""))</f>
        <v/>
      </c>
      <c r="AE274" s="57" t="str">
        <f aca="false">IF('STUDENT SCREENING'!AD274="","",IFERROR(INDEX('SCORING MASTER'!$D$33:$D$35,MATCH('STUDENT SCREENING'!AD274,'SCORING MASTER'!$C$33:$C$35,0)),""))</f>
        <v/>
      </c>
      <c r="AF274" s="57" t="str">
        <f aca="false">IF('STUDENT SCREENING'!AE274="","",IFERROR(INDEX('SCORING MASTER'!$D$37:$D$39,MATCH('STUDENT SCREENING'!AE274,'SCORING MASTER'!$C$37:$C$39,0)),""))</f>
        <v/>
      </c>
      <c r="AG274" s="57" t="str">
        <f aca="false">IF('STUDENT SCREENING'!AF274="","",IFERROR(INDEX('SCORING MASTER'!$D$41:$D$43,MATCH('STUDENT SCREENING'!AF274,'SCORING MASTER'!$C$41:$C$43,0)),""))</f>
        <v/>
      </c>
      <c r="AH274" s="57" t="str">
        <f aca="false">IF('STUDENT SCREENING'!AG274="","",IFERROR(INDEX('SCORING MASTER'!$D$45:$D$47,MATCH('STUDENT SCREENING'!AG274,'SCORING MASTER'!$C$45:$C$47,0)),""))</f>
        <v/>
      </c>
      <c r="AI274" s="57" t="str">
        <f aca="false">IF('STUDENT SCREENING'!AH274="","",IFERROR(INDEX('SCORING MASTER'!$D$49:$D$52,MATCH('STUDENT SCREENING'!AH274,'SCORING MASTER'!$C$49:$C$52,0)),""))</f>
        <v/>
      </c>
      <c r="AJ274" s="57" t="str">
        <f aca="false">IF('STUDENT SCREENING'!AI274="","",IFERROR(INDEX('SCORING MASTER'!$D$54:$D$57,MATCH('STUDENT SCREENING'!AI274,'SCORING MASTER'!$C$54:$C$57,0)),""))</f>
        <v/>
      </c>
      <c r="AK274" s="57" t="str">
        <f aca="false">IF('STUDENT SCREENING'!AJ274="","",IFERROR(INDEX('SCORING MASTER'!$D$59:$D$60,MATCH('STUDENT SCREENING'!AJ274,'SCORING MASTER'!$C$59:$C$60,0)),""))</f>
        <v/>
      </c>
      <c r="AL274" s="57" t="str">
        <f aca="false">IF('STUDENT SCREENING'!AK274="","",IFERROR(INDEX('SCORING MASTER'!$D$62:$D$63,MATCH('STUDENT SCREENING'!AK274,'SCORING MASTER'!$C$62:$C$63,0)),""))</f>
        <v/>
      </c>
      <c r="AM274" s="57" t="str">
        <f aca="false">IF('STUDENT SCREENING'!AL274="","",IFERROR(INDEX('SCORING MASTER'!$D$65:$D$66,MATCH('STUDENT SCREENING'!AL274,'SCORING MASTER'!$C$65:$C$66,0)),""))</f>
        <v/>
      </c>
      <c r="AN274" s="57" t="str">
        <f aca="false">IF('STUDENT SCREENING'!AM274="","",IFERROR(INDEX('SCORING MASTER'!$D$68:$D$69,MATCH('STUDENT SCREENING'!AM274,'SCORING MASTER'!$C$68:$C$69,0)),""))</f>
        <v/>
      </c>
      <c r="AO274" s="57" t="str">
        <f aca="false">IF('STUDENT SCREENING'!AN274="","",IFERROR(INDEX('SCORING MASTER'!$D$71:$D$72,MATCH('STUDENT SCREENING'!AN274,'SCORING MASTER'!$C$71:$C$72,0)),""))</f>
        <v/>
      </c>
      <c r="AP274" s="57" t="str">
        <f aca="false">IF('STUDENT SCREENING'!AO274="","",IFERROR(INDEX('SCORING MASTER'!$D$74:$D$75,MATCH('STUDENT SCREENING'!AO274,'SCORING MASTER'!$C$74:$C$75,0)),""))</f>
        <v/>
      </c>
      <c r="AQ274" s="57" t="str">
        <f aca="false">IF('STUDENT SCREENING'!AP274="","",IFERROR(INDEX('SCORING MASTER'!$D$77:$D$78,MATCH('STUDENT SCREENING'!AP274,'SCORING MASTER'!$C$77:$C$78,0)),""))</f>
        <v/>
      </c>
      <c r="AR274" s="57" t="str">
        <f aca="false">IF('STUDENT SCREENING'!AQ274="","",IFERROR(INDEX('SCORING MASTER'!$D$80:$D$82,MATCH('STUDENT SCREENING'!AQ274,'SCORING MASTER'!$C$80:$C$82,0)),""))</f>
        <v/>
      </c>
      <c r="AS274" s="57" t="str">
        <f aca="false">IF('STUDENT SCREENING'!AR274="","",IFERROR(INDEX('SCORING MASTER'!$D$84:$D$86,MATCH('STUDENT SCREENING'!AR274,'SCORING MASTER'!$C$84:$C$86,0)),""))</f>
        <v/>
      </c>
      <c r="AT274" s="57" t="str">
        <f aca="false">IF('STUDENT SCREENING'!AS274="","",IFERROR(INDEX('SCORING MASTER'!$D$88:$D$90,MATCH('STUDENT SCREENING'!AS274,'SCORING MASTER'!$C$88:$C$90,0)),""))</f>
        <v/>
      </c>
      <c r="AU274" s="57" t="str">
        <f aca="false">IF('STUDENT SCREENING'!AT274="","",IFERROR(INDEX('SCORING MASTER'!$D$92:$D$93,MATCH('STUDENT SCREENING'!AT274,'SCORING MASTER'!$C$92:$C$93,0)),""))</f>
        <v/>
      </c>
      <c r="AV274" s="57" t="str">
        <f aca="false">IF('STUDENT SCREENING'!AU274="","",IFERROR(INDEX('SCORING MASTER'!$D$95:$D$96,MATCH('STUDENT SCREENING'!AU274,'SCORING MASTER'!$C$95:$C$96,0)),""))</f>
        <v/>
      </c>
      <c r="AW274" s="57" t="str">
        <f aca="false">IF('STUDENT SCREENING'!AV274="","",IFERROR(INDEX('SCORING MASTER'!$D$98:$D$99,MATCH('STUDENT SCREENING'!AV274,'SCORING MASTER'!$C$98:$C$99,0)),""))</f>
        <v/>
      </c>
      <c r="AX274" s="57" t="str">
        <f aca="false">IF('STUDENT SCREENING'!AW274="","",IFERROR(INDEX('SCORING MASTER'!$D$101:$D$102,MATCH('STUDENT SCREENING'!AW274,'SCORING MASTER'!$C$101:$C$102,0)),""))</f>
        <v/>
      </c>
      <c r="AY274" s="57" t="str">
        <f aca="false">IF('STUDENT SCREENING'!AX274="","",IFERROR(INDEX('SCORING MASTER'!$D$104:$D$105,MATCH('STUDENT SCREENING'!AX274,'SCORING MASTER'!$C$104:$C$105,0)),""))</f>
        <v/>
      </c>
      <c r="AZ274" s="57" t="str">
        <f aca="false">IF('STUDENT SCREENING'!AY274="","",IFERROR(INDEX('SCORING MASTER'!$D$107:$D$108,MATCH('STUDENT SCREENING'!AY274,'SCORING MASTER'!$C$107:$C$108,0)),""))</f>
        <v/>
      </c>
      <c r="BA274" s="57" t="str">
        <f aca="false">IF('STUDENT SCREENING'!AZ274="","",IFERROR(INDEX('SCORING MASTER'!$D$110:$D$111,MATCH('STUDENT SCREENING'!AZ274,'SCORING MASTER'!$C$110:$C$111,0)),""))</f>
        <v/>
      </c>
      <c r="BB274" s="57" t="str">
        <f aca="false">IF('STUDENT SCREENING'!BA274="","",IFERROR(INDEX('SCORING MASTER'!$D$113:$D$115,MATCH('STUDENT SCREENING'!BA274,'SCORING MASTER'!$C$113:$C$115,0)),""))</f>
        <v/>
      </c>
      <c r="BC274" s="57" t="str">
        <f aca="false">IF('STUDENT SCREENING'!BB274="","",IFERROR(INDEX('SCORING MASTER'!$D$117:$D$119,MATCH('STUDENT SCREENING'!BB274,'SCORING MASTER'!$C$117:$C$119,0)),""))</f>
        <v/>
      </c>
      <c r="BD274" s="57" t="str">
        <f aca="false">IF('STUDENT SCREENING'!BC274="","",IFERROR(INDEX('SCORING MASTER'!$D$121:$D$123,MATCH('STUDENT SCREENING'!BC274,'SCORING MASTER'!$C$121:$C$123,0)),""))</f>
        <v/>
      </c>
      <c r="BE274" s="57" t="str">
        <f aca="false">IF('STUDENT SCREENING'!BD274="","",IFERROR(INDEX('SCORING MASTER'!$D$125:$D$126,MATCH('STUDENT SCREENING'!BD274,'SCORING MASTER'!$C$125:$C$126,0)),""))</f>
        <v/>
      </c>
      <c r="BF274" s="57" t="str">
        <f aca="false">IF('STUDENT SCREENING'!BE274="","",IFERROR(INDEX('SCORING MASTER'!$D$128:$D$129,MATCH('STUDENT SCREENING'!BE274,'SCORING MASTER'!$C$128:$C$129,0)),""))</f>
        <v/>
      </c>
      <c r="BG274" s="57" t="str">
        <f aca="false">IF('STUDENT SCREENING'!BP274="","",IFERROR(MATCH('STUDENT SCREENING'!BP274,{"Red - High Risk","Orange - Moderate Risk","Yellow - Mild Risk","Light Green - Mild Watch","Green - Healthy"},0)-1,""))</f>
        <v/>
      </c>
      <c r="BH274" s="57" t="str">
        <f aca="false">IF('STUDENT SCREENING'!BQ274="","",IF('STUDENT SCREENING'!BQ274="Yes",1,0))</f>
        <v/>
      </c>
      <c r="BI274" s="57" t="str">
        <f aca="false">IF('STUDENT SCREENING'!BR274="","",IF('STUDENT SCREENING'!BR274="Yes",1,0))</f>
        <v/>
      </c>
    </row>
    <row r="275" customFormat="false" ht="15" hidden="false" customHeight="false" outlineLevel="0" collapsed="false">
      <c r="A275" s="58" t="str">
        <f aca="false">'STUDENT SCREENING'!A275</f>
        <v/>
      </c>
      <c r="B275" s="58" t="n">
        <f aca="false">'STUDENT SCREENING'!C275</f>
        <v>0</v>
      </c>
      <c r="C275" s="58" t="n">
        <f aca="false">'STUDENT SCREENING'!D275</f>
        <v>0</v>
      </c>
      <c r="D275" s="58" t="n">
        <f aca="false">'STUDENT SCREENING'!E275</f>
        <v>0</v>
      </c>
      <c r="E275" s="58" t="n">
        <f aca="false">'STUDENT SCREENING'!F275</f>
        <v>0</v>
      </c>
      <c r="F275" s="58" t="n">
        <f aca="false">'STUDENT SCREENING'!K275</f>
        <v>0</v>
      </c>
      <c r="G275" s="58" t="n">
        <f aca="false">'STUDENT SCREENING'!J275</f>
        <v>0</v>
      </c>
      <c r="H275" s="58" t="str">
        <f aca="false">IF('STUDENT SCREENING'!K275="","",IFERROR(MATCH('STUDENT SCREENING'!K275,Adm_Gender,0),""))</f>
        <v/>
      </c>
      <c r="I275" s="58" t="n">
        <f aca="false">'STUDENT SCREENING'!Q275</f>
        <v>0</v>
      </c>
      <c r="J275" s="58" t="n">
        <f aca="false">'STUDENT SCREENING'!R275</f>
        <v>0</v>
      </c>
      <c r="K275" s="58" t="str">
        <f aca="false">'STUDENT SCREENING'!S275</f>
        <v/>
      </c>
      <c r="L275" s="58" t="n">
        <f aca="false">'STUDENT SCREENING'!U275</f>
        <v>0</v>
      </c>
      <c r="M275" s="58" t="n">
        <f aca="false">'STUDENT SCREENING'!V275</f>
        <v>0</v>
      </c>
      <c r="N275" s="58" t="str">
        <f aca="false">'STUDENT SCREENING'!BF275</f>
        <v/>
      </c>
      <c r="O275" s="58" t="str">
        <f aca="false">'STUDENT SCREENING'!BG275</f>
        <v/>
      </c>
      <c r="P275" s="58" t="str">
        <f aca="false">'STUDENT SCREENING'!BH275</f>
        <v/>
      </c>
      <c r="Q275" s="58" t="str">
        <f aca="false">'STUDENT SCREENING'!BI275</f>
        <v/>
      </c>
      <c r="R275" s="58" t="str">
        <f aca="false">'STUDENT SCREENING'!BJ275</f>
        <v/>
      </c>
      <c r="S275" s="58" t="str">
        <f aca="false">'STUDENT SCREENING'!BK275</f>
        <v/>
      </c>
      <c r="T275" s="58" t="str">
        <f aca="false">'STUDENT SCREENING'!BL275</f>
        <v/>
      </c>
      <c r="U275" s="58" t="str">
        <f aca="false">'STUDENT SCREENING'!BM275</f>
        <v/>
      </c>
      <c r="V275" s="58" t="str">
        <f aca="false">'STUDENT SCREENING'!BN275</f>
        <v/>
      </c>
      <c r="W275" s="58" t="str">
        <f aca="false">'STUDENT SCREENING'!BO275</f>
        <v/>
      </c>
      <c r="X275" s="58" t="str">
        <f aca="false">IF('STUDENT SCREENING'!W275="","",IFERROR(INDEX('SCORING MASTER'!$D$5:$D$7,MATCH('STUDENT SCREENING'!W275,'SCORING MASTER'!$C$5:$C$7,0)),""))</f>
        <v/>
      </c>
      <c r="Y275" s="58" t="str">
        <f aca="false">IF('STUDENT SCREENING'!X275="","",IFERROR(INDEX('SCORING MASTER'!$D$9:$D$11,MATCH('STUDENT SCREENING'!X275,'SCORING MASTER'!$C$9:$C$11,0)),""))</f>
        <v/>
      </c>
      <c r="Z275" s="58" t="str">
        <f aca="false">IF('STUDENT SCREENING'!Y275="","",IFERROR(INDEX('SCORING MASTER'!$D$13:$D$15,MATCH('STUDENT SCREENING'!Y275,'SCORING MASTER'!$C$13:$C$15,0)),""))</f>
        <v/>
      </c>
      <c r="AA275" s="58" t="str">
        <f aca="false">IF('STUDENT SCREENING'!Z275="","",IFERROR(INDEX('SCORING MASTER'!$D$17:$D$19,MATCH('STUDENT SCREENING'!Z275,'SCORING MASTER'!$C$17:$C$19,0)),""))</f>
        <v/>
      </c>
      <c r="AB275" s="58" t="str">
        <f aca="false">IF('STUDENT SCREENING'!AA275="","",IFERROR(INDEX('SCORING MASTER'!$D$21:$D$23,MATCH('STUDENT SCREENING'!AA275,'SCORING MASTER'!$C$21:$C$23,0)),""))</f>
        <v/>
      </c>
      <c r="AC275" s="58" t="str">
        <f aca="false">IF('STUDENT SCREENING'!AB275="","",IFERROR(INDEX('SCORING MASTER'!$D$25:$D$27,MATCH('STUDENT SCREENING'!AB275,'SCORING MASTER'!$C$25:$C$27,0)),""))</f>
        <v/>
      </c>
      <c r="AD275" s="58" t="str">
        <f aca="false">IF('STUDENT SCREENING'!AC275="","",IFERROR(INDEX('SCORING MASTER'!$D$29:$D$31,MATCH('STUDENT SCREENING'!AC275,'SCORING MASTER'!$C$29:$C$31,0)),""))</f>
        <v/>
      </c>
      <c r="AE275" s="58" t="str">
        <f aca="false">IF('STUDENT SCREENING'!AD275="","",IFERROR(INDEX('SCORING MASTER'!$D$33:$D$35,MATCH('STUDENT SCREENING'!AD275,'SCORING MASTER'!$C$33:$C$35,0)),""))</f>
        <v/>
      </c>
      <c r="AF275" s="58" t="str">
        <f aca="false">IF('STUDENT SCREENING'!AE275="","",IFERROR(INDEX('SCORING MASTER'!$D$37:$D$39,MATCH('STUDENT SCREENING'!AE275,'SCORING MASTER'!$C$37:$C$39,0)),""))</f>
        <v/>
      </c>
      <c r="AG275" s="58" t="str">
        <f aca="false">IF('STUDENT SCREENING'!AF275="","",IFERROR(INDEX('SCORING MASTER'!$D$41:$D$43,MATCH('STUDENT SCREENING'!AF275,'SCORING MASTER'!$C$41:$C$43,0)),""))</f>
        <v/>
      </c>
      <c r="AH275" s="58" t="str">
        <f aca="false">IF('STUDENT SCREENING'!AG275="","",IFERROR(INDEX('SCORING MASTER'!$D$45:$D$47,MATCH('STUDENT SCREENING'!AG275,'SCORING MASTER'!$C$45:$C$47,0)),""))</f>
        <v/>
      </c>
      <c r="AI275" s="58" t="str">
        <f aca="false">IF('STUDENT SCREENING'!AH275="","",IFERROR(INDEX('SCORING MASTER'!$D$49:$D$52,MATCH('STUDENT SCREENING'!AH275,'SCORING MASTER'!$C$49:$C$52,0)),""))</f>
        <v/>
      </c>
      <c r="AJ275" s="58" t="str">
        <f aca="false">IF('STUDENT SCREENING'!AI275="","",IFERROR(INDEX('SCORING MASTER'!$D$54:$D$57,MATCH('STUDENT SCREENING'!AI275,'SCORING MASTER'!$C$54:$C$57,0)),""))</f>
        <v/>
      </c>
      <c r="AK275" s="58" t="str">
        <f aca="false">IF('STUDENT SCREENING'!AJ275="","",IFERROR(INDEX('SCORING MASTER'!$D$59:$D$60,MATCH('STUDENT SCREENING'!AJ275,'SCORING MASTER'!$C$59:$C$60,0)),""))</f>
        <v/>
      </c>
      <c r="AL275" s="58" t="str">
        <f aca="false">IF('STUDENT SCREENING'!AK275="","",IFERROR(INDEX('SCORING MASTER'!$D$62:$D$63,MATCH('STUDENT SCREENING'!AK275,'SCORING MASTER'!$C$62:$C$63,0)),""))</f>
        <v/>
      </c>
      <c r="AM275" s="58" t="str">
        <f aca="false">IF('STUDENT SCREENING'!AL275="","",IFERROR(INDEX('SCORING MASTER'!$D$65:$D$66,MATCH('STUDENT SCREENING'!AL275,'SCORING MASTER'!$C$65:$C$66,0)),""))</f>
        <v/>
      </c>
      <c r="AN275" s="58" t="str">
        <f aca="false">IF('STUDENT SCREENING'!AM275="","",IFERROR(INDEX('SCORING MASTER'!$D$68:$D$69,MATCH('STUDENT SCREENING'!AM275,'SCORING MASTER'!$C$68:$C$69,0)),""))</f>
        <v/>
      </c>
      <c r="AO275" s="58" t="str">
        <f aca="false">IF('STUDENT SCREENING'!AN275="","",IFERROR(INDEX('SCORING MASTER'!$D$71:$D$72,MATCH('STUDENT SCREENING'!AN275,'SCORING MASTER'!$C$71:$C$72,0)),""))</f>
        <v/>
      </c>
      <c r="AP275" s="58" t="str">
        <f aca="false">IF('STUDENT SCREENING'!AO275="","",IFERROR(INDEX('SCORING MASTER'!$D$74:$D$75,MATCH('STUDENT SCREENING'!AO275,'SCORING MASTER'!$C$74:$C$75,0)),""))</f>
        <v/>
      </c>
      <c r="AQ275" s="58" t="str">
        <f aca="false">IF('STUDENT SCREENING'!AP275="","",IFERROR(INDEX('SCORING MASTER'!$D$77:$D$78,MATCH('STUDENT SCREENING'!AP275,'SCORING MASTER'!$C$77:$C$78,0)),""))</f>
        <v/>
      </c>
      <c r="AR275" s="58" t="str">
        <f aca="false">IF('STUDENT SCREENING'!AQ275="","",IFERROR(INDEX('SCORING MASTER'!$D$80:$D$82,MATCH('STUDENT SCREENING'!AQ275,'SCORING MASTER'!$C$80:$C$82,0)),""))</f>
        <v/>
      </c>
      <c r="AS275" s="58" t="str">
        <f aca="false">IF('STUDENT SCREENING'!AR275="","",IFERROR(INDEX('SCORING MASTER'!$D$84:$D$86,MATCH('STUDENT SCREENING'!AR275,'SCORING MASTER'!$C$84:$C$86,0)),""))</f>
        <v/>
      </c>
      <c r="AT275" s="58" t="str">
        <f aca="false">IF('STUDENT SCREENING'!AS275="","",IFERROR(INDEX('SCORING MASTER'!$D$88:$D$90,MATCH('STUDENT SCREENING'!AS275,'SCORING MASTER'!$C$88:$C$90,0)),""))</f>
        <v/>
      </c>
      <c r="AU275" s="58" t="str">
        <f aca="false">IF('STUDENT SCREENING'!AT275="","",IFERROR(INDEX('SCORING MASTER'!$D$92:$D$93,MATCH('STUDENT SCREENING'!AT275,'SCORING MASTER'!$C$92:$C$93,0)),""))</f>
        <v/>
      </c>
      <c r="AV275" s="58" t="str">
        <f aca="false">IF('STUDENT SCREENING'!AU275="","",IFERROR(INDEX('SCORING MASTER'!$D$95:$D$96,MATCH('STUDENT SCREENING'!AU275,'SCORING MASTER'!$C$95:$C$96,0)),""))</f>
        <v/>
      </c>
      <c r="AW275" s="58" t="str">
        <f aca="false">IF('STUDENT SCREENING'!AV275="","",IFERROR(INDEX('SCORING MASTER'!$D$98:$D$99,MATCH('STUDENT SCREENING'!AV275,'SCORING MASTER'!$C$98:$C$99,0)),""))</f>
        <v/>
      </c>
      <c r="AX275" s="58" t="str">
        <f aca="false">IF('STUDENT SCREENING'!AW275="","",IFERROR(INDEX('SCORING MASTER'!$D$101:$D$102,MATCH('STUDENT SCREENING'!AW275,'SCORING MASTER'!$C$101:$C$102,0)),""))</f>
        <v/>
      </c>
      <c r="AY275" s="58" t="str">
        <f aca="false">IF('STUDENT SCREENING'!AX275="","",IFERROR(INDEX('SCORING MASTER'!$D$104:$D$105,MATCH('STUDENT SCREENING'!AX275,'SCORING MASTER'!$C$104:$C$105,0)),""))</f>
        <v/>
      </c>
      <c r="AZ275" s="58" t="str">
        <f aca="false">IF('STUDENT SCREENING'!AY275="","",IFERROR(INDEX('SCORING MASTER'!$D$107:$D$108,MATCH('STUDENT SCREENING'!AY275,'SCORING MASTER'!$C$107:$C$108,0)),""))</f>
        <v/>
      </c>
      <c r="BA275" s="58" t="str">
        <f aca="false">IF('STUDENT SCREENING'!AZ275="","",IFERROR(INDEX('SCORING MASTER'!$D$110:$D$111,MATCH('STUDENT SCREENING'!AZ275,'SCORING MASTER'!$C$110:$C$111,0)),""))</f>
        <v/>
      </c>
      <c r="BB275" s="58" t="str">
        <f aca="false">IF('STUDENT SCREENING'!BA275="","",IFERROR(INDEX('SCORING MASTER'!$D$113:$D$115,MATCH('STUDENT SCREENING'!BA275,'SCORING MASTER'!$C$113:$C$115,0)),""))</f>
        <v/>
      </c>
      <c r="BC275" s="58" t="str">
        <f aca="false">IF('STUDENT SCREENING'!BB275="","",IFERROR(INDEX('SCORING MASTER'!$D$117:$D$119,MATCH('STUDENT SCREENING'!BB275,'SCORING MASTER'!$C$117:$C$119,0)),""))</f>
        <v/>
      </c>
      <c r="BD275" s="58" t="str">
        <f aca="false">IF('STUDENT SCREENING'!BC275="","",IFERROR(INDEX('SCORING MASTER'!$D$121:$D$123,MATCH('STUDENT SCREENING'!BC275,'SCORING MASTER'!$C$121:$C$123,0)),""))</f>
        <v/>
      </c>
      <c r="BE275" s="58" t="str">
        <f aca="false">IF('STUDENT SCREENING'!BD275="","",IFERROR(INDEX('SCORING MASTER'!$D$125:$D$126,MATCH('STUDENT SCREENING'!BD275,'SCORING MASTER'!$C$125:$C$126,0)),""))</f>
        <v/>
      </c>
      <c r="BF275" s="58" t="str">
        <f aca="false">IF('STUDENT SCREENING'!BE275="","",IFERROR(INDEX('SCORING MASTER'!$D$128:$D$129,MATCH('STUDENT SCREENING'!BE275,'SCORING MASTER'!$C$128:$C$129,0)),""))</f>
        <v/>
      </c>
      <c r="BG275" s="58" t="str">
        <f aca="false">IF('STUDENT SCREENING'!BP275="","",IFERROR(MATCH('STUDENT SCREENING'!BP275,{"Red - High Risk","Orange - Moderate Risk","Yellow - Mild Risk","Light Green - Mild Watch","Green - Healthy"},0)-1,""))</f>
        <v/>
      </c>
      <c r="BH275" s="58" t="str">
        <f aca="false">IF('STUDENT SCREENING'!BQ275="","",IF('STUDENT SCREENING'!BQ275="Yes",1,0))</f>
        <v/>
      </c>
      <c r="BI275" s="58" t="str">
        <f aca="false">IF('STUDENT SCREENING'!BR275="","",IF('STUDENT SCREENING'!BR275="Yes",1,0))</f>
        <v/>
      </c>
    </row>
    <row r="276" customFormat="false" ht="15" hidden="false" customHeight="false" outlineLevel="0" collapsed="false">
      <c r="A276" s="57" t="str">
        <f aca="false">'STUDENT SCREENING'!A276</f>
        <v/>
      </c>
      <c r="B276" s="57" t="n">
        <f aca="false">'STUDENT SCREENING'!C276</f>
        <v>0</v>
      </c>
      <c r="C276" s="57" t="n">
        <f aca="false">'STUDENT SCREENING'!D276</f>
        <v>0</v>
      </c>
      <c r="D276" s="57" t="n">
        <f aca="false">'STUDENT SCREENING'!E276</f>
        <v>0</v>
      </c>
      <c r="E276" s="57" t="n">
        <f aca="false">'STUDENT SCREENING'!F276</f>
        <v>0</v>
      </c>
      <c r="F276" s="57" t="n">
        <f aca="false">'STUDENT SCREENING'!K276</f>
        <v>0</v>
      </c>
      <c r="G276" s="57" t="n">
        <f aca="false">'STUDENT SCREENING'!J276</f>
        <v>0</v>
      </c>
      <c r="H276" s="57" t="str">
        <f aca="false">IF('STUDENT SCREENING'!K276="","",IFERROR(MATCH('STUDENT SCREENING'!K276,Adm_Gender,0),""))</f>
        <v/>
      </c>
      <c r="I276" s="57" t="n">
        <f aca="false">'STUDENT SCREENING'!Q276</f>
        <v>0</v>
      </c>
      <c r="J276" s="57" t="n">
        <f aca="false">'STUDENT SCREENING'!R276</f>
        <v>0</v>
      </c>
      <c r="K276" s="57" t="str">
        <f aca="false">'STUDENT SCREENING'!S276</f>
        <v/>
      </c>
      <c r="L276" s="57" t="n">
        <f aca="false">'STUDENT SCREENING'!U276</f>
        <v>0</v>
      </c>
      <c r="M276" s="57" t="n">
        <f aca="false">'STUDENT SCREENING'!V276</f>
        <v>0</v>
      </c>
      <c r="N276" s="57" t="str">
        <f aca="false">'STUDENT SCREENING'!BF276</f>
        <v/>
      </c>
      <c r="O276" s="57" t="str">
        <f aca="false">'STUDENT SCREENING'!BG276</f>
        <v/>
      </c>
      <c r="P276" s="57" t="str">
        <f aca="false">'STUDENT SCREENING'!BH276</f>
        <v/>
      </c>
      <c r="Q276" s="57" t="str">
        <f aca="false">'STUDENT SCREENING'!BI276</f>
        <v/>
      </c>
      <c r="R276" s="57" t="str">
        <f aca="false">'STUDENT SCREENING'!BJ276</f>
        <v/>
      </c>
      <c r="S276" s="57" t="str">
        <f aca="false">'STUDENT SCREENING'!BK276</f>
        <v/>
      </c>
      <c r="T276" s="57" t="str">
        <f aca="false">'STUDENT SCREENING'!BL276</f>
        <v/>
      </c>
      <c r="U276" s="57" t="str">
        <f aca="false">'STUDENT SCREENING'!BM276</f>
        <v/>
      </c>
      <c r="V276" s="57" t="str">
        <f aca="false">'STUDENT SCREENING'!BN276</f>
        <v/>
      </c>
      <c r="W276" s="57" t="str">
        <f aca="false">'STUDENT SCREENING'!BO276</f>
        <v/>
      </c>
      <c r="X276" s="57" t="str">
        <f aca="false">IF('STUDENT SCREENING'!W276="","",IFERROR(INDEX('SCORING MASTER'!$D$5:$D$7,MATCH('STUDENT SCREENING'!W276,'SCORING MASTER'!$C$5:$C$7,0)),""))</f>
        <v/>
      </c>
      <c r="Y276" s="57" t="str">
        <f aca="false">IF('STUDENT SCREENING'!X276="","",IFERROR(INDEX('SCORING MASTER'!$D$9:$D$11,MATCH('STUDENT SCREENING'!X276,'SCORING MASTER'!$C$9:$C$11,0)),""))</f>
        <v/>
      </c>
      <c r="Z276" s="57" t="str">
        <f aca="false">IF('STUDENT SCREENING'!Y276="","",IFERROR(INDEX('SCORING MASTER'!$D$13:$D$15,MATCH('STUDENT SCREENING'!Y276,'SCORING MASTER'!$C$13:$C$15,0)),""))</f>
        <v/>
      </c>
      <c r="AA276" s="57" t="str">
        <f aca="false">IF('STUDENT SCREENING'!Z276="","",IFERROR(INDEX('SCORING MASTER'!$D$17:$D$19,MATCH('STUDENT SCREENING'!Z276,'SCORING MASTER'!$C$17:$C$19,0)),""))</f>
        <v/>
      </c>
      <c r="AB276" s="57" t="str">
        <f aca="false">IF('STUDENT SCREENING'!AA276="","",IFERROR(INDEX('SCORING MASTER'!$D$21:$D$23,MATCH('STUDENT SCREENING'!AA276,'SCORING MASTER'!$C$21:$C$23,0)),""))</f>
        <v/>
      </c>
      <c r="AC276" s="57" t="str">
        <f aca="false">IF('STUDENT SCREENING'!AB276="","",IFERROR(INDEX('SCORING MASTER'!$D$25:$D$27,MATCH('STUDENT SCREENING'!AB276,'SCORING MASTER'!$C$25:$C$27,0)),""))</f>
        <v/>
      </c>
      <c r="AD276" s="57" t="str">
        <f aca="false">IF('STUDENT SCREENING'!AC276="","",IFERROR(INDEX('SCORING MASTER'!$D$29:$D$31,MATCH('STUDENT SCREENING'!AC276,'SCORING MASTER'!$C$29:$C$31,0)),""))</f>
        <v/>
      </c>
      <c r="AE276" s="57" t="str">
        <f aca="false">IF('STUDENT SCREENING'!AD276="","",IFERROR(INDEX('SCORING MASTER'!$D$33:$D$35,MATCH('STUDENT SCREENING'!AD276,'SCORING MASTER'!$C$33:$C$35,0)),""))</f>
        <v/>
      </c>
      <c r="AF276" s="57" t="str">
        <f aca="false">IF('STUDENT SCREENING'!AE276="","",IFERROR(INDEX('SCORING MASTER'!$D$37:$D$39,MATCH('STUDENT SCREENING'!AE276,'SCORING MASTER'!$C$37:$C$39,0)),""))</f>
        <v/>
      </c>
      <c r="AG276" s="57" t="str">
        <f aca="false">IF('STUDENT SCREENING'!AF276="","",IFERROR(INDEX('SCORING MASTER'!$D$41:$D$43,MATCH('STUDENT SCREENING'!AF276,'SCORING MASTER'!$C$41:$C$43,0)),""))</f>
        <v/>
      </c>
      <c r="AH276" s="57" t="str">
        <f aca="false">IF('STUDENT SCREENING'!AG276="","",IFERROR(INDEX('SCORING MASTER'!$D$45:$D$47,MATCH('STUDENT SCREENING'!AG276,'SCORING MASTER'!$C$45:$C$47,0)),""))</f>
        <v/>
      </c>
      <c r="AI276" s="57" t="str">
        <f aca="false">IF('STUDENT SCREENING'!AH276="","",IFERROR(INDEX('SCORING MASTER'!$D$49:$D$52,MATCH('STUDENT SCREENING'!AH276,'SCORING MASTER'!$C$49:$C$52,0)),""))</f>
        <v/>
      </c>
      <c r="AJ276" s="57" t="str">
        <f aca="false">IF('STUDENT SCREENING'!AI276="","",IFERROR(INDEX('SCORING MASTER'!$D$54:$D$57,MATCH('STUDENT SCREENING'!AI276,'SCORING MASTER'!$C$54:$C$57,0)),""))</f>
        <v/>
      </c>
      <c r="AK276" s="57" t="str">
        <f aca="false">IF('STUDENT SCREENING'!AJ276="","",IFERROR(INDEX('SCORING MASTER'!$D$59:$D$60,MATCH('STUDENT SCREENING'!AJ276,'SCORING MASTER'!$C$59:$C$60,0)),""))</f>
        <v/>
      </c>
      <c r="AL276" s="57" t="str">
        <f aca="false">IF('STUDENT SCREENING'!AK276="","",IFERROR(INDEX('SCORING MASTER'!$D$62:$D$63,MATCH('STUDENT SCREENING'!AK276,'SCORING MASTER'!$C$62:$C$63,0)),""))</f>
        <v/>
      </c>
      <c r="AM276" s="57" t="str">
        <f aca="false">IF('STUDENT SCREENING'!AL276="","",IFERROR(INDEX('SCORING MASTER'!$D$65:$D$66,MATCH('STUDENT SCREENING'!AL276,'SCORING MASTER'!$C$65:$C$66,0)),""))</f>
        <v/>
      </c>
      <c r="AN276" s="57" t="str">
        <f aca="false">IF('STUDENT SCREENING'!AM276="","",IFERROR(INDEX('SCORING MASTER'!$D$68:$D$69,MATCH('STUDENT SCREENING'!AM276,'SCORING MASTER'!$C$68:$C$69,0)),""))</f>
        <v/>
      </c>
      <c r="AO276" s="57" t="str">
        <f aca="false">IF('STUDENT SCREENING'!AN276="","",IFERROR(INDEX('SCORING MASTER'!$D$71:$D$72,MATCH('STUDENT SCREENING'!AN276,'SCORING MASTER'!$C$71:$C$72,0)),""))</f>
        <v/>
      </c>
      <c r="AP276" s="57" t="str">
        <f aca="false">IF('STUDENT SCREENING'!AO276="","",IFERROR(INDEX('SCORING MASTER'!$D$74:$D$75,MATCH('STUDENT SCREENING'!AO276,'SCORING MASTER'!$C$74:$C$75,0)),""))</f>
        <v/>
      </c>
      <c r="AQ276" s="57" t="str">
        <f aca="false">IF('STUDENT SCREENING'!AP276="","",IFERROR(INDEX('SCORING MASTER'!$D$77:$D$78,MATCH('STUDENT SCREENING'!AP276,'SCORING MASTER'!$C$77:$C$78,0)),""))</f>
        <v/>
      </c>
      <c r="AR276" s="57" t="str">
        <f aca="false">IF('STUDENT SCREENING'!AQ276="","",IFERROR(INDEX('SCORING MASTER'!$D$80:$D$82,MATCH('STUDENT SCREENING'!AQ276,'SCORING MASTER'!$C$80:$C$82,0)),""))</f>
        <v/>
      </c>
      <c r="AS276" s="57" t="str">
        <f aca="false">IF('STUDENT SCREENING'!AR276="","",IFERROR(INDEX('SCORING MASTER'!$D$84:$D$86,MATCH('STUDENT SCREENING'!AR276,'SCORING MASTER'!$C$84:$C$86,0)),""))</f>
        <v/>
      </c>
      <c r="AT276" s="57" t="str">
        <f aca="false">IF('STUDENT SCREENING'!AS276="","",IFERROR(INDEX('SCORING MASTER'!$D$88:$D$90,MATCH('STUDENT SCREENING'!AS276,'SCORING MASTER'!$C$88:$C$90,0)),""))</f>
        <v/>
      </c>
      <c r="AU276" s="57" t="str">
        <f aca="false">IF('STUDENT SCREENING'!AT276="","",IFERROR(INDEX('SCORING MASTER'!$D$92:$D$93,MATCH('STUDENT SCREENING'!AT276,'SCORING MASTER'!$C$92:$C$93,0)),""))</f>
        <v/>
      </c>
      <c r="AV276" s="57" t="str">
        <f aca="false">IF('STUDENT SCREENING'!AU276="","",IFERROR(INDEX('SCORING MASTER'!$D$95:$D$96,MATCH('STUDENT SCREENING'!AU276,'SCORING MASTER'!$C$95:$C$96,0)),""))</f>
        <v/>
      </c>
      <c r="AW276" s="57" t="str">
        <f aca="false">IF('STUDENT SCREENING'!AV276="","",IFERROR(INDEX('SCORING MASTER'!$D$98:$D$99,MATCH('STUDENT SCREENING'!AV276,'SCORING MASTER'!$C$98:$C$99,0)),""))</f>
        <v/>
      </c>
      <c r="AX276" s="57" t="str">
        <f aca="false">IF('STUDENT SCREENING'!AW276="","",IFERROR(INDEX('SCORING MASTER'!$D$101:$D$102,MATCH('STUDENT SCREENING'!AW276,'SCORING MASTER'!$C$101:$C$102,0)),""))</f>
        <v/>
      </c>
      <c r="AY276" s="57" t="str">
        <f aca="false">IF('STUDENT SCREENING'!AX276="","",IFERROR(INDEX('SCORING MASTER'!$D$104:$D$105,MATCH('STUDENT SCREENING'!AX276,'SCORING MASTER'!$C$104:$C$105,0)),""))</f>
        <v/>
      </c>
      <c r="AZ276" s="57" t="str">
        <f aca="false">IF('STUDENT SCREENING'!AY276="","",IFERROR(INDEX('SCORING MASTER'!$D$107:$D$108,MATCH('STUDENT SCREENING'!AY276,'SCORING MASTER'!$C$107:$C$108,0)),""))</f>
        <v/>
      </c>
      <c r="BA276" s="57" t="str">
        <f aca="false">IF('STUDENT SCREENING'!AZ276="","",IFERROR(INDEX('SCORING MASTER'!$D$110:$D$111,MATCH('STUDENT SCREENING'!AZ276,'SCORING MASTER'!$C$110:$C$111,0)),""))</f>
        <v/>
      </c>
      <c r="BB276" s="57" t="str">
        <f aca="false">IF('STUDENT SCREENING'!BA276="","",IFERROR(INDEX('SCORING MASTER'!$D$113:$D$115,MATCH('STUDENT SCREENING'!BA276,'SCORING MASTER'!$C$113:$C$115,0)),""))</f>
        <v/>
      </c>
      <c r="BC276" s="57" t="str">
        <f aca="false">IF('STUDENT SCREENING'!BB276="","",IFERROR(INDEX('SCORING MASTER'!$D$117:$D$119,MATCH('STUDENT SCREENING'!BB276,'SCORING MASTER'!$C$117:$C$119,0)),""))</f>
        <v/>
      </c>
      <c r="BD276" s="57" t="str">
        <f aca="false">IF('STUDENT SCREENING'!BC276="","",IFERROR(INDEX('SCORING MASTER'!$D$121:$D$123,MATCH('STUDENT SCREENING'!BC276,'SCORING MASTER'!$C$121:$C$123,0)),""))</f>
        <v/>
      </c>
      <c r="BE276" s="57" t="str">
        <f aca="false">IF('STUDENT SCREENING'!BD276="","",IFERROR(INDEX('SCORING MASTER'!$D$125:$D$126,MATCH('STUDENT SCREENING'!BD276,'SCORING MASTER'!$C$125:$C$126,0)),""))</f>
        <v/>
      </c>
      <c r="BF276" s="57" t="str">
        <f aca="false">IF('STUDENT SCREENING'!BE276="","",IFERROR(INDEX('SCORING MASTER'!$D$128:$D$129,MATCH('STUDENT SCREENING'!BE276,'SCORING MASTER'!$C$128:$C$129,0)),""))</f>
        <v/>
      </c>
      <c r="BG276" s="57" t="str">
        <f aca="false">IF('STUDENT SCREENING'!BP276="","",IFERROR(MATCH('STUDENT SCREENING'!BP276,{"Red - High Risk","Orange - Moderate Risk","Yellow - Mild Risk","Light Green - Mild Watch","Green - Healthy"},0)-1,""))</f>
        <v/>
      </c>
      <c r="BH276" s="57" t="str">
        <f aca="false">IF('STUDENT SCREENING'!BQ276="","",IF('STUDENT SCREENING'!BQ276="Yes",1,0))</f>
        <v/>
      </c>
      <c r="BI276" s="57" t="str">
        <f aca="false">IF('STUDENT SCREENING'!BR276="","",IF('STUDENT SCREENING'!BR276="Yes",1,0))</f>
        <v/>
      </c>
    </row>
    <row r="277" customFormat="false" ht="15" hidden="false" customHeight="false" outlineLevel="0" collapsed="false">
      <c r="A277" s="58" t="str">
        <f aca="false">'STUDENT SCREENING'!A277</f>
        <v/>
      </c>
      <c r="B277" s="58" t="n">
        <f aca="false">'STUDENT SCREENING'!C277</f>
        <v>0</v>
      </c>
      <c r="C277" s="58" t="n">
        <f aca="false">'STUDENT SCREENING'!D277</f>
        <v>0</v>
      </c>
      <c r="D277" s="58" t="n">
        <f aca="false">'STUDENT SCREENING'!E277</f>
        <v>0</v>
      </c>
      <c r="E277" s="58" t="n">
        <f aca="false">'STUDENT SCREENING'!F277</f>
        <v>0</v>
      </c>
      <c r="F277" s="58" t="n">
        <f aca="false">'STUDENT SCREENING'!K277</f>
        <v>0</v>
      </c>
      <c r="G277" s="58" t="n">
        <f aca="false">'STUDENT SCREENING'!J277</f>
        <v>0</v>
      </c>
      <c r="H277" s="58" t="str">
        <f aca="false">IF('STUDENT SCREENING'!K277="","",IFERROR(MATCH('STUDENT SCREENING'!K277,Adm_Gender,0),""))</f>
        <v/>
      </c>
      <c r="I277" s="58" t="n">
        <f aca="false">'STUDENT SCREENING'!Q277</f>
        <v>0</v>
      </c>
      <c r="J277" s="58" t="n">
        <f aca="false">'STUDENT SCREENING'!R277</f>
        <v>0</v>
      </c>
      <c r="K277" s="58" t="str">
        <f aca="false">'STUDENT SCREENING'!S277</f>
        <v/>
      </c>
      <c r="L277" s="58" t="n">
        <f aca="false">'STUDENT SCREENING'!U277</f>
        <v>0</v>
      </c>
      <c r="M277" s="58" t="n">
        <f aca="false">'STUDENT SCREENING'!V277</f>
        <v>0</v>
      </c>
      <c r="N277" s="58" t="str">
        <f aca="false">'STUDENT SCREENING'!BF277</f>
        <v/>
      </c>
      <c r="O277" s="58" t="str">
        <f aca="false">'STUDENT SCREENING'!BG277</f>
        <v/>
      </c>
      <c r="P277" s="58" t="str">
        <f aca="false">'STUDENT SCREENING'!BH277</f>
        <v/>
      </c>
      <c r="Q277" s="58" t="str">
        <f aca="false">'STUDENT SCREENING'!BI277</f>
        <v/>
      </c>
      <c r="R277" s="58" t="str">
        <f aca="false">'STUDENT SCREENING'!BJ277</f>
        <v/>
      </c>
      <c r="S277" s="58" t="str">
        <f aca="false">'STUDENT SCREENING'!BK277</f>
        <v/>
      </c>
      <c r="T277" s="58" t="str">
        <f aca="false">'STUDENT SCREENING'!BL277</f>
        <v/>
      </c>
      <c r="U277" s="58" t="str">
        <f aca="false">'STUDENT SCREENING'!BM277</f>
        <v/>
      </c>
      <c r="V277" s="58" t="str">
        <f aca="false">'STUDENT SCREENING'!BN277</f>
        <v/>
      </c>
      <c r="W277" s="58" t="str">
        <f aca="false">'STUDENT SCREENING'!BO277</f>
        <v/>
      </c>
      <c r="X277" s="58" t="str">
        <f aca="false">IF('STUDENT SCREENING'!W277="","",IFERROR(INDEX('SCORING MASTER'!$D$5:$D$7,MATCH('STUDENT SCREENING'!W277,'SCORING MASTER'!$C$5:$C$7,0)),""))</f>
        <v/>
      </c>
      <c r="Y277" s="58" t="str">
        <f aca="false">IF('STUDENT SCREENING'!X277="","",IFERROR(INDEX('SCORING MASTER'!$D$9:$D$11,MATCH('STUDENT SCREENING'!X277,'SCORING MASTER'!$C$9:$C$11,0)),""))</f>
        <v/>
      </c>
      <c r="Z277" s="58" t="str">
        <f aca="false">IF('STUDENT SCREENING'!Y277="","",IFERROR(INDEX('SCORING MASTER'!$D$13:$D$15,MATCH('STUDENT SCREENING'!Y277,'SCORING MASTER'!$C$13:$C$15,0)),""))</f>
        <v/>
      </c>
      <c r="AA277" s="58" t="str">
        <f aca="false">IF('STUDENT SCREENING'!Z277="","",IFERROR(INDEX('SCORING MASTER'!$D$17:$D$19,MATCH('STUDENT SCREENING'!Z277,'SCORING MASTER'!$C$17:$C$19,0)),""))</f>
        <v/>
      </c>
      <c r="AB277" s="58" t="str">
        <f aca="false">IF('STUDENT SCREENING'!AA277="","",IFERROR(INDEX('SCORING MASTER'!$D$21:$D$23,MATCH('STUDENT SCREENING'!AA277,'SCORING MASTER'!$C$21:$C$23,0)),""))</f>
        <v/>
      </c>
      <c r="AC277" s="58" t="str">
        <f aca="false">IF('STUDENT SCREENING'!AB277="","",IFERROR(INDEX('SCORING MASTER'!$D$25:$D$27,MATCH('STUDENT SCREENING'!AB277,'SCORING MASTER'!$C$25:$C$27,0)),""))</f>
        <v/>
      </c>
      <c r="AD277" s="58" t="str">
        <f aca="false">IF('STUDENT SCREENING'!AC277="","",IFERROR(INDEX('SCORING MASTER'!$D$29:$D$31,MATCH('STUDENT SCREENING'!AC277,'SCORING MASTER'!$C$29:$C$31,0)),""))</f>
        <v/>
      </c>
      <c r="AE277" s="58" t="str">
        <f aca="false">IF('STUDENT SCREENING'!AD277="","",IFERROR(INDEX('SCORING MASTER'!$D$33:$D$35,MATCH('STUDENT SCREENING'!AD277,'SCORING MASTER'!$C$33:$C$35,0)),""))</f>
        <v/>
      </c>
      <c r="AF277" s="58" t="str">
        <f aca="false">IF('STUDENT SCREENING'!AE277="","",IFERROR(INDEX('SCORING MASTER'!$D$37:$D$39,MATCH('STUDENT SCREENING'!AE277,'SCORING MASTER'!$C$37:$C$39,0)),""))</f>
        <v/>
      </c>
      <c r="AG277" s="58" t="str">
        <f aca="false">IF('STUDENT SCREENING'!AF277="","",IFERROR(INDEX('SCORING MASTER'!$D$41:$D$43,MATCH('STUDENT SCREENING'!AF277,'SCORING MASTER'!$C$41:$C$43,0)),""))</f>
        <v/>
      </c>
      <c r="AH277" s="58" t="str">
        <f aca="false">IF('STUDENT SCREENING'!AG277="","",IFERROR(INDEX('SCORING MASTER'!$D$45:$D$47,MATCH('STUDENT SCREENING'!AG277,'SCORING MASTER'!$C$45:$C$47,0)),""))</f>
        <v/>
      </c>
      <c r="AI277" s="58" t="str">
        <f aca="false">IF('STUDENT SCREENING'!AH277="","",IFERROR(INDEX('SCORING MASTER'!$D$49:$D$52,MATCH('STUDENT SCREENING'!AH277,'SCORING MASTER'!$C$49:$C$52,0)),""))</f>
        <v/>
      </c>
      <c r="AJ277" s="58" t="str">
        <f aca="false">IF('STUDENT SCREENING'!AI277="","",IFERROR(INDEX('SCORING MASTER'!$D$54:$D$57,MATCH('STUDENT SCREENING'!AI277,'SCORING MASTER'!$C$54:$C$57,0)),""))</f>
        <v/>
      </c>
      <c r="AK277" s="58" t="str">
        <f aca="false">IF('STUDENT SCREENING'!AJ277="","",IFERROR(INDEX('SCORING MASTER'!$D$59:$D$60,MATCH('STUDENT SCREENING'!AJ277,'SCORING MASTER'!$C$59:$C$60,0)),""))</f>
        <v/>
      </c>
      <c r="AL277" s="58" t="str">
        <f aca="false">IF('STUDENT SCREENING'!AK277="","",IFERROR(INDEX('SCORING MASTER'!$D$62:$D$63,MATCH('STUDENT SCREENING'!AK277,'SCORING MASTER'!$C$62:$C$63,0)),""))</f>
        <v/>
      </c>
      <c r="AM277" s="58" t="str">
        <f aca="false">IF('STUDENT SCREENING'!AL277="","",IFERROR(INDEX('SCORING MASTER'!$D$65:$D$66,MATCH('STUDENT SCREENING'!AL277,'SCORING MASTER'!$C$65:$C$66,0)),""))</f>
        <v/>
      </c>
      <c r="AN277" s="58" t="str">
        <f aca="false">IF('STUDENT SCREENING'!AM277="","",IFERROR(INDEX('SCORING MASTER'!$D$68:$D$69,MATCH('STUDENT SCREENING'!AM277,'SCORING MASTER'!$C$68:$C$69,0)),""))</f>
        <v/>
      </c>
      <c r="AO277" s="58" t="str">
        <f aca="false">IF('STUDENT SCREENING'!AN277="","",IFERROR(INDEX('SCORING MASTER'!$D$71:$D$72,MATCH('STUDENT SCREENING'!AN277,'SCORING MASTER'!$C$71:$C$72,0)),""))</f>
        <v/>
      </c>
      <c r="AP277" s="58" t="str">
        <f aca="false">IF('STUDENT SCREENING'!AO277="","",IFERROR(INDEX('SCORING MASTER'!$D$74:$D$75,MATCH('STUDENT SCREENING'!AO277,'SCORING MASTER'!$C$74:$C$75,0)),""))</f>
        <v/>
      </c>
      <c r="AQ277" s="58" t="str">
        <f aca="false">IF('STUDENT SCREENING'!AP277="","",IFERROR(INDEX('SCORING MASTER'!$D$77:$D$78,MATCH('STUDENT SCREENING'!AP277,'SCORING MASTER'!$C$77:$C$78,0)),""))</f>
        <v/>
      </c>
      <c r="AR277" s="58" t="str">
        <f aca="false">IF('STUDENT SCREENING'!AQ277="","",IFERROR(INDEX('SCORING MASTER'!$D$80:$D$82,MATCH('STUDENT SCREENING'!AQ277,'SCORING MASTER'!$C$80:$C$82,0)),""))</f>
        <v/>
      </c>
      <c r="AS277" s="58" t="str">
        <f aca="false">IF('STUDENT SCREENING'!AR277="","",IFERROR(INDEX('SCORING MASTER'!$D$84:$D$86,MATCH('STUDENT SCREENING'!AR277,'SCORING MASTER'!$C$84:$C$86,0)),""))</f>
        <v/>
      </c>
      <c r="AT277" s="58" t="str">
        <f aca="false">IF('STUDENT SCREENING'!AS277="","",IFERROR(INDEX('SCORING MASTER'!$D$88:$D$90,MATCH('STUDENT SCREENING'!AS277,'SCORING MASTER'!$C$88:$C$90,0)),""))</f>
        <v/>
      </c>
      <c r="AU277" s="58" t="str">
        <f aca="false">IF('STUDENT SCREENING'!AT277="","",IFERROR(INDEX('SCORING MASTER'!$D$92:$D$93,MATCH('STUDENT SCREENING'!AT277,'SCORING MASTER'!$C$92:$C$93,0)),""))</f>
        <v/>
      </c>
      <c r="AV277" s="58" t="str">
        <f aca="false">IF('STUDENT SCREENING'!AU277="","",IFERROR(INDEX('SCORING MASTER'!$D$95:$D$96,MATCH('STUDENT SCREENING'!AU277,'SCORING MASTER'!$C$95:$C$96,0)),""))</f>
        <v/>
      </c>
      <c r="AW277" s="58" t="str">
        <f aca="false">IF('STUDENT SCREENING'!AV277="","",IFERROR(INDEX('SCORING MASTER'!$D$98:$D$99,MATCH('STUDENT SCREENING'!AV277,'SCORING MASTER'!$C$98:$C$99,0)),""))</f>
        <v/>
      </c>
      <c r="AX277" s="58" t="str">
        <f aca="false">IF('STUDENT SCREENING'!AW277="","",IFERROR(INDEX('SCORING MASTER'!$D$101:$D$102,MATCH('STUDENT SCREENING'!AW277,'SCORING MASTER'!$C$101:$C$102,0)),""))</f>
        <v/>
      </c>
      <c r="AY277" s="58" t="str">
        <f aca="false">IF('STUDENT SCREENING'!AX277="","",IFERROR(INDEX('SCORING MASTER'!$D$104:$D$105,MATCH('STUDENT SCREENING'!AX277,'SCORING MASTER'!$C$104:$C$105,0)),""))</f>
        <v/>
      </c>
      <c r="AZ277" s="58" t="str">
        <f aca="false">IF('STUDENT SCREENING'!AY277="","",IFERROR(INDEX('SCORING MASTER'!$D$107:$D$108,MATCH('STUDENT SCREENING'!AY277,'SCORING MASTER'!$C$107:$C$108,0)),""))</f>
        <v/>
      </c>
      <c r="BA277" s="58" t="str">
        <f aca="false">IF('STUDENT SCREENING'!AZ277="","",IFERROR(INDEX('SCORING MASTER'!$D$110:$D$111,MATCH('STUDENT SCREENING'!AZ277,'SCORING MASTER'!$C$110:$C$111,0)),""))</f>
        <v/>
      </c>
      <c r="BB277" s="58" t="str">
        <f aca="false">IF('STUDENT SCREENING'!BA277="","",IFERROR(INDEX('SCORING MASTER'!$D$113:$D$115,MATCH('STUDENT SCREENING'!BA277,'SCORING MASTER'!$C$113:$C$115,0)),""))</f>
        <v/>
      </c>
      <c r="BC277" s="58" t="str">
        <f aca="false">IF('STUDENT SCREENING'!BB277="","",IFERROR(INDEX('SCORING MASTER'!$D$117:$D$119,MATCH('STUDENT SCREENING'!BB277,'SCORING MASTER'!$C$117:$C$119,0)),""))</f>
        <v/>
      </c>
      <c r="BD277" s="58" t="str">
        <f aca="false">IF('STUDENT SCREENING'!BC277="","",IFERROR(INDEX('SCORING MASTER'!$D$121:$D$123,MATCH('STUDENT SCREENING'!BC277,'SCORING MASTER'!$C$121:$C$123,0)),""))</f>
        <v/>
      </c>
      <c r="BE277" s="58" t="str">
        <f aca="false">IF('STUDENT SCREENING'!BD277="","",IFERROR(INDEX('SCORING MASTER'!$D$125:$D$126,MATCH('STUDENT SCREENING'!BD277,'SCORING MASTER'!$C$125:$C$126,0)),""))</f>
        <v/>
      </c>
      <c r="BF277" s="58" t="str">
        <f aca="false">IF('STUDENT SCREENING'!BE277="","",IFERROR(INDEX('SCORING MASTER'!$D$128:$D$129,MATCH('STUDENT SCREENING'!BE277,'SCORING MASTER'!$C$128:$C$129,0)),""))</f>
        <v/>
      </c>
      <c r="BG277" s="58" t="str">
        <f aca="false">IF('STUDENT SCREENING'!BP277="","",IFERROR(MATCH('STUDENT SCREENING'!BP277,{"Red - High Risk","Orange - Moderate Risk","Yellow - Mild Risk","Light Green - Mild Watch","Green - Healthy"},0)-1,""))</f>
        <v/>
      </c>
      <c r="BH277" s="58" t="str">
        <f aca="false">IF('STUDENT SCREENING'!BQ277="","",IF('STUDENT SCREENING'!BQ277="Yes",1,0))</f>
        <v/>
      </c>
      <c r="BI277" s="58" t="str">
        <f aca="false">IF('STUDENT SCREENING'!BR277="","",IF('STUDENT SCREENING'!BR277="Yes",1,0))</f>
        <v/>
      </c>
    </row>
    <row r="278" customFormat="false" ht="15" hidden="false" customHeight="false" outlineLevel="0" collapsed="false">
      <c r="A278" s="57" t="str">
        <f aca="false">'STUDENT SCREENING'!A278</f>
        <v/>
      </c>
      <c r="B278" s="57" t="n">
        <f aca="false">'STUDENT SCREENING'!C278</f>
        <v>0</v>
      </c>
      <c r="C278" s="57" t="n">
        <f aca="false">'STUDENT SCREENING'!D278</f>
        <v>0</v>
      </c>
      <c r="D278" s="57" t="n">
        <f aca="false">'STUDENT SCREENING'!E278</f>
        <v>0</v>
      </c>
      <c r="E278" s="57" t="n">
        <f aca="false">'STUDENT SCREENING'!F278</f>
        <v>0</v>
      </c>
      <c r="F278" s="57" t="n">
        <f aca="false">'STUDENT SCREENING'!K278</f>
        <v>0</v>
      </c>
      <c r="G278" s="57" t="n">
        <f aca="false">'STUDENT SCREENING'!J278</f>
        <v>0</v>
      </c>
      <c r="H278" s="57" t="str">
        <f aca="false">IF('STUDENT SCREENING'!K278="","",IFERROR(MATCH('STUDENT SCREENING'!K278,Adm_Gender,0),""))</f>
        <v/>
      </c>
      <c r="I278" s="57" t="n">
        <f aca="false">'STUDENT SCREENING'!Q278</f>
        <v>0</v>
      </c>
      <c r="J278" s="57" t="n">
        <f aca="false">'STUDENT SCREENING'!R278</f>
        <v>0</v>
      </c>
      <c r="K278" s="57" t="str">
        <f aca="false">'STUDENT SCREENING'!S278</f>
        <v/>
      </c>
      <c r="L278" s="57" t="n">
        <f aca="false">'STUDENT SCREENING'!U278</f>
        <v>0</v>
      </c>
      <c r="M278" s="57" t="n">
        <f aca="false">'STUDENT SCREENING'!V278</f>
        <v>0</v>
      </c>
      <c r="N278" s="57" t="str">
        <f aca="false">'STUDENT SCREENING'!BF278</f>
        <v/>
      </c>
      <c r="O278" s="57" t="str">
        <f aca="false">'STUDENT SCREENING'!BG278</f>
        <v/>
      </c>
      <c r="P278" s="57" t="str">
        <f aca="false">'STUDENT SCREENING'!BH278</f>
        <v/>
      </c>
      <c r="Q278" s="57" t="str">
        <f aca="false">'STUDENT SCREENING'!BI278</f>
        <v/>
      </c>
      <c r="R278" s="57" t="str">
        <f aca="false">'STUDENT SCREENING'!BJ278</f>
        <v/>
      </c>
      <c r="S278" s="57" t="str">
        <f aca="false">'STUDENT SCREENING'!BK278</f>
        <v/>
      </c>
      <c r="T278" s="57" t="str">
        <f aca="false">'STUDENT SCREENING'!BL278</f>
        <v/>
      </c>
      <c r="U278" s="57" t="str">
        <f aca="false">'STUDENT SCREENING'!BM278</f>
        <v/>
      </c>
      <c r="V278" s="57" t="str">
        <f aca="false">'STUDENT SCREENING'!BN278</f>
        <v/>
      </c>
      <c r="W278" s="57" t="str">
        <f aca="false">'STUDENT SCREENING'!BO278</f>
        <v/>
      </c>
      <c r="X278" s="57" t="str">
        <f aca="false">IF('STUDENT SCREENING'!W278="","",IFERROR(INDEX('SCORING MASTER'!$D$5:$D$7,MATCH('STUDENT SCREENING'!W278,'SCORING MASTER'!$C$5:$C$7,0)),""))</f>
        <v/>
      </c>
      <c r="Y278" s="57" t="str">
        <f aca="false">IF('STUDENT SCREENING'!X278="","",IFERROR(INDEX('SCORING MASTER'!$D$9:$D$11,MATCH('STUDENT SCREENING'!X278,'SCORING MASTER'!$C$9:$C$11,0)),""))</f>
        <v/>
      </c>
      <c r="Z278" s="57" t="str">
        <f aca="false">IF('STUDENT SCREENING'!Y278="","",IFERROR(INDEX('SCORING MASTER'!$D$13:$D$15,MATCH('STUDENT SCREENING'!Y278,'SCORING MASTER'!$C$13:$C$15,0)),""))</f>
        <v/>
      </c>
      <c r="AA278" s="57" t="str">
        <f aca="false">IF('STUDENT SCREENING'!Z278="","",IFERROR(INDEX('SCORING MASTER'!$D$17:$D$19,MATCH('STUDENT SCREENING'!Z278,'SCORING MASTER'!$C$17:$C$19,0)),""))</f>
        <v/>
      </c>
      <c r="AB278" s="57" t="str">
        <f aca="false">IF('STUDENT SCREENING'!AA278="","",IFERROR(INDEX('SCORING MASTER'!$D$21:$D$23,MATCH('STUDENT SCREENING'!AA278,'SCORING MASTER'!$C$21:$C$23,0)),""))</f>
        <v/>
      </c>
      <c r="AC278" s="57" t="str">
        <f aca="false">IF('STUDENT SCREENING'!AB278="","",IFERROR(INDEX('SCORING MASTER'!$D$25:$D$27,MATCH('STUDENT SCREENING'!AB278,'SCORING MASTER'!$C$25:$C$27,0)),""))</f>
        <v/>
      </c>
      <c r="AD278" s="57" t="str">
        <f aca="false">IF('STUDENT SCREENING'!AC278="","",IFERROR(INDEX('SCORING MASTER'!$D$29:$D$31,MATCH('STUDENT SCREENING'!AC278,'SCORING MASTER'!$C$29:$C$31,0)),""))</f>
        <v/>
      </c>
      <c r="AE278" s="57" t="str">
        <f aca="false">IF('STUDENT SCREENING'!AD278="","",IFERROR(INDEX('SCORING MASTER'!$D$33:$D$35,MATCH('STUDENT SCREENING'!AD278,'SCORING MASTER'!$C$33:$C$35,0)),""))</f>
        <v/>
      </c>
      <c r="AF278" s="57" t="str">
        <f aca="false">IF('STUDENT SCREENING'!AE278="","",IFERROR(INDEX('SCORING MASTER'!$D$37:$D$39,MATCH('STUDENT SCREENING'!AE278,'SCORING MASTER'!$C$37:$C$39,0)),""))</f>
        <v/>
      </c>
      <c r="AG278" s="57" t="str">
        <f aca="false">IF('STUDENT SCREENING'!AF278="","",IFERROR(INDEX('SCORING MASTER'!$D$41:$D$43,MATCH('STUDENT SCREENING'!AF278,'SCORING MASTER'!$C$41:$C$43,0)),""))</f>
        <v/>
      </c>
      <c r="AH278" s="57" t="str">
        <f aca="false">IF('STUDENT SCREENING'!AG278="","",IFERROR(INDEX('SCORING MASTER'!$D$45:$D$47,MATCH('STUDENT SCREENING'!AG278,'SCORING MASTER'!$C$45:$C$47,0)),""))</f>
        <v/>
      </c>
      <c r="AI278" s="57" t="str">
        <f aca="false">IF('STUDENT SCREENING'!AH278="","",IFERROR(INDEX('SCORING MASTER'!$D$49:$D$52,MATCH('STUDENT SCREENING'!AH278,'SCORING MASTER'!$C$49:$C$52,0)),""))</f>
        <v/>
      </c>
      <c r="AJ278" s="57" t="str">
        <f aca="false">IF('STUDENT SCREENING'!AI278="","",IFERROR(INDEX('SCORING MASTER'!$D$54:$D$57,MATCH('STUDENT SCREENING'!AI278,'SCORING MASTER'!$C$54:$C$57,0)),""))</f>
        <v/>
      </c>
      <c r="AK278" s="57" t="str">
        <f aca="false">IF('STUDENT SCREENING'!AJ278="","",IFERROR(INDEX('SCORING MASTER'!$D$59:$D$60,MATCH('STUDENT SCREENING'!AJ278,'SCORING MASTER'!$C$59:$C$60,0)),""))</f>
        <v/>
      </c>
      <c r="AL278" s="57" t="str">
        <f aca="false">IF('STUDENT SCREENING'!AK278="","",IFERROR(INDEX('SCORING MASTER'!$D$62:$D$63,MATCH('STUDENT SCREENING'!AK278,'SCORING MASTER'!$C$62:$C$63,0)),""))</f>
        <v/>
      </c>
      <c r="AM278" s="57" t="str">
        <f aca="false">IF('STUDENT SCREENING'!AL278="","",IFERROR(INDEX('SCORING MASTER'!$D$65:$D$66,MATCH('STUDENT SCREENING'!AL278,'SCORING MASTER'!$C$65:$C$66,0)),""))</f>
        <v/>
      </c>
      <c r="AN278" s="57" t="str">
        <f aca="false">IF('STUDENT SCREENING'!AM278="","",IFERROR(INDEX('SCORING MASTER'!$D$68:$D$69,MATCH('STUDENT SCREENING'!AM278,'SCORING MASTER'!$C$68:$C$69,0)),""))</f>
        <v/>
      </c>
      <c r="AO278" s="57" t="str">
        <f aca="false">IF('STUDENT SCREENING'!AN278="","",IFERROR(INDEX('SCORING MASTER'!$D$71:$D$72,MATCH('STUDENT SCREENING'!AN278,'SCORING MASTER'!$C$71:$C$72,0)),""))</f>
        <v/>
      </c>
      <c r="AP278" s="57" t="str">
        <f aca="false">IF('STUDENT SCREENING'!AO278="","",IFERROR(INDEX('SCORING MASTER'!$D$74:$D$75,MATCH('STUDENT SCREENING'!AO278,'SCORING MASTER'!$C$74:$C$75,0)),""))</f>
        <v/>
      </c>
      <c r="AQ278" s="57" t="str">
        <f aca="false">IF('STUDENT SCREENING'!AP278="","",IFERROR(INDEX('SCORING MASTER'!$D$77:$D$78,MATCH('STUDENT SCREENING'!AP278,'SCORING MASTER'!$C$77:$C$78,0)),""))</f>
        <v/>
      </c>
      <c r="AR278" s="57" t="str">
        <f aca="false">IF('STUDENT SCREENING'!AQ278="","",IFERROR(INDEX('SCORING MASTER'!$D$80:$D$82,MATCH('STUDENT SCREENING'!AQ278,'SCORING MASTER'!$C$80:$C$82,0)),""))</f>
        <v/>
      </c>
      <c r="AS278" s="57" t="str">
        <f aca="false">IF('STUDENT SCREENING'!AR278="","",IFERROR(INDEX('SCORING MASTER'!$D$84:$D$86,MATCH('STUDENT SCREENING'!AR278,'SCORING MASTER'!$C$84:$C$86,0)),""))</f>
        <v/>
      </c>
      <c r="AT278" s="57" t="str">
        <f aca="false">IF('STUDENT SCREENING'!AS278="","",IFERROR(INDEX('SCORING MASTER'!$D$88:$D$90,MATCH('STUDENT SCREENING'!AS278,'SCORING MASTER'!$C$88:$C$90,0)),""))</f>
        <v/>
      </c>
      <c r="AU278" s="57" t="str">
        <f aca="false">IF('STUDENT SCREENING'!AT278="","",IFERROR(INDEX('SCORING MASTER'!$D$92:$D$93,MATCH('STUDENT SCREENING'!AT278,'SCORING MASTER'!$C$92:$C$93,0)),""))</f>
        <v/>
      </c>
      <c r="AV278" s="57" t="str">
        <f aca="false">IF('STUDENT SCREENING'!AU278="","",IFERROR(INDEX('SCORING MASTER'!$D$95:$D$96,MATCH('STUDENT SCREENING'!AU278,'SCORING MASTER'!$C$95:$C$96,0)),""))</f>
        <v/>
      </c>
      <c r="AW278" s="57" t="str">
        <f aca="false">IF('STUDENT SCREENING'!AV278="","",IFERROR(INDEX('SCORING MASTER'!$D$98:$D$99,MATCH('STUDENT SCREENING'!AV278,'SCORING MASTER'!$C$98:$C$99,0)),""))</f>
        <v/>
      </c>
      <c r="AX278" s="57" t="str">
        <f aca="false">IF('STUDENT SCREENING'!AW278="","",IFERROR(INDEX('SCORING MASTER'!$D$101:$D$102,MATCH('STUDENT SCREENING'!AW278,'SCORING MASTER'!$C$101:$C$102,0)),""))</f>
        <v/>
      </c>
      <c r="AY278" s="57" t="str">
        <f aca="false">IF('STUDENT SCREENING'!AX278="","",IFERROR(INDEX('SCORING MASTER'!$D$104:$D$105,MATCH('STUDENT SCREENING'!AX278,'SCORING MASTER'!$C$104:$C$105,0)),""))</f>
        <v/>
      </c>
      <c r="AZ278" s="57" t="str">
        <f aca="false">IF('STUDENT SCREENING'!AY278="","",IFERROR(INDEX('SCORING MASTER'!$D$107:$D$108,MATCH('STUDENT SCREENING'!AY278,'SCORING MASTER'!$C$107:$C$108,0)),""))</f>
        <v/>
      </c>
      <c r="BA278" s="57" t="str">
        <f aca="false">IF('STUDENT SCREENING'!AZ278="","",IFERROR(INDEX('SCORING MASTER'!$D$110:$D$111,MATCH('STUDENT SCREENING'!AZ278,'SCORING MASTER'!$C$110:$C$111,0)),""))</f>
        <v/>
      </c>
      <c r="BB278" s="57" t="str">
        <f aca="false">IF('STUDENT SCREENING'!BA278="","",IFERROR(INDEX('SCORING MASTER'!$D$113:$D$115,MATCH('STUDENT SCREENING'!BA278,'SCORING MASTER'!$C$113:$C$115,0)),""))</f>
        <v/>
      </c>
      <c r="BC278" s="57" t="str">
        <f aca="false">IF('STUDENT SCREENING'!BB278="","",IFERROR(INDEX('SCORING MASTER'!$D$117:$D$119,MATCH('STUDENT SCREENING'!BB278,'SCORING MASTER'!$C$117:$C$119,0)),""))</f>
        <v/>
      </c>
      <c r="BD278" s="57" t="str">
        <f aca="false">IF('STUDENT SCREENING'!BC278="","",IFERROR(INDEX('SCORING MASTER'!$D$121:$D$123,MATCH('STUDENT SCREENING'!BC278,'SCORING MASTER'!$C$121:$C$123,0)),""))</f>
        <v/>
      </c>
      <c r="BE278" s="57" t="str">
        <f aca="false">IF('STUDENT SCREENING'!BD278="","",IFERROR(INDEX('SCORING MASTER'!$D$125:$D$126,MATCH('STUDENT SCREENING'!BD278,'SCORING MASTER'!$C$125:$C$126,0)),""))</f>
        <v/>
      </c>
      <c r="BF278" s="57" t="str">
        <f aca="false">IF('STUDENT SCREENING'!BE278="","",IFERROR(INDEX('SCORING MASTER'!$D$128:$D$129,MATCH('STUDENT SCREENING'!BE278,'SCORING MASTER'!$C$128:$C$129,0)),""))</f>
        <v/>
      </c>
      <c r="BG278" s="57" t="str">
        <f aca="false">IF('STUDENT SCREENING'!BP278="","",IFERROR(MATCH('STUDENT SCREENING'!BP278,{"Red - High Risk","Orange - Moderate Risk","Yellow - Mild Risk","Light Green - Mild Watch","Green - Healthy"},0)-1,""))</f>
        <v/>
      </c>
      <c r="BH278" s="57" t="str">
        <f aca="false">IF('STUDENT SCREENING'!BQ278="","",IF('STUDENT SCREENING'!BQ278="Yes",1,0))</f>
        <v/>
      </c>
      <c r="BI278" s="57" t="str">
        <f aca="false">IF('STUDENT SCREENING'!BR278="","",IF('STUDENT SCREENING'!BR278="Yes",1,0))</f>
        <v/>
      </c>
    </row>
    <row r="279" customFormat="false" ht="15" hidden="false" customHeight="false" outlineLevel="0" collapsed="false">
      <c r="A279" s="58" t="str">
        <f aca="false">'STUDENT SCREENING'!A279</f>
        <v/>
      </c>
      <c r="B279" s="58" t="n">
        <f aca="false">'STUDENT SCREENING'!C279</f>
        <v>0</v>
      </c>
      <c r="C279" s="58" t="n">
        <f aca="false">'STUDENT SCREENING'!D279</f>
        <v>0</v>
      </c>
      <c r="D279" s="58" t="n">
        <f aca="false">'STUDENT SCREENING'!E279</f>
        <v>0</v>
      </c>
      <c r="E279" s="58" t="n">
        <f aca="false">'STUDENT SCREENING'!F279</f>
        <v>0</v>
      </c>
      <c r="F279" s="58" t="n">
        <f aca="false">'STUDENT SCREENING'!K279</f>
        <v>0</v>
      </c>
      <c r="G279" s="58" t="n">
        <f aca="false">'STUDENT SCREENING'!J279</f>
        <v>0</v>
      </c>
      <c r="H279" s="58" t="str">
        <f aca="false">IF('STUDENT SCREENING'!K279="","",IFERROR(MATCH('STUDENT SCREENING'!K279,Adm_Gender,0),""))</f>
        <v/>
      </c>
      <c r="I279" s="58" t="n">
        <f aca="false">'STUDENT SCREENING'!Q279</f>
        <v>0</v>
      </c>
      <c r="J279" s="58" t="n">
        <f aca="false">'STUDENT SCREENING'!R279</f>
        <v>0</v>
      </c>
      <c r="K279" s="58" t="str">
        <f aca="false">'STUDENT SCREENING'!S279</f>
        <v/>
      </c>
      <c r="L279" s="58" t="n">
        <f aca="false">'STUDENT SCREENING'!U279</f>
        <v>0</v>
      </c>
      <c r="M279" s="58" t="n">
        <f aca="false">'STUDENT SCREENING'!V279</f>
        <v>0</v>
      </c>
      <c r="N279" s="58" t="str">
        <f aca="false">'STUDENT SCREENING'!BF279</f>
        <v/>
      </c>
      <c r="O279" s="58" t="str">
        <f aca="false">'STUDENT SCREENING'!BG279</f>
        <v/>
      </c>
      <c r="P279" s="58" t="str">
        <f aca="false">'STUDENT SCREENING'!BH279</f>
        <v/>
      </c>
      <c r="Q279" s="58" t="str">
        <f aca="false">'STUDENT SCREENING'!BI279</f>
        <v/>
      </c>
      <c r="R279" s="58" t="str">
        <f aca="false">'STUDENT SCREENING'!BJ279</f>
        <v/>
      </c>
      <c r="S279" s="58" t="str">
        <f aca="false">'STUDENT SCREENING'!BK279</f>
        <v/>
      </c>
      <c r="T279" s="58" t="str">
        <f aca="false">'STUDENT SCREENING'!BL279</f>
        <v/>
      </c>
      <c r="U279" s="58" t="str">
        <f aca="false">'STUDENT SCREENING'!BM279</f>
        <v/>
      </c>
      <c r="V279" s="58" t="str">
        <f aca="false">'STUDENT SCREENING'!BN279</f>
        <v/>
      </c>
      <c r="W279" s="58" t="str">
        <f aca="false">'STUDENT SCREENING'!BO279</f>
        <v/>
      </c>
      <c r="X279" s="58" t="str">
        <f aca="false">IF('STUDENT SCREENING'!W279="","",IFERROR(INDEX('SCORING MASTER'!$D$5:$D$7,MATCH('STUDENT SCREENING'!W279,'SCORING MASTER'!$C$5:$C$7,0)),""))</f>
        <v/>
      </c>
      <c r="Y279" s="58" t="str">
        <f aca="false">IF('STUDENT SCREENING'!X279="","",IFERROR(INDEX('SCORING MASTER'!$D$9:$D$11,MATCH('STUDENT SCREENING'!X279,'SCORING MASTER'!$C$9:$C$11,0)),""))</f>
        <v/>
      </c>
      <c r="Z279" s="58" t="str">
        <f aca="false">IF('STUDENT SCREENING'!Y279="","",IFERROR(INDEX('SCORING MASTER'!$D$13:$D$15,MATCH('STUDENT SCREENING'!Y279,'SCORING MASTER'!$C$13:$C$15,0)),""))</f>
        <v/>
      </c>
      <c r="AA279" s="58" t="str">
        <f aca="false">IF('STUDENT SCREENING'!Z279="","",IFERROR(INDEX('SCORING MASTER'!$D$17:$D$19,MATCH('STUDENT SCREENING'!Z279,'SCORING MASTER'!$C$17:$C$19,0)),""))</f>
        <v/>
      </c>
      <c r="AB279" s="58" t="str">
        <f aca="false">IF('STUDENT SCREENING'!AA279="","",IFERROR(INDEX('SCORING MASTER'!$D$21:$D$23,MATCH('STUDENT SCREENING'!AA279,'SCORING MASTER'!$C$21:$C$23,0)),""))</f>
        <v/>
      </c>
      <c r="AC279" s="58" t="str">
        <f aca="false">IF('STUDENT SCREENING'!AB279="","",IFERROR(INDEX('SCORING MASTER'!$D$25:$D$27,MATCH('STUDENT SCREENING'!AB279,'SCORING MASTER'!$C$25:$C$27,0)),""))</f>
        <v/>
      </c>
      <c r="AD279" s="58" t="str">
        <f aca="false">IF('STUDENT SCREENING'!AC279="","",IFERROR(INDEX('SCORING MASTER'!$D$29:$D$31,MATCH('STUDENT SCREENING'!AC279,'SCORING MASTER'!$C$29:$C$31,0)),""))</f>
        <v/>
      </c>
      <c r="AE279" s="58" t="str">
        <f aca="false">IF('STUDENT SCREENING'!AD279="","",IFERROR(INDEX('SCORING MASTER'!$D$33:$D$35,MATCH('STUDENT SCREENING'!AD279,'SCORING MASTER'!$C$33:$C$35,0)),""))</f>
        <v/>
      </c>
      <c r="AF279" s="58" t="str">
        <f aca="false">IF('STUDENT SCREENING'!AE279="","",IFERROR(INDEX('SCORING MASTER'!$D$37:$D$39,MATCH('STUDENT SCREENING'!AE279,'SCORING MASTER'!$C$37:$C$39,0)),""))</f>
        <v/>
      </c>
      <c r="AG279" s="58" t="str">
        <f aca="false">IF('STUDENT SCREENING'!AF279="","",IFERROR(INDEX('SCORING MASTER'!$D$41:$D$43,MATCH('STUDENT SCREENING'!AF279,'SCORING MASTER'!$C$41:$C$43,0)),""))</f>
        <v/>
      </c>
      <c r="AH279" s="58" t="str">
        <f aca="false">IF('STUDENT SCREENING'!AG279="","",IFERROR(INDEX('SCORING MASTER'!$D$45:$D$47,MATCH('STUDENT SCREENING'!AG279,'SCORING MASTER'!$C$45:$C$47,0)),""))</f>
        <v/>
      </c>
      <c r="AI279" s="58" t="str">
        <f aca="false">IF('STUDENT SCREENING'!AH279="","",IFERROR(INDEX('SCORING MASTER'!$D$49:$D$52,MATCH('STUDENT SCREENING'!AH279,'SCORING MASTER'!$C$49:$C$52,0)),""))</f>
        <v/>
      </c>
      <c r="AJ279" s="58" t="str">
        <f aca="false">IF('STUDENT SCREENING'!AI279="","",IFERROR(INDEX('SCORING MASTER'!$D$54:$D$57,MATCH('STUDENT SCREENING'!AI279,'SCORING MASTER'!$C$54:$C$57,0)),""))</f>
        <v/>
      </c>
      <c r="AK279" s="58" t="str">
        <f aca="false">IF('STUDENT SCREENING'!AJ279="","",IFERROR(INDEX('SCORING MASTER'!$D$59:$D$60,MATCH('STUDENT SCREENING'!AJ279,'SCORING MASTER'!$C$59:$C$60,0)),""))</f>
        <v/>
      </c>
      <c r="AL279" s="58" t="str">
        <f aca="false">IF('STUDENT SCREENING'!AK279="","",IFERROR(INDEX('SCORING MASTER'!$D$62:$D$63,MATCH('STUDENT SCREENING'!AK279,'SCORING MASTER'!$C$62:$C$63,0)),""))</f>
        <v/>
      </c>
      <c r="AM279" s="58" t="str">
        <f aca="false">IF('STUDENT SCREENING'!AL279="","",IFERROR(INDEX('SCORING MASTER'!$D$65:$D$66,MATCH('STUDENT SCREENING'!AL279,'SCORING MASTER'!$C$65:$C$66,0)),""))</f>
        <v/>
      </c>
      <c r="AN279" s="58" t="str">
        <f aca="false">IF('STUDENT SCREENING'!AM279="","",IFERROR(INDEX('SCORING MASTER'!$D$68:$D$69,MATCH('STUDENT SCREENING'!AM279,'SCORING MASTER'!$C$68:$C$69,0)),""))</f>
        <v/>
      </c>
      <c r="AO279" s="58" t="str">
        <f aca="false">IF('STUDENT SCREENING'!AN279="","",IFERROR(INDEX('SCORING MASTER'!$D$71:$D$72,MATCH('STUDENT SCREENING'!AN279,'SCORING MASTER'!$C$71:$C$72,0)),""))</f>
        <v/>
      </c>
      <c r="AP279" s="58" t="str">
        <f aca="false">IF('STUDENT SCREENING'!AO279="","",IFERROR(INDEX('SCORING MASTER'!$D$74:$D$75,MATCH('STUDENT SCREENING'!AO279,'SCORING MASTER'!$C$74:$C$75,0)),""))</f>
        <v/>
      </c>
      <c r="AQ279" s="58" t="str">
        <f aca="false">IF('STUDENT SCREENING'!AP279="","",IFERROR(INDEX('SCORING MASTER'!$D$77:$D$78,MATCH('STUDENT SCREENING'!AP279,'SCORING MASTER'!$C$77:$C$78,0)),""))</f>
        <v/>
      </c>
      <c r="AR279" s="58" t="str">
        <f aca="false">IF('STUDENT SCREENING'!AQ279="","",IFERROR(INDEX('SCORING MASTER'!$D$80:$D$82,MATCH('STUDENT SCREENING'!AQ279,'SCORING MASTER'!$C$80:$C$82,0)),""))</f>
        <v/>
      </c>
      <c r="AS279" s="58" t="str">
        <f aca="false">IF('STUDENT SCREENING'!AR279="","",IFERROR(INDEX('SCORING MASTER'!$D$84:$D$86,MATCH('STUDENT SCREENING'!AR279,'SCORING MASTER'!$C$84:$C$86,0)),""))</f>
        <v/>
      </c>
      <c r="AT279" s="58" t="str">
        <f aca="false">IF('STUDENT SCREENING'!AS279="","",IFERROR(INDEX('SCORING MASTER'!$D$88:$D$90,MATCH('STUDENT SCREENING'!AS279,'SCORING MASTER'!$C$88:$C$90,0)),""))</f>
        <v/>
      </c>
      <c r="AU279" s="58" t="str">
        <f aca="false">IF('STUDENT SCREENING'!AT279="","",IFERROR(INDEX('SCORING MASTER'!$D$92:$D$93,MATCH('STUDENT SCREENING'!AT279,'SCORING MASTER'!$C$92:$C$93,0)),""))</f>
        <v/>
      </c>
      <c r="AV279" s="58" t="str">
        <f aca="false">IF('STUDENT SCREENING'!AU279="","",IFERROR(INDEX('SCORING MASTER'!$D$95:$D$96,MATCH('STUDENT SCREENING'!AU279,'SCORING MASTER'!$C$95:$C$96,0)),""))</f>
        <v/>
      </c>
      <c r="AW279" s="58" t="str">
        <f aca="false">IF('STUDENT SCREENING'!AV279="","",IFERROR(INDEX('SCORING MASTER'!$D$98:$D$99,MATCH('STUDENT SCREENING'!AV279,'SCORING MASTER'!$C$98:$C$99,0)),""))</f>
        <v/>
      </c>
      <c r="AX279" s="58" t="str">
        <f aca="false">IF('STUDENT SCREENING'!AW279="","",IFERROR(INDEX('SCORING MASTER'!$D$101:$D$102,MATCH('STUDENT SCREENING'!AW279,'SCORING MASTER'!$C$101:$C$102,0)),""))</f>
        <v/>
      </c>
      <c r="AY279" s="58" t="str">
        <f aca="false">IF('STUDENT SCREENING'!AX279="","",IFERROR(INDEX('SCORING MASTER'!$D$104:$D$105,MATCH('STUDENT SCREENING'!AX279,'SCORING MASTER'!$C$104:$C$105,0)),""))</f>
        <v/>
      </c>
      <c r="AZ279" s="58" t="str">
        <f aca="false">IF('STUDENT SCREENING'!AY279="","",IFERROR(INDEX('SCORING MASTER'!$D$107:$D$108,MATCH('STUDENT SCREENING'!AY279,'SCORING MASTER'!$C$107:$C$108,0)),""))</f>
        <v/>
      </c>
      <c r="BA279" s="58" t="str">
        <f aca="false">IF('STUDENT SCREENING'!AZ279="","",IFERROR(INDEX('SCORING MASTER'!$D$110:$D$111,MATCH('STUDENT SCREENING'!AZ279,'SCORING MASTER'!$C$110:$C$111,0)),""))</f>
        <v/>
      </c>
      <c r="BB279" s="58" t="str">
        <f aca="false">IF('STUDENT SCREENING'!BA279="","",IFERROR(INDEX('SCORING MASTER'!$D$113:$D$115,MATCH('STUDENT SCREENING'!BA279,'SCORING MASTER'!$C$113:$C$115,0)),""))</f>
        <v/>
      </c>
      <c r="BC279" s="58" t="str">
        <f aca="false">IF('STUDENT SCREENING'!BB279="","",IFERROR(INDEX('SCORING MASTER'!$D$117:$D$119,MATCH('STUDENT SCREENING'!BB279,'SCORING MASTER'!$C$117:$C$119,0)),""))</f>
        <v/>
      </c>
      <c r="BD279" s="58" t="str">
        <f aca="false">IF('STUDENT SCREENING'!BC279="","",IFERROR(INDEX('SCORING MASTER'!$D$121:$D$123,MATCH('STUDENT SCREENING'!BC279,'SCORING MASTER'!$C$121:$C$123,0)),""))</f>
        <v/>
      </c>
      <c r="BE279" s="58" t="str">
        <f aca="false">IF('STUDENT SCREENING'!BD279="","",IFERROR(INDEX('SCORING MASTER'!$D$125:$D$126,MATCH('STUDENT SCREENING'!BD279,'SCORING MASTER'!$C$125:$C$126,0)),""))</f>
        <v/>
      </c>
      <c r="BF279" s="58" t="str">
        <f aca="false">IF('STUDENT SCREENING'!BE279="","",IFERROR(INDEX('SCORING MASTER'!$D$128:$D$129,MATCH('STUDENT SCREENING'!BE279,'SCORING MASTER'!$C$128:$C$129,0)),""))</f>
        <v/>
      </c>
      <c r="BG279" s="58" t="str">
        <f aca="false">IF('STUDENT SCREENING'!BP279="","",IFERROR(MATCH('STUDENT SCREENING'!BP279,{"Red - High Risk","Orange - Moderate Risk","Yellow - Mild Risk","Light Green - Mild Watch","Green - Healthy"},0)-1,""))</f>
        <v/>
      </c>
      <c r="BH279" s="58" t="str">
        <f aca="false">IF('STUDENT SCREENING'!BQ279="","",IF('STUDENT SCREENING'!BQ279="Yes",1,0))</f>
        <v/>
      </c>
      <c r="BI279" s="58" t="str">
        <f aca="false">IF('STUDENT SCREENING'!BR279="","",IF('STUDENT SCREENING'!BR279="Yes",1,0))</f>
        <v/>
      </c>
    </row>
    <row r="280" customFormat="false" ht="15" hidden="false" customHeight="false" outlineLevel="0" collapsed="false">
      <c r="A280" s="57" t="str">
        <f aca="false">'STUDENT SCREENING'!A280</f>
        <v/>
      </c>
      <c r="B280" s="57" t="n">
        <f aca="false">'STUDENT SCREENING'!C280</f>
        <v>0</v>
      </c>
      <c r="C280" s="57" t="n">
        <f aca="false">'STUDENT SCREENING'!D280</f>
        <v>0</v>
      </c>
      <c r="D280" s="57" t="n">
        <f aca="false">'STUDENT SCREENING'!E280</f>
        <v>0</v>
      </c>
      <c r="E280" s="57" t="n">
        <f aca="false">'STUDENT SCREENING'!F280</f>
        <v>0</v>
      </c>
      <c r="F280" s="57" t="n">
        <f aca="false">'STUDENT SCREENING'!K280</f>
        <v>0</v>
      </c>
      <c r="G280" s="57" t="n">
        <f aca="false">'STUDENT SCREENING'!J280</f>
        <v>0</v>
      </c>
      <c r="H280" s="57" t="str">
        <f aca="false">IF('STUDENT SCREENING'!K280="","",IFERROR(MATCH('STUDENT SCREENING'!K280,Adm_Gender,0),""))</f>
        <v/>
      </c>
      <c r="I280" s="57" t="n">
        <f aca="false">'STUDENT SCREENING'!Q280</f>
        <v>0</v>
      </c>
      <c r="J280" s="57" t="n">
        <f aca="false">'STUDENT SCREENING'!R280</f>
        <v>0</v>
      </c>
      <c r="K280" s="57" t="str">
        <f aca="false">'STUDENT SCREENING'!S280</f>
        <v/>
      </c>
      <c r="L280" s="57" t="n">
        <f aca="false">'STUDENT SCREENING'!U280</f>
        <v>0</v>
      </c>
      <c r="M280" s="57" t="n">
        <f aca="false">'STUDENT SCREENING'!V280</f>
        <v>0</v>
      </c>
      <c r="N280" s="57" t="str">
        <f aca="false">'STUDENT SCREENING'!BF280</f>
        <v/>
      </c>
      <c r="O280" s="57" t="str">
        <f aca="false">'STUDENT SCREENING'!BG280</f>
        <v/>
      </c>
      <c r="P280" s="57" t="str">
        <f aca="false">'STUDENT SCREENING'!BH280</f>
        <v/>
      </c>
      <c r="Q280" s="57" t="str">
        <f aca="false">'STUDENT SCREENING'!BI280</f>
        <v/>
      </c>
      <c r="R280" s="57" t="str">
        <f aca="false">'STUDENT SCREENING'!BJ280</f>
        <v/>
      </c>
      <c r="S280" s="57" t="str">
        <f aca="false">'STUDENT SCREENING'!BK280</f>
        <v/>
      </c>
      <c r="T280" s="57" t="str">
        <f aca="false">'STUDENT SCREENING'!BL280</f>
        <v/>
      </c>
      <c r="U280" s="57" t="str">
        <f aca="false">'STUDENT SCREENING'!BM280</f>
        <v/>
      </c>
      <c r="V280" s="57" t="str">
        <f aca="false">'STUDENT SCREENING'!BN280</f>
        <v/>
      </c>
      <c r="W280" s="57" t="str">
        <f aca="false">'STUDENT SCREENING'!BO280</f>
        <v/>
      </c>
      <c r="X280" s="57" t="str">
        <f aca="false">IF('STUDENT SCREENING'!W280="","",IFERROR(INDEX('SCORING MASTER'!$D$5:$D$7,MATCH('STUDENT SCREENING'!W280,'SCORING MASTER'!$C$5:$C$7,0)),""))</f>
        <v/>
      </c>
      <c r="Y280" s="57" t="str">
        <f aca="false">IF('STUDENT SCREENING'!X280="","",IFERROR(INDEX('SCORING MASTER'!$D$9:$D$11,MATCH('STUDENT SCREENING'!X280,'SCORING MASTER'!$C$9:$C$11,0)),""))</f>
        <v/>
      </c>
      <c r="Z280" s="57" t="str">
        <f aca="false">IF('STUDENT SCREENING'!Y280="","",IFERROR(INDEX('SCORING MASTER'!$D$13:$D$15,MATCH('STUDENT SCREENING'!Y280,'SCORING MASTER'!$C$13:$C$15,0)),""))</f>
        <v/>
      </c>
      <c r="AA280" s="57" t="str">
        <f aca="false">IF('STUDENT SCREENING'!Z280="","",IFERROR(INDEX('SCORING MASTER'!$D$17:$D$19,MATCH('STUDENT SCREENING'!Z280,'SCORING MASTER'!$C$17:$C$19,0)),""))</f>
        <v/>
      </c>
      <c r="AB280" s="57" t="str">
        <f aca="false">IF('STUDENT SCREENING'!AA280="","",IFERROR(INDEX('SCORING MASTER'!$D$21:$D$23,MATCH('STUDENT SCREENING'!AA280,'SCORING MASTER'!$C$21:$C$23,0)),""))</f>
        <v/>
      </c>
      <c r="AC280" s="57" t="str">
        <f aca="false">IF('STUDENT SCREENING'!AB280="","",IFERROR(INDEX('SCORING MASTER'!$D$25:$D$27,MATCH('STUDENT SCREENING'!AB280,'SCORING MASTER'!$C$25:$C$27,0)),""))</f>
        <v/>
      </c>
      <c r="AD280" s="57" t="str">
        <f aca="false">IF('STUDENT SCREENING'!AC280="","",IFERROR(INDEX('SCORING MASTER'!$D$29:$D$31,MATCH('STUDENT SCREENING'!AC280,'SCORING MASTER'!$C$29:$C$31,0)),""))</f>
        <v/>
      </c>
      <c r="AE280" s="57" t="str">
        <f aca="false">IF('STUDENT SCREENING'!AD280="","",IFERROR(INDEX('SCORING MASTER'!$D$33:$D$35,MATCH('STUDENT SCREENING'!AD280,'SCORING MASTER'!$C$33:$C$35,0)),""))</f>
        <v/>
      </c>
      <c r="AF280" s="57" t="str">
        <f aca="false">IF('STUDENT SCREENING'!AE280="","",IFERROR(INDEX('SCORING MASTER'!$D$37:$D$39,MATCH('STUDENT SCREENING'!AE280,'SCORING MASTER'!$C$37:$C$39,0)),""))</f>
        <v/>
      </c>
      <c r="AG280" s="57" t="str">
        <f aca="false">IF('STUDENT SCREENING'!AF280="","",IFERROR(INDEX('SCORING MASTER'!$D$41:$D$43,MATCH('STUDENT SCREENING'!AF280,'SCORING MASTER'!$C$41:$C$43,0)),""))</f>
        <v/>
      </c>
      <c r="AH280" s="57" t="str">
        <f aca="false">IF('STUDENT SCREENING'!AG280="","",IFERROR(INDEX('SCORING MASTER'!$D$45:$D$47,MATCH('STUDENT SCREENING'!AG280,'SCORING MASTER'!$C$45:$C$47,0)),""))</f>
        <v/>
      </c>
      <c r="AI280" s="57" t="str">
        <f aca="false">IF('STUDENT SCREENING'!AH280="","",IFERROR(INDEX('SCORING MASTER'!$D$49:$D$52,MATCH('STUDENT SCREENING'!AH280,'SCORING MASTER'!$C$49:$C$52,0)),""))</f>
        <v/>
      </c>
      <c r="AJ280" s="57" t="str">
        <f aca="false">IF('STUDENT SCREENING'!AI280="","",IFERROR(INDEX('SCORING MASTER'!$D$54:$D$57,MATCH('STUDENT SCREENING'!AI280,'SCORING MASTER'!$C$54:$C$57,0)),""))</f>
        <v/>
      </c>
      <c r="AK280" s="57" t="str">
        <f aca="false">IF('STUDENT SCREENING'!AJ280="","",IFERROR(INDEX('SCORING MASTER'!$D$59:$D$60,MATCH('STUDENT SCREENING'!AJ280,'SCORING MASTER'!$C$59:$C$60,0)),""))</f>
        <v/>
      </c>
      <c r="AL280" s="57" t="str">
        <f aca="false">IF('STUDENT SCREENING'!AK280="","",IFERROR(INDEX('SCORING MASTER'!$D$62:$D$63,MATCH('STUDENT SCREENING'!AK280,'SCORING MASTER'!$C$62:$C$63,0)),""))</f>
        <v/>
      </c>
      <c r="AM280" s="57" t="str">
        <f aca="false">IF('STUDENT SCREENING'!AL280="","",IFERROR(INDEX('SCORING MASTER'!$D$65:$D$66,MATCH('STUDENT SCREENING'!AL280,'SCORING MASTER'!$C$65:$C$66,0)),""))</f>
        <v/>
      </c>
      <c r="AN280" s="57" t="str">
        <f aca="false">IF('STUDENT SCREENING'!AM280="","",IFERROR(INDEX('SCORING MASTER'!$D$68:$D$69,MATCH('STUDENT SCREENING'!AM280,'SCORING MASTER'!$C$68:$C$69,0)),""))</f>
        <v/>
      </c>
      <c r="AO280" s="57" t="str">
        <f aca="false">IF('STUDENT SCREENING'!AN280="","",IFERROR(INDEX('SCORING MASTER'!$D$71:$D$72,MATCH('STUDENT SCREENING'!AN280,'SCORING MASTER'!$C$71:$C$72,0)),""))</f>
        <v/>
      </c>
      <c r="AP280" s="57" t="str">
        <f aca="false">IF('STUDENT SCREENING'!AO280="","",IFERROR(INDEX('SCORING MASTER'!$D$74:$D$75,MATCH('STUDENT SCREENING'!AO280,'SCORING MASTER'!$C$74:$C$75,0)),""))</f>
        <v/>
      </c>
      <c r="AQ280" s="57" t="str">
        <f aca="false">IF('STUDENT SCREENING'!AP280="","",IFERROR(INDEX('SCORING MASTER'!$D$77:$D$78,MATCH('STUDENT SCREENING'!AP280,'SCORING MASTER'!$C$77:$C$78,0)),""))</f>
        <v/>
      </c>
      <c r="AR280" s="57" t="str">
        <f aca="false">IF('STUDENT SCREENING'!AQ280="","",IFERROR(INDEX('SCORING MASTER'!$D$80:$D$82,MATCH('STUDENT SCREENING'!AQ280,'SCORING MASTER'!$C$80:$C$82,0)),""))</f>
        <v/>
      </c>
      <c r="AS280" s="57" t="str">
        <f aca="false">IF('STUDENT SCREENING'!AR280="","",IFERROR(INDEX('SCORING MASTER'!$D$84:$D$86,MATCH('STUDENT SCREENING'!AR280,'SCORING MASTER'!$C$84:$C$86,0)),""))</f>
        <v/>
      </c>
      <c r="AT280" s="57" t="str">
        <f aca="false">IF('STUDENT SCREENING'!AS280="","",IFERROR(INDEX('SCORING MASTER'!$D$88:$D$90,MATCH('STUDENT SCREENING'!AS280,'SCORING MASTER'!$C$88:$C$90,0)),""))</f>
        <v/>
      </c>
      <c r="AU280" s="57" t="str">
        <f aca="false">IF('STUDENT SCREENING'!AT280="","",IFERROR(INDEX('SCORING MASTER'!$D$92:$D$93,MATCH('STUDENT SCREENING'!AT280,'SCORING MASTER'!$C$92:$C$93,0)),""))</f>
        <v/>
      </c>
      <c r="AV280" s="57" t="str">
        <f aca="false">IF('STUDENT SCREENING'!AU280="","",IFERROR(INDEX('SCORING MASTER'!$D$95:$D$96,MATCH('STUDENT SCREENING'!AU280,'SCORING MASTER'!$C$95:$C$96,0)),""))</f>
        <v/>
      </c>
      <c r="AW280" s="57" t="str">
        <f aca="false">IF('STUDENT SCREENING'!AV280="","",IFERROR(INDEX('SCORING MASTER'!$D$98:$D$99,MATCH('STUDENT SCREENING'!AV280,'SCORING MASTER'!$C$98:$C$99,0)),""))</f>
        <v/>
      </c>
      <c r="AX280" s="57" t="str">
        <f aca="false">IF('STUDENT SCREENING'!AW280="","",IFERROR(INDEX('SCORING MASTER'!$D$101:$D$102,MATCH('STUDENT SCREENING'!AW280,'SCORING MASTER'!$C$101:$C$102,0)),""))</f>
        <v/>
      </c>
      <c r="AY280" s="57" t="str">
        <f aca="false">IF('STUDENT SCREENING'!AX280="","",IFERROR(INDEX('SCORING MASTER'!$D$104:$D$105,MATCH('STUDENT SCREENING'!AX280,'SCORING MASTER'!$C$104:$C$105,0)),""))</f>
        <v/>
      </c>
      <c r="AZ280" s="57" t="str">
        <f aca="false">IF('STUDENT SCREENING'!AY280="","",IFERROR(INDEX('SCORING MASTER'!$D$107:$D$108,MATCH('STUDENT SCREENING'!AY280,'SCORING MASTER'!$C$107:$C$108,0)),""))</f>
        <v/>
      </c>
      <c r="BA280" s="57" t="str">
        <f aca="false">IF('STUDENT SCREENING'!AZ280="","",IFERROR(INDEX('SCORING MASTER'!$D$110:$D$111,MATCH('STUDENT SCREENING'!AZ280,'SCORING MASTER'!$C$110:$C$111,0)),""))</f>
        <v/>
      </c>
      <c r="BB280" s="57" t="str">
        <f aca="false">IF('STUDENT SCREENING'!BA280="","",IFERROR(INDEX('SCORING MASTER'!$D$113:$D$115,MATCH('STUDENT SCREENING'!BA280,'SCORING MASTER'!$C$113:$C$115,0)),""))</f>
        <v/>
      </c>
      <c r="BC280" s="57" t="str">
        <f aca="false">IF('STUDENT SCREENING'!BB280="","",IFERROR(INDEX('SCORING MASTER'!$D$117:$D$119,MATCH('STUDENT SCREENING'!BB280,'SCORING MASTER'!$C$117:$C$119,0)),""))</f>
        <v/>
      </c>
      <c r="BD280" s="57" t="str">
        <f aca="false">IF('STUDENT SCREENING'!BC280="","",IFERROR(INDEX('SCORING MASTER'!$D$121:$D$123,MATCH('STUDENT SCREENING'!BC280,'SCORING MASTER'!$C$121:$C$123,0)),""))</f>
        <v/>
      </c>
      <c r="BE280" s="57" t="str">
        <f aca="false">IF('STUDENT SCREENING'!BD280="","",IFERROR(INDEX('SCORING MASTER'!$D$125:$D$126,MATCH('STUDENT SCREENING'!BD280,'SCORING MASTER'!$C$125:$C$126,0)),""))</f>
        <v/>
      </c>
      <c r="BF280" s="57" t="str">
        <f aca="false">IF('STUDENT SCREENING'!BE280="","",IFERROR(INDEX('SCORING MASTER'!$D$128:$D$129,MATCH('STUDENT SCREENING'!BE280,'SCORING MASTER'!$C$128:$C$129,0)),""))</f>
        <v/>
      </c>
      <c r="BG280" s="57" t="str">
        <f aca="false">IF('STUDENT SCREENING'!BP280="","",IFERROR(MATCH('STUDENT SCREENING'!BP280,{"Red - High Risk","Orange - Moderate Risk","Yellow - Mild Risk","Light Green - Mild Watch","Green - Healthy"},0)-1,""))</f>
        <v/>
      </c>
      <c r="BH280" s="57" t="str">
        <f aca="false">IF('STUDENT SCREENING'!BQ280="","",IF('STUDENT SCREENING'!BQ280="Yes",1,0))</f>
        <v/>
      </c>
      <c r="BI280" s="57" t="str">
        <f aca="false">IF('STUDENT SCREENING'!BR280="","",IF('STUDENT SCREENING'!BR280="Yes",1,0))</f>
        <v/>
      </c>
    </row>
    <row r="281" customFormat="false" ht="15" hidden="false" customHeight="false" outlineLevel="0" collapsed="false">
      <c r="A281" s="58" t="str">
        <f aca="false">'STUDENT SCREENING'!A281</f>
        <v/>
      </c>
      <c r="B281" s="58" t="n">
        <f aca="false">'STUDENT SCREENING'!C281</f>
        <v>0</v>
      </c>
      <c r="C281" s="58" t="n">
        <f aca="false">'STUDENT SCREENING'!D281</f>
        <v>0</v>
      </c>
      <c r="D281" s="58" t="n">
        <f aca="false">'STUDENT SCREENING'!E281</f>
        <v>0</v>
      </c>
      <c r="E281" s="58" t="n">
        <f aca="false">'STUDENT SCREENING'!F281</f>
        <v>0</v>
      </c>
      <c r="F281" s="58" t="n">
        <f aca="false">'STUDENT SCREENING'!K281</f>
        <v>0</v>
      </c>
      <c r="G281" s="58" t="n">
        <f aca="false">'STUDENT SCREENING'!J281</f>
        <v>0</v>
      </c>
      <c r="H281" s="58" t="str">
        <f aca="false">IF('STUDENT SCREENING'!K281="","",IFERROR(MATCH('STUDENT SCREENING'!K281,Adm_Gender,0),""))</f>
        <v/>
      </c>
      <c r="I281" s="58" t="n">
        <f aca="false">'STUDENT SCREENING'!Q281</f>
        <v>0</v>
      </c>
      <c r="J281" s="58" t="n">
        <f aca="false">'STUDENT SCREENING'!R281</f>
        <v>0</v>
      </c>
      <c r="K281" s="58" t="str">
        <f aca="false">'STUDENT SCREENING'!S281</f>
        <v/>
      </c>
      <c r="L281" s="58" t="n">
        <f aca="false">'STUDENT SCREENING'!U281</f>
        <v>0</v>
      </c>
      <c r="M281" s="58" t="n">
        <f aca="false">'STUDENT SCREENING'!V281</f>
        <v>0</v>
      </c>
      <c r="N281" s="58" t="str">
        <f aca="false">'STUDENT SCREENING'!BF281</f>
        <v/>
      </c>
      <c r="O281" s="58" t="str">
        <f aca="false">'STUDENT SCREENING'!BG281</f>
        <v/>
      </c>
      <c r="P281" s="58" t="str">
        <f aca="false">'STUDENT SCREENING'!BH281</f>
        <v/>
      </c>
      <c r="Q281" s="58" t="str">
        <f aca="false">'STUDENT SCREENING'!BI281</f>
        <v/>
      </c>
      <c r="R281" s="58" t="str">
        <f aca="false">'STUDENT SCREENING'!BJ281</f>
        <v/>
      </c>
      <c r="S281" s="58" t="str">
        <f aca="false">'STUDENT SCREENING'!BK281</f>
        <v/>
      </c>
      <c r="T281" s="58" t="str">
        <f aca="false">'STUDENT SCREENING'!BL281</f>
        <v/>
      </c>
      <c r="U281" s="58" t="str">
        <f aca="false">'STUDENT SCREENING'!BM281</f>
        <v/>
      </c>
      <c r="V281" s="58" t="str">
        <f aca="false">'STUDENT SCREENING'!BN281</f>
        <v/>
      </c>
      <c r="W281" s="58" t="str">
        <f aca="false">'STUDENT SCREENING'!BO281</f>
        <v/>
      </c>
      <c r="X281" s="58" t="str">
        <f aca="false">IF('STUDENT SCREENING'!W281="","",IFERROR(INDEX('SCORING MASTER'!$D$5:$D$7,MATCH('STUDENT SCREENING'!W281,'SCORING MASTER'!$C$5:$C$7,0)),""))</f>
        <v/>
      </c>
      <c r="Y281" s="58" t="str">
        <f aca="false">IF('STUDENT SCREENING'!X281="","",IFERROR(INDEX('SCORING MASTER'!$D$9:$D$11,MATCH('STUDENT SCREENING'!X281,'SCORING MASTER'!$C$9:$C$11,0)),""))</f>
        <v/>
      </c>
      <c r="Z281" s="58" t="str">
        <f aca="false">IF('STUDENT SCREENING'!Y281="","",IFERROR(INDEX('SCORING MASTER'!$D$13:$D$15,MATCH('STUDENT SCREENING'!Y281,'SCORING MASTER'!$C$13:$C$15,0)),""))</f>
        <v/>
      </c>
      <c r="AA281" s="58" t="str">
        <f aca="false">IF('STUDENT SCREENING'!Z281="","",IFERROR(INDEX('SCORING MASTER'!$D$17:$D$19,MATCH('STUDENT SCREENING'!Z281,'SCORING MASTER'!$C$17:$C$19,0)),""))</f>
        <v/>
      </c>
      <c r="AB281" s="58" t="str">
        <f aca="false">IF('STUDENT SCREENING'!AA281="","",IFERROR(INDEX('SCORING MASTER'!$D$21:$D$23,MATCH('STUDENT SCREENING'!AA281,'SCORING MASTER'!$C$21:$C$23,0)),""))</f>
        <v/>
      </c>
      <c r="AC281" s="58" t="str">
        <f aca="false">IF('STUDENT SCREENING'!AB281="","",IFERROR(INDEX('SCORING MASTER'!$D$25:$D$27,MATCH('STUDENT SCREENING'!AB281,'SCORING MASTER'!$C$25:$C$27,0)),""))</f>
        <v/>
      </c>
      <c r="AD281" s="58" t="str">
        <f aca="false">IF('STUDENT SCREENING'!AC281="","",IFERROR(INDEX('SCORING MASTER'!$D$29:$D$31,MATCH('STUDENT SCREENING'!AC281,'SCORING MASTER'!$C$29:$C$31,0)),""))</f>
        <v/>
      </c>
      <c r="AE281" s="58" t="str">
        <f aca="false">IF('STUDENT SCREENING'!AD281="","",IFERROR(INDEX('SCORING MASTER'!$D$33:$D$35,MATCH('STUDENT SCREENING'!AD281,'SCORING MASTER'!$C$33:$C$35,0)),""))</f>
        <v/>
      </c>
      <c r="AF281" s="58" t="str">
        <f aca="false">IF('STUDENT SCREENING'!AE281="","",IFERROR(INDEX('SCORING MASTER'!$D$37:$D$39,MATCH('STUDENT SCREENING'!AE281,'SCORING MASTER'!$C$37:$C$39,0)),""))</f>
        <v/>
      </c>
      <c r="AG281" s="58" t="str">
        <f aca="false">IF('STUDENT SCREENING'!AF281="","",IFERROR(INDEX('SCORING MASTER'!$D$41:$D$43,MATCH('STUDENT SCREENING'!AF281,'SCORING MASTER'!$C$41:$C$43,0)),""))</f>
        <v/>
      </c>
      <c r="AH281" s="58" t="str">
        <f aca="false">IF('STUDENT SCREENING'!AG281="","",IFERROR(INDEX('SCORING MASTER'!$D$45:$D$47,MATCH('STUDENT SCREENING'!AG281,'SCORING MASTER'!$C$45:$C$47,0)),""))</f>
        <v/>
      </c>
      <c r="AI281" s="58" t="str">
        <f aca="false">IF('STUDENT SCREENING'!AH281="","",IFERROR(INDEX('SCORING MASTER'!$D$49:$D$52,MATCH('STUDENT SCREENING'!AH281,'SCORING MASTER'!$C$49:$C$52,0)),""))</f>
        <v/>
      </c>
      <c r="AJ281" s="58" t="str">
        <f aca="false">IF('STUDENT SCREENING'!AI281="","",IFERROR(INDEX('SCORING MASTER'!$D$54:$D$57,MATCH('STUDENT SCREENING'!AI281,'SCORING MASTER'!$C$54:$C$57,0)),""))</f>
        <v/>
      </c>
      <c r="AK281" s="58" t="str">
        <f aca="false">IF('STUDENT SCREENING'!AJ281="","",IFERROR(INDEX('SCORING MASTER'!$D$59:$D$60,MATCH('STUDENT SCREENING'!AJ281,'SCORING MASTER'!$C$59:$C$60,0)),""))</f>
        <v/>
      </c>
      <c r="AL281" s="58" t="str">
        <f aca="false">IF('STUDENT SCREENING'!AK281="","",IFERROR(INDEX('SCORING MASTER'!$D$62:$D$63,MATCH('STUDENT SCREENING'!AK281,'SCORING MASTER'!$C$62:$C$63,0)),""))</f>
        <v/>
      </c>
      <c r="AM281" s="58" t="str">
        <f aca="false">IF('STUDENT SCREENING'!AL281="","",IFERROR(INDEX('SCORING MASTER'!$D$65:$D$66,MATCH('STUDENT SCREENING'!AL281,'SCORING MASTER'!$C$65:$C$66,0)),""))</f>
        <v/>
      </c>
      <c r="AN281" s="58" t="str">
        <f aca="false">IF('STUDENT SCREENING'!AM281="","",IFERROR(INDEX('SCORING MASTER'!$D$68:$D$69,MATCH('STUDENT SCREENING'!AM281,'SCORING MASTER'!$C$68:$C$69,0)),""))</f>
        <v/>
      </c>
      <c r="AO281" s="58" t="str">
        <f aca="false">IF('STUDENT SCREENING'!AN281="","",IFERROR(INDEX('SCORING MASTER'!$D$71:$D$72,MATCH('STUDENT SCREENING'!AN281,'SCORING MASTER'!$C$71:$C$72,0)),""))</f>
        <v/>
      </c>
      <c r="AP281" s="58" t="str">
        <f aca="false">IF('STUDENT SCREENING'!AO281="","",IFERROR(INDEX('SCORING MASTER'!$D$74:$D$75,MATCH('STUDENT SCREENING'!AO281,'SCORING MASTER'!$C$74:$C$75,0)),""))</f>
        <v/>
      </c>
      <c r="AQ281" s="58" t="str">
        <f aca="false">IF('STUDENT SCREENING'!AP281="","",IFERROR(INDEX('SCORING MASTER'!$D$77:$D$78,MATCH('STUDENT SCREENING'!AP281,'SCORING MASTER'!$C$77:$C$78,0)),""))</f>
        <v/>
      </c>
      <c r="AR281" s="58" t="str">
        <f aca="false">IF('STUDENT SCREENING'!AQ281="","",IFERROR(INDEX('SCORING MASTER'!$D$80:$D$82,MATCH('STUDENT SCREENING'!AQ281,'SCORING MASTER'!$C$80:$C$82,0)),""))</f>
        <v/>
      </c>
      <c r="AS281" s="58" t="str">
        <f aca="false">IF('STUDENT SCREENING'!AR281="","",IFERROR(INDEX('SCORING MASTER'!$D$84:$D$86,MATCH('STUDENT SCREENING'!AR281,'SCORING MASTER'!$C$84:$C$86,0)),""))</f>
        <v/>
      </c>
      <c r="AT281" s="58" t="str">
        <f aca="false">IF('STUDENT SCREENING'!AS281="","",IFERROR(INDEX('SCORING MASTER'!$D$88:$D$90,MATCH('STUDENT SCREENING'!AS281,'SCORING MASTER'!$C$88:$C$90,0)),""))</f>
        <v/>
      </c>
      <c r="AU281" s="58" t="str">
        <f aca="false">IF('STUDENT SCREENING'!AT281="","",IFERROR(INDEX('SCORING MASTER'!$D$92:$D$93,MATCH('STUDENT SCREENING'!AT281,'SCORING MASTER'!$C$92:$C$93,0)),""))</f>
        <v/>
      </c>
      <c r="AV281" s="58" t="str">
        <f aca="false">IF('STUDENT SCREENING'!AU281="","",IFERROR(INDEX('SCORING MASTER'!$D$95:$D$96,MATCH('STUDENT SCREENING'!AU281,'SCORING MASTER'!$C$95:$C$96,0)),""))</f>
        <v/>
      </c>
      <c r="AW281" s="58" t="str">
        <f aca="false">IF('STUDENT SCREENING'!AV281="","",IFERROR(INDEX('SCORING MASTER'!$D$98:$D$99,MATCH('STUDENT SCREENING'!AV281,'SCORING MASTER'!$C$98:$C$99,0)),""))</f>
        <v/>
      </c>
      <c r="AX281" s="58" t="str">
        <f aca="false">IF('STUDENT SCREENING'!AW281="","",IFERROR(INDEX('SCORING MASTER'!$D$101:$D$102,MATCH('STUDENT SCREENING'!AW281,'SCORING MASTER'!$C$101:$C$102,0)),""))</f>
        <v/>
      </c>
      <c r="AY281" s="58" t="str">
        <f aca="false">IF('STUDENT SCREENING'!AX281="","",IFERROR(INDEX('SCORING MASTER'!$D$104:$D$105,MATCH('STUDENT SCREENING'!AX281,'SCORING MASTER'!$C$104:$C$105,0)),""))</f>
        <v/>
      </c>
      <c r="AZ281" s="58" t="str">
        <f aca="false">IF('STUDENT SCREENING'!AY281="","",IFERROR(INDEX('SCORING MASTER'!$D$107:$D$108,MATCH('STUDENT SCREENING'!AY281,'SCORING MASTER'!$C$107:$C$108,0)),""))</f>
        <v/>
      </c>
      <c r="BA281" s="58" t="str">
        <f aca="false">IF('STUDENT SCREENING'!AZ281="","",IFERROR(INDEX('SCORING MASTER'!$D$110:$D$111,MATCH('STUDENT SCREENING'!AZ281,'SCORING MASTER'!$C$110:$C$111,0)),""))</f>
        <v/>
      </c>
      <c r="BB281" s="58" t="str">
        <f aca="false">IF('STUDENT SCREENING'!BA281="","",IFERROR(INDEX('SCORING MASTER'!$D$113:$D$115,MATCH('STUDENT SCREENING'!BA281,'SCORING MASTER'!$C$113:$C$115,0)),""))</f>
        <v/>
      </c>
      <c r="BC281" s="58" t="str">
        <f aca="false">IF('STUDENT SCREENING'!BB281="","",IFERROR(INDEX('SCORING MASTER'!$D$117:$D$119,MATCH('STUDENT SCREENING'!BB281,'SCORING MASTER'!$C$117:$C$119,0)),""))</f>
        <v/>
      </c>
      <c r="BD281" s="58" t="str">
        <f aca="false">IF('STUDENT SCREENING'!BC281="","",IFERROR(INDEX('SCORING MASTER'!$D$121:$D$123,MATCH('STUDENT SCREENING'!BC281,'SCORING MASTER'!$C$121:$C$123,0)),""))</f>
        <v/>
      </c>
      <c r="BE281" s="58" t="str">
        <f aca="false">IF('STUDENT SCREENING'!BD281="","",IFERROR(INDEX('SCORING MASTER'!$D$125:$D$126,MATCH('STUDENT SCREENING'!BD281,'SCORING MASTER'!$C$125:$C$126,0)),""))</f>
        <v/>
      </c>
      <c r="BF281" s="58" t="str">
        <f aca="false">IF('STUDENT SCREENING'!BE281="","",IFERROR(INDEX('SCORING MASTER'!$D$128:$D$129,MATCH('STUDENT SCREENING'!BE281,'SCORING MASTER'!$C$128:$C$129,0)),""))</f>
        <v/>
      </c>
      <c r="BG281" s="58" t="str">
        <f aca="false">IF('STUDENT SCREENING'!BP281="","",IFERROR(MATCH('STUDENT SCREENING'!BP281,{"Red - High Risk","Orange - Moderate Risk","Yellow - Mild Risk","Light Green - Mild Watch","Green - Healthy"},0)-1,""))</f>
        <v/>
      </c>
      <c r="BH281" s="58" t="str">
        <f aca="false">IF('STUDENT SCREENING'!BQ281="","",IF('STUDENT SCREENING'!BQ281="Yes",1,0))</f>
        <v/>
      </c>
      <c r="BI281" s="58" t="str">
        <f aca="false">IF('STUDENT SCREENING'!BR281="","",IF('STUDENT SCREENING'!BR281="Yes",1,0))</f>
        <v/>
      </c>
    </row>
    <row r="282" customFormat="false" ht="15" hidden="false" customHeight="false" outlineLevel="0" collapsed="false">
      <c r="A282" s="57" t="str">
        <f aca="false">'STUDENT SCREENING'!A282</f>
        <v/>
      </c>
      <c r="B282" s="57" t="n">
        <f aca="false">'STUDENT SCREENING'!C282</f>
        <v>0</v>
      </c>
      <c r="C282" s="57" t="n">
        <f aca="false">'STUDENT SCREENING'!D282</f>
        <v>0</v>
      </c>
      <c r="D282" s="57" t="n">
        <f aca="false">'STUDENT SCREENING'!E282</f>
        <v>0</v>
      </c>
      <c r="E282" s="57" t="n">
        <f aca="false">'STUDENT SCREENING'!F282</f>
        <v>0</v>
      </c>
      <c r="F282" s="57" t="n">
        <f aca="false">'STUDENT SCREENING'!K282</f>
        <v>0</v>
      </c>
      <c r="G282" s="57" t="n">
        <f aca="false">'STUDENT SCREENING'!J282</f>
        <v>0</v>
      </c>
      <c r="H282" s="57" t="str">
        <f aca="false">IF('STUDENT SCREENING'!K282="","",IFERROR(MATCH('STUDENT SCREENING'!K282,Adm_Gender,0),""))</f>
        <v/>
      </c>
      <c r="I282" s="57" t="n">
        <f aca="false">'STUDENT SCREENING'!Q282</f>
        <v>0</v>
      </c>
      <c r="J282" s="57" t="n">
        <f aca="false">'STUDENT SCREENING'!R282</f>
        <v>0</v>
      </c>
      <c r="K282" s="57" t="str">
        <f aca="false">'STUDENT SCREENING'!S282</f>
        <v/>
      </c>
      <c r="L282" s="57" t="n">
        <f aca="false">'STUDENT SCREENING'!U282</f>
        <v>0</v>
      </c>
      <c r="M282" s="57" t="n">
        <f aca="false">'STUDENT SCREENING'!V282</f>
        <v>0</v>
      </c>
      <c r="N282" s="57" t="str">
        <f aca="false">'STUDENT SCREENING'!BF282</f>
        <v/>
      </c>
      <c r="O282" s="57" t="str">
        <f aca="false">'STUDENT SCREENING'!BG282</f>
        <v/>
      </c>
      <c r="P282" s="57" t="str">
        <f aca="false">'STUDENT SCREENING'!BH282</f>
        <v/>
      </c>
      <c r="Q282" s="57" t="str">
        <f aca="false">'STUDENT SCREENING'!BI282</f>
        <v/>
      </c>
      <c r="R282" s="57" t="str">
        <f aca="false">'STUDENT SCREENING'!BJ282</f>
        <v/>
      </c>
      <c r="S282" s="57" t="str">
        <f aca="false">'STUDENT SCREENING'!BK282</f>
        <v/>
      </c>
      <c r="T282" s="57" t="str">
        <f aca="false">'STUDENT SCREENING'!BL282</f>
        <v/>
      </c>
      <c r="U282" s="57" t="str">
        <f aca="false">'STUDENT SCREENING'!BM282</f>
        <v/>
      </c>
      <c r="V282" s="57" t="str">
        <f aca="false">'STUDENT SCREENING'!BN282</f>
        <v/>
      </c>
      <c r="W282" s="57" t="str">
        <f aca="false">'STUDENT SCREENING'!BO282</f>
        <v/>
      </c>
      <c r="X282" s="57" t="str">
        <f aca="false">IF('STUDENT SCREENING'!W282="","",IFERROR(INDEX('SCORING MASTER'!$D$5:$D$7,MATCH('STUDENT SCREENING'!W282,'SCORING MASTER'!$C$5:$C$7,0)),""))</f>
        <v/>
      </c>
      <c r="Y282" s="57" t="str">
        <f aca="false">IF('STUDENT SCREENING'!X282="","",IFERROR(INDEX('SCORING MASTER'!$D$9:$D$11,MATCH('STUDENT SCREENING'!X282,'SCORING MASTER'!$C$9:$C$11,0)),""))</f>
        <v/>
      </c>
      <c r="Z282" s="57" t="str">
        <f aca="false">IF('STUDENT SCREENING'!Y282="","",IFERROR(INDEX('SCORING MASTER'!$D$13:$D$15,MATCH('STUDENT SCREENING'!Y282,'SCORING MASTER'!$C$13:$C$15,0)),""))</f>
        <v/>
      </c>
      <c r="AA282" s="57" t="str">
        <f aca="false">IF('STUDENT SCREENING'!Z282="","",IFERROR(INDEX('SCORING MASTER'!$D$17:$D$19,MATCH('STUDENT SCREENING'!Z282,'SCORING MASTER'!$C$17:$C$19,0)),""))</f>
        <v/>
      </c>
      <c r="AB282" s="57" t="str">
        <f aca="false">IF('STUDENT SCREENING'!AA282="","",IFERROR(INDEX('SCORING MASTER'!$D$21:$D$23,MATCH('STUDENT SCREENING'!AA282,'SCORING MASTER'!$C$21:$C$23,0)),""))</f>
        <v/>
      </c>
      <c r="AC282" s="57" t="str">
        <f aca="false">IF('STUDENT SCREENING'!AB282="","",IFERROR(INDEX('SCORING MASTER'!$D$25:$D$27,MATCH('STUDENT SCREENING'!AB282,'SCORING MASTER'!$C$25:$C$27,0)),""))</f>
        <v/>
      </c>
      <c r="AD282" s="57" t="str">
        <f aca="false">IF('STUDENT SCREENING'!AC282="","",IFERROR(INDEX('SCORING MASTER'!$D$29:$D$31,MATCH('STUDENT SCREENING'!AC282,'SCORING MASTER'!$C$29:$C$31,0)),""))</f>
        <v/>
      </c>
      <c r="AE282" s="57" t="str">
        <f aca="false">IF('STUDENT SCREENING'!AD282="","",IFERROR(INDEX('SCORING MASTER'!$D$33:$D$35,MATCH('STUDENT SCREENING'!AD282,'SCORING MASTER'!$C$33:$C$35,0)),""))</f>
        <v/>
      </c>
      <c r="AF282" s="57" t="str">
        <f aca="false">IF('STUDENT SCREENING'!AE282="","",IFERROR(INDEX('SCORING MASTER'!$D$37:$D$39,MATCH('STUDENT SCREENING'!AE282,'SCORING MASTER'!$C$37:$C$39,0)),""))</f>
        <v/>
      </c>
      <c r="AG282" s="57" t="str">
        <f aca="false">IF('STUDENT SCREENING'!AF282="","",IFERROR(INDEX('SCORING MASTER'!$D$41:$D$43,MATCH('STUDENT SCREENING'!AF282,'SCORING MASTER'!$C$41:$C$43,0)),""))</f>
        <v/>
      </c>
      <c r="AH282" s="57" t="str">
        <f aca="false">IF('STUDENT SCREENING'!AG282="","",IFERROR(INDEX('SCORING MASTER'!$D$45:$D$47,MATCH('STUDENT SCREENING'!AG282,'SCORING MASTER'!$C$45:$C$47,0)),""))</f>
        <v/>
      </c>
      <c r="AI282" s="57" t="str">
        <f aca="false">IF('STUDENT SCREENING'!AH282="","",IFERROR(INDEX('SCORING MASTER'!$D$49:$D$52,MATCH('STUDENT SCREENING'!AH282,'SCORING MASTER'!$C$49:$C$52,0)),""))</f>
        <v/>
      </c>
      <c r="AJ282" s="57" t="str">
        <f aca="false">IF('STUDENT SCREENING'!AI282="","",IFERROR(INDEX('SCORING MASTER'!$D$54:$D$57,MATCH('STUDENT SCREENING'!AI282,'SCORING MASTER'!$C$54:$C$57,0)),""))</f>
        <v/>
      </c>
      <c r="AK282" s="57" t="str">
        <f aca="false">IF('STUDENT SCREENING'!AJ282="","",IFERROR(INDEX('SCORING MASTER'!$D$59:$D$60,MATCH('STUDENT SCREENING'!AJ282,'SCORING MASTER'!$C$59:$C$60,0)),""))</f>
        <v/>
      </c>
      <c r="AL282" s="57" t="str">
        <f aca="false">IF('STUDENT SCREENING'!AK282="","",IFERROR(INDEX('SCORING MASTER'!$D$62:$D$63,MATCH('STUDENT SCREENING'!AK282,'SCORING MASTER'!$C$62:$C$63,0)),""))</f>
        <v/>
      </c>
      <c r="AM282" s="57" t="str">
        <f aca="false">IF('STUDENT SCREENING'!AL282="","",IFERROR(INDEX('SCORING MASTER'!$D$65:$D$66,MATCH('STUDENT SCREENING'!AL282,'SCORING MASTER'!$C$65:$C$66,0)),""))</f>
        <v/>
      </c>
      <c r="AN282" s="57" t="str">
        <f aca="false">IF('STUDENT SCREENING'!AM282="","",IFERROR(INDEX('SCORING MASTER'!$D$68:$D$69,MATCH('STUDENT SCREENING'!AM282,'SCORING MASTER'!$C$68:$C$69,0)),""))</f>
        <v/>
      </c>
      <c r="AO282" s="57" t="str">
        <f aca="false">IF('STUDENT SCREENING'!AN282="","",IFERROR(INDEX('SCORING MASTER'!$D$71:$D$72,MATCH('STUDENT SCREENING'!AN282,'SCORING MASTER'!$C$71:$C$72,0)),""))</f>
        <v/>
      </c>
      <c r="AP282" s="57" t="str">
        <f aca="false">IF('STUDENT SCREENING'!AO282="","",IFERROR(INDEX('SCORING MASTER'!$D$74:$D$75,MATCH('STUDENT SCREENING'!AO282,'SCORING MASTER'!$C$74:$C$75,0)),""))</f>
        <v/>
      </c>
      <c r="AQ282" s="57" t="str">
        <f aca="false">IF('STUDENT SCREENING'!AP282="","",IFERROR(INDEX('SCORING MASTER'!$D$77:$D$78,MATCH('STUDENT SCREENING'!AP282,'SCORING MASTER'!$C$77:$C$78,0)),""))</f>
        <v/>
      </c>
      <c r="AR282" s="57" t="str">
        <f aca="false">IF('STUDENT SCREENING'!AQ282="","",IFERROR(INDEX('SCORING MASTER'!$D$80:$D$82,MATCH('STUDENT SCREENING'!AQ282,'SCORING MASTER'!$C$80:$C$82,0)),""))</f>
        <v/>
      </c>
      <c r="AS282" s="57" t="str">
        <f aca="false">IF('STUDENT SCREENING'!AR282="","",IFERROR(INDEX('SCORING MASTER'!$D$84:$D$86,MATCH('STUDENT SCREENING'!AR282,'SCORING MASTER'!$C$84:$C$86,0)),""))</f>
        <v/>
      </c>
      <c r="AT282" s="57" t="str">
        <f aca="false">IF('STUDENT SCREENING'!AS282="","",IFERROR(INDEX('SCORING MASTER'!$D$88:$D$90,MATCH('STUDENT SCREENING'!AS282,'SCORING MASTER'!$C$88:$C$90,0)),""))</f>
        <v/>
      </c>
      <c r="AU282" s="57" t="str">
        <f aca="false">IF('STUDENT SCREENING'!AT282="","",IFERROR(INDEX('SCORING MASTER'!$D$92:$D$93,MATCH('STUDENT SCREENING'!AT282,'SCORING MASTER'!$C$92:$C$93,0)),""))</f>
        <v/>
      </c>
      <c r="AV282" s="57" t="str">
        <f aca="false">IF('STUDENT SCREENING'!AU282="","",IFERROR(INDEX('SCORING MASTER'!$D$95:$D$96,MATCH('STUDENT SCREENING'!AU282,'SCORING MASTER'!$C$95:$C$96,0)),""))</f>
        <v/>
      </c>
      <c r="AW282" s="57" t="str">
        <f aca="false">IF('STUDENT SCREENING'!AV282="","",IFERROR(INDEX('SCORING MASTER'!$D$98:$D$99,MATCH('STUDENT SCREENING'!AV282,'SCORING MASTER'!$C$98:$C$99,0)),""))</f>
        <v/>
      </c>
      <c r="AX282" s="57" t="str">
        <f aca="false">IF('STUDENT SCREENING'!AW282="","",IFERROR(INDEX('SCORING MASTER'!$D$101:$D$102,MATCH('STUDENT SCREENING'!AW282,'SCORING MASTER'!$C$101:$C$102,0)),""))</f>
        <v/>
      </c>
      <c r="AY282" s="57" t="str">
        <f aca="false">IF('STUDENT SCREENING'!AX282="","",IFERROR(INDEX('SCORING MASTER'!$D$104:$D$105,MATCH('STUDENT SCREENING'!AX282,'SCORING MASTER'!$C$104:$C$105,0)),""))</f>
        <v/>
      </c>
      <c r="AZ282" s="57" t="str">
        <f aca="false">IF('STUDENT SCREENING'!AY282="","",IFERROR(INDEX('SCORING MASTER'!$D$107:$D$108,MATCH('STUDENT SCREENING'!AY282,'SCORING MASTER'!$C$107:$C$108,0)),""))</f>
        <v/>
      </c>
      <c r="BA282" s="57" t="str">
        <f aca="false">IF('STUDENT SCREENING'!AZ282="","",IFERROR(INDEX('SCORING MASTER'!$D$110:$D$111,MATCH('STUDENT SCREENING'!AZ282,'SCORING MASTER'!$C$110:$C$111,0)),""))</f>
        <v/>
      </c>
      <c r="BB282" s="57" t="str">
        <f aca="false">IF('STUDENT SCREENING'!BA282="","",IFERROR(INDEX('SCORING MASTER'!$D$113:$D$115,MATCH('STUDENT SCREENING'!BA282,'SCORING MASTER'!$C$113:$C$115,0)),""))</f>
        <v/>
      </c>
      <c r="BC282" s="57" t="str">
        <f aca="false">IF('STUDENT SCREENING'!BB282="","",IFERROR(INDEX('SCORING MASTER'!$D$117:$D$119,MATCH('STUDENT SCREENING'!BB282,'SCORING MASTER'!$C$117:$C$119,0)),""))</f>
        <v/>
      </c>
      <c r="BD282" s="57" t="str">
        <f aca="false">IF('STUDENT SCREENING'!BC282="","",IFERROR(INDEX('SCORING MASTER'!$D$121:$D$123,MATCH('STUDENT SCREENING'!BC282,'SCORING MASTER'!$C$121:$C$123,0)),""))</f>
        <v/>
      </c>
      <c r="BE282" s="57" t="str">
        <f aca="false">IF('STUDENT SCREENING'!BD282="","",IFERROR(INDEX('SCORING MASTER'!$D$125:$D$126,MATCH('STUDENT SCREENING'!BD282,'SCORING MASTER'!$C$125:$C$126,0)),""))</f>
        <v/>
      </c>
      <c r="BF282" s="57" t="str">
        <f aca="false">IF('STUDENT SCREENING'!BE282="","",IFERROR(INDEX('SCORING MASTER'!$D$128:$D$129,MATCH('STUDENT SCREENING'!BE282,'SCORING MASTER'!$C$128:$C$129,0)),""))</f>
        <v/>
      </c>
      <c r="BG282" s="57" t="str">
        <f aca="false">IF('STUDENT SCREENING'!BP282="","",IFERROR(MATCH('STUDENT SCREENING'!BP282,{"Red - High Risk","Orange - Moderate Risk","Yellow - Mild Risk","Light Green - Mild Watch","Green - Healthy"},0)-1,""))</f>
        <v/>
      </c>
      <c r="BH282" s="57" t="str">
        <f aca="false">IF('STUDENT SCREENING'!BQ282="","",IF('STUDENT SCREENING'!BQ282="Yes",1,0))</f>
        <v/>
      </c>
      <c r="BI282" s="57" t="str">
        <f aca="false">IF('STUDENT SCREENING'!BR282="","",IF('STUDENT SCREENING'!BR282="Yes",1,0))</f>
        <v/>
      </c>
    </row>
    <row r="283" customFormat="false" ht="15" hidden="false" customHeight="false" outlineLevel="0" collapsed="false">
      <c r="A283" s="58" t="str">
        <f aca="false">'STUDENT SCREENING'!A283</f>
        <v/>
      </c>
      <c r="B283" s="58" t="n">
        <f aca="false">'STUDENT SCREENING'!C283</f>
        <v>0</v>
      </c>
      <c r="C283" s="58" t="n">
        <f aca="false">'STUDENT SCREENING'!D283</f>
        <v>0</v>
      </c>
      <c r="D283" s="58" t="n">
        <f aca="false">'STUDENT SCREENING'!E283</f>
        <v>0</v>
      </c>
      <c r="E283" s="58" t="n">
        <f aca="false">'STUDENT SCREENING'!F283</f>
        <v>0</v>
      </c>
      <c r="F283" s="58" t="n">
        <f aca="false">'STUDENT SCREENING'!K283</f>
        <v>0</v>
      </c>
      <c r="G283" s="58" t="n">
        <f aca="false">'STUDENT SCREENING'!J283</f>
        <v>0</v>
      </c>
      <c r="H283" s="58" t="str">
        <f aca="false">IF('STUDENT SCREENING'!K283="","",IFERROR(MATCH('STUDENT SCREENING'!K283,Adm_Gender,0),""))</f>
        <v/>
      </c>
      <c r="I283" s="58" t="n">
        <f aca="false">'STUDENT SCREENING'!Q283</f>
        <v>0</v>
      </c>
      <c r="J283" s="58" t="n">
        <f aca="false">'STUDENT SCREENING'!R283</f>
        <v>0</v>
      </c>
      <c r="K283" s="58" t="str">
        <f aca="false">'STUDENT SCREENING'!S283</f>
        <v/>
      </c>
      <c r="L283" s="58" t="n">
        <f aca="false">'STUDENT SCREENING'!U283</f>
        <v>0</v>
      </c>
      <c r="M283" s="58" t="n">
        <f aca="false">'STUDENT SCREENING'!V283</f>
        <v>0</v>
      </c>
      <c r="N283" s="58" t="str">
        <f aca="false">'STUDENT SCREENING'!BF283</f>
        <v/>
      </c>
      <c r="O283" s="58" t="str">
        <f aca="false">'STUDENT SCREENING'!BG283</f>
        <v/>
      </c>
      <c r="P283" s="58" t="str">
        <f aca="false">'STUDENT SCREENING'!BH283</f>
        <v/>
      </c>
      <c r="Q283" s="58" t="str">
        <f aca="false">'STUDENT SCREENING'!BI283</f>
        <v/>
      </c>
      <c r="R283" s="58" t="str">
        <f aca="false">'STUDENT SCREENING'!BJ283</f>
        <v/>
      </c>
      <c r="S283" s="58" t="str">
        <f aca="false">'STUDENT SCREENING'!BK283</f>
        <v/>
      </c>
      <c r="T283" s="58" t="str">
        <f aca="false">'STUDENT SCREENING'!BL283</f>
        <v/>
      </c>
      <c r="U283" s="58" t="str">
        <f aca="false">'STUDENT SCREENING'!BM283</f>
        <v/>
      </c>
      <c r="V283" s="58" t="str">
        <f aca="false">'STUDENT SCREENING'!BN283</f>
        <v/>
      </c>
      <c r="W283" s="58" t="str">
        <f aca="false">'STUDENT SCREENING'!BO283</f>
        <v/>
      </c>
      <c r="X283" s="58" t="str">
        <f aca="false">IF('STUDENT SCREENING'!W283="","",IFERROR(INDEX('SCORING MASTER'!$D$5:$D$7,MATCH('STUDENT SCREENING'!W283,'SCORING MASTER'!$C$5:$C$7,0)),""))</f>
        <v/>
      </c>
      <c r="Y283" s="58" t="str">
        <f aca="false">IF('STUDENT SCREENING'!X283="","",IFERROR(INDEX('SCORING MASTER'!$D$9:$D$11,MATCH('STUDENT SCREENING'!X283,'SCORING MASTER'!$C$9:$C$11,0)),""))</f>
        <v/>
      </c>
      <c r="Z283" s="58" t="str">
        <f aca="false">IF('STUDENT SCREENING'!Y283="","",IFERROR(INDEX('SCORING MASTER'!$D$13:$D$15,MATCH('STUDENT SCREENING'!Y283,'SCORING MASTER'!$C$13:$C$15,0)),""))</f>
        <v/>
      </c>
      <c r="AA283" s="58" t="str">
        <f aca="false">IF('STUDENT SCREENING'!Z283="","",IFERROR(INDEX('SCORING MASTER'!$D$17:$D$19,MATCH('STUDENT SCREENING'!Z283,'SCORING MASTER'!$C$17:$C$19,0)),""))</f>
        <v/>
      </c>
      <c r="AB283" s="58" t="str">
        <f aca="false">IF('STUDENT SCREENING'!AA283="","",IFERROR(INDEX('SCORING MASTER'!$D$21:$D$23,MATCH('STUDENT SCREENING'!AA283,'SCORING MASTER'!$C$21:$C$23,0)),""))</f>
        <v/>
      </c>
      <c r="AC283" s="58" t="str">
        <f aca="false">IF('STUDENT SCREENING'!AB283="","",IFERROR(INDEX('SCORING MASTER'!$D$25:$D$27,MATCH('STUDENT SCREENING'!AB283,'SCORING MASTER'!$C$25:$C$27,0)),""))</f>
        <v/>
      </c>
      <c r="AD283" s="58" t="str">
        <f aca="false">IF('STUDENT SCREENING'!AC283="","",IFERROR(INDEX('SCORING MASTER'!$D$29:$D$31,MATCH('STUDENT SCREENING'!AC283,'SCORING MASTER'!$C$29:$C$31,0)),""))</f>
        <v/>
      </c>
      <c r="AE283" s="58" t="str">
        <f aca="false">IF('STUDENT SCREENING'!AD283="","",IFERROR(INDEX('SCORING MASTER'!$D$33:$D$35,MATCH('STUDENT SCREENING'!AD283,'SCORING MASTER'!$C$33:$C$35,0)),""))</f>
        <v/>
      </c>
      <c r="AF283" s="58" t="str">
        <f aca="false">IF('STUDENT SCREENING'!AE283="","",IFERROR(INDEX('SCORING MASTER'!$D$37:$D$39,MATCH('STUDENT SCREENING'!AE283,'SCORING MASTER'!$C$37:$C$39,0)),""))</f>
        <v/>
      </c>
      <c r="AG283" s="58" t="str">
        <f aca="false">IF('STUDENT SCREENING'!AF283="","",IFERROR(INDEX('SCORING MASTER'!$D$41:$D$43,MATCH('STUDENT SCREENING'!AF283,'SCORING MASTER'!$C$41:$C$43,0)),""))</f>
        <v/>
      </c>
      <c r="AH283" s="58" t="str">
        <f aca="false">IF('STUDENT SCREENING'!AG283="","",IFERROR(INDEX('SCORING MASTER'!$D$45:$D$47,MATCH('STUDENT SCREENING'!AG283,'SCORING MASTER'!$C$45:$C$47,0)),""))</f>
        <v/>
      </c>
      <c r="AI283" s="58" t="str">
        <f aca="false">IF('STUDENT SCREENING'!AH283="","",IFERROR(INDEX('SCORING MASTER'!$D$49:$D$52,MATCH('STUDENT SCREENING'!AH283,'SCORING MASTER'!$C$49:$C$52,0)),""))</f>
        <v/>
      </c>
      <c r="AJ283" s="58" t="str">
        <f aca="false">IF('STUDENT SCREENING'!AI283="","",IFERROR(INDEX('SCORING MASTER'!$D$54:$D$57,MATCH('STUDENT SCREENING'!AI283,'SCORING MASTER'!$C$54:$C$57,0)),""))</f>
        <v/>
      </c>
      <c r="AK283" s="58" t="str">
        <f aca="false">IF('STUDENT SCREENING'!AJ283="","",IFERROR(INDEX('SCORING MASTER'!$D$59:$D$60,MATCH('STUDENT SCREENING'!AJ283,'SCORING MASTER'!$C$59:$C$60,0)),""))</f>
        <v/>
      </c>
      <c r="AL283" s="58" t="str">
        <f aca="false">IF('STUDENT SCREENING'!AK283="","",IFERROR(INDEX('SCORING MASTER'!$D$62:$D$63,MATCH('STUDENT SCREENING'!AK283,'SCORING MASTER'!$C$62:$C$63,0)),""))</f>
        <v/>
      </c>
      <c r="AM283" s="58" t="str">
        <f aca="false">IF('STUDENT SCREENING'!AL283="","",IFERROR(INDEX('SCORING MASTER'!$D$65:$D$66,MATCH('STUDENT SCREENING'!AL283,'SCORING MASTER'!$C$65:$C$66,0)),""))</f>
        <v/>
      </c>
      <c r="AN283" s="58" t="str">
        <f aca="false">IF('STUDENT SCREENING'!AM283="","",IFERROR(INDEX('SCORING MASTER'!$D$68:$D$69,MATCH('STUDENT SCREENING'!AM283,'SCORING MASTER'!$C$68:$C$69,0)),""))</f>
        <v/>
      </c>
      <c r="AO283" s="58" t="str">
        <f aca="false">IF('STUDENT SCREENING'!AN283="","",IFERROR(INDEX('SCORING MASTER'!$D$71:$D$72,MATCH('STUDENT SCREENING'!AN283,'SCORING MASTER'!$C$71:$C$72,0)),""))</f>
        <v/>
      </c>
      <c r="AP283" s="58" t="str">
        <f aca="false">IF('STUDENT SCREENING'!AO283="","",IFERROR(INDEX('SCORING MASTER'!$D$74:$D$75,MATCH('STUDENT SCREENING'!AO283,'SCORING MASTER'!$C$74:$C$75,0)),""))</f>
        <v/>
      </c>
      <c r="AQ283" s="58" t="str">
        <f aca="false">IF('STUDENT SCREENING'!AP283="","",IFERROR(INDEX('SCORING MASTER'!$D$77:$D$78,MATCH('STUDENT SCREENING'!AP283,'SCORING MASTER'!$C$77:$C$78,0)),""))</f>
        <v/>
      </c>
      <c r="AR283" s="58" t="str">
        <f aca="false">IF('STUDENT SCREENING'!AQ283="","",IFERROR(INDEX('SCORING MASTER'!$D$80:$D$82,MATCH('STUDENT SCREENING'!AQ283,'SCORING MASTER'!$C$80:$C$82,0)),""))</f>
        <v/>
      </c>
      <c r="AS283" s="58" t="str">
        <f aca="false">IF('STUDENT SCREENING'!AR283="","",IFERROR(INDEX('SCORING MASTER'!$D$84:$D$86,MATCH('STUDENT SCREENING'!AR283,'SCORING MASTER'!$C$84:$C$86,0)),""))</f>
        <v/>
      </c>
      <c r="AT283" s="58" t="str">
        <f aca="false">IF('STUDENT SCREENING'!AS283="","",IFERROR(INDEX('SCORING MASTER'!$D$88:$D$90,MATCH('STUDENT SCREENING'!AS283,'SCORING MASTER'!$C$88:$C$90,0)),""))</f>
        <v/>
      </c>
      <c r="AU283" s="58" t="str">
        <f aca="false">IF('STUDENT SCREENING'!AT283="","",IFERROR(INDEX('SCORING MASTER'!$D$92:$D$93,MATCH('STUDENT SCREENING'!AT283,'SCORING MASTER'!$C$92:$C$93,0)),""))</f>
        <v/>
      </c>
      <c r="AV283" s="58" t="str">
        <f aca="false">IF('STUDENT SCREENING'!AU283="","",IFERROR(INDEX('SCORING MASTER'!$D$95:$D$96,MATCH('STUDENT SCREENING'!AU283,'SCORING MASTER'!$C$95:$C$96,0)),""))</f>
        <v/>
      </c>
      <c r="AW283" s="58" t="str">
        <f aca="false">IF('STUDENT SCREENING'!AV283="","",IFERROR(INDEX('SCORING MASTER'!$D$98:$D$99,MATCH('STUDENT SCREENING'!AV283,'SCORING MASTER'!$C$98:$C$99,0)),""))</f>
        <v/>
      </c>
      <c r="AX283" s="58" t="str">
        <f aca="false">IF('STUDENT SCREENING'!AW283="","",IFERROR(INDEX('SCORING MASTER'!$D$101:$D$102,MATCH('STUDENT SCREENING'!AW283,'SCORING MASTER'!$C$101:$C$102,0)),""))</f>
        <v/>
      </c>
      <c r="AY283" s="58" t="str">
        <f aca="false">IF('STUDENT SCREENING'!AX283="","",IFERROR(INDEX('SCORING MASTER'!$D$104:$D$105,MATCH('STUDENT SCREENING'!AX283,'SCORING MASTER'!$C$104:$C$105,0)),""))</f>
        <v/>
      </c>
      <c r="AZ283" s="58" t="str">
        <f aca="false">IF('STUDENT SCREENING'!AY283="","",IFERROR(INDEX('SCORING MASTER'!$D$107:$D$108,MATCH('STUDENT SCREENING'!AY283,'SCORING MASTER'!$C$107:$C$108,0)),""))</f>
        <v/>
      </c>
      <c r="BA283" s="58" t="str">
        <f aca="false">IF('STUDENT SCREENING'!AZ283="","",IFERROR(INDEX('SCORING MASTER'!$D$110:$D$111,MATCH('STUDENT SCREENING'!AZ283,'SCORING MASTER'!$C$110:$C$111,0)),""))</f>
        <v/>
      </c>
      <c r="BB283" s="58" t="str">
        <f aca="false">IF('STUDENT SCREENING'!BA283="","",IFERROR(INDEX('SCORING MASTER'!$D$113:$D$115,MATCH('STUDENT SCREENING'!BA283,'SCORING MASTER'!$C$113:$C$115,0)),""))</f>
        <v/>
      </c>
      <c r="BC283" s="58" t="str">
        <f aca="false">IF('STUDENT SCREENING'!BB283="","",IFERROR(INDEX('SCORING MASTER'!$D$117:$D$119,MATCH('STUDENT SCREENING'!BB283,'SCORING MASTER'!$C$117:$C$119,0)),""))</f>
        <v/>
      </c>
      <c r="BD283" s="58" t="str">
        <f aca="false">IF('STUDENT SCREENING'!BC283="","",IFERROR(INDEX('SCORING MASTER'!$D$121:$D$123,MATCH('STUDENT SCREENING'!BC283,'SCORING MASTER'!$C$121:$C$123,0)),""))</f>
        <v/>
      </c>
      <c r="BE283" s="58" t="str">
        <f aca="false">IF('STUDENT SCREENING'!BD283="","",IFERROR(INDEX('SCORING MASTER'!$D$125:$D$126,MATCH('STUDENT SCREENING'!BD283,'SCORING MASTER'!$C$125:$C$126,0)),""))</f>
        <v/>
      </c>
      <c r="BF283" s="58" t="str">
        <f aca="false">IF('STUDENT SCREENING'!BE283="","",IFERROR(INDEX('SCORING MASTER'!$D$128:$D$129,MATCH('STUDENT SCREENING'!BE283,'SCORING MASTER'!$C$128:$C$129,0)),""))</f>
        <v/>
      </c>
      <c r="BG283" s="58" t="str">
        <f aca="false">IF('STUDENT SCREENING'!BP283="","",IFERROR(MATCH('STUDENT SCREENING'!BP283,{"Red - High Risk","Orange - Moderate Risk","Yellow - Mild Risk","Light Green - Mild Watch","Green - Healthy"},0)-1,""))</f>
        <v/>
      </c>
      <c r="BH283" s="58" t="str">
        <f aca="false">IF('STUDENT SCREENING'!BQ283="","",IF('STUDENT SCREENING'!BQ283="Yes",1,0))</f>
        <v/>
      </c>
      <c r="BI283" s="58" t="str">
        <f aca="false">IF('STUDENT SCREENING'!BR283="","",IF('STUDENT SCREENING'!BR283="Yes",1,0))</f>
        <v/>
      </c>
    </row>
    <row r="284" customFormat="false" ht="15" hidden="false" customHeight="false" outlineLevel="0" collapsed="false">
      <c r="A284" s="57" t="str">
        <f aca="false">'STUDENT SCREENING'!A284</f>
        <v/>
      </c>
      <c r="B284" s="57" t="n">
        <f aca="false">'STUDENT SCREENING'!C284</f>
        <v>0</v>
      </c>
      <c r="C284" s="57" t="n">
        <f aca="false">'STUDENT SCREENING'!D284</f>
        <v>0</v>
      </c>
      <c r="D284" s="57" t="n">
        <f aca="false">'STUDENT SCREENING'!E284</f>
        <v>0</v>
      </c>
      <c r="E284" s="57" t="n">
        <f aca="false">'STUDENT SCREENING'!F284</f>
        <v>0</v>
      </c>
      <c r="F284" s="57" t="n">
        <f aca="false">'STUDENT SCREENING'!K284</f>
        <v>0</v>
      </c>
      <c r="G284" s="57" t="n">
        <f aca="false">'STUDENT SCREENING'!J284</f>
        <v>0</v>
      </c>
      <c r="H284" s="57" t="str">
        <f aca="false">IF('STUDENT SCREENING'!K284="","",IFERROR(MATCH('STUDENT SCREENING'!K284,Adm_Gender,0),""))</f>
        <v/>
      </c>
      <c r="I284" s="57" t="n">
        <f aca="false">'STUDENT SCREENING'!Q284</f>
        <v>0</v>
      </c>
      <c r="J284" s="57" t="n">
        <f aca="false">'STUDENT SCREENING'!R284</f>
        <v>0</v>
      </c>
      <c r="K284" s="57" t="str">
        <f aca="false">'STUDENT SCREENING'!S284</f>
        <v/>
      </c>
      <c r="L284" s="57" t="n">
        <f aca="false">'STUDENT SCREENING'!U284</f>
        <v>0</v>
      </c>
      <c r="M284" s="57" t="n">
        <f aca="false">'STUDENT SCREENING'!V284</f>
        <v>0</v>
      </c>
      <c r="N284" s="57" t="str">
        <f aca="false">'STUDENT SCREENING'!BF284</f>
        <v/>
      </c>
      <c r="O284" s="57" t="str">
        <f aca="false">'STUDENT SCREENING'!BG284</f>
        <v/>
      </c>
      <c r="P284" s="57" t="str">
        <f aca="false">'STUDENT SCREENING'!BH284</f>
        <v/>
      </c>
      <c r="Q284" s="57" t="str">
        <f aca="false">'STUDENT SCREENING'!BI284</f>
        <v/>
      </c>
      <c r="R284" s="57" t="str">
        <f aca="false">'STUDENT SCREENING'!BJ284</f>
        <v/>
      </c>
      <c r="S284" s="57" t="str">
        <f aca="false">'STUDENT SCREENING'!BK284</f>
        <v/>
      </c>
      <c r="T284" s="57" t="str">
        <f aca="false">'STUDENT SCREENING'!BL284</f>
        <v/>
      </c>
      <c r="U284" s="57" t="str">
        <f aca="false">'STUDENT SCREENING'!BM284</f>
        <v/>
      </c>
      <c r="V284" s="57" t="str">
        <f aca="false">'STUDENT SCREENING'!BN284</f>
        <v/>
      </c>
      <c r="W284" s="57" t="str">
        <f aca="false">'STUDENT SCREENING'!BO284</f>
        <v/>
      </c>
      <c r="X284" s="57" t="str">
        <f aca="false">IF('STUDENT SCREENING'!W284="","",IFERROR(INDEX('SCORING MASTER'!$D$5:$D$7,MATCH('STUDENT SCREENING'!W284,'SCORING MASTER'!$C$5:$C$7,0)),""))</f>
        <v/>
      </c>
      <c r="Y284" s="57" t="str">
        <f aca="false">IF('STUDENT SCREENING'!X284="","",IFERROR(INDEX('SCORING MASTER'!$D$9:$D$11,MATCH('STUDENT SCREENING'!X284,'SCORING MASTER'!$C$9:$C$11,0)),""))</f>
        <v/>
      </c>
      <c r="Z284" s="57" t="str">
        <f aca="false">IF('STUDENT SCREENING'!Y284="","",IFERROR(INDEX('SCORING MASTER'!$D$13:$D$15,MATCH('STUDENT SCREENING'!Y284,'SCORING MASTER'!$C$13:$C$15,0)),""))</f>
        <v/>
      </c>
      <c r="AA284" s="57" t="str">
        <f aca="false">IF('STUDENT SCREENING'!Z284="","",IFERROR(INDEX('SCORING MASTER'!$D$17:$D$19,MATCH('STUDENT SCREENING'!Z284,'SCORING MASTER'!$C$17:$C$19,0)),""))</f>
        <v/>
      </c>
      <c r="AB284" s="57" t="str">
        <f aca="false">IF('STUDENT SCREENING'!AA284="","",IFERROR(INDEX('SCORING MASTER'!$D$21:$D$23,MATCH('STUDENT SCREENING'!AA284,'SCORING MASTER'!$C$21:$C$23,0)),""))</f>
        <v/>
      </c>
      <c r="AC284" s="57" t="str">
        <f aca="false">IF('STUDENT SCREENING'!AB284="","",IFERROR(INDEX('SCORING MASTER'!$D$25:$D$27,MATCH('STUDENT SCREENING'!AB284,'SCORING MASTER'!$C$25:$C$27,0)),""))</f>
        <v/>
      </c>
      <c r="AD284" s="57" t="str">
        <f aca="false">IF('STUDENT SCREENING'!AC284="","",IFERROR(INDEX('SCORING MASTER'!$D$29:$D$31,MATCH('STUDENT SCREENING'!AC284,'SCORING MASTER'!$C$29:$C$31,0)),""))</f>
        <v/>
      </c>
      <c r="AE284" s="57" t="str">
        <f aca="false">IF('STUDENT SCREENING'!AD284="","",IFERROR(INDEX('SCORING MASTER'!$D$33:$D$35,MATCH('STUDENT SCREENING'!AD284,'SCORING MASTER'!$C$33:$C$35,0)),""))</f>
        <v/>
      </c>
      <c r="AF284" s="57" t="str">
        <f aca="false">IF('STUDENT SCREENING'!AE284="","",IFERROR(INDEX('SCORING MASTER'!$D$37:$D$39,MATCH('STUDENT SCREENING'!AE284,'SCORING MASTER'!$C$37:$C$39,0)),""))</f>
        <v/>
      </c>
      <c r="AG284" s="57" t="str">
        <f aca="false">IF('STUDENT SCREENING'!AF284="","",IFERROR(INDEX('SCORING MASTER'!$D$41:$D$43,MATCH('STUDENT SCREENING'!AF284,'SCORING MASTER'!$C$41:$C$43,0)),""))</f>
        <v/>
      </c>
      <c r="AH284" s="57" t="str">
        <f aca="false">IF('STUDENT SCREENING'!AG284="","",IFERROR(INDEX('SCORING MASTER'!$D$45:$D$47,MATCH('STUDENT SCREENING'!AG284,'SCORING MASTER'!$C$45:$C$47,0)),""))</f>
        <v/>
      </c>
      <c r="AI284" s="57" t="str">
        <f aca="false">IF('STUDENT SCREENING'!AH284="","",IFERROR(INDEX('SCORING MASTER'!$D$49:$D$52,MATCH('STUDENT SCREENING'!AH284,'SCORING MASTER'!$C$49:$C$52,0)),""))</f>
        <v/>
      </c>
      <c r="AJ284" s="57" t="str">
        <f aca="false">IF('STUDENT SCREENING'!AI284="","",IFERROR(INDEX('SCORING MASTER'!$D$54:$D$57,MATCH('STUDENT SCREENING'!AI284,'SCORING MASTER'!$C$54:$C$57,0)),""))</f>
        <v/>
      </c>
      <c r="AK284" s="57" t="str">
        <f aca="false">IF('STUDENT SCREENING'!AJ284="","",IFERROR(INDEX('SCORING MASTER'!$D$59:$D$60,MATCH('STUDENT SCREENING'!AJ284,'SCORING MASTER'!$C$59:$C$60,0)),""))</f>
        <v/>
      </c>
      <c r="AL284" s="57" t="str">
        <f aca="false">IF('STUDENT SCREENING'!AK284="","",IFERROR(INDEX('SCORING MASTER'!$D$62:$D$63,MATCH('STUDENT SCREENING'!AK284,'SCORING MASTER'!$C$62:$C$63,0)),""))</f>
        <v/>
      </c>
      <c r="AM284" s="57" t="str">
        <f aca="false">IF('STUDENT SCREENING'!AL284="","",IFERROR(INDEX('SCORING MASTER'!$D$65:$D$66,MATCH('STUDENT SCREENING'!AL284,'SCORING MASTER'!$C$65:$C$66,0)),""))</f>
        <v/>
      </c>
      <c r="AN284" s="57" t="str">
        <f aca="false">IF('STUDENT SCREENING'!AM284="","",IFERROR(INDEX('SCORING MASTER'!$D$68:$D$69,MATCH('STUDENT SCREENING'!AM284,'SCORING MASTER'!$C$68:$C$69,0)),""))</f>
        <v/>
      </c>
      <c r="AO284" s="57" t="str">
        <f aca="false">IF('STUDENT SCREENING'!AN284="","",IFERROR(INDEX('SCORING MASTER'!$D$71:$D$72,MATCH('STUDENT SCREENING'!AN284,'SCORING MASTER'!$C$71:$C$72,0)),""))</f>
        <v/>
      </c>
      <c r="AP284" s="57" t="str">
        <f aca="false">IF('STUDENT SCREENING'!AO284="","",IFERROR(INDEX('SCORING MASTER'!$D$74:$D$75,MATCH('STUDENT SCREENING'!AO284,'SCORING MASTER'!$C$74:$C$75,0)),""))</f>
        <v/>
      </c>
      <c r="AQ284" s="57" t="str">
        <f aca="false">IF('STUDENT SCREENING'!AP284="","",IFERROR(INDEX('SCORING MASTER'!$D$77:$D$78,MATCH('STUDENT SCREENING'!AP284,'SCORING MASTER'!$C$77:$C$78,0)),""))</f>
        <v/>
      </c>
      <c r="AR284" s="57" t="str">
        <f aca="false">IF('STUDENT SCREENING'!AQ284="","",IFERROR(INDEX('SCORING MASTER'!$D$80:$D$82,MATCH('STUDENT SCREENING'!AQ284,'SCORING MASTER'!$C$80:$C$82,0)),""))</f>
        <v/>
      </c>
      <c r="AS284" s="57" t="str">
        <f aca="false">IF('STUDENT SCREENING'!AR284="","",IFERROR(INDEX('SCORING MASTER'!$D$84:$D$86,MATCH('STUDENT SCREENING'!AR284,'SCORING MASTER'!$C$84:$C$86,0)),""))</f>
        <v/>
      </c>
      <c r="AT284" s="57" t="str">
        <f aca="false">IF('STUDENT SCREENING'!AS284="","",IFERROR(INDEX('SCORING MASTER'!$D$88:$D$90,MATCH('STUDENT SCREENING'!AS284,'SCORING MASTER'!$C$88:$C$90,0)),""))</f>
        <v/>
      </c>
      <c r="AU284" s="57" t="str">
        <f aca="false">IF('STUDENT SCREENING'!AT284="","",IFERROR(INDEX('SCORING MASTER'!$D$92:$D$93,MATCH('STUDENT SCREENING'!AT284,'SCORING MASTER'!$C$92:$C$93,0)),""))</f>
        <v/>
      </c>
      <c r="AV284" s="57" t="str">
        <f aca="false">IF('STUDENT SCREENING'!AU284="","",IFERROR(INDEX('SCORING MASTER'!$D$95:$D$96,MATCH('STUDENT SCREENING'!AU284,'SCORING MASTER'!$C$95:$C$96,0)),""))</f>
        <v/>
      </c>
      <c r="AW284" s="57" t="str">
        <f aca="false">IF('STUDENT SCREENING'!AV284="","",IFERROR(INDEX('SCORING MASTER'!$D$98:$D$99,MATCH('STUDENT SCREENING'!AV284,'SCORING MASTER'!$C$98:$C$99,0)),""))</f>
        <v/>
      </c>
      <c r="AX284" s="57" t="str">
        <f aca="false">IF('STUDENT SCREENING'!AW284="","",IFERROR(INDEX('SCORING MASTER'!$D$101:$D$102,MATCH('STUDENT SCREENING'!AW284,'SCORING MASTER'!$C$101:$C$102,0)),""))</f>
        <v/>
      </c>
      <c r="AY284" s="57" t="str">
        <f aca="false">IF('STUDENT SCREENING'!AX284="","",IFERROR(INDEX('SCORING MASTER'!$D$104:$D$105,MATCH('STUDENT SCREENING'!AX284,'SCORING MASTER'!$C$104:$C$105,0)),""))</f>
        <v/>
      </c>
      <c r="AZ284" s="57" t="str">
        <f aca="false">IF('STUDENT SCREENING'!AY284="","",IFERROR(INDEX('SCORING MASTER'!$D$107:$D$108,MATCH('STUDENT SCREENING'!AY284,'SCORING MASTER'!$C$107:$C$108,0)),""))</f>
        <v/>
      </c>
      <c r="BA284" s="57" t="str">
        <f aca="false">IF('STUDENT SCREENING'!AZ284="","",IFERROR(INDEX('SCORING MASTER'!$D$110:$D$111,MATCH('STUDENT SCREENING'!AZ284,'SCORING MASTER'!$C$110:$C$111,0)),""))</f>
        <v/>
      </c>
      <c r="BB284" s="57" t="str">
        <f aca="false">IF('STUDENT SCREENING'!BA284="","",IFERROR(INDEX('SCORING MASTER'!$D$113:$D$115,MATCH('STUDENT SCREENING'!BA284,'SCORING MASTER'!$C$113:$C$115,0)),""))</f>
        <v/>
      </c>
      <c r="BC284" s="57" t="str">
        <f aca="false">IF('STUDENT SCREENING'!BB284="","",IFERROR(INDEX('SCORING MASTER'!$D$117:$D$119,MATCH('STUDENT SCREENING'!BB284,'SCORING MASTER'!$C$117:$C$119,0)),""))</f>
        <v/>
      </c>
      <c r="BD284" s="57" t="str">
        <f aca="false">IF('STUDENT SCREENING'!BC284="","",IFERROR(INDEX('SCORING MASTER'!$D$121:$D$123,MATCH('STUDENT SCREENING'!BC284,'SCORING MASTER'!$C$121:$C$123,0)),""))</f>
        <v/>
      </c>
      <c r="BE284" s="57" t="str">
        <f aca="false">IF('STUDENT SCREENING'!BD284="","",IFERROR(INDEX('SCORING MASTER'!$D$125:$D$126,MATCH('STUDENT SCREENING'!BD284,'SCORING MASTER'!$C$125:$C$126,0)),""))</f>
        <v/>
      </c>
      <c r="BF284" s="57" t="str">
        <f aca="false">IF('STUDENT SCREENING'!BE284="","",IFERROR(INDEX('SCORING MASTER'!$D$128:$D$129,MATCH('STUDENT SCREENING'!BE284,'SCORING MASTER'!$C$128:$C$129,0)),""))</f>
        <v/>
      </c>
      <c r="BG284" s="57" t="str">
        <f aca="false">IF('STUDENT SCREENING'!BP284="","",IFERROR(MATCH('STUDENT SCREENING'!BP284,{"Red - High Risk","Orange - Moderate Risk","Yellow - Mild Risk","Light Green - Mild Watch","Green - Healthy"},0)-1,""))</f>
        <v/>
      </c>
      <c r="BH284" s="57" t="str">
        <f aca="false">IF('STUDENT SCREENING'!BQ284="","",IF('STUDENT SCREENING'!BQ284="Yes",1,0))</f>
        <v/>
      </c>
      <c r="BI284" s="57" t="str">
        <f aca="false">IF('STUDENT SCREENING'!BR284="","",IF('STUDENT SCREENING'!BR284="Yes",1,0))</f>
        <v/>
      </c>
    </row>
    <row r="285" customFormat="false" ht="15" hidden="false" customHeight="false" outlineLevel="0" collapsed="false">
      <c r="A285" s="58" t="str">
        <f aca="false">'STUDENT SCREENING'!A285</f>
        <v/>
      </c>
      <c r="B285" s="58" t="n">
        <f aca="false">'STUDENT SCREENING'!C285</f>
        <v>0</v>
      </c>
      <c r="C285" s="58" t="n">
        <f aca="false">'STUDENT SCREENING'!D285</f>
        <v>0</v>
      </c>
      <c r="D285" s="58" t="n">
        <f aca="false">'STUDENT SCREENING'!E285</f>
        <v>0</v>
      </c>
      <c r="E285" s="58" t="n">
        <f aca="false">'STUDENT SCREENING'!F285</f>
        <v>0</v>
      </c>
      <c r="F285" s="58" t="n">
        <f aca="false">'STUDENT SCREENING'!K285</f>
        <v>0</v>
      </c>
      <c r="G285" s="58" t="n">
        <f aca="false">'STUDENT SCREENING'!J285</f>
        <v>0</v>
      </c>
      <c r="H285" s="58" t="str">
        <f aca="false">IF('STUDENT SCREENING'!K285="","",IFERROR(MATCH('STUDENT SCREENING'!K285,Adm_Gender,0),""))</f>
        <v/>
      </c>
      <c r="I285" s="58" t="n">
        <f aca="false">'STUDENT SCREENING'!Q285</f>
        <v>0</v>
      </c>
      <c r="J285" s="58" t="n">
        <f aca="false">'STUDENT SCREENING'!R285</f>
        <v>0</v>
      </c>
      <c r="K285" s="58" t="str">
        <f aca="false">'STUDENT SCREENING'!S285</f>
        <v/>
      </c>
      <c r="L285" s="58" t="n">
        <f aca="false">'STUDENT SCREENING'!U285</f>
        <v>0</v>
      </c>
      <c r="M285" s="58" t="n">
        <f aca="false">'STUDENT SCREENING'!V285</f>
        <v>0</v>
      </c>
      <c r="N285" s="58" t="str">
        <f aca="false">'STUDENT SCREENING'!BF285</f>
        <v/>
      </c>
      <c r="O285" s="58" t="str">
        <f aca="false">'STUDENT SCREENING'!BG285</f>
        <v/>
      </c>
      <c r="P285" s="58" t="str">
        <f aca="false">'STUDENT SCREENING'!BH285</f>
        <v/>
      </c>
      <c r="Q285" s="58" t="str">
        <f aca="false">'STUDENT SCREENING'!BI285</f>
        <v/>
      </c>
      <c r="R285" s="58" t="str">
        <f aca="false">'STUDENT SCREENING'!BJ285</f>
        <v/>
      </c>
      <c r="S285" s="58" t="str">
        <f aca="false">'STUDENT SCREENING'!BK285</f>
        <v/>
      </c>
      <c r="T285" s="58" t="str">
        <f aca="false">'STUDENT SCREENING'!BL285</f>
        <v/>
      </c>
      <c r="U285" s="58" t="str">
        <f aca="false">'STUDENT SCREENING'!BM285</f>
        <v/>
      </c>
      <c r="V285" s="58" t="str">
        <f aca="false">'STUDENT SCREENING'!BN285</f>
        <v/>
      </c>
      <c r="W285" s="58" t="str">
        <f aca="false">'STUDENT SCREENING'!BO285</f>
        <v/>
      </c>
      <c r="X285" s="58" t="str">
        <f aca="false">IF('STUDENT SCREENING'!W285="","",IFERROR(INDEX('SCORING MASTER'!$D$5:$D$7,MATCH('STUDENT SCREENING'!W285,'SCORING MASTER'!$C$5:$C$7,0)),""))</f>
        <v/>
      </c>
      <c r="Y285" s="58" t="str">
        <f aca="false">IF('STUDENT SCREENING'!X285="","",IFERROR(INDEX('SCORING MASTER'!$D$9:$D$11,MATCH('STUDENT SCREENING'!X285,'SCORING MASTER'!$C$9:$C$11,0)),""))</f>
        <v/>
      </c>
      <c r="Z285" s="58" t="str">
        <f aca="false">IF('STUDENT SCREENING'!Y285="","",IFERROR(INDEX('SCORING MASTER'!$D$13:$D$15,MATCH('STUDENT SCREENING'!Y285,'SCORING MASTER'!$C$13:$C$15,0)),""))</f>
        <v/>
      </c>
      <c r="AA285" s="58" t="str">
        <f aca="false">IF('STUDENT SCREENING'!Z285="","",IFERROR(INDEX('SCORING MASTER'!$D$17:$D$19,MATCH('STUDENT SCREENING'!Z285,'SCORING MASTER'!$C$17:$C$19,0)),""))</f>
        <v/>
      </c>
      <c r="AB285" s="58" t="str">
        <f aca="false">IF('STUDENT SCREENING'!AA285="","",IFERROR(INDEX('SCORING MASTER'!$D$21:$D$23,MATCH('STUDENT SCREENING'!AA285,'SCORING MASTER'!$C$21:$C$23,0)),""))</f>
        <v/>
      </c>
      <c r="AC285" s="58" t="str">
        <f aca="false">IF('STUDENT SCREENING'!AB285="","",IFERROR(INDEX('SCORING MASTER'!$D$25:$D$27,MATCH('STUDENT SCREENING'!AB285,'SCORING MASTER'!$C$25:$C$27,0)),""))</f>
        <v/>
      </c>
      <c r="AD285" s="58" t="str">
        <f aca="false">IF('STUDENT SCREENING'!AC285="","",IFERROR(INDEX('SCORING MASTER'!$D$29:$D$31,MATCH('STUDENT SCREENING'!AC285,'SCORING MASTER'!$C$29:$C$31,0)),""))</f>
        <v/>
      </c>
      <c r="AE285" s="58" t="str">
        <f aca="false">IF('STUDENT SCREENING'!AD285="","",IFERROR(INDEX('SCORING MASTER'!$D$33:$D$35,MATCH('STUDENT SCREENING'!AD285,'SCORING MASTER'!$C$33:$C$35,0)),""))</f>
        <v/>
      </c>
      <c r="AF285" s="58" t="str">
        <f aca="false">IF('STUDENT SCREENING'!AE285="","",IFERROR(INDEX('SCORING MASTER'!$D$37:$D$39,MATCH('STUDENT SCREENING'!AE285,'SCORING MASTER'!$C$37:$C$39,0)),""))</f>
        <v/>
      </c>
      <c r="AG285" s="58" t="str">
        <f aca="false">IF('STUDENT SCREENING'!AF285="","",IFERROR(INDEX('SCORING MASTER'!$D$41:$D$43,MATCH('STUDENT SCREENING'!AF285,'SCORING MASTER'!$C$41:$C$43,0)),""))</f>
        <v/>
      </c>
      <c r="AH285" s="58" t="str">
        <f aca="false">IF('STUDENT SCREENING'!AG285="","",IFERROR(INDEX('SCORING MASTER'!$D$45:$D$47,MATCH('STUDENT SCREENING'!AG285,'SCORING MASTER'!$C$45:$C$47,0)),""))</f>
        <v/>
      </c>
      <c r="AI285" s="58" t="str">
        <f aca="false">IF('STUDENT SCREENING'!AH285="","",IFERROR(INDEX('SCORING MASTER'!$D$49:$D$52,MATCH('STUDENT SCREENING'!AH285,'SCORING MASTER'!$C$49:$C$52,0)),""))</f>
        <v/>
      </c>
      <c r="AJ285" s="58" t="str">
        <f aca="false">IF('STUDENT SCREENING'!AI285="","",IFERROR(INDEX('SCORING MASTER'!$D$54:$D$57,MATCH('STUDENT SCREENING'!AI285,'SCORING MASTER'!$C$54:$C$57,0)),""))</f>
        <v/>
      </c>
      <c r="AK285" s="58" t="str">
        <f aca="false">IF('STUDENT SCREENING'!AJ285="","",IFERROR(INDEX('SCORING MASTER'!$D$59:$D$60,MATCH('STUDENT SCREENING'!AJ285,'SCORING MASTER'!$C$59:$C$60,0)),""))</f>
        <v/>
      </c>
      <c r="AL285" s="58" t="str">
        <f aca="false">IF('STUDENT SCREENING'!AK285="","",IFERROR(INDEX('SCORING MASTER'!$D$62:$D$63,MATCH('STUDENT SCREENING'!AK285,'SCORING MASTER'!$C$62:$C$63,0)),""))</f>
        <v/>
      </c>
      <c r="AM285" s="58" t="str">
        <f aca="false">IF('STUDENT SCREENING'!AL285="","",IFERROR(INDEX('SCORING MASTER'!$D$65:$D$66,MATCH('STUDENT SCREENING'!AL285,'SCORING MASTER'!$C$65:$C$66,0)),""))</f>
        <v/>
      </c>
      <c r="AN285" s="58" t="str">
        <f aca="false">IF('STUDENT SCREENING'!AM285="","",IFERROR(INDEX('SCORING MASTER'!$D$68:$D$69,MATCH('STUDENT SCREENING'!AM285,'SCORING MASTER'!$C$68:$C$69,0)),""))</f>
        <v/>
      </c>
      <c r="AO285" s="58" t="str">
        <f aca="false">IF('STUDENT SCREENING'!AN285="","",IFERROR(INDEX('SCORING MASTER'!$D$71:$D$72,MATCH('STUDENT SCREENING'!AN285,'SCORING MASTER'!$C$71:$C$72,0)),""))</f>
        <v/>
      </c>
      <c r="AP285" s="58" t="str">
        <f aca="false">IF('STUDENT SCREENING'!AO285="","",IFERROR(INDEX('SCORING MASTER'!$D$74:$D$75,MATCH('STUDENT SCREENING'!AO285,'SCORING MASTER'!$C$74:$C$75,0)),""))</f>
        <v/>
      </c>
      <c r="AQ285" s="58" t="str">
        <f aca="false">IF('STUDENT SCREENING'!AP285="","",IFERROR(INDEX('SCORING MASTER'!$D$77:$D$78,MATCH('STUDENT SCREENING'!AP285,'SCORING MASTER'!$C$77:$C$78,0)),""))</f>
        <v/>
      </c>
      <c r="AR285" s="58" t="str">
        <f aca="false">IF('STUDENT SCREENING'!AQ285="","",IFERROR(INDEX('SCORING MASTER'!$D$80:$D$82,MATCH('STUDENT SCREENING'!AQ285,'SCORING MASTER'!$C$80:$C$82,0)),""))</f>
        <v/>
      </c>
      <c r="AS285" s="58" t="str">
        <f aca="false">IF('STUDENT SCREENING'!AR285="","",IFERROR(INDEX('SCORING MASTER'!$D$84:$D$86,MATCH('STUDENT SCREENING'!AR285,'SCORING MASTER'!$C$84:$C$86,0)),""))</f>
        <v/>
      </c>
      <c r="AT285" s="58" t="str">
        <f aca="false">IF('STUDENT SCREENING'!AS285="","",IFERROR(INDEX('SCORING MASTER'!$D$88:$D$90,MATCH('STUDENT SCREENING'!AS285,'SCORING MASTER'!$C$88:$C$90,0)),""))</f>
        <v/>
      </c>
      <c r="AU285" s="58" t="str">
        <f aca="false">IF('STUDENT SCREENING'!AT285="","",IFERROR(INDEX('SCORING MASTER'!$D$92:$D$93,MATCH('STUDENT SCREENING'!AT285,'SCORING MASTER'!$C$92:$C$93,0)),""))</f>
        <v/>
      </c>
      <c r="AV285" s="58" t="str">
        <f aca="false">IF('STUDENT SCREENING'!AU285="","",IFERROR(INDEX('SCORING MASTER'!$D$95:$D$96,MATCH('STUDENT SCREENING'!AU285,'SCORING MASTER'!$C$95:$C$96,0)),""))</f>
        <v/>
      </c>
      <c r="AW285" s="58" t="str">
        <f aca="false">IF('STUDENT SCREENING'!AV285="","",IFERROR(INDEX('SCORING MASTER'!$D$98:$D$99,MATCH('STUDENT SCREENING'!AV285,'SCORING MASTER'!$C$98:$C$99,0)),""))</f>
        <v/>
      </c>
      <c r="AX285" s="58" t="str">
        <f aca="false">IF('STUDENT SCREENING'!AW285="","",IFERROR(INDEX('SCORING MASTER'!$D$101:$D$102,MATCH('STUDENT SCREENING'!AW285,'SCORING MASTER'!$C$101:$C$102,0)),""))</f>
        <v/>
      </c>
      <c r="AY285" s="58" t="str">
        <f aca="false">IF('STUDENT SCREENING'!AX285="","",IFERROR(INDEX('SCORING MASTER'!$D$104:$D$105,MATCH('STUDENT SCREENING'!AX285,'SCORING MASTER'!$C$104:$C$105,0)),""))</f>
        <v/>
      </c>
      <c r="AZ285" s="58" t="str">
        <f aca="false">IF('STUDENT SCREENING'!AY285="","",IFERROR(INDEX('SCORING MASTER'!$D$107:$D$108,MATCH('STUDENT SCREENING'!AY285,'SCORING MASTER'!$C$107:$C$108,0)),""))</f>
        <v/>
      </c>
      <c r="BA285" s="58" t="str">
        <f aca="false">IF('STUDENT SCREENING'!AZ285="","",IFERROR(INDEX('SCORING MASTER'!$D$110:$D$111,MATCH('STUDENT SCREENING'!AZ285,'SCORING MASTER'!$C$110:$C$111,0)),""))</f>
        <v/>
      </c>
      <c r="BB285" s="58" t="str">
        <f aca="false">IF('STUDENT SCREENING'!BA285="","",IFERROR(INDEX('SCORING MASTER'!$D$113:$D$115,MATCH('STUDENT SCREENING'!BA285,'SCORING MASTER'!$C$113:$C$115,0)),""))</f>
        <v/>
      </c>
      <c r="BC285" s="58" t="str">
        <f aca="false">IF('STUDENT SCREENING'!BB285="","",IFERROR(INDEX('SCORING MASTER'!$D$117:$D$119,MATCH('STUDENT SCREENING'!BB285,'SCORING MASTER'!$C$117:$C$119,0)),""))</f>
        <v/>
      </c>
      <c r="BD285" s="58" t="str">
        <f aca="false">IF('STUDENT SCREENING'!BC285="","",IFERROR(INDEX('SCORING MASTER'!$D$121:$D$123,MATCH('STUDENT SCREENING'!BC285,'SCORING MASTER'!$C$121:$C$123,0)),""))</f>
        <v/>
      </c>
      <c r="BE285" s="58" t="str">
        <f aca="false">IF('STUDENT SCREENING'!BD285="","",IFERROR(INDEX('SCORING MASTER'!$D$125:$D$126,MATCH('STUDENT SCREENING'!BD285,'SCORING MASTER'!$C$125:$C$126,0)),""))</f>
        <v/>
      </c>
      <c r="BF285" s="58" t="str">
        <f aca="false">IF('STUDENT SCREENING'!BE285="","",IFERROR(INDEX('SCORING MASTER'!$D$128:$D$129,MATCH('STUDENT SCREENING'!BE285,'SCORING MASTER'!$C$128:$C$129,0)),""))</f>
        <v/>
      </c>
      <c r="BG285" s="58" t="str">
        <f aca="false">IF('STUDENT SCREENING'!BP285="","",IFERROR(MATCH('STUDENT SCREENING'!BP285,{"Red - High Risk","Orange - Moderate Risk","Yellow - Mild Risk","Light Green - Mild Watch","Green - Healthy"},0)-1,""))</f>
        <v/>
      </c>
      <c r="BH285" s="58" t="str">
        <f aca="false">IF('STUDENT SCREENING'!BQ285="","",IF('STUDENT SCREENING'!BQ285="Yes",1,0))</f>
        <v/>
      </c>
      <c r="BI285" s="58" t="str">
        <f aca="false">IF('STUDENT SCREENING'!BR285="","",IF('STUDENT SCREENING'!BR285="Yes",1,0))</f>
        <v/>
      </c>
    </row>
    <row r="286" customFormat="false" ht="15" hidden="false" customHeight="false" outlineLevel="0" collapsed="false">
      <c r="A286" s="57" t="str">
        <f aca="false">'STUDENT SCREENING'!A286</f>
        <v/>
      </c>
      <c r="B286" s="57" t="n">
        <f aca="false">'STUDENT SCREENING'!C286</f>
        <v>0</v>
      </c>
      <c r="C286" s="57" t="n">
        <f aca="false">'STUDENT SCREENING'!D286</f>
        <v>0</v>
      </c>
      <c r="D286" s="57" t="n">
        <f aca="false">'STUDENT SCREENING'!E286</f>
        <v>0</v>
      </c>
      <c r="E286" s="57" t="n">
        <f aca="false">'STUDENT SCREENING'!F286</f>
        <v>0</v>
      </c>
      <c r="F286" s="57" t="n">
        <f aca="false">'STUDENT SCREENING'!K286</f>
        <v>0</v>
      </c>
      <c r="G286" s="57" t="n">
        <f aca="false">'STUDENT SCREENING'!J286</f>
        <v>0</v>
      </c>
      <c r="H286" s="57" t="str">
        <f aca="false">IF('STUDENT SCREENING'!K286="","",IFERROR(MATCH('STUDENT SCREENING'!K286,Adm_Gender,0),""))</f>
        <v/>
      </c>
      <c r="I286" s="57" t="n">
        <f aca="false">'STUDENT SCREENING'!Q286</f>
        <v>0</v>
      </c>
      <c r="J286" s="57" t="n">
        <f aca="false">'STUDENT SCREENING'!R286</f>
        <v>0</v>
      </c>
      <c r="K286" s="57" t="str">
        <f aca="false">'STUDENT SCREENING'!S286</f>
        <v/>
      </c>
      <c r="L286" s="57" t="n">
        <f aca="false">'STUDENT SCREENING'!U286</f>
        <v>0</v>
      </c>
      <c r="M286" s="57" t="n">
        <f aca="false">'STUDENT SCREENING'!V286</f>
        <v>0</v>
      </c>
      <c r="N286" s="57" t="str">
        <f aca="false">'STUDENT SCREENING'!BF286</f>
        <v/>
      </c>
      <c r="O286" s="57" t="str">
        <f aca="false">'STUDENT SCREENING'!BG286</f>
        <v/>
      </c>
      <c r="P286" s="57" t="str">
        <f aca="false">'STUDENT SCREENING'!BH286</f>
        <v/>
      </c>
      <c r="Q286" s="57" t="str">
        <f aca="false">'STUDENT SCREENING'!BI286</f>
        <v/>
      </c>
      <c r="R286" s="57" t="str">
        <f aca="false">'STUDENT SCREENING'!BJ286</f>
        <v/>
      </c>
      <c r="S286" s="57" t="str">
        <f aca="false">'STUDENT SCREENING'!BK286</f>
        <v/>
      </c>
      <c r="T286" s="57" t="str">
        <f aca="false">'STUDENT SCREENING'!BL286</f>
        <v/>
      </c>
      <c r="U286" s="57" t="str">
        <f aca="false">'STUDENT SCREENING'!BM286</f>
        <v/>
      </c>
      <c r="V286" s="57" t="str">
        <f aca="false">'STUDENT SCREENING'!BN286</f>
        <v/>
      </c>
      <c r="W286" s="57" t="str">
        <f aca="false">'STUDENT SCREENING'!BO286</f>
        <v/>
      </c>
      <c r="X286" s="57" t="str">
        <f aca="false">IF('STUDENT SCREENING'!W286="","",IFERROR(INDEX('SCORING MASTER'!$D$5:$D$7,MATCH('STUDENT SCREENING'!W286,'SCORING MASTER'!$C$5:$C$7,0)),""))</f>
        <v/>
      </c>
      <c r="Y286" s="57" t="str">
        <f aca="false">IF('STUDENT SCREENING'!X286="","",IFERROR(INDEX('SCORING MASTER'!$D$9:$D$11,MATCH('STUDENT SCREENING'!X286,'SCORING MASTER'!$C$9:$C$11,0)),""))</f>
        <v/>
      </c>
      <c r="Z286" s="57" t="str">
        <f aca="false">IF('STUDENT SCREENING'!Y286="","",IFERROR(INDEX('SCORING MASTER'!$D$13:$D$15,MATCH('STUDENT SCREENING'!Y286,'SCORING MASTER'!$C$13:$C$15,0)),""))</f>
        <v/>
      </c>
      <c r="AA286" s="57" t="str">
        <f aca="false">IF('STUDENT SCREENING'!Z286="","",IFERROR(INDEX('SCORING MASTER'!$D$17:$D$19,MATCH('STUDENT SCREENING'!Z286,'SCORING MASTER'!$C$17:$C$19,0)),""))</f>
        <v/>
      </c>
      <c r="AB286" s="57" t="str">
        <f aca="false">IF('STUDENT SCREENING'!AA286="","",IFERROR(INDEX('SCORING MASTER'!$D$21:$D$23,MATCH('STUDENT SCREENING'!AA286,'SCORING MASTER'!$C$21:$C$23,0)),""))</f>
        <v/>
      </c>
      <c r="AC286" s="57" t="str">
        <f aca="false">IF('STUDENT SCREENING'!AB286="","",IFERROR(INDEX('SCORING MASTER'!$D$25:$D$27,MATCH('STUDENT SCREENING'!AB286,'SCORING MASTER'!$C$25:$C$27,0)),""))</f>
        <v/>
      </c>
      <c r="AD286" s="57" t="str">
        <f aca="false">IF('STUDENT SCREENING'!AC286="","",IFERROR(INDEX('SCORING MASTER'!$D$29:$D$31,MATCH('STUDENT SCREENING'!AC286,'SCORING MASTER'!$C$29:$C$31,0)),""))</f>
        <v/>
      </c>
      <c r="AE286" s="57" t="str">
        <f aca="false">IF('STUDENT SCREENING'!AD286="","",IFERROR(INDEX('SCORING MASTER'!$D$33:$D$35,MATCH('STUDENT SCREENING'!AD286,'SCORING MASTER'!$C$33:$C$35,0)),""))</f>
        <v/>
      </c>
      <c r="AF286" s="57" t="str">
        <f aca="false">IF('STUDENT SCREENING'!AE286="","",IFERROR(INDEX('SCORING MASTER'!$D$37:$D$39,MATCH('STUDENT SCREENING'!AE286,'SCORING MASTER'!$C$37:$C$39,0)),""))</f>
        <v/>
      </c>
      <c r="AG286" s="57" t="str">
        <f aca="false">IF('STUDENT SCREENING'!AF286="","",IFERROR(INDEX('SCORING MASTER'!$D$41:$D$43,MATCH('STUDENT SCREENING'!AF286,'SCORING MASTER'!$C$41:$C$43,0)),""))</f>
        <v/>
      </c>
      <c r="AH286" s="57" t="str">
        <f aca="false">IF('STUDENT SCREENING'!AG286="","",IFERROR(INDEX('SCORING MASTER'!$D$45:$D$47,MATCH('STUDENT SCREENING'!AG286,'SCORING MASTER'!$C$45:$C$47,0)),""))</f>
        <v/>
      </c>
      <c r="AI286" s="57" t="str">
        <f aca="false">IF('STUDENT SCREENING'!AH286="","",IFERROR(INDEX('SCORING MASTER'!$D$49:$D$52,MATCH('STUDENT SCREENING'!AH286,'SCORING MASTER'!$C$49:$C$52,0)),""))</f>
        <v/>
      </c>
      <c r="AJ286" s="57" t="str">
        <f aca="false">IF('STUDENT SCREENING'!AI286="","",IFERROR(INDEX('SCORING MASTER'!$D$54:$D$57,MATCH('STUDENT SCREENING'!AI286,'SCORING MASTER'!$C$54:$C$57,0)),""))</f>
        <v/>
      </c>
      <c r="AK286" s="57" t="str">
        <f aca="false">IF('STUDENT SCREENING'!AJ286="","",IFERROR(INDEX('SCORING MASTER'!$D$59:$D$60,MATCH('STUDENT SCREENING'!AJ286,'SCORING MASTER'!$C$59:$C$60,0)),""))</f>
        <v/>
      </c>
      <c r="AL286" s="57" t="str">
        <f aca="false">IF('STUDENT SCREENING'!AK286="","",IFERROR(INDEX('SCORING MASTER'!$D$62:$D$63,MATCH('STUDENT SCREENING'!AK286,'SCORING MASTER'!$C$62:$C$63,0)),""))</f>
        <v/>
      </c>
      <c r="AM286" s="57" t="str">
        <f aca="false">IF('STUDENT SCREENING'!AL286="","",IFERROR(INDEX('SCORING MASTER'!$D$65:$D$66,MATCH('STUDENT SCREENING'!AL286,'SCORING MASTER'!$C$65:$C$66,0)),""))</f>
        <v/>
      </c>
      <c r="AN286" s="57" t="str">
        <f aca="false">IF('STUDENT SCREENING'!AM286="","",IFERROR(INDEX('SCORING MASTER'!$D$68:$D$69,MATCH('STUDENT SCREENING'!AM286,'SCORING MASTER'!$C$68:$C$69,0)),""))</f>
        <v/>
      </c>
      <c r="AO286" s="57" t="str">
        <f aca="false">IF('STUDENT SCREENING'!AN286="","",IFERROR(INDEX('SCORING MASTER'!$D$71:$D$72,MATCH('STUDENT SCREENING'!AN286,'SCORING MASTER'!$C$71:$C$72,0)),""))</f>
        <v/>
      </c>
      <c r="AP286" s="57" t="str">
        <f aca="false">IF('STUDENT SCREENING'!AO286="","",IFERROR(INDEX('SCORING MASTER'!$D$74:$D$75,MATCH('STUDENT SCREENING'!AO286,'SCORING MASTER'!$C$74:$C$75,0)),""))</f>
        <v/>
      </c>
      <c r="AQ286" s="57" t="str">
        <f aca="false">IF('STUDENT SCREENING'!AP286="","",IFERROR(INDEX('SCORING MASTER'!$D$77:$D$78,MATCH('STUDENT SCREENING'!AP286,'SCORING MASTER'!$C$77:$C$78,0)),""))</f>
        <v/>
      </c>
      <c r="AR286" s="57" t="str">
        <f aca="false">IF('STUDENT SCREENING'!AQ286="","",IFERROR(INDEX('SCORING MASTER'!$D$80:$D$82,MATCH('STUDENT SCREENING'!AQ286,'SCORING MASTER'!$C$80:$C$82,0)),""))</f>
        <v/>
      </c>
      <c r="AS286" s="57" t="str">
        <f aca="false">IF('STUDENT SCREENING'!AR286="","",IFERROR(INDEX('SCORING MASTER'!$D$84:$D$86,MATCH('STUDENT SCREENING'!AR286,'SCORING MASTER'!$C$84:$C$86,0)),""))</f>
        <v/>
      </c>
      <c r="AT286" s="57" t="str">
        <f aca="false">IF('STUDENT SCREENING'!AS286="","",IFERROR(INDEX('SCORING MASTER'!$D$88:$D$90,MATCH('STUDENT SCREENING'!AS286,'SCORING MASTER'!$C$88:$C$90,0)),""))</f>
        <v/>
      </c>
      <c r="AU286" s="57" t="str">
        <f aca="false">IF('STUDENT SCREENING'!AT286="","",IFERROR(INDEX('SCORING MASTER'!$D$92:$D$93,MATCH('STUDENT SCREENING'!AT286,'SCORING MASTER'!$C$92:$C$93,0)),""))</f>
        <v/>
      </c>
      <c r="AV286" s="57" t="str">
        <f aca="false">IF('STUDENT SCREENING'!AU286="","",IFERROR(INDEX('SCORING MASTER'!$D$95:$D$96,MATCH('STUDENT SCREENING'!AU286,'SCORING MASTER'!$C$95:$C$96,0)),""))</f>
        <v/>
      </c>
      <c r="AW286" s="57" t="str">
        <f aca="false">IF('STUDENT SCREENING'!AV286="","",IFERROR(INDEX('SCORING MASTER'!$D$98:$D$99,MATCH('STUDENT SCREENING'!AV286,'SCORING MASTER'!$C$98:$C$99,0)),""))</f>
        <v/>
      </c>
      <c r="AX286" s="57" t="str">
        <f aca="false">IF('STUDENT SCREENING'!AW286="","",IFERROR(INDEX('SCORING MASTER'!$D$101:$D$102,MATCH('STUDENT SCREENING'!AW286,'SCORING MASTER'!$C$101:$C$102,0)),""))</f>
        <v/>
      </c>
      <c r="AY286" s="57" t="str">
        <f aca="false">IF('STUDENT SCREENING'!AX286="","",IFERROR(INDEX('SCORING MASTER'!$D$104:$D$105,MATCH('STUDENT SCREENING'!AX286,'SCORING MASTER'!$C$104:$C$105,0)),""))</f>
        <v/>
      </c>
      <c r="AZ286" s="57" t="str">
        <f aca="false">IF('STUDENT SCREENING'!AY286="","",IFERROR(INDEX('SCORING MASTER'!$D$107:$D$108,MATCH('STUDENT SCREENING'!AY286,'SCORING MASTER'!$C$107:$C$108,0)),""))</f>
        <v/>
      </c>
      <c r="BA286" s="57" t="str">
        <f aca="false">IF('STUDENT SCREENING'!AZ286="","",IFERROR(INDEX('SCORING MASTER'!$D$110:$D$111,MATCH('STUDENT SCREENING'!AZ286,'SCORING MASTER'!$C$110:$C$111,0)),""))</f>
        <v/>
      </c>
      <c r="BB286" s="57" t="str">
        <f aca="false">IF('STUDENT SCREENING'!BA286="","",IFERROR(INDEX('SCORING MASTER'!$D$113:$D$115,MATCH('STUDENT SCREENING'!BA286,'SCORING MASTER'!$C$113:$C$115,0)),""))</f>
        <v/>
      </c>
      <c r="BC286" s="57" t="str">
        <f aca="false">IF('STUDENT SCREENING'!BB286="","",IFERROR(INDEX('SCORING MASTER'!$D$117:$D$119,MATCH('STUDENT SCREENING'!BB286,'SCORING MASTER'!$C$117:$C$119,0)),""))</f>
        <v/>
      </c>
      <c r="BD286" s="57" t="str">
        <f aca="false">IF('STUDENT SCREENING'!BC286="","",IFERROR(INDEX('SCORING MASTER'!$D$121:$D$123,MATCH('STUDENT SCREENING'!BC286,'SCORING MASTER'!$C$121:$C$123,0)),""))</f>
        <v/>
      </c>
      <c r="BE286" s="57" t="str">
        <f aca="false">IF('STUDENT SCREENING'!BD286="","",IFERROR(INDEX('SCORING MASTER'!$D$125:$D$126,MATCH('STUDENT SCREENING'!BD286,'SCORING MASTER'!$C$125:$C$126,0)),""))</f>
        <v/>
      </c>
      <c r="BF286" s="57" t="str">
        <f aca="false">IF('STUDENT SCREENING'!BE286="","",IFERROR(INDEX('SCORING MASTER'!$D$128:$D$129,MATCH('STUDENT SCREENING'!BE286,'SCORING MASTER'!$C$128:$C$129,0)),""))</f>
        <v/>
      </c>
      <c r="BG286" s="57" t="str">
        <f aca="false">IF('STUDENT SCREENING'!BP286="","",IFERROR(MATCH('STUDENT SCREENING'!BP286,{"Red - High Risk","Orange - Moderate Risk","Yellow - Mild Risk","Light Green - Mild Watch","Green - Healthy"},0)-1,""))</f>
        <v/>
      </c>
      <c r="BH286" s="57" t="str">
        <f aca="false">IF('STUDENT SCREENING'!BQ286="","",IF('STUDENT SCREENING'!BQ286="Yes",1,0))</f>
        <v/>
      </c>
      <c r="BI286" s="57" t="str">
        <f aca="false">IF('STUDENT SCREENING'!BR286="","",IF('STUDENT SCREENING'!BR286="Yes",1,0))</f>
        <v/>
      </c>
    </row>
    <row r="287" customFormat="false" ht="15" hidden="false" customHeight="false" outlineLevel="0" collapsed="false">
      <c r="A287" s="58" t="str">
        <f aca="false">'STUDENT SCREENING'!A287</f>
        <v/>
      </c>
      <c r="B287" s="58" t="n">
        <f aca="false">'STUDENT SCREENING'!C287</f>
        <v>0</v>
      </c>
      <c r="C287" s="58" t="n">
        <f aca="false">'STUDENT SCREENING'!D287</f>
        <v>0</v>
      </c>
      <c r="D287" s="58" t="n">
        <f aca="false">'STUDENT SCREENING'!E287</f>
        <v>0</v>
      </c>
      <c r="E287" s="58" t="n">
        <f aca="false">'STUDENT SCREENING'!F287</f>
        <v>0</v>
      </c>
      <c r="F287" s="58" t="n">
        <f aca="false">'STUDENT SCREENING'!K287</f>
        <v>0</v>
      </c>
      <c r="G287" s="58" t="n">
        <f aca="false">'STUDENT SCREENING'!J287</f>
        <v>0</v>
      </c>
      <c r="H287" s="58" t="str">
        <f aca="false">IF('STUDENT SCREENING'!K287="","",IFERROR(MATCH('STUDENT SCREENING'!K287,Adm_Gender,0),""))</f>
        <v/>
      </c>
      <c r="I287" s="58" t="n">
        <f aca="false">'STUDENT SCREENING'!Q287</f>
        <v>0</v>
      </c>
      <c r="J287" s="58" t="n">
        <f aca="false">'STUDENT SCREENING'!R287</f>
        <v>0</v>
      </c>
      <c r="K287" s="58" t="str">
        <f aca="false">'STUDENT SCREENING'!S287</f>
        <v/>
      </c>
      <c r="L287" s="58" t="n">
        <f aca="false">'STUDENT SCREENING'!U287</f>
        <v>0</v>
      </c>
      <c r="M287" s="58" t="n">
        <f aca="false">'STUDENT SCREENING'!V287</f>
        <v>0</v>
      </c>
      <c r="N287" s="58" t="str">
        <f aca="false">'STUDENT SCREENING'!BF287</f>
        <v/>
      </c>
      <c r="O287" s="58" t="str">
        <f aca="false">'STUDENT SCREENING'!BG287</f>
        <v/>
      </c>
      <c r="P287" s="58" t="str">
        <f aca="false">'STUDENT SCREENING'!BH287</f>
        <v/>
      </c>
      <c r="Q287" s="58" t="str">
        <f aca="false">'STUDENT SCREENING'!BI287</f>
        <v/>
      </c>
      <c r="R287" s="58" t="str">
        <f aca="false">'STUDENT SCREENING'!BJ287</f>
        <v/>
      </c>
      <c r="S287" s="58" t="str">
        <f aca="false">'STUDENT SCREENING'!BK287</f>
        <v/>
      </c>
      <c r="T287" s="58" t="str">
        <f aca="false">'STUDENT SCREENING'!BL287</f>
        <v/>
      </c>
      <c r="U287" s="58" t="str">
        <f aca="false">'STUDENT SCREENING'!BM287</f>
        <v/>
      </c>
      <c r="V287" s="58" t="str">
        <f aca="false">'STUDENT SCREENING'!BN287</f>
        <v/>
      </c>
      <c r="W287" s="58" t="str">
        <f aca="false">'STUDENT SCREENING'!BO287</f>
        <v/>
      </c>
      <c r="X287" s="58" t="str">
        <f aca="false">IF('STUDENT SCREENING'!W287="","",IFERROR(INDEX('SCORING MASTER'!$D$5:$D$7,MATCH('STUDENT SCREENING'!W287,'SCORING MASTER'!$C$5:$C$7,0)),""))</f>
        <v/>
      </c>
      <c r="Y287" s="58" t="str">
        <f aca="false">IF('STUDENT SCREENING'!X287="","",IFERROR(INDEX('SCORING MASTER'!$D$9:$D$11,MATCH('STUDENT SCREENING'!X287,'SCORING MASTER'!$C$9:$C$11,0)),""))</f>
        <v/>
      </c>
      <c r="Z287" s="58" t="str">
        <f aca="false">IF('STUDENT SCREENING'!Y287="","",IFERROR(INDEX('SCORING MASTER'!$D$13:$D$15,MATCH('STUDENT SCREENING'!Y287,'SCORING MASTER'!$C$13:$C$15,0)),""))</f>
        <v/>
      </c>
      <c r="AA287" s="58" t="str">
        <f aca="false">IF('STUDENT SCREENING'!Z287="","",IFERROR(INDEX('SCORING MASTER'!$D$17:$D$19,MATCH('STUDENT SCREENING'!Z287,'SCORING MASTER'!$C$17:$C$19,0)),""))</f>
        <v/>
      </c>
      <c r="AB287" s="58" t="str">
        <f aca="false">IF('STUDENT SCREENING'!AA287="","",IFERROR(INDEX('SCORING MASTER'!$D$21:$D$23,MATCH('STUDENT SCREENING'!AA287,'SCORING MASTER'!$C$21:$C$23,0)),""))</f>
        <v/>
      </c>
      <c r="AC287" s="58" t="str">
        <f aca="false">IF('STUDENT SCREENING'!AB287="","",IFERROR(INDEX('SCORING MASTER'!$D$25:$D$27,MATCH('STUDENT SCREENING'!AB287,'SCORING MASTER'!$C$25:$C$27,0)),""))</f>
        <v/>
      </c>
      <c r="AD287" s="58" t="str">
        <f aca="false">IF('STUDENT SCREENING'!AC287="","",IFERROR(INDEX('SCORING MASTER'!$D$29:$D$31,MATCH('STUDENT SCREENING'!AC287,'SCORING MASTER'!$C$29:$C$31,0)),""))</f>
        <v/>
      </c>
      <c r="AE287" s="58" t="str">
        <f aca="false">IF('STUDENT SCREENING'!AD287="","",IFERROR(INDEX('SCORING MASTER'!$D$33:$D$35,MATCH('STUDENT SCREENING'!AD287,'SCORING MASTER'!$C$33:$C$35,0)),""))</f>
        <v/>
      </c>
      <c r="AF287" s="58" t="str">
        <f aca="false">IF('STUDENT SCREENING'!AE287="","",IFERROR(INDEX('SCORING MASTER'!$D$37:$D$39,MATCH('STUDENT SCREENING'!AE287,'SCORING MASTER'!$C$37:$C$39,0)),""))</f>
        <v/>
      </c>
      <c r="AG287" s="58" t="str">
        <f aca="false">IF('STUDENT SCREENING'!AF287="","",IFERROR(INDEX('SCORING MASTER'!$D$41:$D$43,MATCH('STUDENT SCREENING'!AF287,'SCORING MASTER'!$C$41:$C$43,0)),""))</f>
        <v/>
      </c>
      <c r="AH287" s="58" t="str">
        <f aca="false">IF('STUDENT SCREENING'!AG287="","",IFERROR(INDEX('SCORING MASTER'!$D$45:$D$47,MATCH('STUDENT SCREENING'!AG287,'SCORING MASTER'!$C$45:$C$47,0)),""))</f>
        <v/>
      </c>
      <c r="AI287" s="58" t="str">
        <f aca="false">IF('STUDENT SCREENING'!AH287="","",IFERROR(INDEX('SCORING MASTER'!$D$49:$D$52,MATCH('STUDENT SCREENING'!AH287,'SCORING MASTER'!$C$49:$C$52,0)),""))</f>
        <v/>
      </c>
      <c r="AJ287" s="58" t="str">
        <f aca="false">IF('STUDENT SCREENING'!AI287="","",IFERROR(INDEX('SCORING MASTER'!$D$54:$D$57,MATCH('STUDENT SCREENING'!AI287,'SCORING MASTER'!$C$54:$C$57,0)),""))</f>
        <v/>
      </c>
      <c r="AK287" s="58" t="str">
        <f aca="false">IF('STUDENT SCREENING'!AJ287="","",IFERROR(INDEX('SCORING MASTER'!$D$59:$D$60,MATCH('STUDENT SCREENING'!AJ287,'SCORING MASTER'!$C$59:$C$60,0)),""))</f>
        <v/>
      </c>
      <c r="AL287" s="58" t="str">
        <f aca="false">IF('STUDENT SCREENING'!AK287="","",IFERROR(INDEX('SCORING MASTER'!$D$62:$D$63,MATCH('STUDENT SCREENING'!AK287,'SCORING MASTER'!$C$62:$C$63,0)),""))</f>
        <v/>
      </c>
      <c r="AM287" s="58" t="str">
        <f aca="false">IF('STUDENT SCREENING'!AL287="","",IFERROR(INDEX('SCORING MASTER'!$D$65:$D$66,MATCH('STUDENT SCREENING'!AL287,'SCORING MASTER'!$C$65:$C$66,0)),""))</f>
        <v/>
      </c>
      <c r="AN287" s="58" t="str">
        <f aca="false">IF('STUDENT SCREENING'!AM287="","",IFERROR(INDEX('SCORING MASTER'!$D$68:$D$69,MATCH('STUDENT SCREENING'!AM287,'SCORING MASTER'!$C$68:$C$69,0)),""))</f>
        <v/>
      </c>
      <c r="AO287" s="58" t="str">
        <f aca="false">IF('STUDENT SCREENING'!AN287="","",IFERROR(INDEX('SCORING MASTER'!$D$71:$D$72,MATCH('STUDENT SCREENING'!AN287,'SCORING MASTER'!$C$71:$C$72,0)),""))</f>
        <v/>
      </c>
      <c r="AP287" s="58" t="str">
        <f aca="false">IF('STUDENT SCREENING'!AO287="","",IFERROR(INDEX('SCORING MASTER'!$D$74:$D$75,MATCH('STUDENT SCREENING'!AO287,'SCORING MASTER'!$C$74:$C$75,0)),""))</f>
        <v/>
      </c>
      <c r="AQ287" s="58" t="str">
        <f aca="false">IF('STUDENT SCREENING'!AP287="","",IFERROR(INDEX('SCORING MASTER'!$D$77:$D$78,MATCH('STUDENT SCREENING'!AP287,'SCORING MASTER'!$C$77:$C$78,0)),""))</f>
        <v/>
      </c>
      <c r="AR287" s="58" t="str">
        <f aca="false">IF('STUDENT SCREENING'!AQ287="","",IFERROR(INDEX('SCORING MASTER'!$D$80:$D$82,MATCH('STUDENT SCREENING'!AQ287,'SCORING MASTER'!$C$80:$C$82,0)),""))</f>
        <v/>
      </c>
      <c r="AS287" s="58" t="str">
        <f aca="false">IF('STUDENT SCREENING'!AR287="","",IFERROR(INDEX('SCORING MASTER'!$D$84:$D$86,MATCH('STUDENT SCREENING'!AR287,'SCORING MASTER'!$C$84:$C$86,0)),""))</f>
        <v/>
      </c>
      <c r="AT287" s="58" t="str">
        <f aca="false">IF('STUDENT SCREENING'!AS287="","",IFERROR(INDEX('SCORING MASTER'!$D$88:$D$90,MATCH('STUDENT SCREENING'!AS287,'SCORING MASTER'!$C$88:$C$90,0)),""))</f>
        <v/>
      </c>
      <c r="AU287" s="58" t="str">
        <f aca="false">IF('STUDENT SCREENING'!AT287="","",IFERROR(INDEX('SCORING MASTER'!$D$92:$D$93,MATCH('STUDENT SCREENING'!AT287,'SCORING MASTER'!$C$92:$C$93,0)),""))</f>
        <v/>
      </c>
      <c r="AV287" s="58" t="str">
        <f aca="false">IF('STUDENT SCREENING'!AU287="","",IFERROR(INDEX('SCORING MASTER'!$D$95:$D$96,MATCH('STUDENT SCREENING'!AU287,'SCORING MASTER'!$C$95:$C$96,0)),""))</f>
        <v/>
      </c>
      <c r="AW287" s="58" t="str">
        <f aca="false">IF('STUDENT SCREENING'!AV287="","",IFERROR(INDEX('SCORING MASTER'!$D$98:$D$99,MATCH('STUDENT SCREENING'!AV287,'SCORING MASTER'!$C$98:$C$99,0)),""))</f>
        <v/>
      </c>
      <c r="AX287" s="58" t="str">
        <f aca="false">IF('STUDENT SCREENING'!AW287="","",IFERROR(INDEX('SCORING MASTER'!$D$101:$D$102,MATCH('STUDENT SCREENING'!AW287,'SCORING MASTER'!$C$101:$C$102,0)),""))</f>
        <v/>
      </c>
      <c r="AY287" s="58" t="str">
        <f aca="false">IF('STUDENT SCREENING'!AX287="","",IFERROR(INDEX('SCORING MASTER'!$D$104:$D$105,MATCH('STUDENT SCREENING'!AX287,'SCORING MASTER'!$C$104:$C$105,0)),""))</f>
        <v/>
      </c>
      <c r="AZ287" s="58" t="str">
        <f aca="false">IF('STUDENT SCREENING'!AY287="","",IFERROR(INDEX('SCORING MASTER'!$D$107:$D$108,MATCH('STUDENT SCREENING'!AY287,'SCORING MASTER'!$C$107:$C$108,0)),""))</f>
        <v/>
      </c>
      <c r="BA287" s="58" t="str">
        <f aca="false">IF('STUDENT SCREENING'!AZ287="","",IFERROR(INDEX('SCORING MASTER'!$D$110:$D$111,MATCH('STUDENT SCREENING'!AZ287,'SCORING MASTER'!$C$110:$C$111,0)),""))</f>
        <v/>
      </c>
      <c r="BB287" s="58" t="str">
        <f aca="false">IF('STUDENT SCREENING'!BA287="","",IFERROR(INDEX('SCORING MASTER'!$D$113:$D$115,MATCH('STUDENT SCREENING'!BA287,'SCORING MASTER'!$C$113:$C$115,0)),""))</f>
        <v/>
      </c>
      <c r="BC287" s="58" t="str">
        <f aca="false">IF('STUDENT SCREENING'!BB287="","",IFERROR(INDEX('SCORING MASTER'!$D$117:$D$119,MATCH('STUDENT SCREENING'!BB287,'SCORING MASTER'!$C$117:$C$119,0)),""))</f>
        <v/>
      </c>
      <c r="BD287" s="58" t="str">
        <f aca="false">IF('STUDENT SCREENING'!BC287="","",IFERROR(INDEX('SCORING MASTER'!$D$121:$D$123,MATCH('STUDENT SCREENING'!BC287,'SCORING MASTER'!$C$121:$C$123,0)),""))</f>
        <v/>
      </c>
      <c r="BE287" s="58" t="str">
        <f aca="false">IF('STUDENT SCREENING'!BD287="","",IFERROR(INDEX('SCORING MASTER'!$D$125:$D$126,MATCH('STUDENT SCREENING'!BD287,'SCORING MASTER'!$C$125:$C$126,0)),""))</f>
        <v/>
      </c>
      <c r="BF287" s="58" t="str">
        <f aca="false">IF('STUDENT SCREENING'!BE287="","",IFERROR(INDEX('SCORING MASTER'!$D$128:$D$129,MATCH('STUDENT SCREENING'!BE287,'SCORING MASTER'!$C$128:$C$129,0)),""))</f>
        <v/>
      </c>
      <c r="BG287" s="58" t="str">
        <f aca="false">IF('STUDENT SCREENING'!BP287="","",IFERROR(MATCH('STUDENT SCREENING'!BP287,{"Red - High Risk","Orange - Moderate Risk","Yellow - Mild Risk","Light Green - Mild Watch","Green - Healthy"},0)-1,""))</f>
        <v/>
      </c>
      <c r="BH287" s="58" t="str">
        <f aca="false">IF('STUDENT SCREENING'!BQ287="","",IF('STUDENT SCREENING'!BQ287="Yes",1,0))</f>
        <v/>
      </c>
      <c r="BI287" s="58" t="str">
        <f aca="false">IF('STUDENT SCREENING'!BR287="","",IF('STUDENT SCREENING'!BR287="Yes",1,0))</f>
        <v/>
      </c>
    </row>
    <row r="288" customFormat="false" ht="15" hidden="false" customHeight="false" outlineLevel="0" collapsed="false">
      <c r="A288" s="57" t="str">
        <f aca="false">'STUDENT SCREENING'!A288</f>
        <v/>
      </c>
      <c r="B288" s="57" t="n">
        <f aca="false">'STUDENT SCREENING'!C288</f>
        <v>0</v>
      </c>
      <c r="C288" s="57" t="n">
        <f aca="false">'STUDENT SCREENING'!D288</f>
        <v>0</v>
      </c>
      <c r="D288" s="57" t="n">
        <f aca="false">'STUDENT SCREENING'!E288</f>
        <v>0</v>
      </c>
      <c r="E288" s="57" t="n">
        <f aca="false">'STUDENT SCREENING'!F288</f>
        <v>0</v>
      </c>
      <c r="F288" s="57" t="n">
        <f aca="false">'STUDENT SCREENING'!K288</f>
        <v>0</v>
      </c>
      <c r="G288" s="57" t="n">
        <f aca="false">'STUDENT SCREENING'!J288</f>
        <v>0</v>
      </c>
      <c r="H288" s="57" t="str">
        <f aca="false">IF('STUDENT SCREENING'!K288="","",IFERROR(MATCH('STUDENT SCREENING'!K288,Adm_Gender,0),""))</f>
        <v/>
      </c>
      <c r="I288" s="57" t="n">
        <f aca="false">'STUDENT SCREENING'!Q288</f>
        <v>0</v>
      </c>
      <c r="J288" s="57" t="n">
        <f aca="false">'STUDENT SCREENING'!R288</f>
        <v>0</v>
      </c>
      <c r="K288" s="57" t="str">
        <f aca="false">'STUDENT SCREENING'!S288</f>
        <v/>
      </c>
      <c r="L288" s="57" t="n">
        <f aca="false">'STUDENT SCREENING'!U288</f>
        <v>0</v>
      </c>
      <c r="M288" s="57" t="n">
        <f aca="false">'STUDENT SCREENING'!V288</f>
        <v>0</v>
      </c>
      <c r="N288" s="57" t="str">
        <f aca="false">'STUDENT SCREENING'!BF288</f>
        <v/>
      </c>
      <c r="O288" s="57" t="str">
        <f aca="false">'STUDENT SCREENING'!BG288</f>
        <v/>
      </c>
      <c r="P288" s="57" t="str">
        <f aca="false">'STUDENT SCREENING'!BH288</f>
        <v/>
      </c>
      <c r="Q288" s="57" t="str">
        <f aca="false">'STUDENT SCREENING'!BI288</f>
        <v/>
      </c>
      <c r="R288" s="57" t="str">
        <f aca="false">'STUDENT SCREENING'!BJ288</f>
        <v/>
      </c>
      <c r="S288" s="57" t="str">
        <f aca="false">'STUDENT SCREENING'!BK288</f>
        <v/>
      </c>
      <c r="T288" s="57" t="str">
        <f aca="false">'STUDENT SCREENING'!BL288</f>
        <v/>
      </c>
      <c r="U288" s="57" t="str">
        <f aca="false">'STUDENT SCREENING'!BM288</f>
        <v/>
      </c>
      <c r="V288" s="57" t="str">
        <f aca="false">'STUDENT SCREENING'!BN288</f>
        <v/>
      </c>
      <c r="W288" s="57" t="str">
        <f aca="false">'STUDENT SCREENING'!BO288</f>
        <v/>
      </c>
      <c r="X288" s="57" t="str">
        <f aca="false">IF('STUDENT SCREENING'!W288="","",IFERROR(INDEX('SCORING MASTER'!$D$5:$D$7,MATCH('STUDENT SCREENING'!W288,'SCORING MASTER'!$C$5:$C$7,0)),""))</f>
        <v/>
      </c>
      <c r="Y288" s="57" t="str">
        <f aca="false">IF('STUDENT SCREENING'!X288="","",IFERROR(INDEX('SCORING MASTER'!$D$9:$D$11,MATCH('STUDENT SCREENING'!X288,'SCORING MASTER'!$C$9:$C$11,0)),""))</f>
        <v/>
      </c>
      <c r="Z288" s="57" t="str">
        <f aca="false">IF('STUDENT SCREENING'!Y288="","",IFERROR(INDEX('SCORING MASTER'!$D$13:$D$15,MATCH('STUDENT SCREENING'!Y288,'SCORING MASTER'!$C$13:$C$15,0)),""))</f>
        <v/>
      </c>
      <c r="AA288" s="57" t="str">
        <f aca="false">IF('STUDENT SCREENING'!Z288="","",IFERROR(INDEX('SCORING MASTER'!$D$17:$D$19,MATCH('STUDENT SCREENING'!Z288,'SCORING MASTER'!$C$17:$C$19,0)),""))</f>
        <v/>
      </c>
      <c r="AB288" s="57" t="str">
        <f aca="false">IF('STUDENT SCREENING'!AA288="","",IFERROR(INDEX('SCORING MASTER'!$D$21:$D$23,MATCH('STUDENT SCREENING'!AA288,'SCORING MASTER'!$C$21:$C$23,0)),""))</f>
        <v/>
      </c>
      <c r="AC288" s="57" t="str">
        <f aca="false">IF('STUDENT SCREENING'!AB288="","",IFERROR(INDEX('SCORING MASTER'!$D$25:$D$27,MATCH('STUDENT SCREENING'!AB288,'SCORING MASTER'!$C$25:$C$27,0)),""))</f>
        <v/>
      </c>
      <c r="AD288" s="57" t="str">
        <f aca="false">IF('STUDENT SCREENING'!AC288="","",IFERROR(INDEX('SCORING MASTER'!$D$29:$D$31,MATCH('STUDENT SCREENING'!AC288,'SCORING MASTER'!$C$29:$C$31,0)),""))</f>
        <v/>
      </c>
      <c r="AE288" s="57" t="str">
        <f aca="false">IF('STUDENT SCREENING'!AD288="","",IFERROR(INDEX('SCORING MASTER'!$D$33:$D$35,MATCH('STUDENT SCREENING'!AD288,'SCORING MASTER'!$C$33:$C$35,0)),""))</f>
        <v/>
      </c>
      <c r="AF288" s="57" t="str">
        <f aca="false">IF('STUDENT SCREENING'!AE288="","",IFERROR(INDEX('SCORING MASTER'!$D$37:$D$39,MATCH('STUDENT SCREENING'!AE288,'SCORING MASTER'!$C$37:$C$39,0)),""))</f>
        <v/>
      </c>
      <c r="AG288" s="57" t="str">
        <f aca="false">IF('STUDENT SCREENING'!AF288="","",IFERROR(INDEX('SCORING MASTER'!$D$41:$D$43,MATCH('STUDENT SCREENING'!AF288,'SCORING MASTER'!$C$41:$C$43,0)),""))</f>
        <v/>
      </c>
      <c r="AH288" s="57" t="str">
        <f aca="false">IF('STUDENT SCREENING'!AG288="","",IFERROR(INDEX('SCORING MASTER'!$D$45:$D$47,MATCH('STUDENT SCREENING'!AG288,'SCORING MASTER'!$C$45:$C$47,0)),""))</f>
        <v/>
      </c>
      <c r="AI288" s="57" t="str">
        <f aca="false">IF('STUDENT SCREENING'!AH288="","",IFERROR(INDEX('SCORING MASTER'!$D$49:$D$52,MATCH('STUDENT SCREENING'!AH288,'SCORING MASTER'!$C$49:$C$52,0)),""))</f>
        <v/>
      </c>
      <c r="AJ288" s="57" t="str">
        <f aca="false">IF('STUDENT SCREENING'!AI288="","",IFERROR(INDEX('SCORING MASTER'!$D$54:$D$57,MATCH('STUDENT SCREENING'!AI288,'SCORING MASTER'!$C$54:$C$57,0)),""))</f>
        <v/>
      </c>
      <c r="AK288" s="57" t="str">
        <f aca="false">IF('STUDENT SCREENING'!AJ288="","",IFERROR(INDEX('SCORING MASTER'!$D$59:$D$60,MATCH('STUDENT SCREENING'!AJ288,'SCORING MASTER'!$C$59:$C$60,0)),""))</f>
        <v/>
      </c>
      <c r="AL288" s="57" t="str">
        <f aca="false">IF('STUDENT SCREENING'!AK288="","",IFERROR(INDEX('SCORING MASTER'!$D$62:$D$63,MATCH('STUDENT SCREENING'!AK288,'SCORING MASTER'!$C$62:$C$63,0)),""))</f>
        <v/>
      </c>
      <c r="AM288" s="57" t="str">
        <f aca="false">IF('STUDENT SCREENING'!AL288="","",IFERROR(INDEX('SCORING MASTER'!$D$65:$D$66,MATCH('STUDENT SCREENING'!AL288,'SCORING MASTER'!$C$65:$C$66,0)),""))</f>
        <v/>
      </c>
      <c r="AN288" s="57" t="str">
        <f aca="false">IF('STUDENT SCREENING'!AM288="","",IFERROR(INDEX('SCORING MASTER'!$D$68:$D$69,MATCH('STUDENT SCREENING'!AM288,'SCORING MASTER'!$C$68:$C$69,0)),""))</f>
        <v/>
      </c>
      <c r="AO288" s="57" t="str">
        <f aca="false">IF('STUDENT SCREENING'!AN288="","",IFERROR(INDEX('SCORING MASTER'!$D$71:$D$72,MATCH('STUDENT SCREENING'!AN288,'SCORING MASTER'!$C$71:$C$72,0)),""))</f>
        <v/>
      </c>
      <c r="AP288" s="57" t="str">
        <f aca="false">IF('STUDENT SCREENING'!AO288="","",IFERROR(INDEX('SCORING MASTER'!$D$74:$D$75,MATCH('STUDENT SCREENING'!AO288,'SCORING MASTER'!$C$74:$C$75,0)),""))</f>
        <v/>
      </c>
      <c r="AQ288" s="57" t="str">
        <f aca="false">IF('STUDENT SCREENING'!AP288="","",IFERROR(INDEX('SCORING MASTER'!$D$77:$D$78,MATCH('STUDENT SCREENING'!AP288,'SCORING MASTER'!$C$77:$C$78,0)),""))</f>
        <v/>
      </c>
      <c r="AR288" s="57" t="str">
        <f aca="false">IF('STUDENT SCREENING'!AQ288="","",IFERROR(INDEX('SCORING MASTER'!$D$80:$D$82,MATCH('STUDENT SCREENING'!AQ288,'SCORING MASTER'!$C$80:$C$82,0)),""))</f>
        <v/>
      </c>
      <c r="AS288" s="57" t="str">
        <f aca="false">IF('STUDENT SCREENING'!AR288="","",IFERROR(INDEX('SCORING MASTER'!$D$84:$D$86,MATCH('STUDENT SCREENING'!AR288,'SCORING MASTER'!$C$84:$C$86,0)),""))</f>
        <v/>
      </c>
      <c r="AT288" s="57" t="str">
        <f aca="false">IF('STUDENT SCREENING'!AS288="","",IFERROR(INDEX('SCORING MASTER'!$D$88:$D$90,MATCH('STUDENT SCREENING'!AS288,'SCORING MASTER'!$C$88:$C$90,0)),""))</f>
        <v/>
      </c>
      <c r="AU288" s="57" t="str">
        <f aca="false">IF('STUDENT SCREENING'!AT288="","",IFERROR(INDEX('SCORING MASTER'!$D$92:$D$93,MATCH('STUDENT SCREENING'!AT288,'SCORING MASTER'!$C$92:$C$93,0)),""))</f>
        <v/>
      </c>
      <c r="AV288" s="57" t="str">
        <f aca="false">IF('STUDENT SCREENING'!AU288="","",IFERROR(INDEX('SCORING MASTER'!$D$95:$D$96,MATCH('STUDENT SCREENING'!AU288,'SCORING MASTER'!$C$95:$C$96,0)),""))</f>
        <v/>
      </c>
      <c r="AW288" s="57" t="str">
        <f aca="false">IF('STUDENT SCREENING'!AV288="","",IFERROR(INDEX('SCORING MASTER'!$D$98:$D$99,MATCH('STUDENT SCREENING'!AV288,'SCORING MASTER'!$C$98:$C$99,0)),""))</f>
        <v/>
      </c>
      <c r="AX288" s="57" t="str">
        <f aca="false">IF('STUDENT SCREENING'!AW288="","",IFERROR(INDEX('SCORING MASTER'!$D$101:$D$102,MATCH('STUDENT SCREENING'!AW288,'SCORING MASTER'!$C$101:$C$102,0)),""))</f>
        <v/>
      </c>
      <c r="AY288" s="57" t="str">
        <f aca="false">IF('STUDENT SCREENING'!AX288="","",IFERROR(INDEX('SCORING MASTER'!$D$104:$D$105,MATCH('STUDENT SCREENING'!AX288,'SCORING MASTER'!$C$104:$C$105,0)),""))</f>
        <v/>
      </c>
      <c r="AZ288" s="57" t="str">
        <f aca="false">IF('STUDENT SCREENING'!AY288="","",IFERROR(INDEX('SCORING MASTER'!$D$107:$D$108,MATCH('STUDENT SCREENING'!AY288,'SCORING MASTER'!$C$107:$C$108,0)),""))</f>
        <v/>
      </c>
      <c r="BA288" s="57" t="str">
        <f aca="false">IF('STUDENT SCREENING'!AZ288="","",IFERROR(INDEX('SCORING MASTER'!$D$110:$D$111,MATCH('STUDENT SCREENING'!AZ288,'SCORING MASTER'!$C$110:$C$111,0)),""))</f>
        <v/>
      </c>
      <c r="BB288" s="57" t="str">
        <f aca="false">IF('STUDENT SCREENING'!BA288="","",IFERROR(INDEX('SCORING MASTER'!$D$113:$D$115,MATCH('STUDENT SCREENING'!BA288,'SCORING MASTER'!$C$113:$C$115,0)),""))</f>
        <v/>
      </c>
      <c r="BC288" s="57" t="str">
        <f aca="false">IF('STUDENT SCREENING'!BB288="","",IFERROR(INDEX('SCORING MASTER'!$D$117:$D$119,MATCH('STUDENT SCREENING'!BB288,'SCORING MASTER'!$C$117:$C$119,0)),""))</f>
        <v/>
      </c>
      <c r="BD288" s="57" t="str">
        <f aca="false">IF('STUDENT SCREENING'!BC288="","",IFERROR(INDEX('SCORING MASTER'!$D$121:$D$123,MATCH('STUDENT SCREENING'!BC288,'SCORING MASTER'!$C$121:$C$123,0)),""))</f>
        <v/>
      </c>
      <c r="BE288" s="57" t="str">
        <f aca="false">IF('STUDENT SCREENING'!BD288="","",IFERROR(INDEX('SCORING MASTER'!$D$125:$D$126,MATCH('STUDENT SCREENING'!BD288,'SCORING MASTER'!$C$125:$C$126,0)),""))</f>
        <v/>
      </c>
      <c r="BF288" s="57" t="str">
        <f aca="false">IF('STUDENT SCREENING'!BE288="","",IFERROR(INDEX('SCORING MASTER'!$D$128:$D$129,MATCH('STUDENT SCREENING'!BE288,'SCORING MASTER'!$C$128:$C$129,0)),""))</f>
        <v/>
      </c>
      <c r="BG288" s="57" t="str">
        <f aca="false">IF('STUDENT SCREENING'!BP288="","",IFERROR(MATCH('STUDENT SCREENING'!BP288,{"Red - High Risk","Orange - Moderate Risk","Yellow - Mild Risk","Light Green - Mild Watch","Green - Healthy"},0)-1,""))</f>
        <v/>
      </c>
      <c r="BH288" s="57" t="str">
        <f aca="false">IF('STUDENT SCREENING'!BQ288="","",IF('STUDENT SCREENING'!BQ288="Yes",1,0))</f>
        <v/>
      </c>
      <c r="BI288" s="57" t="str">
        <f aca="false">IF('STUDENT SCREENING'!BR288="","",IF('STUDENT SCREENING'!BR288="Yes",1,0))</f>
        <v/>
      </c>
    </row>
    <row r="289" customFormat="false" ht="15" hidden="false" customHeight="false" outlineLevel="0" collapsed="false">
      <c r="A289" s="58" t="str">
        <f aca="false">'STUDENT SCREENING'!A289</f>
        <v/>
      </c>
      <c r="B289" s="58" t="n">
        <f aca="false">'STUDENT SCREENING'!C289</f>
        <v>0</v>
      </c>
      <c r="C289" s="58" t="n">
        <f aca="false">'STUDENT SCREENING'!D289</f>
        <v>0</v>
      </c>
      <c r="D289" s="58" t="n">
        <f aca="false">'STUDENT SCREENING'!E289</f>
        <v>0</v>
      </c>
      <c r="E289" s="58" t="n">
        <f aca="false">'STUDENT SCREENING'!F289</f>
        <v>0</v>
      </c>
      <c r="F289" s="58" t="n">
        <f aca="false">'STUDENT SCREENING'!K289</f>
        <v>0</v>
      </c>
      <c r="G289" s="58" t="n">
        <f aca="false">'STUDENT SCREENING'!J289</f>
        <v>0</v>
      </c>
      <c r="H289" s="58" t="str">
        <f aca="false">IF('STUDENT SCREENING'!K289="","",IFERROR(MATCH('STUDENT SCREENING'!K289,Adm_Gender,0),""))</f>
        <v/>
      </c>
      <c r="I289" s="58" t="n">
        <f aca="false">'STUDENT SCREENING'!Q289</f>
        <v>0</v>
      </c>
      <c r="J289" s="58" t="n">
        <f aca="false">'STUDENT SCREENING'!R289</f>
        <v>0</v>
      </c>
      <c r="K289" s="58" t="str">
        <f aca="false">'STUDENT SCREENING'!S289</f>
        <v/>
      </c>
      <c r="L289" s="58" t="n">
        <f aca="false">'STUDENT SCREENING'!U289</f>
        <v>0</v>
      </c>
      <c r="M289" s="58" t="n">
        <f aca="false">'STUDENT SCREENING'!V289</f>
        <v>0</v>
      </c>
      <c r="N289" s="58" t="str">
        <f aca="false">'STUDENT SCREENING'!BF289</f>
        <v/>
      </c>
      <c r="O289" s="58" t="str">
        <f aca="false">'STUDENT SCREENING'!BG289</f>
        <v/>
      </c>
      <c r="P289" s="58" t="str">
        <f aca="false">'STUDENT SCREENING'!BH289</f>
        <v/>
      </c>
      <c r="Q289" s="58" t="str">
        <f aca="false">'STUDENT SCREENING'!BI289</f>
        <v/>
      </c>
      <c r="R289" s="58" t="str">
        <f aca="false">'STUDENT SCREENING'!BJ289</f>
        <v/>
      </c>
      <c r="S289" s="58" t="str">
        <f aca="false">'STUDENT SCREENING'!BK289</f>
        <v/>
      </c>
      <c r="T289" s="58" t="str">
        <f aca="false">'STUDENT SCREENING'!BL289</f>
        <v/>
      </c>
      <c r="U289" s="58" t="str">
        <f aca="false">'STUDENT SCREENING'!BM289</f>
        <v/>
      </c>
      <c r="V289" s="58" t="str">
        <f aca="false">'STUDENT SCREENING'!BN289</f>
        <v/>
      </c>
      <c r="W289" s="58" t="str">
        <f aca="false">'STUDENT SCREENING'!BO289</f>
        <v/>
      </c>
      <c r="X289" s="58" t="str">
        <f aca="false">IF('STUDENT SCREENING'!W289="","",IFERROR(INDEX('SCORING MASTER'!$D$5:$D$7,MATCH('STUDENT SCREENING'!W289,'SCORING MASTER'!$C$5:$C$7,0)),""))</f>
        <v/>
      </c>
      <c r="Y289" s="58" t="str">
        <f aca="false">IF('STUDENT SCREENING'!X289="","",IFERROR(INDEX('SCORING MASTER'!$D$9:$D$11,MATCH('STUDENT SCREENING'!X289,'SCORING MASTER'!$C$9:$C$11,0)),""))</f>
        <v/>
      </c>
      <c r="Z289" s="58" t="str">
        <f aca="false">IF('STUDENT SCREENING'!Y289="","",IFERROR(INDEX('SCORING MASTER'!$D$13:$D$15,MATCH('STUDENT SCREENING'!Y289,'SCORING MASTER'!$C$13:$C$15,0)),""))</f>
        <v/>
      </c>
      <c r="AA289" s="58" t="str">
        <f aca="false">IF('STUDENT SCREENING'!Z289="","",IFERROR(INDEX('SCORING MASTER'!$D$17:$D$19,MATCH('STUDENT SCREENING'!Z289,'SCORING MASTER'!$C$17:$C$19,0)),""))</f>
        <v/>
      </c>
      <c r="AB289" s="58" t="str">
        <f aca="false">IF('STUDENT SCREENING'!AA289="","",IFERROR(INDEX('SCORING MASTER'!$D$21:$D$23,MATCH('STUDENT SCREENING'!AA289,'SCORING MASTER'!$C$21:$C$23,0)),""))</f>
        <v/>
      </c>
      <c r="AC289" s="58" t="str">
        <f aca="false">IF('STUDENT SCREENING'!AB289="","",IFERROR(INDEX('SCORING MASTER'!$D$25:$D$27,MATCH('STUDENT SCREENING'!AB289,'SCORING MASTER'!$C$25:$C$27,0)),""))</f>
        <v/>
      </c>
      <c r="AD289" s="58" t="str">
        <f aca="false">IF('STUDENT SCREENING'!AC289="","",IFERROR(INDEX('SCORING MASTER'!$D$29:$D$31,MATCH('STUDENT SCREENING'!AC289,'SCORING MASTER'!$C$29:$C$31,0)),""))</f>
        <v/>
      </c>
      <c r="AE289" s="58" t="str">
        <f aca="false">IF('STUDENT SCREENING'!AD289="","",IFERROR(INDEX('SCORING MASTER'!$D$33:$D$35,MATCH('STUDENT SCREENING'!AD289,'SCORING MASTER'!$C$33:$C$35,0)),""))</f>
        <v/>
      </c>
      <c r="AF289" s="58" t="str">
        <f aca="false">IF('STUDENT SCREENING'!AE289="","",IFERROR(INDEX('SCORING MASTER'!$D$37:$D$39,MATCH('STUDENT SCREENING'!AE289,'SCORING MASTER'!$C$37:$C$39,0)),""))</f>
        <v/>
      </c>
      <c r="AG289" s="58" t="str">
        <f aca="false">IF('STUDENT SCREENING'!AF289="","",IFERROR(INDEX('SCORING MASTER'!$D$41:$D$43,MATCH('STUDENT SCREENING'!AF289,'SCORING MASTER'!$C$41:$C$43,0)),""))</f>
        <v/>
      </c>
      <c r="AH289" s="58" t="str">
        <f aca="false">IF('STUDENT SCREENING'!AG289="","",IFERROR(INDEX('SCORING MASTER'!$D$45:$D$47,MATCH('STUDENT SCREENING'!AG289,'SCORING MASTER'!$C$45:$C$47,0)),""))</f>
        <v/>
      </c>
      <c r="AI289" s="58" t="str">
        <f aca="false">IF('STUDENT SCREENING'!AH289="","",IFERROR(INDEX('SCORING MASTER'!$D$49:$D$52,MATCH('STUDENT SCREENING'!AH289,'SCORING MASTER'!$C$49:$C$52,0)),""))</f>
        <v/>
      </c>
      <c r="AJ289" s="58" t="str">
        <f aca="false">IF('STUDENT SCREENING'!AI289="","",IFERROR(INDEX('SCORING MASTER'!$D$54:$D$57,MATCH('STUDENT SCREENING'!AI289,'SCORING MASTER'!$C$54:$C$57,0)),""))</f>
        <v/>
      </c>
      <c r="AK289" s="58" t="str">
        <f aca="false">IF('STUDENT SCREENING'!AJ289="","",IFERROR(INDEX('SCORING MASTER'!$D$59:$D$60,MATCH('STUDENT SCREENING'!AJ289,'SCORING MASTER'!$C$59:$C$60,0)),""))</f>
        <v/>
      </c>
      <c r="AL289" s="58" t="str">
        <f aca="false">IF('STUDENT SCREENING'!AK289="","",IFERROR(INDEX('SCORING MASTER'!$D$62:$D$63,MATCH('STUDENT SCREENING'!AK289,'SCORING MASTER'!$C$62:$C$63,0)),""))</f>
        <v/>
      </c>
      <c r="AM289" s="58" t="str">
        <f aca="false">IF('STUDENT SCREENING'!AL289="","",IFERROR(INDEX('SCORING MASTER'!$D$65:$D$66,MATCH('STUDENT SCREENING'!AL289,'SCORING MASTER'!$C$65:$C$66,0)),""))</f>
        <v/>
      </c>
      <c r="AN289" s="58" t="str">
        <f aca="false">IF('STUDENT SCREENING'!AM289="","",IFERROR(INDEX('SCORING MASTER'!$D$68:$D$69,MATCH('STUDENT SCREENING'!AM289,'SCORING MASTER'!$C$68:$C$69,0)),""))</f>
        <v/>
      </c>
      <c r="AO289" s="58" t="str">
        <f aca="false">IF('STUDENT SCREENING'!AN289="","",IFERROR(INDEX('SCORING MASTER'!$D$71:$D$72,MATCH('STUDENT SCREENING'!AN289,'SCORING MASTER'!$C$71:$C$72,0)),""))</f>
        <v/>
      </c>
      <c r="AP289" s="58" t="str">
        <f aca="false">IF('STUDENT SCREENING'!AO289="","",IFERROR(INDEX('SCORING MASTER'!$D$74:$D$75,MATCH('STUDENT SCREENING'!AO289,'SCORING MASTER'!$C$74:$C$75,0)),""))</f>
        <v/>
      </c>
      <c r="AQ289" s="58" t="str">
        <f aca="false">IF('STUDENT SCREENING'!AP289="","",IFERROR(INDEX('SCORING MASTER'!$D$77:$D$78,MATCH('STUDENT SCREENING'!AP289,'SCORING MASTER'!$C$77:$C$78,0)),""))</f>
        <v/>
      </c>
      <c r="AR289" s="58" t="str">
        <f aca="false">IF('STUDENT SCREENING'!AQ289="","",IFERROR(INDEX('SCORING MASTER'!$D$80:$D$82,MATCH('STUDENT SCREENING'!AQ289,'SCORING MASTER'!$C$80:$C$82,0)),""))</f>
        <v/>
      </c>
      <c r="AS289" s="58" t="str">
        <f aca="false">IF('STUDENT SCREENING'!AR289="","",IFERROR(INDEX('SCORING MASTER'!$D$84:$D$86,MATCH('STUDENT SCREENING'!AR289,'SCORING MASTER'!$C$84:$C$86,0)),""))</f>
        <v/>
      </c>
      <c r="AT289" s="58" t="str">
        <f aca="false">IF('STUDENT SCREENING'!AS289="","",IFERROR(INDEX('SCORING MASTER'!$D$88:$D$90,MATCH('STUDENT SCREENING'!AS289,'SCORING MASTER'!$C$88:$C$90,0)),""))</f>
        <v/>
      </c>
      <c r="AU289" s="58" t="str">
        <f aca="false">IF('STUDENT SCREENING'!AT289="","",IFERROR(INDEX('SCORING MASTER'!$D$92:$D$93,MATCH('STUDENT SCREENING'!AT289,'SCORING MASTER'!$C$92:$C$93,0)),""))</f>
        <v/>
      </c>
      <c r="AV289" s="58" t="str">
        <f aca="false">IF('STUDENT SCREENING'!AU289="","",IFERROR(INDEX('SCORING MASTER'!$D$95:$D$96,MATCH('STUDENT SCREENING'!AU289,'SCORING MASTER'!$C$95:$C$96,0)),""))</f>
        <v/>
      </c>
      <c r="AW289" s="58" t="str">
        <f aca="false">IF('STUDENT SCREENING'!AV289="","",IFERROR(INDEX('SCORING MASTER'!$D$98:$D$99,MATCH('STUDENT SCREENING'!AV289,'SCORING MASTER'!$C$98:$C$99,0)),""))</f>
        <v/>
      </c>
      <c r="AX289" s="58" t="str">
        <f aca="false">IF('STUDENT SCREENING'!AW289="","",IFERROR(INDEX('SCORING MASTER'!$D$101:$D$102,MATCH('STUDENT SCREENING'!AW289,'SCORING MASTER'!$C$101:$C$102,0)),""))</f>
        <v/>
      </c>
      <c r="AY289" s="58" t="str">
        <f aca="false">IF('STUDENT SCREENING'!AX289="","",IFERROR(INDEX('SCORING MASTER'!$D$104:$D$105,MATCH('STUDENT SCREENING'!AX289,'SCORING MASTER'!$C$104:$C$105,0)),""))</f>
        <v/>
      </c>
      <c r="AZ289" s="58" t="str">
        <f aca="false">IF('STUDENT SCREENING'!AY289="","",IFERROR(INDEX('SCORING MASTER'!$D$107:$D$108,MATCH('STUDENT SCREENING'!AY289,'SCORING MASTER'!$C$107:$C$108,0)),""))</f>
        <v/>
      </c>
      <c r="BA289" s="58" t="str">
        <f aca="false">IF('STUDENT SCREENING'!AZ289="","",IFERROR(INDEX('SCORING MASTER'!$D$110:$D$111,MATCH('STUDENT SCREENING'!AZ289,'SCORING MASTER'!$C$110:$C$111,0)),""))</f>
        <v/>
      </c>
      <c r="BB289" s="58" t="str">
        <f aca="false">IF('STUDENT SCREENING'!BA289="","",IFERROR(INDEX('SCORING MASTER'!$D$113:$D$115,MATCH('STUDENT SCREENING'!BA289,'SCORING MASTER'!$C$113:$C$115,0)),""))</f>
        <v/>
      </c>
      <c r="BC289" s="58" t="str">
        <f aca="false">IF('STUDENT SCREENING'!BB289="","",IFERROR(INDEX('SCORING MASTER'!$D$117:$D$119,MATCH('STUDENT SCREENING'!BB289,'SCORING MASTER'!$C$117:$C$119,0)),""))</f>
        <v/>
      </c>
      <c r="BD289" s="58" t="str">
        <f aca="false">IF('STUDENT SCREENING'!BC289="","",IFERROR(INDEX('SCORING MASTER'!$D$121:$D$123,MATCH('STUDENT SCREENING'!BC289,'SCORING MASTER'!$C$121:$C$123,0)),""))</f>
        <v/>
      </c>
      <c r="BE289" s="58" t="str">
        <f aca="false">IF('STUDENT SCREENING'!BD289="","",IFERROR(INDEX('SCORING MASTER'!$D$125:$D$126,MATCH('STUDENT SCREENING'!BD289,'SCORING MASTER'!$C$125:$C$126,0)),""))</f>
        <v/>
      </c>
      <c r="BF289" s="58" t="str">
        <f aca="false">IF('STUDENT SCREENING'!BE289="","",IFERROR(INDEX('SCORING MASTER'!$D$128:$D$129,MATCH('STUDENT SCREENING'!BE289,'SCORING MASTER'!$C$128:$C$129,0)),""))</f>
        <v/>
      </c>
      <c r="BG289" s="58" t="str">
        <f aca="false">IF('STUDENT SCREENING'!BP289="","",IFERROR(MATCH('STUDENT SCREENING'!BP289,{"Red - High Risk","Orange - Moderate Risk","Yellow - Mild Risk","Light Green - Mild Watch","Green - Healthy"},0)-1,""))</f>
        <v/>
      </c>
      <c r="BH289" s="58" t="str">
        <f aca="false">IF('STUDENT SCREENING'!BQ289="","",IF('STUDENT SCREENING'!BQ289="Yes",1,0))</f>
        <v/>
      </c>
      <c r="BI289" s="58" t="str">
        <f aca="false">IF('STUDENT SCREENING'!BR289="","",IF('STUDENT SCREENING'!BR289="Yes",1,0))</f>
        <v/>
      </c>
    </row>
    <row r="290" customFormat="false" ht="15" hidden="false" customHeight="false" outlineLevel="0" collapsed="false">
      <c r="A290" s="57" t="str">
        <f aca="false">'STUDENT SCREENING'!A290</f>
        <v/>
      </c>
      <c r="B290" s="57" t="n">
        <f aca="false">'STUDENT SCREENING'!C290</f>
        <v>0</v>
      </c>
      <c r="C290" s="57" t="n">
        <f aca="false">'STUDENT SCREENING'!D290</f>
        <v>0</v>
      </c>
      <c r="D290" s="57" t="n">
        <f aca="false">'STUDENT SCREENING'!E290</f>
        <v>0</v>
      </c>
      <c r="E290" s="57" t="n">
        <f aca="false">'STUDENT SCREENING'!F290</f>
        <v>0</v>
      </c>
      <c r="F290" s="57" t="n">
        <f aca="false">'STUDENT SCREENING'!K290</f>
        <v>0</v>
      </c>
      <c r="G290" s="57" t="n">
        <f aca="false">'STUDENT SCREENING'!J290</f>
        <v>0</v>
      </c>
      <c r="H290" s="57" t="str">
        <f aca="false">IF('STUDENT SCREENING'!K290="","",IFERROR(MATCH('STUDENT SCREENING'!K290,Adm_Gender,0),""))</f>
        <v/>
      </c>
      <c r="I290" s="57" t="n">
        <f aca="false">'STUDENT SCREENING'!Q290</f>
        <v>0</v>
      </c>
      <c r="J290" s="57" t="n">
        <f aca="false">'STUDENT SCREENING'!R290</f>
        <v>0</v>
      </c>
      <c r="K290" s="57" t="str">
        <f aca="false">'STUDENT SCREENING'!S290</f>
        <v/>
      </c>
      <c r="L290" s="57" t="n">
        <f aca="false">'STUDENT SCREENING'!U290</f>
        <v>0</v>
      </c>
      <c r="M290" s="57" t="n">
        <f aca="false">'STUDENT SCREENING'!V290</f>
        <v>0</v>
      </c>
      <c r="N290" s="57" t="str">
        <f aca="false">'STUDENT SCREENING'!BF290</f>
        <v/>
      </c>
      <c r="O290" s="57" t="str">
        <f aca="false">'STUDENT SCREENING'!BG290</f>
        <v/>
      </c>
      <c r="P290" s="57" t="str">
        <f aca="false">'STUDENT SCREENING'!BH290</f>
        <v/>
      </c>
      <c r="Q290" s="57" t="str">
        <f aca="false">'STUDENT SCREENING'!BI290</f>
        <v/>
      </c>
      <c r="R290" s="57" t="str">
        <f aca="false">'STUDENT SCREENING'!BJ290</f>
        <v/>
      </c>
      <c r="S290" s="57" t="str">
        <f aca="false">'STUDENT SCREENING'!BK290</f>
        <v/>
      </c>
      <c r="T290" s="57" t="str">
        <f aca="false">'STUDENT SCREENING'!BL290</f>
        <v/>
      </c>
      <c r="U290" s="57" t="str">
        <f aca="false">'STUDENT SCREENING'!BM290</f>
        <v/>
      </c>
      <c r="V290" s="57" t="str">
        <f aca="false">'STUDENT SCREENING'!BN290</f>
        <v/>
      </c>
      <c r="W290" s="57" t="str">
        <f aca="false">'STUDENT SCREENING'!BO290</f>
        <v/>
      </c>
      <c r="X290" s="57" t="str">
        <f aca="false">IF('STUDENT SCREENING'!W290="","",IFERROR(INDEX('SCORING MASTER'!$D$5:$D$7,MATCH('STUDENT SCREENING'!W290,'SCORING MASTER'!$C$5:$C$7,0)),""))</f>
        <v/>
      </c>
      <c r="Y290" s="57" t="str">
        <f aca="false">IF('STUDENT SCREENING'!X290="","",IFERROR(INDEX('SCORING MASTER'!$D$9:$D$11,MATCH('STUDENT SCREENING'!X290,'SCORING MASTER'!$C$9:$C$11,0)),""))</f>
        <v/>
      </c>
      <c r="Z290" s="57" t="str">
        <f aca="false">IF('STUDENT SCREENING'!Y290="","",IFERROR(INDEX('SCORING MASTER'!$D$13:$D$15,MATCH('STUDENT SCREENING'!Y290,'SCORING MASTER'!$C$13:$C$15,0)),""))</f>
        <v/>
      </c>
      <c r="AA290" s="57" t="str">
        <f aca="false">IF('STUDENT SCREENING'!Z290="","",IFERROR(INDEX('SCORING MASTER'!$D$17:$D$19,MATCH('STUDENT SCREENING'!Z290,'SCORING MASTER'!$C$17:$C$19,0)),""))</f>
        <v/>
      </c>
      <c r="AB290" s="57" t="str">
        <f aca="false">IF('STUDENT SCREENING'!AA290="","",IFERROR(INDEX('SCORING MASTER'!$D$21:$D$23,MATCH('STUDENT SCREENING'!AA290,'SCORING MASTER'!$C$21:$C$23,0)),""))</f>
        <v/>
      </c>
      <c r="AC290" s="57" t="str">
        <f aca="false">IF('STUDENT SCREENING'!AB290="","",IFERROR(INDEX('SCORING MASTER'!$D$25:$D$27,MATCH('STUDENT SCREENING'!AB290,'SCORING MASTER'!$C$25:$C$27,0)),""))</f>
        <v/>
      </c>
      <c r="AD290" s="57" t="str">
        <f aca="false">IF('STUDENT SCREENING'!AC290="","",IFERROR(INDEX('SCORING MASTER'!$D$29:$D$31,MATCH('STUDENT SCREENING'!AC290,'SCORING MASTER'!$C$29:$C$31,0)),""))</f>
        <v/>
      </c>
      <c r="AE290" s="57" t="str">
        <f aca="false">IF('STUDENT SCREENING'!AD290="","",IFERROR(INDEX('SCORING MASTER'!$D$33:$D$35,MATCH('STUDENT SCREENING'!AD290,'SCORING MASTER'!$C$33:$C$35,0)),""))</f>
        <v/>
      </c>
      <c r="AF290" s="57" t="str">
        <f aca="false">IF('STUDENT SCREENING'!AE290="","",IFERROR(INDEX('SCORING MASTER'!$D$37:$D$39,MATCH('STUDENT SCREENING'!AE290,'SCORING MASTER'!$C$37:$C$39,0)),""))</f>
        <v/>
      </c>
      <c r="AG290" s="57" t="str">
        <f aca="false">IF('STUDENT SCREENING'!AF290="","",IFERROR(INDEX('SCORING MASTER'!$D$41:$D$43,MATCH('STUDENT SCREENING'!AF290,'SCORING MASTER'!$C$41:$C$43,0)),""))</f>
        <v/>
      </c>
      <c r="AH290" s="57" t="str">
        <f aca="false">IF('STUDENT SCREENING'!AG290="","",IFERROR(INDEX('SCORING MASTER'!$D$45:$D$47,MATCH('STUDENT SCREENING'!AG290,'SCORING MASTER'!$C$45:$C$47,0)),""))</f>
        <v/>
      </c>
      <c r="AI290" s="57" t="str">
        <f aca="false">IF('STUDENT SCREENING'!AH290="","",IFERROR(INDEX('SCORING MASTER'!$D$49:$D$52,MATCH('STUDENT SCREENING'!AH290,'SCORING MASTER'!$C$49:$C$52,0)),""))</f>
        <v/>
      </c>
      <c r="AJ290" s="57" t="str">
        <f aca="false">IF('STUDENT SCREENING'!AI290="","",IFERROR(INDEX('SCORING MASTER'!$D$54:$D$57,MATCH('STUDENT SCREENING'!AI290,'SCORING MASTER'!$C$54:$C$57,0)),""))</f>
        <v/>
      </c>
      <c r="AK290" s="57" t="str">
        <f aca="false">IF('STUDENT SCREENING'!AJ290="","",IFERROR(INDEX('SCORING MASTER'!$D$59:$D$60,MATCH('STUDENT SCREENING'!AJ290,'SCORING MASTER'!$C$59:$C$60,0)),""))</f>
        <v/>
      </c>
      <c r="AL290" s="57" t="str">
        <f aca="false">IF('STUDENT SCREENING'!AK290="","",IFERROR(INDEX('SCORING MASTER'!$D$62:$D$63,MATCH('STUDENT SCREENING'!AK290,'SCORING MASTER'!$C$62:$C$63,0)),""))</f>
        <v/>
      </c>
      <c r="AM290" s="57" t="str">
        <f aca="false">IF('STUDENT SCREENING'!AL290="","",IFERROR(INDEX('SCORING MASTER'!$D$65:$D$66,MATCH('STUDENT SCREENING'!AL290,'SCORING MASTER'!$C$65:$C$66,0)),""))</f>
        <v/>
      </c>
      <c r="AN290" s="57" t="str">
        <f aca="false">IF('STUDENT SCREENING'!AM290="","",IFERROR(INDEX('SCORING MASTER'!$D$68:$D$69,MATCH('STUDENT SCREENING'!AM290,'SCORING MASTER'!$C$68:$C$69,0)),""))</f>
        <v/>
      </c>
      <c r="AO290" s="57" t="str">
        <f aca="false">IF('STUDENT SCREENING'!AN290="","",IFERROR(INDEX('SCORING MASTER'!$D$71:$D$72,MATCH('STUDENT SCREENING'!AN290,'SCORING MASTER'!$C$71:$C$72,0)),""))</f>
        <v/>
      </c>
      <c r="AP290" s="57" t="str">
        <f aca="false">IF('STUDENT SCREENING'!AO290="","",IFERROR(INDEX('SCORING MASTER'!$D$74:$D$75,MATCH('STUDENT SCREENING'!AO290,'SCORING MASTER'!$C$74:$C$75,0)),""))</f>
        <v/>
      </c>
      <c r="AQ290" s="57" t="str">
        <f aca="false">IF('STUDENT SCREENING'!AP290="","",IFERROR(INDEX('SCORING MASTER'!$D$77:$D$78,MATCH('STUDENT SCREENING'!AP290,'SCORING MASTER'!$C$77:$C$78,0)),""))</f>
        <v/>
      </c>
      <c r="AR290" s="57" t="str">
        <f aca="false">IF('STUDENT SCREENING'!AQ290="","",IFERROR(INDEX('SCORING MASTER'!$D$80:$D$82,MATCH('STUDENT SCREENING'!AQ290,'SCORING MASTER'!$C$80:$C$82,0)),""))</f>
        <v/>
      </c>
      <c r="AS290" s="57" t="str">
        <f aca="false">IF('STUDENT SCREENING'!AR290="","",IFERROR(INDEX('SCORING MASTER'!$D$84:$D$86,MATCH('STUDENT SCREENING'!AR290,'SCORING MASTER'!$C$84:$C$86,0)),""))</f>
        <v/>
      </c>
      <c r="AT290" s="57" t="str">
        <f aca="false">IF('STUDENT SCREENING'!AS290="","",IFERROR(INDEX('SCORING MASTER'!$D$88:$D$90,MATCH('STUDENT SCREENING'!AS290,'SCORING MASTER'!$C$88:$C$90,0)),""))</f>
        <v/>
      </c>
      <c r="AU290" s="57" t="str">
        <f aca="false">IF('STUDENT SCREENING'!AT290="","",IFERROR(INDEX('SCORING MASTER'!$D$92:$D$93,MATCH('STUDENT SCREENING'!AT290,'SCORING MASTER'!$C$92:$C$93,0)),""))</f>
        <v/>
      </c>
      <c r="AV290" s="57" t="str">
        <f aca="false">IF('STUDENT SCREENING'!AU290="","",IFERROR(INDEX('SCORING MASTER'!$D$95:$D$96,MATCH('STUDENT SCREENING'!AU290,'SCORING MASTER'!$C$95:$C$96,0)),""))</f>
        <v/>
      </c>
      <c r="AW290" s="57" t="str">
        <f aca="false">IF('STUDENT SCREENING'!AV290="","",IFERROR(INDEX('SCORING MASTER'!$D$98:$D$99,MATCH('STUDENT SCREENING'!AV290,'SCORING MASTER'!$C$98:$C$99,0)),""))</f>
        <v/>
      </c>
      <c r="AX290" s="57" t="str">
        <f aca="false">IF('STUDENT SCREENING'!AW290="","",IFERROR(INDEX('SCORING MASTER'!$D$101:$D$102,MATCH('STUDENT SCREENING'!AW290,'SCORING MASTER'!$C$101:$C$102,0)),""))</f>
        <v/>
      </c>
      <c r="AY290" s="57" t="str">
        <f aca="false">IF('STUDENT SCREENING'!AX290="","",IFERROR(INDEX('SCORING MASTER'!$D$104:$D$105,MATCH('STUDENT SCREENING'!AX290,'SCORING MASTER'!$C$104:$C$105,0)),""))</f>
        <v/>
      </c>
      <c r="AZ290" s="57" t="str">
        <f aca="false">IF('STUDENT SCREENING'!AY290="","",IFERROR(INDEX('SCORING MASTER'!$D$107:$D$108,MATCH('STUDENT SCREENING'!AY290,'SCORING MASTER'!$C$107:$C$108,0)),""))</f>
        <v/>
      </c>
      <c r="BA290" s="57" t="str">
        <f aca="false">IF('STUDENT SCREENING'!AZ290="","",IFERROR(INDEX('SCORING MASTER'!$D$110:$D$111,MATCH('STUDENT SCREENING'!AZ290,'SCORING MASTER'!$C$110:$C$111,0)),""))</f>
        <v/>
      </c>
      <c r="BB290" s="57" t="str">
        <f aca="false">IF('STUDENT SCREENING'!BA290="","",IFERROR(INDEX('SCORING MASTER'!$D$113:$D$115,MATCH('STUDENT SCREENING'!BA290,'SCORING MASTER'!$C$113:$C$115,0)),""))</f>
        <v/>
      </c>
      <c r="BC290" s="57" t="str">
        <f aca="false">IF('STUDENT SCREENING'!BB290="","",IFERROR(INDEX('SCORING MASTER'!$D$117:$D$119,MATCH('STUDENT SCREENING'!BB290,'SCORING MASTER'!$C$117:$C$119,0)),""))</f>
        <v/>
      </c>
      <c r="BD290" s="57" t="str">
        <f aca="false">IF('STUDENT SCREENING'!BC290="","",IFERROR(INDEX('SCORING MASTER'!$D$121:$D$123,MATCH('STUDENT SCREENING'!BC290,'SCORING MASTER'!$C$121:$C$123,0)),""))</f>
        <v/>
      </c>
      <c r="BE290" s="57" t="str">
        <f aca="false">IF('STUDENT SCREENING'!BD290="","",IFERROR(INDEX('SCORING MASTER'!$D$125:$D$126,MATCH('STUDENT SCREENING'!BD290,'SCORING MASTER'!$C$125:$C$126,0)),""))</f>
        <v/>
      </c>
      <c r="BF290" s="57" t="str">
        <f aca="false">IF('STUDENT SCREENING'!BE290="","",IFERROR(INDEX('SCORING MASTER'!$D$128:$D$129,MATCH('STUDENT SCREENING'!BE290,'SCORING MASTER'!$C$128:$C$129,0)),""))</f>
        <v/>
      </c>
      <c r="BG290" s="57" t="str">
        <f aca="false">IF('STUDENT SCREENING'!BP290="","",IFERROR(MATCH('STUDENT SCREENING'!BP290,{"Red - High Risk","Orange - Moderate Risk","Yellow - Mild Risk","Light Green - Mild Watch","Green - Healthy"},0)-1,""))</f>
        <v/>
      </c>
      <c r="BH290" s="57" t="str">
        <f aca="false">IF('STUDENT SCREENING'!BQ290="","",IF('STUDENT SCREENING'!BQ290="Yes",1,0))</f>
        <v/>
      </c>
      <c r="BI290" s="57" t="str">
        <f aca="false">IF('STUDENT SCREENING'!BR290="","",IF('STUDENT SCREENING'!BR290="Yes",1,0))</f>
        <v/>
      </c>
    </row>
    <row r="291" customFormat="false" ht="15" hidden="false" customHeight="false" outlineLevel="0" collapsed="false">
      <c r="A291" s="58" t="str">
        <f aca="false">'STUDENT SCREENING'!A291</f>
        <v/>
      </c>
      <c r="B291" s="58" t="n">
        <f aca="false">'STUDENT SCREENING'!C291</f>
        <v>0</v>
      </c>
      <c r="C291" s="58" t="n">
        <f aca="false">'STUDENT SCREENING'!D291</f>
        <v>0</v>
      </c>
      <c r="D291" s="58" t="n">
        <f aca="false">'STUDENT SCREENING'!E291</f>
        <v>0</v>
      </c>
      <c r="E291" s="58" t="n">
        <f aca="false">'STUDENT SCREENING'!F291</f>
        <v>0</v>
      </c>
      <c r="F291" s="58" t="n">
        <f aca="false">'STUDENT SCREENING'!K291</f>
        <v>0</v>
      </c>
      <c r="G291" s="58" t="n">
        <f aca="false">'STUDENT SCREENING'!J291</f>
        <v>0</v>
      </c>
      <c r="H291" s="58" t="str">
        <f aca="false">IF('STUDENT SCREENING'!K291="","",IFERROR(MATCH('STUDENT SCREENING'!K291,Adm_Gender,0),""))</f>
        <v/>
      </c>
      <c r="I291" s="58" t="n">
        <f aca="false">'STUDENT SCREENING'!Q291</f>
        <v>0</v>
      </c>
      <c r="J291" s="58" t="n">
        <f aca="false">'STUDENT SCREENING'!R291</f>
        <v>0</v>
      </c>
      <c r="K291" s="58" t="str">
        <f aca="false">'STUDENT SCREENING'!S291</f>
        <v/>
      </c>
      <c r="L291" s="58" t="n">
        <f aca="false">'STUDENT SCREENING'!U291</f>
        <v>0</v>
      </c>
      <c r="M291" s="58" t="n">
        <f aca="false">'STUDENT SCREENING'!V291</f>
        <v>0</v>
      </c>
      <c r="N291" s="58" t="str">
        <f aca="false">'STUDENT SCREENING'!BF291</f>
        <v/>
      </c>
      <c r="O291" s="58" t="str">
        <f aca="false">'STUDENT SCREENING'!BG291</f>
        <v/>
      </c>
      <c r="P291" s="58" t="str">
        <f aca="false">'STUDENT SCREENING'!BH291</f>
        <v/>
      </c>
      <c r="Q291" s="58" t="str">
        <f aca="false">'STUDENT SCREENING'!BI291</f>
        <v/>
      </c>
      <c r="R291" s="58" t="str">
        <f aca="false">'STUDENT SCREENING'!BJ291</f>
        <v/>
      </c>
      <c r="S291" s="58" t="str">
        <f aca="false">'STUDENT SCREENING'!BK291</f>
        <v/>
      </c>
      <c r="T291" s="58" t="str">
        <f aca="false">'STUDENT SCREENING'!BL291</f>
        <v/>
      </c>
      <c r="U291" s="58" t="str">
        <f aca="false">'STUDENT SCREENING'!BM291</f>
        <v/>
      </c>
      <c r="V291" s="58" t="str">
        <f aca="false">'STUDENT SCREENING'!BN291</f>
        <v/>
      </c>
      <c r="W291" s="58" t="str">
        <f aca="false">'STUDENT SCREENING'!BO291</f>
        <v/>
      </c>
      <c r="X291" s="58" t="str">
        <f aca="false">IF('STUDENT SCREENING'!W291="","",IFERROR(INDEX('SCORING MASTER'!$D$5:$D$7,MATCH('STUDENT SCREENING'!W291,'SCORING MASTER'!$C$5:$C$7,0)),""))</f>
        <v/>
      </c>
      <c r="Y291" s="58" t="str">
        <f aca="false">IF('STUDENT SCREENING'!X291="","",IFERROR(INDEX('SCORING MASTER'!$D$9:$D$11,MATCH('STUDENT SCREENING'!X291,'SCORING MASTER'!$C$9:$C$11,0)),""))</f>
        <v/>
      </c>
      <c r="Z291" s="58" t="str">
        <f aca="false">IF('STUDENT SCREENING'!Y291="","",IFERROR(INDEX('SCORING MASTER'!$D$13:$D$15,MATCH('STUDENT SCREENING'!Y291,'SCORING MASTER'!$C$13:$C$15,0)),""))</f>
        <v/>
      </c>
      <c r="AA291" s="58" t="str">
        <f aca="false">IF('STUDENT SCREENING'!Z291="","",IFERROR(INDEX('SCORING MASTER'!$D$17:$D$19,MATCH('STUDENT SCREENING'!Z291,'SCORING MASTER'!$C$17:$C$19,0)),""))</f>
        <v/>
      </c>
      <c r="AB291" s="58" t="str">
        <f aca="false">IF('STUDENT SCREENING'!AA291="","",IFERROR(INDEX('SCORING MASTER'!$D$21:$D$23,MATCH('STUDENT SCREENING'!AA291,'SCORING MASTER'!$C$21:$C$23,0)),""))</f>
        <v/>
      </c>
      <c r="AC291" s="58" t="str">
        <f aca="false">IF('STUDENT SCREENING'!AB291="","",IFERROR(INDEX('SCORING MASTER'!$D$25:$D$27,MATCH('STUDENT SCREENING'!AB291,'SCORING MASTER'!$C$25:$C$27,0)),""))</f>
        <v/>
      </c>
      <c r="AD291" s="58" t="str">
        <f aca="false">IF('STUDENT SCREENING'!AC291="","",IFERROR(INDEX('SCORING MASTER'!$D$29:$D$31,MATCH('STUDENT SCREENING'!AC291,'SCORING MASTER'!$C$29:$C$31,0)),""))</f>
        <v/>
      </c>
      <c r="AE291" s="58" t="str">
        <f aca="false">IF('STUDENT SCREENING'!AD291="","",IFERROR(INDEX('SCORING MASTER'!$D$33:$D$35,MATCH('STUDENT SCREENING'!AD291,'SCORING MASTER'!$C$33:$C$35,0)),""))</f>
        <v/>
      </c>
      <c r="AF291" s="58" t="str">
        <f aca="false">IF('STUDENT SCREENING'!AE291="","",IFERROR(INDEX('SCORING MASTER'!$D$37:$D$39,MATCH('STUDENT SCREENING'!AE291,'SCORING MASTER'!$C$37:$C$39,0)),""))</f>
        <v/>
      </c>
      <c r="AG291" s="58" t="str">
        <f aca="false">IF('STUDENT SCREENING'!AF291="","",IFERROR(INDEX('SCORING MASTER'!$D$41:$D$43,MATCH('STUDENT SCREENING'!AF291,'SCORING MASTER'!$C$41:$C$43,0)),""))</f>
        <v/>
      </c>
      <c r="AH291" s="58" t="str">
        <f aca="false">IF('STUDENT SCREENING'!AG291="","",IFERROR(INDEX('SCORING MASTER'!$D$45:$D$47,MATCH('STUDENT SCREENING'!AG291,'SCORING MASTER'!$C$45:$C$47,0)),""))</f>
        <v/>
      </c>
      <c r="AI291" s="58" t="str">
        <f aca="false">IF('STUDENT SCREENING'!AH291="","",IFERROR(INDEX('SCORING MASTER'!$D$49:$D$52,MATCH('STUDENT SCREENING'!AH291,'SCORING MASTER'!$C$49:$C$52,0)),""))</f>
        <v/>
      </c>
      <c r="AJ291" s="58" t="str">
        <f aca="false">IF('STUDENT SCREENING'!AI291="","",IFERROR(INDEX('SCORING MASTER'!$D$54:$D$57,MATCH('STUDENT SCREENING'!AI291,'SCORING MASTER'!$C$54:$C$57,0)),""))</f>
        <v/>
      </c>
      <c r="AK291" s="58" t="str">
        <f aca="false">IF('STUDENT SCREENING'!AJ291="","",IFERROR(INDEX('SCORING MASTER'!$D$59:$D$60,MATCH('STUDENT SCREENING'!AJ291,'SCORING MASTER'!$C$59:$C$60,0)),""))</f>
        <v/>
      </c>
      <c r="AL291" s="58" t="str">
        <f aca="false">IF('STUDENT SCREENING'!AK291="","",IFERROR(INDEX('SCORING MASTER'!$D$62:$D$63,MATCH('STUDENT SCREENING'!AK291,'SCORING MASTER'!$C$62:$C$63,0)),""))</f>
        <v/>
      </c>
      <c r="AM291" s="58" t="str">
        <f aca="false">IF('STUDENT SCREENING'!AL291="","",IFERROR(INDEX('SCORING MASTER'!$D$65:$D$66,MATCH('STUDENT SCREENING'!AL291,'SCORING MASTER'!$C$65:$C$66,0)),""))</f>
        <v/>
      </c>
      <c r="AN291" s="58" t="str">
        <f aca="false">IF('STUDENT SCREENING'!AM291="","",IFERROR(INDEX('SCORING MASTER'!$D$68:$D$69,MATCH('STUDENT SCREENING'!AM291,'SCORING MASTER'!$C$68:$C$69,0)),""))</f>
        <v/>
      </c>
      <c r="AO291" s="58" t="str">
        <f aca="false">IF('STUDENT SCREENING'!AN291="","",IFERROR(INDEX('SCORING MASTER'!$D$71:$D$72,MATCH('STUDENT SCREENING'!AN291,'SCORING MASTER'!$C$71:$C$72,0)),""))</f>
        <v/>
      </c>
      <c r="AP291" s="58" t="str">
        <f aca="false">IF('STUDENT SCREENING'!AO291="","",IFERROR(INDEX('SCORING MASTER'!$D$74:$D$75,MATCH('STUDENT SCREENING'!AO291,'SCORING MASTER'!$C$74:$C$75,0)),""))</f>
        <v/>
      </c>
      <c r="AQ291" s="58" t="str">
        <f aca="false">IF('STUDENT SCREENING'!AP291="","",IFERROR(INDEX('SCORING MASTER'!$D$77:$D$78,MATCH('STUDENT SCREENING'!AP291,'SCORING MASTER'!$C$77:$C$78,0)),""))</f>
        <v/>
      </c>
      <c r="AR291" s="58" t="str">
        <f aca="false">IF('STUDENT SCREENING'!AQ291="","",IFERROR(INDEX('SCORING MASTER'!$D$80:$D$82,MATCH('STUDENT SCREENING'!AQ291,'SCORING MASTER'!$C$80:$C$82,0)),""))</f>
        <v/>
      </c>
      <c r="AS291" s="58" t="str">
        <f aca="false">IF('STUDENT SCREENING'!AR291="","",IFERROR(INDEX('SCORING MASTER'!$D$84:$D$86,MATCH('STUDENT SCREENING'!AR291,'SCORING MASTER'!$C$84:$C$86,0)),""))</f>
        <v/>
      </c>
      <c r="AT291" s="58" t="str">
        <f aca="false">IF('STUDENT SCREENING'!AS291="","",IFERROR(INDEX('SCORING MASTER'!$D$88:$D$90,MATCH('STUDENT SCREENING'!AS291,'SCORING MASTER'!$C$88:$C$90,0)),""))</f>
        <v/>
      </c>
      <c r="AU291" s="58" t="str">
        <f aca="false">IF('STUDENT SCREENING'!AT291="","",IFERROR(INDEX('SCORING MASTER'!$D$92:$D$93,MATCH('STUDENT SCREENING'!AT291,'SCORING MASTER'!$C$92:$C$93,0)),""))</f>
        <v/>
      </c>
      <c r="AV291" s="58" t="str">
        <f aca="false">IF('STUDENT SCREENING'!AU291="","",IFERROR(INDEX('SCORING MASTER'!$D$95:$D$96,MATCH('STUDENT SCREENING'!AU291,'SCORING MASTER'!$C$95:$C$96,0)),""))</f>
        <v/>
      </c>
      <c r="AW291" s="58" t="str">
        <f aca="false">IF('STUDENT SCREENING'!AV291="","",IFERROR(INDEX('SCORING MASTER'!$D$98:$D$99,MATCH('STUDENT SCREENING'!AV291,'SCORING MASTER'!$C$98:$C$99,0)),""))</f>
        <v/>
      </c>
      <c r="AX291" s="58" t="str">
        <f aca="false">IF('STUDENT SCREENING'!AW291="","",IFERROR(INDEX('SCORING MASTER'!$D$101:$D$102,MATCH('STUDENT SCREENING'!AW291,'SCORING MASTER'!$C$101:$C$102,0)),""))</f>
        <v/>
      </c>
      <c r="AY291" s="58" t="str">
        <f aca="false">IF('STUDENT SCREENING'!AX291="","",IFERROR(INDEX('SCORING MASTER'!$D$104:$D$105,MATCH('STUDENT SCREENING'!AX291,'SCORING MASTER'!$C$104:$C$105,0)),""))</f>
        <v/>
      </c>
      <c r="AZ291" s="58" t="str">
        <f aca="false">IF('STUDENT SCREENING'!AY291="","",IFERROR(INDEX('SCORING MASTER'!$D$107:$D$108,MATCH('STUDENT SCREENING'!AY291,'SCORING MASTER'!$C$107:$C$108,0)),""))</f>
        <v/>
      </c>
      <c r="BA291" s="58" t="str">
        <f aca="false">IF('STUDENT SCREENING'!AZ291="","",IFERROR(INDEX('SCORING MASTER'!$D$110:$D$111,MATCH('STUDENT SCREENING'!AZ291,'SCORING MASTER'!$C$110:$C$111,0)),""))</f>
        <v/>
      </c>
      <c r="BB291" s="58" t="str">
        <f aca="false">IF('STUDENT SCREENING'!BA291="","",IFERROR(INDEX('SCORING MASTER'!$D$113:$D$115,MATCH('STUDENT SCREENING'!BA291,'SCORING MASTER'!$C$113:$C$115,0)),""))</f>
        <v/>
      </c>
      <c r="BC291" s="58" t="str">
        <f aca="false">IF('STUDENT SCREENING'!BB291="","",IFERROR(INDEX('SCORING MASTER'!$D$117:$D$119,MATCH('STUDENT SCREENING'!BB291,'SCORING MASTER'!$C$117:$C$119,0)),""))</f>
        <v/>
      </c>
      <c r="BD291" s="58" t="str">
        <f aca="false">IF('STUDENT SCREENING'!BC291="","",IFERROR(INDEX('SCORING MASTER'!$D$121:$D$123,MATCH('STUDENT SCREENING'!BC291,'SCORING MASTER'!$C$121:$C$123,0)),""))</f>
        <v/>
      </c>
      <c r="BE291" s="58" t="str">
        <f aca="false">IF('STUDENT SCREENING'!BD291="","",IFERROR(INDEX('SCORING MASTER'!$D$125:$D$126,MATCH('STUDENT SCREENING'!BD291,'SCORING MASTER'!$C$125:$C$126,0)),""))</f>
        <v/>
      </c>
      <c r="BF291" s="58" t="str">
        <f aca="false">IF('STUDENT SCREENING'!BE291="","",IFERROR(INDEX('SCORING MASTER'!$D$128:$D$129,MATCH('STUDENT SCREENING'!BE291,'SCORING MASTER'!$C$128:$C$129,0)),""))</f>
        <v/>
      </c>
      <c r="BG291" s="58" t="str">
        <f aca="false">IF('STUDENT SCREENING'!BP291="","",IFERROR(MATCH('STUDENT SCREENING'!BP291,{"Red - High Risk","Orange - Moderate Risk","Yellow - Mild Risk","Light Green - Mild Watch","Green - Healthy"},0)-1,""))</f>
        <v/>
      </c>
      <c r="BH291" s="58" t="str">
        <f aca="false">IF('STUDENT SCREENING'!BQ291="","",IF('STUDENT SCREENING'!BQ291="Yes",1,0))</f>
        <v/>
      </c>
      <c r="BI291" s="58" t="str">
        <f aca="false">IF('STUDENT SCREENING'!BR291="","",IF('STUDENT SCREENING'!BR291="Yes",1,0))</f>
        <v/>
      </c>
    </row>
    <row r="292" customFormat="false" ht="15" hidden="false" customHeight="false" outlineLevel="0" collapsed="false">
      <c r="A292" s="57" t="str">
        <f aca="false">'STUDENT SCREENING'!A292</f>
        <v/>
      </c>
      <c r="B292" s="57" t="n">
        <f aca="false">'STUDENT SCREENING'!C292</f>
        <v>0</v>
      </c>
      <c r="C292" s="57" t="n">
        <f aca="false">'STUDENT SCREENING'!D292</f>
        <v>0</v>
      </c>
      <c r="D292" s="57" t="n">
        <f aca="false">'STUDENT SCREENING'!E292</f>
        <v>0</v>
      </c>
      <c r="E292" s="57" t="n">
        <f aca="false">'STUDENT SCREENING'!F292</f>
        <v>0</v>
      </c>
      <c r="F292" s="57" t="n">
        <f aca="false">'STUDENT SCREENING'!K292</f>
        <v>0</v>
      </c>
      <c r="G292" s="57" t="n">
        <f aca="false">'STUDENT SCREENING'!J292</f>
        <v>0</v>
      </c>
      <c r="H292" s="57" t="str">
        <f aca="false">IF('STUDENT SCREENING'!K292="","",IFERROR(MATCH('STUDENT SCREENING'!K292,Adm_Gender,0),""))</f>
        <v/>
      </c>
      <c r="I292" s="57" t="n">
        <f aca="false">'STUDENT SCREENING'!Q292</f>
        <v>0</v>
      </c>
      <c r="J292" s="57" t="n">
        <f aca="false">'STUDENT SCREENING'!R292</f>
        <v>0</v>
      </c>
      <c r="K292" s="57" t="str">
        <f aca="false">'STUDENT SCREENING'!S292</f>
        <v/>
      </c>
      <c r="L292" s="57" t="n">
        <f aca="false">'STUDENT SCREENING'!U292</f>
        <v>0</v>
      </c>
      <c r="M292" s="57" t="n">
        <f aca="false">'STUDENT SCREENING'!V292</f>
        <v>0</v>
      </c>
      <c r="N292" s="57" t="str">
        <f aca="false">'STUDENT SCREENING'!BF292</f>
        <v/>
      </c>
      <c r="O292" s="57" t="str">
        <f aca="false">'STUDENT SCREENING'!BG292</f>
        <v/>
      </c>
      <c r="P292" s="57" t="str">
        <f aca="false">'STUDENT SCREENING'!BH292</f>
        <v/>
      </c>
      <c r="Q292" s="57" t="str">
        <f aca="false">'STUDENT SCREENING'!BI292</f>
        <v/>
      </c>
      <c r="R292" s="57" t="str">
        <f aca="false">'STUDENT SCREENING'!BJ292</f>
        <v/>
      </c>
      <c r="S292" s="57" t="str">
        <f aca="false">'STUDENT SCREENING'!BK292</f>
        <v/>
      </c>
      <c r="T292" s="57" t="str">
        <f aca="false">'STUDENT SCREENING'!BL292</f>
        <v/>
      </c>
      <c r="U292" s="57" t="str">
        <f aca="false">'STUDENT SCREENING'!BM292</f>
        <v/>
      </c>
      <c r="V292" s="57" t="str">
        <f aca="false">'STUDENT SCREENING'!BN292</f>
        <v/>
      </c>
      <c r="W292" s="57" t="str">
        <f aca="false">'STUDENT SCREENING'!BO292</f>
        <v/>
      </c>
      <c r="X292" s="57" t="str">
        <f aca="false">IF('STUDENT SCREENING'!W292="","",IFERROR(INDEX('SCORING MASTER'!$D$5:$D$7,MATCH('STUDENT SCREENING'!W292,'SCORING MASTER'!$C$5:$C$7,0)),""))</f>
        <v/>
      </c>
      <c r="Y292" s="57" t="str">
        <f aca="false">IF('STUDENT SCREENING'!X292="","",IFERROR(INDEX('SCORING MASTER'!$D$9:$D$11,MATCH('STUDENT SCREENING'!X292,'SCORING MASTER'!$C$9:$C$11,0)),""))</f>
        <v/>
      </c>
      <c r="Z292" s="57" t="str">
        <f aca="false">IF('STUDENT SCREENING'!Y292="","",IFERROR(INDEX('SCORING MASTER'!$D$13:$D$15,MATCH('STUDENT SCREENING'!Y292,'SCORING MASTER'!$C$13:$C$15,0)),""))</f>
        <v/>
      </c>
      <c r="AA292" s="57" t="str">
        <f aca="false">IF('STUDENT SCREENING'!Z292="","",IFERROR(INDEX('SCORING MASTER'!$D$17:$D$19,MATCH('STUDENT SCREENING'!Z292,'SCORING MASTER'!$C$17:$C$19,0)),""))</f>
        <v/>
      </c>
      <c r="AB292" s="57" t="str">
        <f aca="false">IF('STUDENT SCREENING'!AA292="","",IFERROR(INDEX('SCORING MASTER'!$D$21:$D$23,MATCH('STUDENT SCREENING'!AA292,'SCORING MASTER'!$C$21:$C$23,0)),""))</f>
        <v/>
      </c>
      <c r="AC292" s="57" t="str">
        <f aca="false">IF('STUDENT SCREENING'!AB292="","",IFERROR(INDEX('SCORING MASTER'!$D$25:$D$27,MATCH('STUDENT SCREENING'!AB292,'SCORING MASTER'!$C$25:$C$27,0)),""))</f>
        <v/>
      </c>
      <c r="AD292" s="57" t="str">
        <f aca="false">IF('STUDENT SCREENING'!AC292="","",IFERROR(INDEX('SCORING MASTER'!$D$29:$D$31,MATCH('STUDENT SCREENING'!AC292,'SCORING MASTER'!$C$29:$C$31,0)),""))</f>
        <v/>
      </c>
      <c r="AE292" s="57" t="str">
        <f aca="false">IF('STUDENT SCREENING'!AD292="","",IFERROR(INDEX('SCORING MASTER'!$D$33:$D$35,MATCH('STUDENT SCREENING'!AD292,'SCORING MASTER'!$C$33:$C$35,0)),""))</f>
        <v/>
      </c>
      <c r="AF292" s="57" t="str">
        <f aca="false">IF('STUDENT SCREENING'!AE292="","",IFERROR(INDEX('SCORING MASTER'!$D$37:$D$39,MATCH('STUDENT SCREENING'!AE292,'SCORING MASTER'!$C$37:$C$39,0)),""))</f>
        <v/>
      </c>
      <c r="AG292" s="57" t="str">
        <f aca="false">IF('STUDENT SCREENING'!AF292="","",IFERROR(INDEX('SCORING MASTER'!$D$41:$D$43,MATCH('STUDENT SCREENING'!AF292,'SCORING MASTER'!$C$41:$C$43,0)),""))</f>
        <v/>
      </c>
      <c r="AH292" s="57" t="str">
        <f aca="false">IF('STUDENT SCREENING'!AG292="","",IFERROR(INDEX('SCORING MASTER'!$D$45:$D$47,MATCH('STUDENT SCREENING'!AG292,'SCORING MASTER'!$C$45:$C$47,0)),""))</f>
        <v/>
      </c>
      <c r="AI292" s="57" t="str">
        <f aca="false">IF('STUDENT SCREENING'!AH292="","",IFERROR(INDEX('SCORING MASTER'!$D$49:$D$52,MATCH('STUDENT SCREENING'!AH292,'SCORING MASTER'!$C$49:$C$52,0)),""))</f>
        <v/>
      </c>
      <c r="AJ292" s="57" t="str">
        <f aca="false">IF('STUDENT SCREENING'!AI292="","",IFERROR(INDEX('SCORING MASTER'!$D$54:$D$57,MATCH('STUDENT SCREENING'!AI292,'SCORING MASTER'!$C$54:$C$57,0)),""))</f>
        <v/>
      </c>
      <c r="AK292" s="57" t="str">
        <f aca="false">IF('STUDENT SCREENING'!AJ292="","",IFERROR(INDEX('SCORING MASTER'!$D$59:$D$60,MATCH('STUDENT SCREENING'!AJ292,'SCORING MASTER'!$C$59:$C$60,0)),""))</f>
        <v/>
      </c>
      <c r="AL292" s="57" t="str">
        <f aca="false">IF('STUDENT SCREENING'!AK292="","",IFERROR(INDEX('SCORING MASTER'!$D$62:$D$63,MATCH('STUDENT SCREENING'!AK292,'SCORING MASTER'!$C$62:$C$63,0)),""))</f>
        <v/>
      </c>
      <c r="AM292" s="57" t="str">
        <f aca="false">IF('STUDENT SCREENING'!AL292="","",IFERROR(INDEX('SCORING MASTER'!$D$65:$D$66,MATCH('STUDENT SCREENING'!AL292,'SCORING MASTER'!$C$65:$C$66,0)),""))</f>
        <v/>
      </c>
      <c r="AN292" s="57" t="str">
        <f aca="false">IF('STUDENT SCREENING'!AM292="","",IFERROR(INDEX('SCORING MASTER'!$D$68:$D$69,MATCH('STUDENT SCREENING'!AM292,'SCORING MASTER'!$C$68:$C$69,0)),""))</f>
        <v/>
      </c>
      <c r="AO292" s="57" t="str">
        <f aca="false">IF('STUDENT SCREENING'!AN292="","",IFERROR(INDEX('SCORING MASTER'!$D$71:$D$72,MATCH('STUDENT SCREENING'!AN292,'SCORING MASTER'!$C$71:$C$72,0)),""))</f>
        <v/>
      </c>
      <c r="AP292" s="57" t="str">
        <f aca="false">IF('STUDENT SCREENING'!AO292="","",IFERROR(INDEX('SCORING MASTER'!$D$74:$D$75,MATCH('STUDENT SCREENING'!AO292,'SCORING MASTER'!$C$74:$C$75,0)),""))</f>
        <v/>
      </c>
      <c r="AQ292" s="57" t="str">
        <f aca="false">IF('STUDENT SCREENING'!AP292="","",IFERROR(INDEX('SCORING MASTER'!$D$77:$D$78,MATCH('STUDENT SCREENING'!AP292,'SCORING MASTER'!$C$77:$C$78,0)),""))</f>
        <v/>
      </c>
      <c r="AR292" s="57" t="str">
        <f aca="false">IF('STUDENT SCREENING'!AQ292="","",IFERROR(INDEX('SCORING MASTER'!$D$80:$D$82,MATCH('STUDENT SCREENING'!AQ292,'SCORING MASTER'!$C$80:$C$82,0)),""))</f>
        <v/>
      </c>
      <c r="AS292" s="57" t="str">
        <f aca="false">IF('STUDENT SCREENING'!AR292="","",IFERROR(INDEX('SCORING MASTER'!$D$84:$D$86,MATCH('STUDENT SCREENING'!AR292,'SCORING MASTER'!$C$84:$C$86,0)),""))</f>
        <v/>
      </c>
      <c r="AT292" s="57" t="str">
        <f aca="false">IF('STUDENT SCREENING'!AS292="","",IFERROR(INDEX('SCORING MASTER'!$D$88:$D$90,MATCH('STUDENT SCREENING'!AS292,'SCORING MASTER'!$C$88:$C$90,0)),""))</f>
        <v/>
      </c>
      <c r="AU292" s="57" t="str">
        <f aca="false">IF('STUDENT SCREENING'!AT292="","",IFERROR(INDEX('SCORING MASTER'!$D$92:$D$93,MATCH('STUDENT SCREENING'!AT292,'SCORING MASTER'!$C$92:$C$93,0)),""))</f>
        <v/>
      </c>
      <c r="AV292" s="57" t="str">
        <f aca="false">IF('STUDENT SCREENING'!AU292="","",IFERROR(INDEX('SCORING MASTER'!$D$95:$D$96,MATCH('STUDENT SCREENING'!AU292,'SCORING MASTER'!$C$95:$C$96,0)),""))</f>
        <v/>
      </c>
      <c r="AW292" s="57" t="str">
        <f aca="false">IF('STUDENT SCREENING'!AV292="","",IFERROR(INDEX('SCORING MASTER'!$D$98:$D$99,MATCH('STUDENT SCREENING'!AV292,'SCORING MASTER'!$C$98:$C$99,0)),""))</f>
        <v/>
      </c>
      <c r="AX292" s="57" t="str">
        <f aca="false">IF('STUDENT SCREENING'!AW292="","",IFERROR(INDEX('SCORING MASTER'!$D$101:$D$102,MATCH('STUDENT SCREENING'!AW292,'SCORING MASTER'!$C$101:$C$102,0)),""))</f>
        <v/>
      </c>
      <c r="AY292" s="57" t="str">
        <f aca="false">IF('STUDENT SCREENING'!AX292="","",IFERROR(INDEX('SCORING MASTER'!$D$104:$D$105,MATCH('STUDENT SCREENING'!AX292,'SCORING MASTER'!$C$104:$C$105,0)),""))</f>
        <v/>
      </c>
      <c r="AZ292" s="57" t="str">
        <f aca="false">IF('STUDENT SCREENING'!AY292="","",IFERROR(INDEX('SCORING MASTER'!$D$107:$D$108,MATCH('STUDENT SCREENING'!AY292,'SCORING MASTER'!$C$107:$C$108,0)),""))</f>
        <v/>
      </c>
      <c r="BA292" s="57" t="str">
        <f aca="false">IF('STUDENT SCREENING'!AZ292="","",IFERROR(INDEX('SCORING MASTER'!$D$110:$D$111,MATCH('STUDENT SCREENING'!AZ292,'SCORING MASTER'!$C$110:$C$111,0)),""))</f>
        <v/>
      </c>
      <c r="BB292" s="57" t="str">
        <f aca="false">IF('STUDENT SCREENING'!BA292="","",IFERROR(INDEX('SCORING MASTER'!$D$113:$D$115,MATCH('STUDENT SCREENING'!BA292,'SCORING MASTER'!$C$113:$C$115,0)),""))</f>
        <v/>
      </c>
      <c r="BC292" s="57" t="str">
        <f aca="false">IF('STUDENT SCREENING'!BB292="","",IFERROR(INDEX('SCORING MASTER'!$D$117:$D$119,MATCH('STUDENT SCREENING'!BB292,'SCORING MASTER'!$C$117:$C$119,0)),""))</f>
        <v/>
      </c>
      <c r="BD292" s="57" t="str">
        <f aca="false">IF('STUDENT SCREENING'!BC292="","",IFERROR(INDEX('SCORING MASTER'!$D$121:$D$123,MATCH('STUDENT SCREENING'!BC292,'SCORING MASTER'!$C$121:$C$123,0)),""))</f>
        <v/>
      </c>
      <c r="BE292" s="57" t="str">
        <f aca="false">IF('STUDENT SCREENING'!BD292="","",IFERROR(INDEX('SCORING MASTER'!$D$125:$D$126,MATCH('STUDENT SCREENING'!BD292,'SCORING MASTER'!$C$125:$C$126,0)),""))</f>
        <v/>
      </c>
      <c r="BF292" s="57" t="str">
        <f aca="false">IF('STUDENT SCREENING'!BE292="","",IFERROR(INDEX('SCORING MASTER'!$D$128:$D$129,MATCH('STUDENT SCREENING'!BE292,'SCORING MASTER'!$C$128:$C$129,0)),""))</f>
        <v/>
      </c>
      <c r="BG292" s="57" t="str">
        <f aca="false">IF('STUDENT SCREENING'!BP292="","",IFERROR(MATCH('STUDENT SCREENING'!BP292,{"Red - High Risk","Orange - Moderate Risk","Yellow - Mild Risk","Light Green - Mild Watch","Green - Healthy"},0)-1,""))</f>
        <v/>
      </c>
      <c r="BH292" s="57" t="str">
        <f aca="false">IF('STUDENT SCREENING'!BQ292="","",IF('STUDENT SCREENING'!BQ292="Yes",1,0))</f>
        <v/>
      </c>
      <c r="BI292" s="57" t="str">
        <f aca="false">IF('STUDENT SCREENING'!BR292="","",IF('STUDENT SCREENING'!BR292="Yes",1,0))</f>
        <v/>
      </c>
    </row>
    <row r="293" customFormat="false" ht="15" hidden="false" customHeight="false" outlineLevel="0" collapsed="false">
      <c r="A293" s="58" t="str">
        <f aca="false">'STUDENT SCREENING'!A293</f>
        <v/>
      </c>
      <c r="B293" s="58" t="n">
        <f aca="false">'STUDENT SCREENING'!C293</f>
        <v>0</v>
      </c>
      <c r="C293" s="58" t="n">
        <f aca="false">'STUDENT SCREENING'!D293</f>
        <v>0</v>
      </c>
      <c r="D293" s="58" t="n">
        <f aca="false">'STUDENT SCREENING'!E293</f>
        <v>0</v>
      </c>
      <c r="E293" s="58" t="n">
        <f aca="false">'STUDENT SCREENING'!F293</f>
        <v>0</v>
      </c>
      <c r="F293" s="58" t="n">
        <f aca="false">'STUDENT SCREENING'!K293</f>
        <v>0</v>
      </c>
      <c r="G293" s="58" t="n">
        <f aca="false">'STUDENT SCREENING'!J293</f>
        <v>0</v>
      </c>
      <c r="H293" s="58" t="str">
        <f aca="false">IF('STUDENT SCREENING'!K293="","",IFERROR(MATCH('STUDENT SCREENING'!K293,Adm_Gender,0),""))</f>
        <v/>
      </c>
      <c r="I293" s="58" t="n">
        <f aca="false">'STUDENT SCREENING'!Q293</f>
        <v>0</v>
      </c>
      <c r="J293" s="58" t="n">
        <f aca="false">'STUDENT SCREENING'!R293</f>
        <v>0</v>
      </c>
      <c r="K293" s="58" t="str">
        <f aca="false">'STUDENT SCREENING'!S293</f>
        <v/>
      </c>
      <c r="L293" s="58" t="n">
        <f aca="false">'STUDENT SCREENING'!U293</f>
        <v>0</v>
      </c>
      <c r="M293" s="58" t="n">
        <f aca="false">'STUDENT SCREENING'!V293</f>
        <v>0</v>
      </c>
      <c r="N293" s="58" t="str">
        <f aca="false">'STUDENT SCREENING'!BF293</f>
        <v/>
      </c>
      <c r="O293" s="58" t="str">
        <f aca="false">'STUDENT SCREENING'!BG293</f>
        <v/>
      </c>
      <c r="P293" s="58" t="str">
        <f aca="false">'STUDENT SCREENING'!BH293</f>
        <v/>
      </c>
      <c r="Q293" s="58" t="str">
        <f aca="false">'STUDENT SCREENING'!BI293</f>
        <v/>
      </c>
      <c r="R293" s="58" t="str">
        <f aca="false">'STUDENT SCREENING'!BJ293</f>
        <v/>
      </c>
      <c r="S293" s="58" t="str">
        <f aca="false">'STUDENT SCREENING'!BK293</f>
        <v/>
      </c>
      <c r="T293" s="58" t="str">
        <f aca="false">'STUDENT SCREENING'!BL293</f>
        <v/>
      </c>
      <c r="U293" s="58" t="str">
        <f aca="false">'STUDENT SCREENING'!BM293</f>
        <v/>
      </c>
      <c r="V293" s="58" t="str">
        <f aca="false">'STUDENT SCREENING'!BN293</f>
        <v/>
      </c>
      <c r="W293" s="58" t="str">
        <f aca="false">'STUDENT SCREENING'!BO293</f>
        <v/>
      </c>
      <c r="X293" s="58" t="str">
        <f aca="false">IF('STUDENT SCREENING'!W293="","",IFERROR(INDEX('SCORING MASTER'!$D$5:$D$7,MATCH('STUDENT SCREENING'!W293,'SCORING MASTER'!$C$5:$C$7,0)),""))</f>
        <v/>
      </c>
      <c r="Y293" s="58" t="str">
        <f aca="false">IF('STUDENT SCREENING'!X293="","",IFERROR(INDEX('SCORING MASTER'!$D$9:$D$11,MATCH('STUDENT SCREENING'!X293,'SCORING MASTER'!$C$9:$C$11,0)),""))</f>
        <v/>
      </c>
      <c r="Z293" s="58" t="str">
        <f aca="false">IF('STUDENT SCREENING'!Y293="","",IFERROR(INDEX('SCORING MASTER'!$D$13:$D$15,MATCH('STUDENT SCREENING'!Y293,'SCORING MASTER'!$C$13:$C$15,0)),""))</f>
        <v/>
      </c>
      <c r="AA293" s="58" t="str">
        <f aca="false">IF('STUDENT SCREENING'!Z293="","",IFERROR(INDEX('SCORING MASTER'!$D$17:$D$19,MATCH('STUDENT SCREENING'!Z293,'SCORING MASTER'!$C$17:$C$19,0)),""))</f>
        <v/>
      </c>
      <c r="AB293" s="58" t="str">
        <f aca="false">IF('STUDENT SCREENING'!AA293="","",IFERROR(INDEX('SCORING MASTER'!$D$21:$D$23,MATCH('STUDENT SCREENING'!AA293,'SCORING MASTER'!$C$21:$C$23,0)),""))</f>
        <v/>
      </c>
      <c r="AC293" s="58" t="str">
        <f aca="false">IF('STUDENT SCREENING'!AB293="","",IFERROR(INDEX('SCORING MASTER'!$D$25:$D$27,MATCH('STUDENT SCREENING'!AB293,'SCORING MASTER'!$C$25:$C$27,0)),""))</f>
        <v/>
      </c>
      <c r="AD293" s="58" t="str">
        <f aca="false">IF('STUDENT SCREENING'!AC293="","",IFERROR(INDEX('SCORING MASTER'!$D$29:$D$31,MATCH('STUDENT SCREENING'!AC293,'SCORING MASTER'!$C$29:$C$31,0)),""))</f>
        <v/>
      </c>
      <c r="AE293" s="58" t="str">
        <f aca="false">IF('STUDENT SCREENING'!AD293="","",IFERROR(INDEX('SCORING MASTER'!$D$33:$D$35,MATCH('STUDENT SCREENING'!AD293,'SCORING MASTER'!$C$33:$C$35,0)),""))</f>
        <v/>
      </c>
      <c r="AF293" s="58" t="str">
        <f aca="false">IF('STUDENT SCREENING'!AE293="","",IFERROR(INDEX('SCORING MASTER'!$D$37:$D$39,MATCH('STUDENT SCREENING'!AE293,'SCORING MASTER'!$C$37:$C$39,0)),""))</f>
        <v/>
      </c>
      <c r="AG293" s="58" t="str">
        <f aca="false">IF('STUDENT SCREENING'!AF293="","",IFERROR(INDEX('SCORING MASTER'!$D$41:$D$43,MATCH('STUDENT SCREENING'!AF293,'SCORING MASTER'!$C$41:$C$43,0)),""))</f>
        <v/>
      </c>
      <c r="AH293" s="58" t="str">
        <f aca="false">IF('STUDENT SCREENING'!AG293="","",IFERROR(INDEX('SCORING MASTER'!$D$45:$D$47,MATCH('STUDENT SCREENING'!AG293,'SCORING MASTER'!$C$45:$C$47,0)),""))</f>
        <v/>
      </c>
      <c r="AI293" s="58" t="str">
        <f aca="false">IF('STUDENT SCREENING'!AH293="","",IFERROR(INDEX('SCORING MASTER'!$D$49:$D$52,MATCH('STUDENT SCREENING'!AH293,'SCORING MASTER'!$C$49:$C$52,0)),""))</f>
        <v/>
      </c>
      <c r="AJ293" s="58" t="str">
        <f aca="false">IF('STUDENT SCREENING'!AI293="","",IFERROR(INDEX('SCORING MASTER'!$D$54:$D$57,MATCH('STUDENT SCREENING'!AI293,'SCORING MASTER'!$C$54:$C$57,0)),""))</f>
        <v/>
      </c>
      <c r="AK293" s="58" t="str">
        <f aca="false">IF('STUDENT SCREENING'!AJ293="","",IFERROR(INDEX('SCORING MASTER'!$D$59:$D$60,MATCH('STUDENT SCREENING'!AJ293,'SCORING MASTER'!$C$59:$C$60,0)),""))</f>
        <v/>
      </c>
      <c r="AL293" s="58" t="str">
        <f aca="false">IF('STUDENT SCREENING'!AK293="","",IFERROR(INDEX('SCORING MASTER'!$D$62:$D$63,MATCH('STUDENT SCREENING'!AK293,'SCORING MASTER'!$C$62:$C$63,0)),""))</f>
        <v/>
      </c>
      <c r="AM293" s="58" t="str">
        <f aca="false">IF('STUDENT SCREENING'!AL293="","",IFERROR(INDEX('SCORING MASTER'!$D$65:$D$66,MATCH('STUDENT SCREENING'!AL293,'SCORING MASTER'!$C$65:$C$66,0)),""))</f>
        <v/>
      </c>
      <c r="AN293" s="58" t="str">
        <f aca="false">IF('STUDENT SCREENING'!AM293="","",IFERROR(INDEX('SCORING MASTER'!$D$68:$D$69,MATCH('STUDENT SCREENING'!AM293,'SCORING MASTER'!$C$68:$C$69,0)),""))</f>
        <v/>
      </c>
      <c r="AO293" s="58" t="str">
        <f aca="false">IF('STUDENT SCREENING'!AN293="","",IFERROR(INDEX('SCORING MASTER'!$D$71:$D$72,MATCH('STUDENT SCREENING'!AN293,'SCORING MASTER'!$C$71:$C$72,0)),""))</f>
        <v/>
      </c>
      <c r="AP293" s="58" t="str">
        <f aca="false">IF('STUDENT SCREENING'!AO293="","",IFERROR(INDEX('SCORING MASTER'!$D$74:$D$75,MATCH('STUDENT SCREENING'!AO293,'SCORING MASTER'!$C$74:$C$75,0)),""))</f>
        <v/>
      </c>
      <c r="AQ293" s="58" t="str">
        <f aca="false">IF('STUDENT SCREENING'!AP293="","",IFERROR(INDEX('SCORING MASTER'!$D$77:$D$78,MATCH('STUDENT SCREENING'!AP293,'SCORING MASTER'!$C$77:$C$78,0)),""))</f>
        <v/>
      </c>
      <c r="AR293" s="58" t="str">
        <f aca="false">IF('STUDENT SCREENING'!AQ293="","",IFERROR(INDEX('SCORING MASTER'!$D$80:$D$82,MATCH('STUDENT SCREENING'!AQ293,'SCORING MASTER'!$C$80:$C$82,0)),""))</f>
        <v/>
      </c>
      <c r="AS293" s="58" t="str">
        <f aca="false">IF('STUDENT SCREENING'!AR293="","",IFERROR(INDEX('SCORING MASTER'!$D$84:$D$86,MATCH('STUDENT SCREENING'!AR293,'SCORING MASTER'!$C$84:$C$86,0)),""))</f>
        <v/>
      </c>
      <c r="AT293" s="58" t="str">
        <f aca="false">IF('STUDENT SCREENING'!AS293="","",IFERROR(INDEX('SCORING MASTER'!$D$88:$D$90,MATCH('STUDENT SCREENING'!AS293,'SCORING MASTER'!$C$88:$C$90,0)),""))</f>
        <v/>
      </c>
      <c r="AU293" s="58" t="str">
        <f aca="false">IF('STUDENT SCREENING'!AT293="","",IFERROR(INDEX('SCORING MASTER'!$D$92:$D$93,MATCH('STUDENT SCREENING'!AT293,'SCORING MASTER'!$C$92:$C$93,0)),""))</f>
        <v/>
      </c>
      <c r="AV293" s="58" t="str">
        <f aca="false">IF('STUDENT SCREENING'!AU293="","",IFERROR(INDEX('SCORING MASTER'!$D$95:$D$96,MATCH('STUDENT SCREENING'!AU293,'SCORING MASTER'!$C$95:$C$96,0)),""))</f>
        <v/>
      </c>
      <c r="AW293" s="58" t="str">
        <f aca="false">IF('STUDENT SCREENING'!AV293="","",IFERROR(INDEX('SCORING MASTER'!$D$98:$D$99,MATCH('STUDENT SCREENING'!AV293,'SCORING MASTER'!$C$98:$C$99,0)),""))</f>
        <v/>
      </c>
      <c r="AX293" s="58" t="str">
        <f aca="false">IF('STUDENT SCREENING'!AW293="","",IFERROR(INDEX('SCORING MASTER'!$D$101:$D$102,MATCH('STUDENT SCREENING'!AW293,'SCORING MASTER'!$C$101:$C$102,0)),""))</f>
        <v/>
      </c>
      <c r="AY293" s="58" t="str">
        <f aca="false">IF('STUDENT SCREENING'!AX293="","",IFERROR(INDEX('SCORING MASTER'!$D$104:$D$105,MATCH('STUDENT SCREENING'!AX293,'SCORING MASTER'!$C$104:$C$105,0)),""))</f>
        <v/>
      </c>
      <c r="AZ293" s="58" t="str">
        <f aca="false">IF('STUDENT SCREENING'!AY293="","",IFERROR(INDEX('SCORING MASTER'!$D$107:$D$108,MATCH('STUDENT SCREENING'!AY293,'SCORING MASTER'!$C$107:$C$108,0)),""))</f>
        <v/>
      </c>
      <c r="BA293" s="58" t="str">
        <f aca="false">IF('STUDENT SCREENING'!AZ293="","",IFERROR(INDEX('SCORING MASTER'!$D$110:$D$111,MATCH('STUDENT SCREENING'!AZ293,'SCORING MASTER'!$C$110:$C$111,0)),""))</f>
        <v/>
      </c>
      <c r="BB293" s="58" t="str">
        <f aca="false">IF('STUDENT SCREENING'!BA293="","",IFERROR(INDEX('SCORING MASTER'!$D$113:$D$115,MATCH('STUDENT SCREENING'!BA293,'SCORING MASTER'!$C$113:$C$115,0)),""))</f>
        <v/>
      </c>
      <c r="BC293" s="58" t="str">
        <f aca="false">IF('STUDENT SCREENING'!BB293="","",IFERROR(INDEX('SCORING MASTER'!$D$117:$D$119,MATCH('STUDENT SCREENING'!BB293,'SCORING MASTER'!$C$117:$C$119,0)),""))</f>
        <v/>
      </c>
      <c r="BD293" s="58" t="str">
        <f aca="false">IF('STUDENT SCREENING'!BC293="","",IFERROR(INDEX('SCORING MASTER'!$D$121:$D$123,MATCH('STUDENT SCREENING'!BC293,'SCORING MASTER'!$C$121:$C$123,0)),""))</f>
        <v/>
      </c>
      <c r="BE293" s="58" t="str">
        <f aca="false">IF('STUDENT SCREENING'!BD293="","",IFERROR(INDEX('SCORING MASTER'!$D$125:$D$126,MATCH('STUDENT SCREENING'!BD293,'SCORING MASTER'!$C$125:$C$126,0)),""))</f>
        <v/>
      </c>
      <c r="BF293" s="58" t="str">
        <f aca="false">IF('STUDENT SCREENING'!BE293="","",IFERROR(INDEX('SCORING MASTER'!$D$128:$D$129,MATCH('STUDENT SCREENING'!BE293,'SCORING MASTER'!$C$128:$C$129,0)),""))</f>
        <v/>
      </c>
      <c r="BG293" s="58" t="str">
        <f aca="false">IF('STUDENT SCREENING'!BP293="","",IFERROR(MATCH('STUDENT SCREENING'!BP293,{"Red - High Risk","Orange - Moderate Risk","Yellow - Mild Risk","Light Green - Mild Watch","Green - Healthy"},0)-1,""))</f>
        <v/>
      </c>
      <c r="BH293" s="58" t="str">
        <f aca="false">IF('STUDENT SCREENING'!BQ293="","",IF('STUDENT SCREENING'!BQ293="Yes",1,0))</f>
        <v/>
      </c>
      <c r="BI293" s="58" t="str">
        <f aca="false">IF('STUDENT SCREENING'!BR293="","",IF('STUDENT SCREENING'!BR293="Yes",1,0))</f>
        <v/>
      </c>
    </row>
    <row r="294" customFormat="false" ht="15" hidden="false" customHeight="false" outlineLevel="0" collapsed="false">
      <c r="A294" s="57" t="str">
        <f aca="false">'STUDENT SCREENING'!A294</f>
        <v/>
      </c>
      <c r="B294" s="57" t="n">
        <f aca="false">'STUDENT SCREENING'!C294</f>
        <v>0</v>
      </c>
      <c r="C294" s="57" t="n">
        <f aca="false">'STUDENT SCREENING'!D294</f>
        <v>0</v>
      </c>
      <c r="D294" s="57" t="n">
        <f aca="false">'STUDENT SCREENING'!E294</f>
        <v>0</v>
      </c>
      <c r="E294" s="57" t="n">
        <f aca="false">'STUDENT SCREENING'!F294</f>
        <v>0</v>
      </c>
      <c r="F294" s="57" t="n">
        <f aca="false">'STUDENT SCREENING'!K294</f>
        <v>0</v>
      </c>
      <c r="G294" s="57" t="n">
        <f aca="false">'STUDENT SCREENING'!J294</f>
        <v>0</v>
      </c>
      <c r="H294" s="57" t="str">
        <f aca="false">IF('STUDENT SCREENING'!K294="","",IFERROR(MATCH('STUDENT SCREENING'!K294,Adm_Gender,0),""))</f>
        <v/>
      </c>
      <c r="I294" s="57" t="n">
        <f aca="false">'STUDENT SCREENING'!Q294</f>
        <v>0</v>
      </c>
      <c r="J294" s="57" t="n">
        <f aca="false">'STUDENT SCREENING'!R294</f>
        <v>0</v>
      </c>
      <c r="K294" s="57" t="str">
        <f aca="false">'STUDENT SCREENING'!S294</f>
        <v/>
      </c>
      <c r="L294" s="57" t="n">
        <f aca="false">'STUDENT SCREENING'!U294</f>
        <v>0</v>
      </c>
      <c r="M294" s="57" t="n">
        <f aca="false">'STUDENT SCREENING'!V294</f>
        <v>0</v>
      </c>
      <c r="N294" s="57" t="str">
        <f aca="false">'STUDENT SCREENING'!BF294</f>
        <v/>
      </c>
      <c r="O294" s="57" t="str">
        <f aca="false">'STUDENT SCREENING'!BG294</f>
        <v/>
      </c>
      <c r="P294" s="57" t="str">
        <f aca="false">'STUDENT SCREENING'!BH294</f>
        <v/>
      </c>
      <c r="Q294" s="57" t="str">
        <f aca="false">'STUDENT SCREENING'!BI294</f>
        <v/>
      </c>
      <c r="R294" s="57" t="str">
        <f aca="false">'STUDENT SCREENING'!BJ294</f>
        <v/>
      </c>
      <c r="S294" s="57" t="str">
        <f aca="false">'STUDENT SCREENING'!BK294</f>
        <v/>
      </c>
      <c r="T294" s="57" t="str">
        <f aca="false">'STUDENT SCREENING'!BL294</f>
        <v/>
      </c>
      <c r="U294" s="57" t="str">
        <f aca="false">'STUDENT SCREENING'!BM294</f>
        <v/>
      </c>
      <c r="V294" s="57" t="str">
        <f aca="false">'STUDENT SCREENING'!BN294</f>
        <v/>
      </c>
      <c r="W294" s="57" t="str">
        <f aca="false">'STUDENT SCREENING'!BO294</f>
        <v/>
      </c>
      <c r="X294" s="57" t="str">
        <f aca="false">IF('STUDENT SCREENING'!W294="","",IFERROR(INDEX('SCORING MASTER'!$D$5:$D$7,MATCH('STUDENT SCREENING'!W294,'SCORING MASTER'!$C$5:$C$7,0)),""))</f>
        <v/>
      </c>
      <c r="Y294" s="57" t="str">
        <f aca="false">IF('STUDENT SCREENING'!X294="","",IFERROR(INDEX('SCORING MASTER'!$D$9:$D$11,MATCH('STUDENT SCREENING'!X294,'SCORING MASTER'!$C$9:$C$11,0)),""))</f>
        <v/>
      </c>
      <c r="Z294" s="57" t="str">
        <f aca="false">IF('STUDENT SCREENING'!Y294="","",IFERROR(INDEX('SCORING MASTER'!$D$13:$D$15,MATCH('STUDENT SCREENING'!Y294,'SCORING MASTER'!$C$13:$C$15,0)),""))</f>
        <v/>
      </c>
      <c r="AA294" s="57" t="str">
        <f aca="false">IF('STUDENT SCREENING'!Z294="","",IFERROR(INDEX('SCORING MASTER'!$D$17:$D$19,MATCH('STUDENT SCREENING'!Z294,'SCORING MASTER'!$C$17:$C$19,0)),""))</f>
        <v/>
      </c>
      <c r="AB294" s="57" t="str">
        <f aca="false">IF('STUDENT SCREENING'!AA294="","",IFERROR(INDEX('SCORING MASTER'!$D$21:$D$23,MATCH('STUDENT SCREENING'!AA294,'SCORING MASTER'!$C$21:$C$23,0)),""))</f>
        <v/>
      </c>
      <c r="AC294" s="57" t="str">
        <f aca="false">IF('STUDENT SCREENING'!AB294="","",IFERROR(INDEX('SCORING MASTER'!$D$25:$D$27,MATCH('STUDENT SCREENING'!AB294,'SCORING MASTER'!$C$25:$C$27,0)),""))</f>
        <v/>
      </c>
      <c r="AD294" s="57" t="str">
        <f aca="false">IF('STUDENT SCREENING'!AC294="","",IFERROR(INDEX('SCORING MASTER'!$D$29:$D$31,MATCH('STUDENT SCREENING'!AC294,'SCORING MASTER'!$C$29:$C$31,0)),""))</f>
        <v/>
      </c>
      <c r="AE294" s="57" t="str">
        <f aca="false">IF('STUDENT SCREENING'!AD294="","",IFERROR(INDEX('SCORING MASTER'!$D$33:$D$35,MATCH('STUDENT SCREENING'!AD294,'SCORING MASTER'!$C$33:$C$35,0)),""))</f>
        <v/>
      </c>
      <c r="AF294" s="57" t="str">
        <f aca="false">IF('STUDENT SCREENING'!AE294="","",IFERROR(INDEX('SCORING MASTER'!$D$37:$D$39,MATCH('STUDENT SCREENING'!AE294,'SCORING MASTER'!$C$37:$C$39,0)),""))</f>
        <v/>
      </c>
      <c r="AG294" s="57" t="str">
        <f aca="false">IF('STUDENT SCREENING'!AF294="","",IFERROR(INDEX('SCORING MASTER'!$D$41:$D$43,MATCH('STUDENT SCREENING'!AF294,'SCORING MASTER'!$C$41:$C$43,0)),""))</f>
        <v/>
      </c>
      <c r="AH294" s="57" t="str">
        <f aca="false">IF('STUDENT SCREENING'!AG294="","",IFERROR(INDEX('SCORING MASTER'!$D$45:$D$47,MATCH('STUDENT SCREENING'!AG294,'SCORING MASTER'!$C$45:$C$47,0)),""))</f>
        <v/>
      </c>
      <c r="AI294" s="57" t="str">
        <f aca="false">IF('STUDENT SCREENING'!AH294="","",IFERROR(INDEX('SCORING MASTER'!$D$49:$D$52,MATCH('STUDENT SCREENING'!AH294,'SCORING MASTER'!$C$49:$C$52,0)),""))</f>
        <v/>
      </c>
      <c r="AJ294" s="57" t="str">
        <f aca="false">IF('STUDENT SCREENING'!AI294="","",IFERROR(INDEX('SCORING MASTER'!$D$54:$D$57,MATCH('STUDENT SCREENING'!AI294,'SCORING MASTER'!$C$54:$C$57,0)),""))</f>
        <v/>
      </c>
      <c r="AK294" s="57" t="str">
        <f aca="false">IF('STUDENT SCREENING'!AJ294="","",IFERROR(INDEX('SCORING MASTER'!$D$59:$D$60,MATCH('STUDENT SCREENING'!AJ294,'SCORING MASTER'!$C$59:$C$60,0)),""))</f>
        <v/>
      </c>
      <c r="AL294" s="57" t="str">
        <f aca="false">IF('STUDENT SCREENING'!AK294="","",IFERROR(INDEX('SCORING MASTER'!$D$62:$D$63,MATCH('STUDENT SCREENING'!AK294,'SCORING MASTER'!$C$62:$C$63,0)),""))</f>
        <v/>
      </c>
      <c r="AM294" s="57" t="str">
        <f aca="false">IF('STUDENT SCREENING'!AL294="","",IFERROR(INDEX('SCORING MASTER'!$D$65:$D$66,MATCH('STUDENT SCREENING'!AL294,'SCORING MASTER'!$C$65:$C$66,0)),""))</f>
        <v/>
      </c>
      <c r="AN294" s="57" t="str">
        <f aca="false">IF('STUDENT SCREENING'!AM294="","",IFERROR(INDEX('SCORING MASTER'!$D$68:$D$69,MATCH('STUDENT SCREENING'!AM294,'SCORING MASTER'!$C$68:$C$69,0)),""))</f>
        <v/>
      </c>
      <c r="AO294" s="57" t="str">
        <f aca="false">IF('STUDENT SCREENING'!AN294="","",IFERROR(INDEX('SCORING MASTER'!$D$71:$D$72,MATCH('STUDENT SCREENING'!AN294,'SCORING MASTER'!$C$71:$C$72,0)),""))</f>
        <v/>
      </c>
      <c r="AP294" s="57" t="str">
        <f aca="false">IF('STUDENT SCREENING'!AO294="","",IFERROR(INDEX('SCORING MASTER'!$D$74:$D$75,MATCH('STUDENT SCREENING'!AO294,'SCORING MASTER'!$C$74:$C$75,0)),""))</f>
        <v/>
      </c>
      <c r="AQ294" s="57" t="str">
        <f aca="false">IF('STUDENT SCREENING'!AP294="","",IFERROR(INDEX('SCORING MASTER'!$D$77:$D$78,MATCH('STUDENT SCREENING'!AP294,'SCORING MASTER'!$C$77:$C$78,0)),""))</f>
        <v/>
      </c>
      <c r="AR294" s="57" t="str">
        <f aca="false">IF('STUDENT SCREENING'!AQ294="","",IFERROR(INDEX('SCORING MASTER'!$D$80:$D$82,MATCH('STUDENT SCREENING'!AQ294,'SCORING MASTER'!$C$80:$C$82,0)),""))</f>
        <v/>
      </c>
      <c r="AS294" s="57" t="str">
        <f aca="false">IF('STUDENT SCREENING'!AR294="","",IFERROR(INDEX('SCORING MASTER'!$D$84:$D$86,MATCH('STUDENT SCREENING'!AR294,'SCORING MASTER'!$C$84:$C$86,0)),""))</f>
        <v/>
      </c>
      <c r="AT294" s="57" t="str">
        <f aca="false">IF('STUDENT SCREENING'!AS294="","",IFERROR(INDEX('SCORING MASTER'!$D$88:$D$90,MATCH('STUDENT SCREENING'!AS294,'SCORING MASTER'!$C$88:$C$90,0)),""))</f>
        <v/>
      </c>
      <c r="AU294" s="57" t="str">
        <f aca="false">IF('STUDENT SCREENING'!AT294="","",IFERROR(INDEX('SCORING MASTER'!$D$92:$D$93,MATCH('STUDENT SCREENING'!AT294,'SCORING MASTER'!$C$92:$C$93,0)),""))</f>
        <v/>
      </c>
      <c r="AV294" s="57" t="str">
        <f aca="false">IF('STUDENT SCREENING'!AU294="","",IFERROR(INDEX('SCORING MASTER'!$D$95:$D$96,MATCH('STUDENT SCREENING'!AU294,'SCORING MASTER'!$C$95:$C$96,0)),""))</f>
        <v/>
      </c>
      <c r="AW294" s="57" t="str">
        <f aca="false">IF('STUDENT SCREENING'!AV294="","",IFERROR(INDEX('SCORING MASTER'!$D$98:$D$99,MATCH('STUDENT SCREENING'!AV294,'SCORING MASTER'!$C$98:$C$99,0)),""))</f>
        <v/>
      </c>
      <c r="AX294" s="57" t="str">
        <f aca="false">IF('STUDENT SCREENING'!AW294="","",IFERROR(INDEX('SCORING MASTER'!$D$101:$D$102,MATCH('STUDENT SCREENING'!AW294,'SCORING MASTER'!$C$101:$C$102,0)),""))</f>
        <v/>
      </c>
      <c r="AY294" s="57" t="str">
        <f aca="false">IF('STUDENT SCREENING'!AX294="","",IFERROR(INDEX('SCORING MASTER'!$D$104:$D$105,MATCH('STUDENT SCREENING'!AX294,'SCORING MASTER'!$C$104:$C$105,0)),""))</f>
        <v/>
      </c>
      <c r="AZ294" s="57" t="str">
        <f aca="false">IF('STUDENT SCREENING'!AY294="","",IFERROR(INDEX('SCORING MASTER'!$D$107:$D$108,MATCH('STUDENT SCREENING'!AY294,'SCORING MASTER'!$C$107:$C$108,0)),""))</f>
        <v/>
      </c>
      <c r="BA294" s="57" t="str">
        <f aca="false">IF('STUDENT SCREENING'!AZ294="","",IFERROR(INDEX('SCORING MASTER'!$D$110:$D$111,MATCH('STUDENT SCREENING'!AZ294,'SCORING MASTER'!$C$110:$C$111,0)),""))</f>
        <v/>
      </c>
      <c r="BB294" s="57" t="str">
        <f aca="false">IF('STUDENT SCREENING'!BA294="","",IFERROR(INDEX('SCORING MASTER'!$D$113:$D$115,MATCH('STUDENT SCREENING'!BA294,'SCORING MASTER'!$C$113:$C$115,0)),""))</f>
        <v/>
      </c>
      <c r="BC294" s="57" t="str">
        <f aca="false">IF('STUDENT SCREENING'!BB294="","",IFERROR(INDEX('SCORING MASTER'!$D$117:$D$119,MATCH('STUDENT SCREENING'!BB294,'SCORING MASTER'!$C$117:$C$119,0)),""))</f>
        <v/>
      </c>
      <c r="BD294" s="57" t="str">
        <f aca="false">IF('STUDENT SCREENING'!BC294="","",IFERROR(INDEX('SCORING MASTER'!$D$121:$D$123,MATCH('STUDENT SCREENING'!BC294,'SCORING MASTER'!$C$121:$C$123,0)),""))</f>
        <v/>
      </c>
      <c r="BE294" s="57" t="str">
        <f aca="false">IF('STUDENT SCREENING'!BD294="","",IFERROR(INDEX('SCORING MASTER'!$D$125:$D$126,MATCH('STUDENT SCREENING'!BD294,'SCORING MASTER'!$C$125:$C$126,0)),""))</f>
        <v/>
      </c>
      <c r="BF294" s="57" t="str">
        <f aca="false">IF('STUDENT SCREENING'!BE294="","",IFERROR(INDEX('SCORING MASTER'!$D$128:$D$129,MATCH('STUDENT SCREENING'!BE294,'SCORING MASTER'!$C$128:$C$129,0)),""))</f>
        <v/>
      </c>
      <c r="BG294" s="57" t="str">
        <f aca="false">IF('STUDENT SCREENING'!BP294="","",IFERROR(MATCH('STUDENT SCREENING'!BP294,{"Red - High Risk","Orange - Moderate Risk","Yellow - Mild Risk","Light Green - Mild Watch","Green - Healthy"},0)-1,""))</f>
        <v/>
      </c>
      <c r="BH294" s="57" t="str">
        <f aca="false">IF('STUDENT SCREENING'!BQ294="","",IF('STUDENT SCREENING'!BQ294="Yes",1,0))</f>
        <v/>
      </c>
      <c r="BI294" s="57" t="str">
        <f aca="false">IF('STUDENT SCREENING'!BR294="","",IF('STUDENT SCREENING'!BR294="Yes",1,0))</f>
        <v/>
      </c>
    </row>
    <row r="295" customFormat="false" ht="15" hidden="false" customHeight="false" outlineLevel="0" collapsed="false">
      <c r="A295" s="58" t="str">
        <f aca="false">'STUDENT SCREENING'!A295</f>
        <v/>
      </c>
      <c r="B295" s="58" t="n">
        <f aca="false">'STUDENT SCREENING'!C295</f>
        <v>0</v>
      </c>
      <c r="C295" s="58" t="n">
        <f aca="false">'STUDENT SCREENING'!D295</f>
        <v>0</v>
      </c>
      <c r="D295" s="58" t="n">
        <f aca="false">'STUDENT SCREENING'!E295</f>
        <v>0</v>
      </c>
      <c r="E295" s="58" t="n">
        <f aca="false">'STUDENT SCREENING'!F295</f>
        <v>0</v>
      </c>
      <c r="F295" s="58" t="n">
        <f aca="false">'STUDENT SCREENING'!K295</f>
        <v>0</v>
      </c>
      <c r="G295" s="58" t="n">
        <f aca="false">'STUDENT SCREENING'!J295</f>
        <v>0</v>
      </c>
      <c r="H295" s="58" t="str">
        <f aca="false">IF('STUDENT SCREENING'!K295="","",IFERROR(MATCH('STUDENT SCREENING'!K295,Adm_Gender,0),""))</f>
        <v/>
      </c>
      <c r="I295" s="58" t="n">
        <f aca="false">'STUDENT SCREENING'!Q295</f>
        <v>0</v>
      </c>
      <c r="J295" s="58" t="n">
        <f aca="false">'STUDENT SCREENING'!R295</f>
        <v>0</v>
      </c>
      <c r="K295" s="58" t="str">
        <f aca="false">'STUDENT SCREENING'!S295</f>
        <v/>
      </c>
      <c r="L295" s="58" t="n">
        <f aca="false">'STUDENT SCREENING'!U295</f>
        <v>0</v>
      </c>
      <c r="M295" s="58" t="n">
        <f aca="false">'STUDENT SCREENING'!V295</f>
        <v>0</v>
      </c>
      <c r="N295" s="58" t="str">
        <f aca="false">'STUDENT SCREENING'!BF295</f>
        <v/>
      </c>
      <c r="O295" s="58" t="str">
        <f aca="false">'STUDENT SCREENING'!BG295</f>
        <v/>
      </c>
      <c r="P295" s="58" t="str">
        <f aca="false">'STUDENT SCREENING'!BH295</f>
        <v/>
      </c>
      <c r="Q295" s="58" t="str">
        <f aca="false">'STUDENT SCREENING'!BI295</f>
        <v/>
      </c>
      <c r="R295" s="58" t="str">
        <f aca="false">'STUDENT SCREENING'!BJ295</f>
        <v/>
      </c>
      <c r="S295" s="58" t="str">
        <f aca="false">'STUDENT SCREENING'!BK295</f>
        <v/>
      </c>
      <c r="T295" s="58" t="str">
        <f aca="false">'STUDENT SCREENING'!BL295</f>
        <v/>
      </c>
      <c r="U295" s="58" t="str">
        <f aca="false">'STUDENT SCREENING'!BM295</f>
        <v/>
      </c>
      <c r="V295" s="58" t="str">
        <f aca="false">'STUDENT SCREENING'!BN295</f>
        <v/>
      </c>
      <c r="W295" s="58" t="str">
        <f aca="false">'STUDENT SCREENING'!BO295</f>
        <v/>
      </c>
      <c r="X295" s="58" t="str">
        <f aca="false">IF('STUDENT SCREENING'!W295="","",IFERROR(INDEX('SCORING MASTER'!$D$5:$D$7,MATCH('STUDENT SCREENING'!W295,'SCORING MASTER'!$C$5:$C$7,0)),""))</f>
        <v/>
      </c>
      <c r="Y295" s="58" t="str">
        <f aca="false">IF('STUDENT SCREENING'!X295="","",IFERROR(INDEX('SCORING MASTER'!$D$9:$D$11,MATCH('STUDENT SCREENING'!X295,'SCORING MASTER'!$C$9:$C$11,0)),""))</f>
        <v/>
      </c>
      <c r="Z295" s="58" t="str">
        <f aca="false">IF('STUDENT SCREENING'!Y295="","",IFERROR(INDEX('SCORING MASTER'!$D$13:$D$15,MATCH('STUDENT SCREENING'!Y295,'SCORING MASTER'!$C$13:$C$15,0)),""))</f>
        <v/>
      </c>
      <c r="AA295" s="58" t="str">
        <f aca="false">IF('STUDENT SCREENING'!Z295="","",IFERROR(INDEX('SCORING MASTER'!$D$17:$D$19,MATCH('STUDENT SCREENING'!Z295,'SCORING MASTER'!$C$17:$C$19,0)),""))</f>
        <v/>
      </c>
      <c r="AB295" s="58" t="str">
        <f aca="false">IF('STUDENT SCREENING'!AA295="","",IFERROR(INDEX('SCORING MASTER'!$D$21:$D$23,MATCH('STUDENT SCREENING'!AA295,'SCORING MASTER'!$C$21:$C$23,0)),""))</f>
        <v/>
      </c>
      <c r="AC295" s="58" t="str">
        <f aca="false">IF('STUDENT SCREENING'!AB295="","",IFERROR(INDEX('SCORING MASTER'!$D$25:$D$27,MATCH('STUDENT SCREENING'!AB295,'SCORING MASTER'!$C$25:$C$27,0)),""))</f>
        <v/>
      </c>
      <c r="AD295" s="58" t="str">
        <f aca="false">IF('STUDENT SCREENING'!AC295="","",IFERROR(INDEX('SCORING MASTER'!$D$29:$D$31,MATCH('STUDENT SCREENING'!AC295,'SCORING MASTER'!$C$29:$C$31,0)),""))</f>
        <v/>
      </c>
      <c r="AE295" s="58" t="str">
        <f aca="false">IF('STUDENT SCREENING'!AD295="","",IFERROR(INDEX('SCORING MASTER'!$D$33:$D$35,MATCH('STUDENT SCREENING'!AD295,'SCORING MASTER'!$C$33:$C$35,0)),""))</f>
        <v/>
      </c>
      <c r="AF295" s="58" t="str">
        <f aca="false">IF('STUDENT SCREENING'!AE295="","",IFERROR(INDEX('SCORING MASTER'!$D$37:$D$39,MATCH('STUDENT SCREENING'!AE295,'SCORING MASTER'!$C$37:$C$39,0)),""))</f>
        <v/>
      </c>
      <c r="AG295" s="58" t="str">
        <f aca="false">IF('STUDENT SCREENING'!AF295="","",IFERROR(INDEX('SCORING MASTER'!$D$41:$D$43,MATCH('STUDENT SCREENING'!AF295,'SCORING MASTER'!$C$41:$C$43,0)),""))</f>
        <v/>
      </c>
      <c r="AH295" s="58" t="str">
        <f aca="false">IF('STUDENT SCREENING'!AG295="","",IFERROR(INDEX('SCORING MASTER'!$D$45:$D$47,MATCH('STUDENT SCREENING'!AG295,'SCORING MASTER'!$C$45:$C$47,0)),""))</f>
        <v/>
      </c>
      <c r="AI295" s="58" t="str">
        <f aca="false">IF('STUDENT SCREENING'!AH295="","",IFERROR(INDEX('SCORING MASTER'!$D$49:$D$52,MATCH('STUDENT SCREENING'!AH295,'SCORING MASTER'!$C$49:$C$52,0)),""))</f>
        <v/>
      </c>
      <c r="AJ295" s="58" t="str">
        <f aca="false">IF('STUDENT SCREENING'!AI295="","",IFERROR(INDEX('SCORING MASTER'!$D$54:$D$57,MATCH('STUDENT SCREENING'!AI295,'SCORING MASTER'!$C$54:$C$57,0)),""))</f>
        <v/>
      </c>
      <c r="AK295" s="58" t="str">
        <f aca="false">IF('STUDENT SCREENING'!AJ295="","",IFERROR(INDEX('SCORING MASTER'!$D$59:$D$60,MATCH('STUDENT SCREENING'!AJ295,'SCORING MASTER'!$C$59:$C$60,0)),""))</f>
        <v/>
      </c>
      <c r="AL295" s="58" t="str">
        <f aca="false">IF('STUDENT SCREENING'!AK295="","",IFERROR(INDEX('SCORING MASTER'!$D$62:$D$63,MATCH('STUDENT SCREENING'!AK295,'SCORING MASTER'!$C$62:$C$63,0)),""))</f>
        <v/>
      </c>
      <c r="AM295" s="58" t="str">
        <f aca="false">IF('STUDENT SCREENING'!AL295="","",IFERROR(INDEX('SCORING MASTER'!$D$65:$D$66,MATCH('STUDENT SCREENING'!AL295,'SCORING MASTER'!$C$65:$C$66,0)),""))</f>
        <v/>
      </c>
      <c r="AN295" s="58" t="str">
        <f aca="false">IF('STUDENT SCREENING'!AM295="","",IFERROR(INDEX('SCORING MASTER'!$D$68:$D$69,MATCH('STUDENT SCREENING'!AM295,'SCORING MASTER'!$C$68:$C$69,0)),""))</f>
        <v/>
      </c>
      <c r="AO295" s="58" t="str">
        <f aca="false">IF('STUDENT SCREENING'!AN295="","",IFERROR(INDEX('SCORING MASTER'!$D$71:$D$72,MATCH('STUDENT SCREENING'!AN295,'SCORING MASTER'!$C$71:$C$72,0)),""))</f>
        <v/>
      </c>
      <c r="AP295" s="58" t="str">
        <f aca="false">IF('STUDENT SCREENING'!AO295="","",IFERROR(INDEX('SCORING MASTER'!$D$74:$D$75,MATCH('STUDENT SCREENING'!AO295,'SCORING MASTER'!$C$74:$C$75,0)),""))</f>
        <v/>
      </c>
      <c r="AQ295" s="58" t="str">
        <f aca="false">IF('STUDENT SCREENING'!AP295="","",IFERROR(INDEX('SCORING MASTER'!$D$77:$D$78,MATCH('STUDENT SCREENING'!AP295,'SCORING MASTER'!$C$77:$C$78,0)),""))</f>
        <v/>
      </c>
      <c r="AR295" s="58" t="str">
        <f aca="false">IF('STUDENT SCREENING'!AQ295="","",IFERROR(INDEX('SCORING MASTER'!$D$80:$D$82,MATCH('STUDENT SCREENING'!AQ295,'SCORING MASTER'!$C$80:$C$82,0)),""))</f>
        <v/>
      </c>
      <c r="AS295" s="58" t="str">
        <f aca="false">IF('STUDENT SCREENING'!AR295="","",IFERROR(INDEX('SCORING MASTER'!$D$84:$D$86,MATCH('STUDENT SCREENING'!AR295,'SCORING MASTER'!$C$84:$C$86,0)),""))</f>
        <v/>
      </c>
      <c r="AT295" s="58" t="str">
        <f aca="false">IF('STUDENT SCREENING'!AS295="","",IFERROR(INDEX('SCORING MASTER'!$D$88:$D$90,MATCH('STUDENT SCREENING'!AS295,'SCORING MASTER'!$C$88:$C$90,0)),""))</f>
        <v/>
      </c>
      <c r="AU295" s="58" t="str">
        <f aca="false">IF('STUDENT SCREENING'!AT295="","",IFERROR(INDEX('SCORING MASTER'!$D$92:$D$93,MATCH('STUDENT SCREENING'!AT295,'SCORING MASTER'!$C$92:$C$93,0)),""))</f>
        <v/>
      </c>
      <c r="AV295" s="58" t="str">
        <f aca="false">IF('STUDENT SCREENING'!AU295="","",IFERROR(INDEX('SCORING MASTER'!$D$95:$D$96,MATCH('STUDENT SCREENING'!AU295,'SCORING MASTER'!$C$95:$C$96,0)),""))</f>
        <v/>
      </c>
      <c r="AW295" s="58" t="str">
        <f aca="false">IF('STUDENT SCREENING'!AV295="","",IFERROR(INDEX('SCORING MASTER'!$D$98:$D$99,MATCH('STUDENT SCREENING'!AV295,'SCORING MASTER'!$C$98:$C$99,0)),""))</f>
        <v/>
      </c>
      <c r="AX295" s="58" t="str">
        <f aca="false">IF('STUDENT SCREENING'!AW295="","",IFERROR(INDEX('SCORING MASTER'!$D$101:$D$102,MATCH('STUDENT SCREENING'!AW295,'SCORING MASTER'!$C$101:$C$102,0)),""))</f>
        <v/>
      </c>
      <c r="AY295" s="58" t="str">
        <f aca="false">IF('STUDENT SCREENING'!AX295="","",IFERROR(INDEX('SCORING MASTER'!$D$104:$D$105,MATCH('STUDENT SCREENING'!AX295,'SCORING MASTER'!$C$104:$C$105,0)),""))</f>
        <v/>
      </c>
      <c r="AZ295" s="58" t="str">
        <f aca="false">IF('STUDENT SCREENING'!AY295="","",IFERROR(INDEX('SCORING MASTER'!$D$107:$D$108,MATCH('STUDENT SCREENING'!AY295,'SCORING MASTER'!$C$107:$C$108,0)),""))</f>
        <v/>
      </c>
      <c r="BA295" s="58" t="str">
        <f aca="false">IF('STUDENT SCREENING'!AZ295="","",IFERROR(INDEX('SCORING MASTER'!$D$110:$D$111,MATCH('STUDENT SCREENING'!AZ295,'SCORING MASTER'!$C$110:$C$111,0)),""))</f>
        <v/>
      </c>
      <c r="BB295" s="58" t="str">
        <f aca="false">IF('STUDENT SCREENING'!BA295="","",IFERROR(INDEX('SCORING MASTER'!$D$113:$D$115,MATCH('STUDENT SCREENING'!BA295,'SCORING MASTER'!$C$113:$C$115,0)),""))</f>
        <v/>
      </c>
      <c r="BC295" s="58" t="str">
        <f aca="false">IF('STUDENT SCREENING'!BB295="","",IFERROR(INDEX('SCORING MASTER'!$D$117:$D$119,MATCH('STUDENT SCREENING'!BB295,'SCORING MASTER'!$C$117:$C$119,0)),""))</f>
        <v/>
      </c>
      <c r="BD295" s="58" t="str">
        <f aca="false">IF('STUDENT SCREENING'!BC295="","",IFERROR(INDEX('SCORING MASTER'!$D$121:$D$123,MATCH('STUDENT SCREENING'!BC295,'SCORING MASTER'!$C$121:$C$123,0)),""))</f>
        <v/>
      </c>
      <c r="BE295" s="58" t="str">
        <f aca="false">IF('STUDENT SCREENING'!BD295="","",IFERROR(INDEX('SCORING MASTER'!$D$125:$D$126,MATCH('STUDENT SCREENING'!BD295,'SCORING MASTER'!$C$125:$C$126,0)),""))</f>
        <v/>
      </c>
      <c r="BF295" s="58" t="str">
        <f aca="false">IF('STUDENT SCREENING'!BE295="","",IFERROR(INDEX('SCORING MASTER'!$D$128:$D$129,MATCH('STUDENT SCREENING'!BE295,'SCORING MASTER'!$C$128:$C$129,0)),""))</f>
        <v/>
      </c>
      <c r="BG295" s="58" t="str">
        <f aca="false">IF('STUDENT SCREENING'!BP295="","",IFERROR(MATCH('STUDENT SCREENING'!BP295,{"Red - High Risk","Orange - Moderate Risk","Yellow - Mild Risk","Light Green - Mild Watch","Green - Healthy"},0)-1,""))</f>
        <v/>
      </c>
      <c r="BH295" s="58" t="str">
        <f aca="false">IF('STUDENT SCREENING'!BQ295="","",IF('STUDENT SCREENING'!BQ295="Yes",1,0))</f>
        <v/>
      </c>
      <c r="BI295" s="58" t="str">
        <f aca="false">IF('STUDENT SCREENING'!BR295="","",IF('STUDENT SCREENING'!BR295="Yes",1,0))</f>
        <v/>
      </c>
    </row>
    <row r="296" customFormat="false" ht="15" hidden="false" customHeight="false" outlineLevel="0" collapsed="false">
      <c r="A296" s="57" t="str">
        <f aca="false">'STUDENT SCREENING'!A296</f>
        <v/>
      </c>
      <c r="B296" s="57" t="n">
        <f aca="false">'STUDENT SCREENING'!C296</f>
        <v>0</v>
      </c>
      <c r="C296" s="57" t="n">
        <f aca="false">'STUDENT SCREENING'!D296</f>
        <v>0</v>
      </c>
      <c r="D296" s="57" t="n">
        <f aca="false">'STUDENT SCREENING'!E296</f>
        <v>0</v>
      </c>
      <c r="E296" s="57" t="n">
        <f aca="false">'STUDENT SCREENING'!F296</f>
        <v>0</v>
      </c>
      <c r="F296" s="57" t="n">
        <f aca="false">'STUDENT SCREENING'!K296</f>
        <v>0</v>
      </c>
      <c r="G296" s="57" t="n">
        <f aca="false">'STUDENT SCREENING'!J296</f>
        <v>0</v>
      </c>
      <c r="H296" s="57" t="str">
        <f aca="false">IF('STUDENT SCREENING'!K296="","",IFERROR(MATCH('STUDENT SCREENING'!K296,Adm_Gender,0),""))</f>
        <v/>
      </c>
      <c r="I296" s="57" t="n">
        <f aca="false">'STUDENT SCREENING'!Q296</f>
        <v>0</v>
      </c>
      <c r="J296" s="57" t="n">
        <f aca="false">'STUDENT SCREENING'!R296</f>
        <v>0</v>
      </c>
      <c r="K296" s="57" t="str">
        <f aca="false">'STUDENT SCREENING'!S296</f>
        <v/>
      </c>
      <c r="L296" s="57" t="n">
        <f aca="false">'STUDENT SCREENING'!U296</f>
        <v>0</v>
      </c>
      <c r="M296" s="57" t="n">
        <f aca="false">'STUDENT SCREENING'!V296</f>
        <v>0</v>
      </c>
      <c r="N296" s="57" t="str">
        <f aca="false">'STUDENT SCREENING'!BF296</f>
        <v/>
      </c>
      <c r="O296" s="57" t="str">
        <f aca="false">'STUDENT SCREENING'!BG296</f>
        <v/>
      </c>
      <c r="P296" s="57" t="str">
        <f aca="false">'STUDENT SCREENING'!BH296</f>
        <v/>
      </c>
      <c r="Q296" s="57" t="str">
        <f aca="false">'STUDENT SCREENING'!BI296</f>
        <v/>
      </c>
      <c r="R296" s="57" t="str">
        <f aca="false">'STUDENT SCREENING'!BJ296</f>
        <v/>
      </c>
      <c r="S296" s="57" t="str">
        <f aca="false">'STUDENT SCREENING'!BK296</f>
        <v/>
      </c>
      <c r="T296" s="57" t="str">
        <f aca="false">'STUDENT SCREENING'!BL296</f>
        <v/>
      </c>
      <c r="U296" s="57" t="str">
        <f aca="false">'STUDENT SCREENING'!BM296</f>
        <v/>
      </c>
      <c r="V296" s="57" t="str">
        <f aca="false">'STUDENT SCREENING'!BN296</f>
        <v/>
      </c>
      <c r="W296" s="57" t="str">
        <f aca="false">'STUDENT SCREENING'!BO296</f>
        <v/>
      </c>
      <c r="X296" s="57" t="str">
        <f aca="false">IF('STUDENT SCREENING'!W296="","",IFERROR(INDEX('SCORING MASTER'!$D$5:$D$7,MATCH('STUDENT SCREENING'!W296,'SCORING MASTER'!$C$5:$C$7,0)),""))</f>
        <v/>
      </c>
      <c r="Y296" s="57" t="str">
        <f aca="false">IF('STUDENT SCREENING'!X296="","",IFERROR(INDEX('SCORING MASTER'!$D$9:$D$11,MATCH('STUDENT SCREENING'!X296,'SCORING MASTER'!$C$9:$C$11,0)),""))</f>
        <v/>
      </c>
      <c r="Z296" s="57" t="str">
        <f aca="false">IF('STUDENT SCREENING'!Y296="","",IFERROR(INDEX('SCORING MASTER'!$D$13:$D$15,MATCH('STUDENT SCREENING'!Y296,'SCORING MASTER'!$C$13:$C$15,0)),""))</f>
        <v/>
      </c>
      <c r="AA296" s="57" t="str">
        <f aca="false">IF('STUDENT SCREENING'!Z296="","",IFERROR(INDEX('SCORING MASTER'!$D$17:$D$19,MATCH('STUDENT SCREENING'!Z296,'SCORING MASTER'!$C$17:$C$19,0)),""))</f>
        <v/>
      </c>
      <c r="AB296" s="57" t="str">
        <f aca="false">IF('STUDENT SCREENING'!AA296="","",IFERROR(INDEX('SCORING MASTER'!$D$21:$D$23,MATCH('STUDENT SCREENING'!AA296,'SCORING MASTER'!$C$21:$C$23,0)),""))</f>
        <v/>
      </c>
      <c r="AC296" s="57" t="str">
        <f aca="false">IF('STUDENT SCREENING'!AB296="","",IFERROR(INDEX('SCORING MASTER'!$D$25:$D$27,MATCH('STUDENT SCREENING'!AB296,'SCORING MASTER'!$C$25:$C$27,0)),""))</f>
        <v/>
      </c>
      <c r="AD296" s="57" t="str">
        <f aca="false">IF('STUDENT SCREENING'!AC296="","",IFERROR(INDEX('SCORING MASTER'!$D$29:$D$31,MATCH('STUDENT SCREENING'!AC296,'SCORING MASTER'!$C$29:$C$31,0)),""))</f>
        <v/>
      </c>
      <c r="AE296" s="57" t="str">
        <f aca="false">IF('STUDENT SCREENING'!AD296="","",IFERROR(INDEX('SCORING MASTER'!$D$33:$D$35,MATCH('STUDENT SCREENING'!AD296,'SCORING MASTER'!$C$33:$C$35,0)),""))</f>
        <v/>
      </c>
      <c r="AF296" s="57" t="str">
        <f aca="false">IF('STUDENT SCREENING'!AE296="","",IFERROR(INDEX('SCORING MASTER'!$D$37:$D$39,MATCH('STUDENT SCREENING'!AE296,'SCORING MASTER'!$C$37:$C$39,0)),""))</f>
        <v/>
      </c>
      <c r="AG296" s="57" t="str">
        <f aca="false">IF('STUDENT SCREENING'!AF296="","",IFERROR(INDEX('SCORING MASTER'!$D$41:$D$43,MATCH('STUDENT SCREENING'!AF296,'SCORING MASTER'!$C$41:$C$43,0)),""))</f>
        <v/>
      </c>
      <c r="AH296" s="57" t="str">
        <f aca="false">IF('STUDENT SCREENING'!AG296="","",IFERROR(INDEX('SCORING MASTER'!$D$45:$D$47,MATCH('STUDENT SCREENING'!AG296,'SCORING MASTER'!$C$45:$C$47,0)),""))</f>
        <v/>
      </c>
      <c r="AI296" s="57" t="str">
        <f aca="false">IF('STUDENT SCREENING'!AH296="","",IFERROR(INDEX('SCORING MASTER'!$D$49:$D$52,MATCH('STUDENT SCREENING'!AH296,'SCORING MASTER'!$C$49:$C$52,0)),""))</f>
        <v/>
      </c>
      <c r="AJ296" s="57" t="str">
        <f aca="false">IF('STUDENT SCREENING'!AI296="","",IFERROR(INDEX('SCORING MASTER'!$D$54:$D$57,MATCH('STUDENT SCREENING'!AI296,'SCORING MASTER'!$C$54:$C$57,0)),""))</f>
        <v/>
      </c>
      <c r="AK296" s="57" t="str">
        <f aca="false">IF('STUDENT SCREENING'!AJ296="","",IFERROR(INDEX('SCORING MASTER'!$D$59:$D$60,MATCH('STUDENT SCREENING'!AJ296,'SCORING MASTER'!$C$59:$C$60,0)),""))</f>
        <v/>
      </c>
      <c r="AL296" s="57" t="str">
        <f aca="false">IF('STUDENT SCREENING'!AK296="","",IFERROR(INDEX('SCORING MASTER'!$D$62:$D$63,MATCH('STUDENT SCREENING'!AK296,'SCORING MASTER'!$C$62:$C$63,0)),""))</f>
        <v/>
      </c>
      <c r="AM296" s="57" t="str">
        <f aca="false">IF('STUDENT SCREENING'!AL296="","",IFERROR(INDEX('SCORING MASTER'!$D$65:$D$66,MATCH('STUDENT SCREENING'!AL296,'SCORING MASTER'!$C$65:$C$66,0)),""))</f>
        <v/>
      </c>
      <c r="AN296" s="57" t="str">
        <f aca="false">IF('STUDENT SCREENING'!AM296="","",IFERROR(INDEX('SCORING MASTER'!$D$68:$D$69,MATCH('STUDENT SCREENING'!AM296,'SCORING MASTER'!$C$68:$C$69,0)),""))</f>
        <v/>
      </c>
      <c r="AO296" s="57" t="str">
        <f aca="false">IF('STUDENT SCREENING'!AN296="","",IFERROR(INDEX('SCORING MASTER'!$D$71:$D$72,MATCH('STUDENT SCREENING'!AN296,'SCORING MASTER'!$C$71:$C$72,0)),""))</f>
        <v/>
      </c>
      <c r="AP296" s="57" t="str">
        <f aca="false">IF('STUDENT SCREENING'!AO296="","",IFERROR(INDEX('SCORING MASTER'!$D$74:$D$75,MATCH('STUDENT SCREENING'!AO296,'SCORING MASTER'!$C$74:$C$75,0)),""))</f>
        <v/>
      </c>
      <c r="AQ296" s="57" t="str">
        <f aca="false">IF('STUDENT SCREENING'!AP296="","",IFERROR(INDEX('SCORING MASTER'!$D$77:$D$78,MATCH('STUDENT SCREENING'!AP296,'SCORING MASTER'!$C$77:$C$78,0)),""))</f>
        <v/>
      </c>
      <c r="AR296" s="57" t="str">
        <f aca="false">IF('STUDENT SCREENING'!AQ296="","",IFERROR(INDEX('SCORING MASTER'!$D$80:$D$82,MATCH('STUDENT SCREENING'!AQ296,'SCORING MASTER'!$C$80:$C$82,0)),""))</f>
        <v/>
      </c>
      <c r="AS296" s="57" t="str">
        <f aca="false">IF('STUDENT SCREENING'!AR296="","",IFERROR(INDEX('SCORING MASTER'!$D$84:$D$86,MATCH('STUDENT SCREENING'!AR296,'SCORING MASTER'!$C$84:$C$86,0)),""))</f>
        <v/>
      </c>
      <c r="AT296" s="57" t="str">
        <f aca="false">IF('STUDENT SCREENING'!AS296="","",IFERROR(INDEX('SCORING MASTER'!$D$88:$D$90,MATCH('STUDENT SCREENING'!AS296,'SCORING MASTER'!$C$88:$C$90,0)),""))</f>
        <v/>
      </c>
      <c r="AU296" s="57" t="str">
        <f aca="false">IF('STUDENT SCREENING'!AT296="","",IFERROR(INDEX('SCORING MASTER'!$D$92:$D$93,MATCH('STUDENT SCREENING'!AT296,'SCORING MASTER'!$C$92:$C$93,0)),""))</f>
        <v/>
      </c>
      <c r="AV296" s="57" t="str">
        <f aca="false">IF('STUDENT SCREENING'!AU296="","",IFERROR(INDEX('SCORING MASTER'!$D$95:$D$96,MATCH('STUDENT SCREENING'!AU296,'SCORING MASTER'!$C$95:$C$96,0)),""))</f>
        <v/>
      </c>
      <c r="AW296" s="57" t="str">
        <f aca="false">IF('STUDENT SCREENING'!AV296="","",IFERROR(INDEX('SCORING MASTER'!$D$98:$D$99,MATCH('STUDENT SCREENING'!AV296,'SCORING MASTER'!$C$98:$C$99,0)),""))</f>
        <v/>
      </c>
      <c r="AX296" s="57" t="str">
        <f aca="false">IF('STUDENT SCREENING'!AW296="","",IFERROR(INDEX('SCORING MASTER'!$D$101:$D$102,MATCH('STUDENT SCREENING'!AW296,'SCORING MASTER'!$C$101:$C$102,0)),""))</f>
        <v/>
      </c>
      <c r="AY296" s="57" t="str">
        <f aca="false">IF('STUDENT SCREENING'!AX296="","",IFERROR(INDEX('SCORING MASTER'!$D$104:$D$105,MATCH('STUDENT SCREENING'!AX296,'SCORING MASTER'!$C$104:$C$105,0)),""))</f>
        <v/>
      </c>
      <c r="AZ296" s="57" t="str">
        <f aca="false">IF('STUDENT SCREENING'!AY296="","",IFERROR(INDEX('SCORING MASTER'!$D$107:$D$108,MATCH('STUDENT SCREENING'!AY296,'SCORING MASTER'!$C$107:$C$108,0)),""))</f>
        <v/>
      </c>
      <c r="BA296" s="57" t="str">
        <f aca="false">IF('STUDENT SCREENING'!AZ296="","",IFERROR(INDEX('SCORING MASTER'!$D$110:$D$111,MATCH('STUDENT SCREENING'!AZ296,'SCORING MASTER'!$C$110:$C$111,0)),""))</f>
        <v/>
      </c>
      <c r="BB296" s="57" t="str">
        <f aca="false">IF('STUDENT SCREENING'!BA296="","",IFERROR(INDEX('SCORING MASTER'!$D$113:$D$115,MATCH('STUDENT SCREENING'!BA296,'SCORING MASTER'!$C$113:$C$115,0)),""))</f>
        <v/>
      </c>
      <c r="BC296" s="57" t="str">
        <f aca="false">IF('STUDENT SCREENING'!BB296="","",IFERROR(INDEX('SCORING MASTER'!$D$117:$D$119,MATCH('STUDENT SCREENING'!BB296,'SCORING MASTER'!$C$117:$C$119,0)),""))</f>
        <v/>
      </c>
      <c r="BD296" s="57" t="str">
        <f aca="false">IF('STUDENT SCREENING'!BC296="","",IFERROR(INDEX('SCORING MASTER'!$D$121:$D$123,MATCH('STUDENT SCREENING'!BC296,'SCORING MASTER'!$C$121:$C$123,0)),""))</f>
        <v/>
      </c>
      <c r="BE296" s="57" t="str">
        <f aca="false">IF('STUDENT SCREENING'!BD296="","",IFERROR(INDEX('SCORING MASTER'!$D$125:$D$126,MATCH('STUDENT SCREENING'!BD296,'SCORING MASTER'!$C$125:$C$126,0)),""))</f>
        <v/>
      </c>
      <c r="BF296" s="57" t="str">
        <f aca="false">IF('STUDENT SCREENING'!BE296="","",IFERROR(INDEX('SCORING MASTER'!$D$128:$D$129,MATCH('STUDENT SCREENING'!BE296,'SCORING MASTER'!$C$128:$C$129,0)),""))</f>
        <v/>
      </c>
      <c r="BG296" s="57" t="str">
        <f aca="false">IF('STUDENT SCREENING'!BP296="","",IFERROR(MATCH('STUDENT SCREENING'!BP296,{"Red - High Risk","Orange - Moderate Risk","Yellow - Mild Risk","Light Green - Mild Watch","Green - Healthy"},0)-1,""))</f>
        <v/>
      </c>
      <c r="BH296" s="57" t="str">
        <f aca="false">IF('STUDENT SCREENING'!BQ296="","",IF('STUDENT SCREENING'!BQ296="Yes",1,0))</f>
        <v/>
      </c>
      <c r="BI296" s="57" t="str">
        <f aca="false">IF('STUDENT SCREENING'!BR296="","",IF('STUDENT SCREENING'!BR296="Yes",1,0))</f>
        <v/>
      </c>
    </row>
    <row r="297" customFormat="false" ht="15" hidden="false" customHeight="false" outlineLevel="0" collapsed="false">
      <c r="A297" s="58" t="str">
        <f aca="false">'STUDENT SCREENING'!A297</f>
        <v/>
      </c>
      <c r="B297" s="58" t="n">
        <f aca="false">'STUDENT SCREENING'!C297</f>
        <v>0</v>
      </c>
      <c r="C297" s="58" t="n">
        <f aca="false">'STUDENT SCREENING'!D297</f>
        <v>0</v>
      </c>
      <c r="D297" s="58" t="n">
        <f aca="false">'STUDENT SCREENING'!E297</f>
        <v>0</v>
      </c>
      <c r="E297" s="58" t="n">
        <f aca="false">'STUDENT SCREENING'!F297</f>
        <v>0</v>
      </c>
      <c r="F297" s="58" t="n">
        <f aca="false">'STUDENT SCREENING'!K297</f>
        <v>0</v>
      </c>
      <c r="G297" s="58" t="n">
        <f aca="false">'STUDENT SCREENING'!J297</f>
        <v>0</v>
      </c>
      <c r="H297" s="58" t="str">
        <f aca="false">IF('STUDENT SCREENING'!K297="","",IFERROR(MATCH('STUDENT SCREENING'!K297,Adm_Gender,0),""))</f>
        <v/>
      </c>
      <c r="I297" s="58" t="n">
        <f aca="false">'STUDENT SCREENING'!Q297</f>
        <v>0</v>
      </c>
      <c r="J297" s="58" t="n">
        <f aca="false">'STUDENT SCREENING'!R297</f>
        <v>0</v>
      </c>
      <c r="K297" s="58" t="str">
        <f aca="false">'STUDENT SCREENING'!S297</f>
        <v/>
      </c>
      <c r="L297" s="58" t="n">
        <f aca="false">'STUDENT SCREENING'!U297</f>
        <v>0</v>
      </c>
      <c r="M297" s="58" t="n">
        <f aca="false">'STUDENT SCREENING'!V297</f>
        <v>0</v>
      </c>
      <c r="N297" s="58" t="str">
        <f aca="false">'STUDENT SCREENING'!BF297</f>
        <v/>
      </c>
      <c r="O297" s="58" t="str">
        <f aca="false">'STUDENT SCREENING'!BG297</f>
        <v/>
      </c>
      <c r="P297" s="58" t="str">
        <f aca="false">'STUDENT SCREENING'!BH297</f>
        <v/>
      </c>
      <c r="Q297" s="58" t="str">
        <f aca="false">'STUDENT SCREENING'!BI297</f>
        <v/>
      </c>
      <c r="R297" s="58" t="str">
        <f aca="false">'STUDENT SCREENING'!BJ297</f>
        <v/>
      </c>
      <c r="S297" s="58" t="str">
        <f aca="false">'STUDENT SCREENING'!BK297</f>
        <v/>
      </c>
      <c r="T297" s="58" t="str">
        <f aca="false">'STUDENT SCREENING'!BL297</f>
        <v/>
      </c>
      <c r="U297" s="58" t="str">
        <f aca="false">'STUDENT SCREENING'!BM297</f>
        <v/>
      </c>
      <c r="V297" s="58" t="str">
        <f aca="false">'STUDENT SCREENING'!BN297</f>
        <v/>
      </c>
      <c r="W297" s="58" t="str">
        <f aca="false">'STUDENT SCREENING'!BO297</f>
        <v/>
      </c>
      <c r="X297" s="58" t="str">
        <f aca="false">IF('STUDENT SCREENING'!W297="","",IFERROR(INDEX('SCORING MASTER'!$D$5:$D$7,MATCH('STUDENT SCREENING'!W297,'SCORING MASTER'!$C$5:$C$7,0)),""))</f>
        <v/>
      </c>
      <c r="Y297" s="58" t="str">
        <f aca="false">IF('STUDENT SCREENING'!X297="","",IFERROR(INDEX('SCORING MASTER'!$D$9:$D$11,MATCH('STUDENT SCREENING'!X297,'SCORING MASTER'!$C$9:$C$11,0)),""))</f>
        <v/>
      </c>
      <c r="Z297" s="58" t="str">
        <f aca="false">IF('STUDENT SCREENING'!Y297="","",IFERROR(INDEX('SCORING MASTER'!$D$13:$D$15,MATCH('STUDENT SCREENING'!Y297,'SCORING MASTER'!$C$13:$C$15,0)),""))</f>
        <v/>
      </c>
      <c r="AA297" s="58" t="str">
        <f aca="false">IF('STUDENT SCREENING'!Z297="","",IFERROR(INDEX('SCORING MASTER'!$D$17:$D$19,MATCH('STUDENT SCREENING'!Z297,'SCORING MASTER'!$C$17:$C$19,0)),""))</f>
        <v/>
      </c>
      <c r="AB297" s="58" t="str">
        <f aca="false">IF('STUDENT SCREENING'!AA297="","",IFERROR(INDEX('SCORING MASTER'!$D$21:$D$23,MATCH('STUDENT SCREENING'!AA297,'SCORING MASTER'!$C$21:$C$23,0)),""))</f>
        <v/>
      </c>
      <c r="AC297" s="58" t="str">
        <f aca="false">IF('STUDENT SCREENING'!AB297="","",IFERROR(INDEX('SCORING MASTER'!$D$25:$D$27,MATCH('STUDENT SCREENING'!AB297,'SCORING MASTER'!$C$25:$C$27,0)),""))</f>
        <v/>
      </c>
      <c r="AD297" s="58" t="str">
        <f aca="false">IF('STUDENT SCREENING'!AC297="","",IFERROR(INDEX('SCORING MASTER'!$D$29:$D$31,MATCH('STUDENT SCREENING'!AC297,'SCORING MASTER'!$C$29:$C$31,0)),""))</f>
        <v/>
      </c>
      <c r="AE297" s="58" t="str">
        <f aca="false">IF('STUDENT SCREENING'!AD297="","",IFERROR(INDEX('SCORING MASTER'!$D$33:$D$35,MATCH('STUDENT SCREENING'!AD297,'SCORING MASTER'!$C$33:$C$35,0)),""))</f>
        <v/>
      </c>
      <c r="AF297" s="58" t="str">
        <f aca="false">IF('STUDENT SCREENING'!AE297="","",IFERROR(INDEX('SCORING MASTER'!$D$37:$D$39,MATCH('STUDENT SCREENING'!AE297,'SCORING MASTER'!$C$37:$C$39,0)),""))</f>
        <v/>
      </c>
      <c r="AG297" s="58" t="str">
        <f aca="false">IF('STUDENT SCREENING'!AF297="","",IFERROR(INDEX('SCORING MASTER'!$D$41:$D$43,MATCH('STUDENT SCREENING'!AF297,'SCORING MASTER'!$C$41:$C$43,0)),""))</f>
        <v/>
      </c>
      <c r="AH297" s="58" t="str">
        <f aca="false">IF('STUDENT SCREENING'!AG297="","",IFERROR(INDEX('SCORING MASTER'!$D$45:$D$47,MATCH('STUDENT SCREENING'!AG297,'SCORING MASTER'!$C$45:$C$47,0)),""))</f>
        <v/>
      </c>
      <c r="AI297" s="58" t="str">
        <f aca="false">IF('STUDENT SCREENING'!AH297="","",IFERROR(INDEX('SCORING MASTER'!$D$49:$D$52,MATCH('STUDENT SCREENING'!AH297,'SCORING MASTER'!$C$49:$C$52,0)),""))</f>
        <v/>
      </c>
      <c r="AJ297" s="58" t="str">
        <f aca="false">IF('STUDENT SCREENING'!AI297="","",IFERROR(INDEX('SCORING MASTER'!$D$54:$D$57,MATCH('STUDENT SCREENING'!AI297,'SCORING MASTER'!$C$54:$C$57,0)),""))</f>
        <v/>
      </c>
      <c r="AK297" s="58" t="str">
        <f aca="false">IF('STUDENT SCREENING'!AJ297="","",IFERROR(INDEX('SCORING MASTER'!$D$59:$D$60,MATCH('STUDENT SCREENING'!AJ297,'SCORING MASTER'!$C$59:$C$60,0)),""))</f>
        <v/>
      </c>
      <c r="AL297" s="58" t="str">
        <f aca="false">IF('STUDENT SCREENING'!AK297="","",IFERROR(INDEX('SCORING MASTER'!$D$62:$D$63,MATCH('STUDENT SCREENING'!AK297,'SCORING MASTER'!$C$62:$C$63,0)),""))</f>
        <v/>
      </c>
      <c r="AM297" s="58" t="str">
        <f aca="false">IF('STUDENT SCREENING'!AL297="","",IFERROR(INDEX('SCORING MASTER'!$D$65:$D$66,MATCH('STUDENT SCREENING'!AL297,'SCORING MASTER'!$C$65:$C$66,0)),""))</f>
        <v/>
      </c>
      <c r="AN297" s="58" t="str">
        <f aca="false">IF('STUDENT SCREENING'!AM297="","",IFERROR(INDEX('SCORING MASTER'!$D$68:$D$69,MATCH('STUDENT SCREENING'!AM297,'SCORING MASTER'!$C$68:$C$69,0)),""))</f>
        <v/>
      </c>
      <c r="AO297" s="58" t="str">
        <f aca="false">IF('STUDENT SCREENING'!AN297="","",IFERROR(INDEX('SCORING MASTER'!$D$71:$D$72,MATCH('STUDENT SCREENING'!AN297,'SCORING MASTER'!$C$71:$C$72,0)),""))</f>
        <v/>
      </c>
      <c r="AP297" s="58" t="str">
        <f aca="false">IF('STUDENT SCREENING'!AO297="","",IFERROR(INDEX('SCORING MASTER'!$D$74:$D$75,MATCH('STUDENT SCREENING'!AO297,'SCORING MASTER'!$C$74:$C$75,0)),""))</f>
        <v/>
      </c>
      <c r="AQ297" s="58" t="str">
        <f aca="false">IF('STUDENT SCREENING'!AP297="","",IFERROR(INDEX('SCORING MASTER'!$D$77:$D$78,MATCH('STUDENT SCREENING'!AP297,'SCORING MASTER'!$C$77:$C$78,0)),""))</f>
        <v/>
      </c>
      <c r="AR297" s="58" t="str">
        <f aca="false">IF('STUDENT SCREENING'!AQ297="","",IFERROR(INDEX('SCORING MASTER'!$D$80:$D$82,MATCH('STUDENT SCREENING'!AQ297,'SCORING MASTER'!$C$80:$C$82,0)),""))</f>
        <v/>
      </c>
      <c r="AS297" s="58" t="str">
        <f aca="false">IF('STUDENT SCREENING'!AR297="","",IFERROR(INDEX('SCORING MASTER'!$D$84:$D$86,MATCH('STUDENT SCREENING'!AR297,'SCORING MASTER'!$C$84:$C$86,0)),""))</f>
        <v/>
      </c>
      <c r="AT297" s="58" t="str">
        <f aca="false">IF('STUDENT SCREENING'!AS297="","",IFERROR(INDEX('SCORING MASTER'!$D$88:$D$90,MATCH('STUDENT SCREENING'!AS297,'SCORING MASTER'!$C$88:$C$90,0)),""))</f>
        <v/>
      </c>
      <c r="AU297" s="58" t="str">
        <f aca="false">IF('STUDENT SCREENING'!AT297="","",IFERROR(INDEX('SCORING MASTER'!$D$92:$D$93,MATCH('STUDENT SCREENING'!AT297,'SCORING MASTER'!$C$92:$C$93,0)),""))</f>
        <v/>
      </c>
      <c r="AV297" s="58" t="str">
        <f aca="false">IF('STUDENT SCREENING'!AU297="","",IFERROR(INDEX('SCORING MASTER'!$D$95:$D$96,MATCH('STUDENT SCREENING'!AU297,'SCORING MASTER'!$C$95:$C$96,0)),""))</f>
        <v/>
      </c>
      <c r="AW297" s="58" t="str">
        <f aca="false">IF('STUDENT SCREENING'!AV297="","",IFERROR(INDEX('SCORING MASTER'!$D$98:$D$99,MATCH('STUDENT SCREENING'!AV297,'SCORING MASTER'!$C$98:$C$99,0)),""))</f>
        <v/>
      </c>
      <c r="AX297" s="58" t="str">
        <f aca="false">IF('STUDENT SCREENING'!AW297="","",IFERROR(INDEX('SCORING MASTER'!$D$101:$D$102,MATCH('STUDENT SCREENING'!AW297,'SCORING MASTER'!$C$101:$C$102,0)),""))</f>
        <v/>
      </c>
      <c r="AY297" s="58" t="str">
        <f aca="false">IF('STUDENT SCREENING'!AX297="","",IFERROR(INDEX('SCORING MASTER'!$D$104:$D$105,MATCH('STUDENT SCREENING'!AX297,'SCORING MASTER'!$C$104:$C$105,0)),""))</f>
        <v/>
      </c>
      <c r="AZ297" s="58" t="str">
        <f aca="false">IF('STUDENT SCREENING'!AY297="","",IFERROR(INDEX('SCORING MASTER'!$D$107:$D$108,MATCH('STUDENT SCREENING'!AY297,'SCORING MASTER'!$C$107:$C$108,0)),""))</f>
        <v/>
      </c>
      <c r="BA297" s="58" t="str">
        <f aca="false">IF('STUDENT SCREENING'!AZ297="","",IFERROR(INDEX('SCORING MASTER'!$D$110:$D$111,MATCH('STUDENT SCREENING'!AZ297,'SCORING MASTER'!$C$110:$C$111,0)),""))</f>
        <v/>
      </c>
      <c r="BB297" s="58" t="str">
        <f aca="false">IF('STUDENT SCREENING'!BA297="","",IFERROR(INDEX('SCORING MASTER'!$D$113:$D$115,MATCH('STUDENT SCREENING'!BA297,'SCORING MASTER'!$C$113:$C$115,0)),""))</f>
        <v/>
      </c>
      <c r="BC297" s="58" t="str">
        <f aca="false">IF('STUDENT SCREENING'!BB297="","",IFERROR(INDEX('SCORING MASTER'!$D$117:$D$119,MATCH('STUDENT SCREENING'!BB297,'SCORING MASTER'!$C$117:$C$119,0)),""))</f>
        <v/>
      </c>
      <c r="BD297" s="58" t="str">
        <f aca="false">IF('STUDENT SCREENING'!BC297="","",IFERROR(INDEX('SCORING MASTER'!$D$121:$D$123,MATCH('STUDENT SCREENING'!BC297,'SCORING MASTER'!$C$121:$C$123,0)),""))</f>
        <v/>
      </c>
      <c r="BE297" s="58" t="str">
        <f aca="false">IF('STUDENT SCREENING'!BD297="","",IFERROR(INDEX('SCORING MASTER'!$D$125:$D$126,MATCH('STUDENT SCREENING'!BD297,'SCORING MASTER'!$C$125:$C$126,0)),""))</f>
        <v/>
      </c>
      <c r="BF297" s="58" t="str">
        <f aca="false">IF('STUDENT SCREENING'!BE297="","",IFERROR(INDEX('SCORING MASTER'!$D$128:$D$129,MATCH('STUDENT SCREENING'!BE297,'SCORING MASTER'!$C$128:$C$129,0)),""))</f>
        <v/>
      </c>
      <c r="BG297" s="58" t="str">
        <f aca="false">IF('STUDENT SCREENING'!BP297="","",IFERROR(MATCH('STUDENT SCREENING'!BP297,{"Red - High Risk","Orange - Moderate Risk","Yellow - Mild Risk","Light Green - Mild Watch","Green - Healthy"},0)-1,""))</f>
        <v/>
      </c>
      <c r="BH297" s="58" t="str">
        <f aca="false">IF('STUDENT SCREENING'!BQ297="","",IF('STUDENT SCREENING'!BQ297="Yes",1,0))</f>
        <v/>
      </c>
      <c r="BI297" s="58" t="str">
        <f aca="false">IF('STUDENT SCREENING'!BR297="","",IF('STUDENT SCREENING'!BR297="Yes",1,0))</f>
        <v/>
      </c>
    </row>
    <row r="298" customFormat="false" ht="15" hidden="false" customHeight="false" outlineLevel="0" collapsed="false">
      <c r="A298" s="57" t="str">
        <f aca="false">'STUDENT SCREENING'!A298</f>
        <v/>
      </c>
      <c r="B298" s="57" t="n">
        <f aca="false">'STUDENT SCREENING'!C298</f>
        <v>0</v>
      </c>
      <c r="C298" s="57" t="n">
        <f aca="false">'STUDENT SCREENING'!D298</f>
        <v>0</v>
      </c>
      <c r="D298" s="57" t="n">
        <f aca="false">'STUDENT SCREENING'!E298</f>
        <v>0</v>
      </c>
      <c r="E298" s="57" t="n">
        <f aca="false">'STUDENT SCREENING'!F298</f>
        <v>0</v>
      </c>
      <c r="F298" s="57" t="n">
        <f aca="false">'STUDENT SCREENING'!K298</f>
        <v>0</v>
      </c>
      <c r="G298" s="57" t="n">
        <f aca="false">'STUDENT SCREENING'!J298</f>
        <v>0</v>
      </c>
      <c r="H298" s="57" t="str">
        <f aca="false">IF('STUDENT SCREENING'!K298="","",IFERROR(MATCH('STUDENT SCREENING'!K298,Adm_Gender,0),""))</f>
        <v/>
      </c>
      <c r="I298" s="57" t="n">
        <f aca="false">'STUDENT SCREENING'!Q298</f>
        <v>0</v>
      </c>
      <c r="J298" s="57" t="n">
        <f aca="false">'STUDENT SCREENING'!R298</f>
        <v>0</v>
      </c>
      <c r="K298" s="57" t="str">
        <f aca="false">'STUDENT SCREENING'!S298</f>
        <v/>
      </c>
      <c r="L298" s="57" t="n">
        <f aca="false">'STUDENT SCREENING'!U298</f>
        <v>0</v>
      </c>
      <c r="M298" s="57" t="n">
        <f aca="false">'STUDENT SCREENING'!V298</f>
        <v>0</v>
      </c>
      <c r="N298" s="57" t="str">
        <f aca="false">'STUDENT SCREENING'!BF298</f>
        <v/>
      </c>
      <c r="O298" s="57" t="str">
        <f aca="false">'STUDENT SCREENING'!BG298</f>
        <v/>
      </c>
      <c r="P298" s="57" t="str">
        <f aca="false">'STUDENT SCREENING'!BH298</f>
        <v/>
      </c>
      <c r="Q298" s="57" t="str">
        <f aca="false">'STUDENT SCREENING'!BI298</f>
        <v/>
      </c>
      <c r="R298" s="57" t="str">
        <f aca="false">'STUDENT SCREENING'!BJ298</f>
        <v/>
      </c>
      <c r="S298" s="57" t="str">
        <f aca="false">'STUDENT SCREENING'!BK298</f>
        <v/>
      </c>
      <c r="T298" s="57" t="str">
        <f aca="false">'STUDENT SCREENING'!BL298</f>
        <v/>
      </c>
      <c r="U298" s="57" t="str">
        <f aca="false">'STUDENT SCREENING'!BM298</f>
        <v/>
      </c>
      <c r="V298" s="57" t="str">
        <f aca="false">'STUDENT SCREENING'!BN298</f>
        <v/>
      </c>
      <c r="W298" s="57" t="str">
        <f aca="false">'STUDENT SCREENING'!BO298</f>
        <v/>
      </c>
      <c r="X298" s="57" t="str">
        <f aca="false">IF('STUDENT SCREENING'!W298="","",IFERROR(INDEX('SCORING MASTER'!$D$5:$D$7,MATCH('STUDENT SCREENING'!W298,'SCORING MASTER'!$C$5:$C$7,0)),""))</f>
        <v/>
      </c>
      <c r="Y298" s="57" t="str">
        <f aca="false">IF('STUDENT SCREENING'!X298="","",IFERROR(INDEX('SCORING MASTER'!$D$9:$D$11,MATCH('STUDENT SCREENING'!X298,'SCORING MASTER'!$C$9:$C$11,0)),""))</f>
        <v/>
      </c>
      <c r="Z298" s="57" t="str">
        <f aca="false">IF('STUDENT SCREENING'!Y298="","",IFERROR(INDEX('SCORING MASTER'!$D$13:$D$15,MATCH('STUDENT SCREENING'!Y298,'SCORING MASTER'!$C$13:$C$15,0)),""))</f>
        <v/>
      </c>
      <c r="AA298" s="57" t="str">
        <f aca="false">IF('STUDENT SCREENING'!Z298="","",IFERROR(INDEX('SCORING MASTER'!$D$17:$D$19,MATCH('STUDENT SCREENING'!Z298,'SCORING MASTER'!$C$17:$C$19,0)),""))</f>
        <v/>
      </c>
      <c r="AB298" s="57" t="str">
        <f aca="false">IF('STUDENT SCREENING'!AA298="","",IFERROR(INDEX('SCORING MASTER'!$D$21:$D$23,MATCH('STUDENT SCREENING'!AA298,'SCORING MASTER'!$C$21:$C$23,0)),""))</f>
        <v/>
      </c>
      <c r="AC298" s="57" t="str">
        <f aca="false">IF('STUDENT SCREENING'!AB298="","",IFERROR(INDEX('SCORING MASTER'!$D$25:$D$27,MATCH('STUDENT SCREENING'!AB298,'SCORING MASTER'!$C$25:$C$27,0)),""))</f>
        <v/>
      </c>
      <c r="AD298" s="57" t="str">
        <f aca="false">IF('STUDENT SCREENING'!AC298="","",IFERROR(INDEX('SCORING MASTER'!$D$29:$D$31,MATCH('STUDENT SCREENING'!AC298,'SCORING MASTER'!$C$29:$C$31,0)),""))</f>
        <v/>
      </c>
      <c r="AE298" s="57" t="str">
        <f aca="false">IF('STUDENT SCREENING'!AD298="","",IFERROR(INDEX('SCORING MASTER'!$D$33:$D$35,MATCH('STUDENT SCREENING'!AD298,'SCORING MASTER'!$C$33:$C$35,0)),""))</f>
        <v/>
      </c>
      <c r="AF298" s="57" t="str">
        <f aca="false">IF('STUDENT SCREENING'!AE298="","",IFERROR(INDEX('SCORING MASTER'!$D$37:$D$39,MATCH('STUDENT SCREENING'!AE298,'SCORING MASTER'!$C$37:$C$39,0)),""))</f>
        <v/>
      </c>
      <c r="AG298" s="57" t="str">
        <f aca="false">IF('STUDENT SCREENING'!AF298="","",IFERROR(INDEX('SCORING MASTER'!$D$41:$D$43,MATCH('STUDENT SCREENING'!AF298,'SCORING MASTER'!$C$41:$C$43,0)),""))</f>
        <v/>
      </c>
      <c r="AH298" s="57" t="str">
        <f aca="false">IF('STUDENT SCREENING'!AG298="","",IFERROR(INDEX('SCORING MASTER'!$D$45:$D$47,MATCH('STUDENT SCREENING'!AG298,'SCORING MASTER'!$C$45:$C$47,0)),""))</f>
        <v/>
      </c>
      <c r="AI298" s="57" t="str">
        <f aca="false">IF('STUDENT SCREENING'!AH298="","",IFERROR(INDEX('SCORING MASTER'!$D$49:$D$52,MATCH('STUDENT SCREENING'!AH298,'SCORING MASTER'!$C$49:$C$52,0)),""))</f>
        <v/>
      </c>
      <c r="AJ298" s="57" t="str">
        <f aca="false">IF('STUDENT SCREENING'!AI298="","",IFERROR(INDEX('SCORING MASTER'!$D$54:$D$57,MATCH('STUDENT SCREENING'!AI298,'SCORING MASTER'!$C$54:$C$57,0)),""))</f>
        <v/>
      </c>
      <c r="AK298" s="57" t="str">
        <f aca="false">IF('STUDENT SCREENING'!AJ298="","",IFERROR(INDEX('SCORING MASTER'!$D$59:$D$60,MATCH('STUDENT SCREENING'!AJ298,'SCORING MASTER'!$C$59:$C$60,0)),""))</f>
        <v/>
      </c>
      <c r="AL298" s="57" t="str">
        <f aca="false">IF('STUDENT SCREENING'!AK298="","",IFERROR(INDEX('SCORING MASTER'!$D$62:$D$63,MATCH('STUDENT SCREENING'!AK298,'SCORING MASTER'!$C$62:$C$63,0)),""))</f>
        <v/>
      </c>
      <c r="AM298" s="57" t="str">
        <f aca="false">IF('STUDENT SCREENING'!AL298="","",IFERROR(INDEX('SCORING MASTER'!$D$65:$D$66,MATCH('STUDENT SCREENING'!AL298,'SCORING MASTER'!$C$65:$C$66,0)),""))</f>
        <v/>
      </c>
      <c r="AN298" s="57" t="str">
        <f aca="false">IF('STUDENT SCREENING'!AM298="","",IFERROR(INDEX('SCORING MASTER'!$D$68:$D$69,MATCH('STUDENT SCREENING'!AM298,'SCORING MASTER'!$C$68:$C$69,0)),""))</f>
        <v/>
      </c>
      <c r="AO298" s="57" t="str">
        <f aca="false">IF('STUDENT SCREENING'!AN298="","",IFERROR(INDEX('SCORING MASTER'!$D$71:$D$72,MATCH('STUDENT SCREENING'!AN298,'SCORING MASTER'!$C$71:$C$72,0)),""))</f>
        <v/>
      </c>
      <c r="AP298" s="57" t="str">
        <f aca="false">IF('STUDENT SCREENING'!AO298="","",IFERROR(INDEX('SCORING MASTER'!$D$74:$D$75,MATCH('STUDENT SCREENING'!AO298,'SCORING MASTER'!$C$74:$C$75,0)),""))</f>
        <v/>
      </c>
      <c r="AQ298" s="57" t="str">
        <f aca="false">IF('STUDENT SCREENING'!AP298="","",IFERROR(INDEX('SCORING MASTER'!$D$77:$D$78,MATCH('STUDENT SCREENING'!AP298,'SCORING MASTER'!$C$77:$C$78,0)),""))</f>
        <v/>
      </c>
      <c r="AR298" s="57" t="str">
        <f aca="false">IF('STUDENT SCREENING'!AQ298="","",IFERROR(INDEX('SCORING MASTER'!$D$80:$D$82,MATCH('STUDENT SCREENING'!AQ298,'SCORING MASTER'!$C$80:$C$82,0)),""))</f>
        <v/>
      </c>
      <c r="AS298" s="57" t="str">
        <f aca="false">IF('STUDENT SCREENING'!AR298="","",IFERROR(INDEX('SCORING MASTER'!$D$84:$D$86,MATCH('STUDENT SCREENING'!AR298,'SCORING MASTER'!$C$84:$C$86,0)),""))</f>
        <v/>
      </c>
      <c r="AT298" s="57" t="str">
        <f aca="false">IF('STUDENT SCREENING'!AS298="","",IFERROR(INDEX('SCORING MASTER'!$D$88:$D$90,MATCH('STUDENT SCREENING'!AS298,'SCORING MASTER'!$C$88:$C$90,0)),""))</f>
        <v/>
      </c>
      <c r="AU298" s="57" t="str">
        <f aca="false">IF('STUDENT SCREENING'!AT298="","",IFERROR(INDEX('SCORING MASTER'!$D$92:$D$93,MATCH('STUDENT SCREENING'!AT298,'SCORING MASTER'!$C$92:$C$93,0)),""))</f>
        <v/>
      </c>
      <c r="AV298" s="57" t="str">
        <f aca="false">IF('STUDENT SCREENING'!AU298="","",IFERROR(INDEX('SCORING MASTER'!$D$95:$D$96,MATCH('STUDENT SCREENING'!AU298,'SCORING MASTER'!$C$95:$C$96,0)),""))</f>
        <v/>
      </c>
      <c r="AW298" s="57" t="str">
        <f aca="false">IF('STUDENT SCREENING'!AV298="","",IFERROR(INDEX('SCORING MASTER'!$D$98:$D$99,MATCH('STUDENT SCREENING'!AV298,'SCORING MASTER'!$C$98:$C$99,0)),""))</f>
        <v/>
      </c>
      <c r="AX298" s="57" t="str">
        <f aca="false">IF('STUDENT SCREENING'!AW298="","",IFERROR(INDEX('SCORING MASTER'!$D$101:$D$102,MATCH('STUDENT SCREENING'!AW298,'SCORING MASTER'!$C$101:$C$102,0)),""))</f>
        <v/>
      </c>
      <c r="AY298" s="57" t="str">
        <f aca="false">IF('STUDENT SCREENING'!AX298="","",IFERROR(INDEX('SCORING MASTER'!$D$104:$D$105,MATCH('STUDENT SCREENING'!AX298,'SCORING MASTER'!$C$104:$C$105,0)),""))</f>
        <v/>
      </c>
      <c r="AZ298" s="57" t="str">
        <f aca="false">IF('STUDENT SCREENING'!AY298="","",IFERROR(INDEX('SCORING MASTER'!$D$107:$D$108,MATCH('STUDENT SCREENING'!AY298,'SCORING MASTER'!$C$107:$C$108,0)),""))</f>
        <v/>
      </c>
      <c r="BA298" s="57" t="str">
        <f aca="false">IF('STUDENT SCREENING'!AZ298="","",IFERROR(INDEX('SCORING MASTER'!$D$110:$D$111,MATCH('STUDENT SCREENING'!AZ298,'SCORING MASTER'!$C$110:$C$111,0)),""))</f>
        <v/>
      </c>
      <c r="BB298" s="57" t="str">
        <f aca="false">IF('STUDENT SCREENING'!BA298="","",IFERROR(INDEX('SCORING MASTER'!$D$113:$D$115,MATCH('STUDENT SCREENING'!BA298,'SCORING MASTER'!$C$113:$C$115,0)),""))</f>
        <v/>
      </c>
      <c r="BC298" s="57" t="str">
        <f aca="false">IF('STUDENT SCREENING'!BB298="","",IFERROR(INDEX('SCORING MASTER'!$D$117:$D$119,MATCH('STUDENT SCREENING'!BB298,'SCORING MASTER'!$C$117:$C$119,0)),""))</f>
        <v/>
      </c>
      <c r="BD298" s="57" t="str">
        <f aca="false">IF('STUDENT SCREENING'!BC298="","",IFERROR(INDEX('SCORING MASTER'!$D$121:$D$123,MATCH('STUDENT SCREENING'!BC298,'SCORING MASTER'!$C$121:$C$123,0)),""))</f>
        <v/>
      </c>
      <c r="BE298" s="57" t="str">
        <f aca="false">IF('STUDENT SCREENING'!BD298="","",IFERROR(INDEX('SCORING MASTER'!$D$125:$D$126,MATCH('STUDENT SCREENING'!BD298,'SCORING MASTER'!$C$125:$C$126,0)),""))</f>
        <v/>
      </c>
      <c r="BF298" s="57" t="str">
        <f aca="false">IF('STUDENT SCREENING'!BE298="","",IFERROR(INDEX('SCORING MASTER'!$D$128:$D$129,MATCH('STUDENT SCREENING'!BE298,'SCORING MASTER'!$C$128:$C$129,0)),""))</f>
        <v/>
      </c>
      <c r="BG298" s="57" t="str">
        <f aca="false">IF('STUDENT SCREENING'!BP298="","",IFERROR(MATCH('STUDENT SCREENING'!BP298,{"Red - High Risk","Orange - Moderate Risk","Yellow - Mild Risk","Light Green - Mild Watch","Green - Healthy"},0)-1,""))</f>
        <v/>
      </c>
      <c r="BH298" s="57" t="str">
        <f aca="false">IF('STUDENT SCREENING'!BQ298="","",IF('STUDENT SCREENING'!BQ298="Yes",1,0))</f>
        <v/>
      </c>
      <c r="BI298" s="57" t="str">
        <f aca="false">IF('STUDENT SCREENING'!BR298="","",IF('STUDENT SCREENING'!BR298="Yes",1,0))</f>
        <v/>
      </c>
    </row>
    <row r="299" customFormat="false" ht="15" hidden="false" customHeight="false" outlineLevel="0" collapsed="false">
      <c r="A299" s="58" t="str">
        <f aca="false">'STUDENT SCREENING'!A299</f>
        <v/>
      </c>
      <c r="B299" s="58" t="n">
        <f aca="false">'STUDENT SCREENING'!C299</f>
        <v>0</v>
      </c>
      <c r="C299" s="58" t="n">
        <f aca="false">'STUDENT SCREENING'!D299</f>
        <v>0</v>
      </c>
      <c r="D299" s="58" t="n">
        <f aca="false">'STUDENT SCREENING'!E299</f>
        <v>0</v>
      </c>
      <c r="E299" s="58" t="n">
        <f aca="false">'STUDENT SCREENING'!F299</f>
        <v>0</v>
      </c>
      <c r="F299" s="58" t="n">
        <f aca="false">'STUDENT SCREENING'!K299</f>
        <v>0</v>
      </c>
      <c r="G299" s="58" t="n">
        <f aca="false">'STUDENT SCREENING'!J299</f>
        <v>0</v>
      </c>
      <c r="H299" s="58" t="str">
        <f aca="false">IF('STUDENT SCREENING'!K299="","",IFERROR(MATCH('STUDENT SCREENING'!K299,Adm_Gender,0),""))</f>
        <v/>
      </c>
      <c r="I299" s="58" t="n">
        <f aca="false">'STUDENT SCREENING'!Q299</f>
        <v>0</v>
      </c>
      <c r="J299" s="58" t="n">
        <f aca="false">'STUDENT SCREENING'!R299</f>
        <v>0</v>
      </c>
      <c r="K299" s="58" t="str">
        <f aca="false">'STUDENT SCREENING'!S299</f>
        <v/>
      </c>
      <c r="L299" s="58" t="n">
        <f aca="false">'STUDENT SCREENING'!U299</f>
        <v>0</v>
      </c>
      <c r="M299" s="58" t="n">
        <f aca="false">'STUDENT SCREENING'!V299</f>
        <v>0</v>
      </c>
      <c r="N299" s="58" t="str">
        <f aca="false">'STUDENT SCREENING'!BF299</f>
        <v/>
      </c>
      <c r="O299" s="58" t="str">
        <f aca="false">'STUDENT SCREENING'!BG299</f>
        <v/>
      </c>
      <c r="P299" s="58" t="str">
        <f aca="false">'STUDENT SCREENING'!BH299</f>
        <v/>
      </c>
      <c r="Q299" s="58" t="str">
        <f aca="false">'STUDENT SCREENING'!BI299</f>
        <v/>
      </c>
      <c r="R299" s="58" t="str">
        <f aca="false">'STUDENT SCREENING'!BJ299</f>
        <v/>
      </c>
      <c r="S299" s="58" t="str">
        <f aca="false">'STUDENT SCREENING'!BK299</f>
        <v/>
      </c>
      <c r="T299" s="58" t="str">
        <f aca="false">'STUDENT SCREENING'!BL299</f>
        <v/>
      </c>
      <c r="U299" s="58" t="str">
        <f aca="false">'STUDENT SCREENING'!BM299</f>
        <v/>
      </c>
      <c r="V299" s="58" t="str">
        <f aca="false">'STUDENT SCREENING'!BN299</f>
        <v/>
      </c>
      <c r="W299" s="58" t="str">
        <f aca="false">'STUDENT SCREENING'!BO299</f>
        <v/>
      </c>
      <c r="X299" s="58" t="str">
        <f aca="false">IF('STUDENT SCREENING'!W299="","",IFERROR(INDEX('SCORING MASTER'!$D$5:$D$7,MATCH('STUDENT SCREENING'!W299,'SCORING MASTER'!$C$5:$C$7,0)),""))</f>
        <v/>
      </c>
      <c r="Y299" s="58" t="str">
        <f aca="false">IF('STUDENT SCREENING'!X299="","",IFERROR(INDEX('SCORING MASTER'!$D$9:$D$11,MATCH('STUDENT SCREENING'!X299,'SCORING MASTER'!$C$9:$C$11,0)),""))</f>
        <v/>
      </c>
      <c r="Z299" s="58" t="str">
        <f aca="false">IF('STUDENT SCREENING'!Y299="","",IFERROR(INDEX('SCORING MASTER'!$D$13:$D$15,MATCH('STUDENT SCREENING'!Y299,'SCORING MASTER'!$C$13:$C$15,0)),""))</f>
        <v/>
      </c>
      <c r="AA299" s="58" t="str">
        <f aca="false">IF('STUDENT SCREENING'!Z299="","",IFERROR(INDEX('SCORING MASTER'!$D$17:$D$19,MATCH('STUDENT SCREENING'!Z299,'SCORING MASTER'!$C$17:$C$19,0)),""))</f>
        <v/>
      </c>
      <c r="AB299" s="58" t="str">
        <f aca="false">IF('STUDENT SCREENING'!AA299="","",IFERROR(INDEX('SCORING MASTER'!$D$21:$D$23,MATCH('STUDENT SCREENING'!AA299,'SCORING MASTER'!$C$21:$C$23,0)),""))</f>
        <v/>
      </c>
      <c r="AC299" s="58" t="str">
        <f aca="false">IF('STUDENT SCREENING'!AB299="","",IFERROR(INDEX('SCORING MASTER'!$D$25:$D$27,MATCH('STUDENT SCREENING'!AB299,'SCORING MASTER'!$C$25:$C$27,0)),""))</f>
        <v/>
      </c>
      <c r="AD299" s="58" t="str">
        <f aca="false">IF('STUDENT SCREENING'!AC299="","",IFERROR(INDEX('SCORING MASTER'!$D$29:$D$31,MATCH('STUDENT SCREENING'!AC299,'SCORING MASTER'!$C$29:$C$31,0)),""))</f>
        <v/>
      </c>
      <c r="AE299" s="58" t="str">
        <f aca="false">IF('STUDENT SCREENING'!AD299="","",IFERROR(INDEX('SCORING MASTER'!$D$33:$D$35,MATCH('STUDENT SCREENING'!AD299,'SCORING MASTER'!$C$33:$C$35,0)),""))</f>
        <v/>
      </c>
      <c r="AF299" s="58" t="str">
        <f aca="false">IF('STUDENT SCREENING'!AE299="","",IFERROR(INDEX('SCORING MASTER'!$D$37:$D$39,MATCH('STUDENT SCREENING'!AE299,'SCORING MASTER'!$C$37:$C$39,0)),""))</f>
        <v/>
      </c>
      <c r="AG299" s="58" t="str">
        <f aca="false">IF('STUDENT SCREENING'!AF299="","",IFERROR(INDEX('SCORING MASTER'!$D$41:$D$43,MATCH('STUDENT SCREENING'!AF299,'SCORING MASTER'!$C$41:$C$43,0)),""))</f>
        <v/>
      </c>
      <c r="AH299" s="58" t="str">
        <f aca="false">IF('STUDENT SCREENING'!AG299="","",IFERROR(INDEX('SCORING MASTER'!$D$45:$D$47,MATCH('STUDENT SCREENING'!AG299,'SCORING MASTER'!$C$45:$C$47,0)),""))</f>
        <v/>
      </c>
      <c r="AI299" s="58" t="str">
        <f aca="false">IF('STUDENT SCREENING'!AH299="","",IFERROR(INDEX('SCORING MASTER'!$D$49:$D$52,MATCH('STUDENT SCREENING'!AH299,'SCORING MASTER'!$C$49:$C$52,0)),""))</f>
        <v/>
      </c>
      <c r="AJ299" s="58" t="str">
        <f aca="false">IF('STUDENT SCREENING'!AI299="","",IFERROR(INDEX('SCORING MASTER'!$D$54:$D$57,MATCH('STUDENT SCREENING'!AI299,'SCORING MASTER'!$C$54:$C$57,0)),""))</f>
        <v/>
      </c>
      <c r="AK299" s="58" t="str">
        <f aca="false">IF('STUDENT SCREENING'!AJ299="","",IFERROR(INDEX('SCORING MASTER'!$D$59:$D$60,MATCH('STUDENT SCREENING'!AJ299,'SCORING MASTER'!$C$59:$C$60,0)),""))</f>
        <v/>
      </c>
      <c r="AL299" s="58" t="str">
        <f aca="false">IF('STUDENT SCREENING'!AK299="","",IFERROR(INDEX('SCORING MASTER'!$D$62:$D$63,MATCH('STUDENT SCREENING'!AK299,'SCORING MASTER'!$C$62:$C$63,0)),""))</f>
        <v/>
      </c>
      <c r="AM299" s="58" t="str">
        <f aca="false">IF('STUDENT SCREENING'!AL299="","",IFERROR(INDEX('SCORING MASTER'!$D$65:$D$66,MATCH('STUDENT SCREENING'!AL299,'SCORING MASTER'!$C$65:$C$66,0)),""))</f>
        <v/>
      </c>
      <c r="AN299" s="58" t="str">
        <f aca="false">IF('STUDENT SCREENING'!AM299="","",IFERROR(INDEX('SCORING MASTER'!$D$68:$D$69,MATCH('STUDENT SCREENING'!AM299,'SCORING MASTER'!$C$68:$C$69,0)),""))</f>
        <v/>
      </c>
      <c r="AO299" s="58" t="str">
        <f aca="false">IF('STUDENT SCREENING'!AN299="","",IFERROR(INDEX('SCORING MASTER'!$D$71:$D$72,MATCH('STUDENT SCREENING'!AN299,'SCORING MASTER'!$C$71:$C$72,0)),""))</f>
        <v/>
      </c>
      <c r="AP299" s="58" t="str">
        <f aca="false">IF('STUDENT SCREENING'!AO299="","",IFERROR(INDEX('SCORING MASTER'!$D$74:$D$75,MATCH('STUDENT SCREENING'!AO299,'SCORING MASTER'!$C$74:$C$75,0)),""))</f>
        <v/>
      </c>
      <c r="AQ299" s="58" t="str">
        <f aca="false">IF('STUDENT SCREENING'!AP299="","",IFERROR(INDEX('SCORING MASTER'!$D$77:$D$78,MATCH('STUDENT SCREENING'!AP299,'SCORING MASTER'!$C$77:$C$78,0)),""))</f>
        <v/>
      </c>
      <c r="AR299" s="58" t="str">
        <f aca="false">IF('STUDENT SCREENING'!AQ299="","",IFERROR(INDEX('SCORING MASTER'!$D$80:$D$82,MATCH('STUDENT SCREENING'!AQ299,'SCORING MASTER'!$C$80:$C$82,0)),""))</f>
        <v/>
      </c>
      <c r="AS299" s="58" t="str">
        <f aca="false">IF('STUDENT SCREENING'!AR299="","",IFERROR(INDEX('SCORING MASTER'!$D$84:$D$86,MATCH('STUDENT SCREENING'!AR299,'SCORING MASTER'!$C$84:$C$86,0)),""))</f>
        <v/>
      </c>
      <c r="AT299" s="58" t="str">
        <f aca="false">IF('STUDENT SCREENING'!AS299="","",IFERROR(INDEX('SCORING MASTER'!$D$88:$D$90,MATCH('STUDENT SCREENING'!AS299,'SCORING MASTER'!$C$88:$C$90,0)),""))</f>
        <v/>
      </c>
      <c r="AU299" s="58" t="str">
        <f aca="false">IF('STUDENT SCREENING'!AT299="","",IFERROR(INDEX('SCORING MASTER'!$D$92:$D$93,MATCH('STUDENT SCREENING'!AT299,'SCORING MASTER'!$C$92:$C$93,0)),""))</f>
        <v/>
      </c>
      <c r="AV299" s="58" t="str">
        <f aca="false">IF('STUDENT SCREENING'!AU299="","",IFERROR(INDEX('SCORING MASTER'!$D$95:$D$96,MATCH('STUDENT SCREENING'!AU299,'SCORING MASTER'!$C$95:$C$96,0)),""))</f>
        <v/>
      </c>
      <c r="AW299" s="58" t="str">
        <f aca="false">IF('STUDENT SCREENING'!AV299="","",IFERROR(INDEX('SCORING MASTER'!$D$98:$D$99,MATCH('STUDENT SCREENING'!AV299,'SCORING MASTER'!$C$98:$C$99,0)),""))</f>
        <v/>
      </c>
      <c r="AX299" s="58" t="str">
        <f aca="false">IF('STUDENT SCREENING'!AW299="","",IFERROR(INDEX('SCORING MASTER'!$D$101:$D$102,MATCH('STUDENT SCREENING'!AW299,'SCORING MASTER'!$C$101:$C$102,0)),""))</f>
        <v/>
      </c>
      <c r="AY299" s="58" t="str">
        <f aca="false">IF('STUDENT SCREENING'!AX299="","",IFERROR(INDEX('SCORING MASTER'!$D$104:$D$105,MATCH('STUDENT SCREENING'!AX299,'SCORING MASTER'!$C$104:$C$105,0)),""))</f>
        <v/>
      </c>
      <c r="AZ299" s="58" t="str">
        <f aca="false">IF('STUDENT SCREENING'!AY299="","",IFERROR(INDEX('SCORING MASTER'!$D$107:$D$108,MATCH('STUDENT SCREENING'!AY299,'SCORING MASTER'!$C$107:$C$108,0)),""))</f>
        <v/>
      </c>
      <c r="BA299" s="58" t="str">
        <f aca="false">IF('STUDENT SCREENING'!AZ299="","",IFERROR(INDEX('SCORING MASTER'!$D$110:$D$111,MATCH('STUDENT SCREENING'!AZ299,'SCORING MASTER'!$C$110:$C$111,0)),""))</f>
        <v/>
      </c>
      <c r="BB299" s="58" t="str">
        <f aca="false">IF('STUDENT SCREENING'!BA299="","",IFERROR(INDEX('SCORING MASTER'!$D$113:$D$115,MATCH('STUDENT SCREENING'!BA299,'SCORING MASTER'!$C$113:$C$115,0)),""))</f>
        <v/>
      </c>
      <c r="BC299" s="58" t="str">
        <f aca="false">IF('STUDENT SCREENING'!BB299="","",IFERROR(INDEX('SCORING MASTER'!$D$117:$D$119,MATCH('STUDENT SCREENING'!BB299,'SCORING MASTER'!$C$117:$C$119,0)),""))</f>
        <v/>
      </c>
      <c r="BD299" s="58" t="str">
        <f aca="false">IF('STUDENT SCREENING'!BC299="","",IFERROR(INDEX('SCORING MASTER'!$D$121:$D$123,MATCH('STUDENT SCREENING'!BC299,'SCORING MASTER'!$C$121:$C$123,0)),""))</f>
        <v/>
      </c>
      <c r="BE299" s="58" t="str">
        <f aca="false">IF('STUDENT SCREENING'!BD299="","",IFERROR(INDEX('SCORING MASTER'!$D$125:$D$126,MATCH('STUDENT SCREENING'!BD299,'SCORING MASTER'!$C$125:$C$126,0)),""))</f>
        <v/>
      </c>
      <c r="BF299" s="58" t="str">
        <f aca="false">IF('STUDENT SCREENING'!BE299="","",IFERROR(INDEX('SCORING MASTER'!$D$128:$D$129,MATCH('STUDENT SCREENING'!BE299,'SCORING MASTER'!$C$128:$C$129,0)),""))</f>
        <v/>
      </c>
      <c r="BG299" s="58" t="str">
        <f aca="false">IF('STUDENT SCREENING'!BP299="","",IFERROR(MATCH('STUDENT SCREENING'!BP299,{"Red - High Risk","Orange - Moderate Risk","Yellow - Mild Risk","Light Green - Mild Watch","Green - Healthy"},0)-1,""))</f>
        <v/>
      </c>
      <c r="BH299" s="58" t="str">
        <f aca="false">IF('STUDENT SCREENING'!BQ299="","",IF('STUDENT SCREENING'!BQ299="Yes",1,0))</f>
        <v/>
      </c>
      <c r="BI299" s="58" t="str">
        <f aca="false">IF('STUDENT SCREENING'!BR299="","",IF('STUDENT SCREENING'!BR299="Yes",1,0))</f>
        <v/>
      </c>
    </row>
    <row r="300" customFormat="false" ht="15" hidden="false" customHeight="false" outlineLevel="0" collapsed="false">
      <c r="A300" s="57" t="str">
        <f aca="false">'STUDENT SCREENING'!A300</f>
        <v/>
      </c>
      <c r="B300" s="57" t="n">
        <f aca="false">'STUDENT SCREENING'!C300</f>
        <v>0</v>
      </c>
      <c r="C300" s="57" t="n">
        <f aca="false">'STUDENT SCREENING'!D300</f>
        <v>0</v>
      </c>
      <c r="D300" s="57" t="n">
        <f aca="false">'STUDENT SCREENING'!E300</f>
        <v>0</v>
      </c>
      <c r="E300" s="57" t="n">
        <f aca="false">'STUDENT SCREENING'!F300</f>
        <v>0</v>
      </c>
      <c r="F300" s="57" t="n">
        <f aca="false">'STUDENT SCREENING'!K300</f>
        <v>0</v>
      </c>
      <c r="G300" s="57" t="n">
        <f aca="false">'STUDENT SCREENING'!J300</f>
        <v>0</v>
      </c>
      <c r="H300" s="57" t="str">
        <f aca="false">IF('STUDENT SCREENING'!K300="","",IFERROR(MATCH('STUDENT SCREENING'!K300,Adm_Gender,0),""))</f>
        <v/>
      </c>
      <c r="I300" s="57" t="n">
        <f aca="false">'STUDENT SCREENING'!Q300</f>
        <v>0</v>
      </c>
      <c r="J300" s="57" t="n">
        <f aca="false">'STUDENT SCREENING'!R300</f>
        <v>0</v>
      </c>
      <c r="K300" s="57" t="str">
        <f aca="false">'STUDENT SCREENING'!S300</f>
        <v/>
      </c>
      <c r="L300" s="57" t="n">
        <f aca="false">'STUDENT SCREENING'!U300</f>
        <v>0</v>
      </c>
      <c r="M300" s="57" t="n">
        <f aca="false">'STUDENT SCREENING'!V300</f>
        <v>0</v>
      </c>
      <c r="N300" s="57" t="str">
        <f aca="false">'STUDENT SCREENING'!BF300</f>
        <v/>
      </c>
      <c r="O300" s="57" t="str">
        <f aca="false">'STUDENT SCREENING'!BG300</f>
        <v/>
      </c>
      <c r="P300" s="57" t="str">
        <f aca="false">'STUDENT SCREENING'!BH300</f>
        <v/>
      </c>
      <c r="Q300" s="57" t="str">
        <f aca="false">'STUDENT SCREENING'!BI300</f>
        <v/>
      </c>
      <c r="R300" s="57" t="str">
        <f aca="false">'STUDENT SCREENING'!BJ300</f>
        <v/>
      </c>
      <c r="S300" s="57" t="str">
        <f aca="false">'STUDENT SCREENING'!BK300</f>
        <v/>
      </c>
      <c r="T300" s="57" t="str">
        <f aca="false">'STUDENT SCREENING'!BL300</f>
        <v/>
      </c>
      <c r="U300" s="57" t="str">
        <f aca="false">'STUDENT SCREENING'!BM300</f>
        <v/>
      </c>
      <c r="V300" s="57" t="str">
        <f aca="false">'STUDENT SCREENING'!BN300</f>
        <v/>
      </c>
      <c r="W300" s="57" t="str">
        <f aca="false">'STUDENT SCREENING'!BO300</f>
        <v/>
      </c>
      <c r="X300" s="57" t="str">
        <f aca="false">IF('STUDENT SCREENING'!W300="","",IFERROR(INDEX('SCORING MASTER'!$D$5:$D$7,MATCH('STUDENT SCREENING'!W300,'SCORING MASTER'!$C$5:$C$7,0)),""))</f>
        <v/>
      </c>
      <c r="Y300" s="57" t="str">
        <f aca="false">IF('STUDENT SCREENING'!X300="","",IFERROR(INDEX('SCORING MASTER'!$D$9:$D$11,MATCH('STUDENT SCREENING'!X300,'SCORING MASTER'!$C$9:$C$11,0)),""))</f>
        <v/>
      </c>
      <c r="Z300" s="57" t="str">
        <f aca="false">IF('STUDENT SCREENING'!Y300="","",IFERROR(INDEX('SCORING MASTER'!$D$13:$D$15,MATCH('STUDENT SCREENING'!Y300,'SCORING MASTER'!$C$13:$C$15,0)),""))</f>
        <v/>
      </c>
      <c r="AA300" s="57" t="str">
        <f aca="false">IF('STUDENT SCREENING'!Z300="","",IFERROR(INDEX('SCORING MASTER'!$D$17:$D$19,MATCH('STUDENT SCREENING'!Z300,'SCORING MASTER'!$C$17:$C$19,0)),""))</f>
        <v/>
      </c>
      <c r="AB300" s="57" t="str">
        <f aca="false">IF('STUDENT SCREENING'!AA300="","",IFERROR(INDEX('SCORING MASTER'!$D$21:$D$23,MATCH('STUDENT SCREENING'!AA300,'SCORING MASTER'!$C$21:$C$23,0)),""))</f>
        <v/>
      </c>
      <c r="AC300" s="57" t="str">
        <f aca="false">IF('STUDENT SCREENING'!AB300="","",IFERROR(INDEX('SCORING MASTER'!$D$25:$D$27,MATCH('STUDENT SCREENING'!AB300,'SCORING MASTER'!$C$25:$C$27,0)),""))</f>
        <v/>
      </c>
      <c r="AD300" s="57" t="str">
        <f aca="false">IF('STUDENT SCREENING'!AC300="","",IFERROR(INDEX('SCORING MASTER'!$D$29:$D$31,MATCH('STUDENT SCREENING'!AC300,'SCORING MASTER'!$C$29:$C$31,0)),""))</f>
        <v/>
      </c>
      <c r="AE300" s="57" t="str">
        <f aca="false">IF('STUDENT SCREENING'!AD300="","",IFERROR(INDEX('SCORING MASTER'!$D$33:$D$35,MATCH('STUDENT SCREENING'!AD300,'SCORING MASTER'!$C$33:$C$35,0)),""))</f>
        <v/>
      </c>
      <c r="AF300" s="57" t="str">
        <f aca="false">IF('STUDENT SCREENING'!AE300="","",IFERROR(INDEX('SCORING MASTER'!$D$37:$D$39,MATCH('STUDENT SCREENING'!AE300,'SCORING MASTER'!$C$37:$C$39,0)),""))</f>
        <v/>
      </c>
      <c r="AG300" s="57" t="str">
        <f aca="false">IF('STUDENT SCREENING'!AF300="","",IFERROR(INDEX('SCORING MASTER'!$D$41:$D$43,MATCH('STUDENT SCREENING'!AF300,'SCORING MASTER'!$C$41:$C$43,0)),""))</f>
        <v/>
      </c>
      <c r="AH300" s="57" t="str">
        <f aca="false">IF('STUDENT SCREENING'!AG300="","",IFERROR(INDEX('SCORING MASTER'!$D$45:$D$47,MATCH('STUDENT SCREENING'!AG300,'SCORING MASTER'!$C$45:$C$47,0)),""))</f>
        <v/>
      </c>
      <c r="AI300" s="57" t="str">
        <f aca="false">IF('STUDENT SCREENING'!AH300="","",IFERROR(INDEX('SCORING MASTER'!$D$49:$D$52,MATCH('STUDENT SCREENING'!AH300,'SCORING MASTER'!$C$49:$C$52,0)),""))</f>
        <v/>
      </c>
      <c r="AJ300" s="57" t="str">
        <f aca="false">IF('STUDENT SCREENING'!AI300="","",IFERROR(INDEX('SCORING MASTER'!$D$54:$D$57,MATCH('STUDENT SCREENING'!AI300,'SCORING MASTER'!$C$54:$C$57,0)),""))</f>
        <v/>
      </c>
      <c r="AK300" s="57" t="str">
        <f aca="false">IF('STUDENT SCREENING'!AJ300="","",IFERROR(INDEX('SCORING MASTER'!$D$59:$D$60,MATCH('STUDENT SCREENING'!AJ300,'SCORING MASTER'!$C$59:$C$60,0)),""))</f>
        <v/>
      </c>
      <c r="AL300" s="57" t="str">
        <f aca="false">IF('STUDENT SCREENING'!AK300="","",IFERROR(INDEX('SCORING MASTER'!$D$62:$D$63,MATCH('STUDENT SCREENING'!AK300,'SCORING MASTER'!$C$62:$C$63,0)),""))</f>
        <v/>
      </c>
      <c r="AM300" s="57" t="str">
        <f aca="false">IF('STUDENT SCREENING'!AL300="","",IFERROR(INDEX('SCORING MASTER'!$D$65:$D$66,MATCH('STUDENT SCREENING'!AL300,'SCORING MASTER'!$C$65:$C$66,0)),""))</f>
        <v/>
      </c>
      <c r="AN300" s="57" t="str">
        <f aca="false">IF('STUDENT SCREENING'!AM300="","",IFERROR(INDEX('SCORING MASTER'!$D$68:$D$69,MATCH('STUDENT SCREENING'!AM300,'SCORING MASTER'!$C$68:$C$69,0)),""))</f>
        <v/>
      </c>
      <c r="AO300" s="57" t="str">
        <f aca="false">IF('STUDENT SCREENING'!AN300="","",IFERROR(INDEX('SCORING MASTER'!$D$71:$D$72,MATCH('STUDENT SCREENING'!AN300,'SCORING MASTER'!$C$71:$C$72,0)),""))</f>
        <v/>
      </c>
      <c r="AP300" s="57" t="str">
        <f aca="false">IF('STUDENT SCREENING'!AO300="","",IFERROR(INDEX('SCORING MASTER'!$D$74:$D$75,MATCH('STUDENT SCREENING'!AO300,'SCORING MASTER'!$C$74:$C$75,0)),""))</f>
        <v/>
      </c>
      <c r="AQ300" s="57" t="str">
        <f aca="false">IF('STUDENT SCREENING'!AP300="","",IFERROR(INDEX('SCORING MASTER'!$D$77:$D$78,MATCH('STUDENT SCREENING'!AP300,'SCORING MASTER'!$C$77:$C$78,0)),""))</f>
        <v/>
      </c>
      <c r="AR300" s="57" t="str">
        <f aca="false">IF('STUDENT SCREENING'!AQ300="","",IFERROR(INDEX('SCORING MASTER'!$D$80:$D$82,MATCH('STUDENT SCREENING'!AQ300,'SCORING MASTER'!$C$80:$C$82,0)),""))</f>
        <v/>
      </c>
      <c r="AS300" s="57" t="str">
        <f aca="false">IF('STUDENT SCREENING'!AR300="","",IFERROR(INDEX('SCORING MASTER'!$D$84:$D$86,MATCH('STUDENT SCREENING'!AR300,'SCORING MASTER'!$C$84:$C$86,0)),""))</f>
        <v/>
      </c>
      <c r="AT300" s="57" t="str">
        <f aca="false">IF('STUDENT SCREENING'!AS300="","",IFERROR(INDEX('SCORING MASTER'!$D$88:$D$90,MATCH('STUDENT SCREENING'!AS300,'SCORING MASTER'!$C$88:$C$90,0)),""))</f>
        <v/>
      </c>
      <c r="AU300" s="57" t="str">
        <f aca="false">IF('STUDENT SCREENING'!AT300="","",IFERROR(INDEX('SCORING MASTER'!$D$92:$D$93,MATCH('STUDENT SCREENING'!AT300,'SCORING MASTER'!$C$92:$C$93,0)),""))</f>
        <v/>
      </c>
      <c r="AV300" s="57" t="str">
        <f aca="false">IF('STUDENT SCREENING'!AU300="","",IFERROR(INDEX('SCORING MASTER'!$D$95:$D$96,MATCH('STUDENT SCREENING'!AU300,'SCORING MASTER'!$C$95:$C$96,0)),""))</f>
        <v/>
      </c>
      <c r="AW300" s="57" t="str">
        <f aca="false">IF('STUDENT SCREENING'!AV300="","",IFERROR(INDEX('SCORING MASTER'!$D$98:$D$99,MATCH('STUDENT SCREENING'!AV300,'SCORING MASTER'!$C$98:$C$99,0)),""))</f>
        <v/>
      </c>
      <c r="AX300" s="57" t="str">
        <f aca="false">IF('STUDENT SCREENING'!AW300="","",IFERROR(INDEX('SCORING MASTER'!$D$101:$D$102,MATCH('STUDENT SCREENING'!AW300,'SCORING MASTER'!$C$101:$C$102,0)),""))</f>
        <v/>
      </c>
      <c r="AY300" s="57" t="str">
        <f aca="false">IF('STUDENT SCREENING'!AX300="","",IFERROR(INDEX('SCORING MASTER'!$D$104:$D$105,MATCH('STUDENT SCREENING'!AX300,'SCORING MASTER'!$C$104:$C$105,0)),""))</f>
        <v/>
      </c>
      <c r="AZ300" s="57" t="str">
        <f aca="false">IF('STUDENT SCREENING'!AY300="","",IFERROR(INDEX('SCORING MASTER'!$D$107:$D$108,MATCH('STUDENT SCREENING'!AY300,'SCORING MASTER'!$C$107:$C$108,0)),""))</f>
        <v/>
      </c>
      <c r="BA300" s="57" t="str">
        <f aca="false">IF('STUDENT SCREENING'!AZ300="","",IFERROR(INDEX('SCORING MASTER'!$D$110:$D$111,MATCH('STUDENT SCREENING'!AZ300,'SCORING MASTER'!$C$110:$C$111,0)),""))</f>
        <v/>
      </c>
      <c r="BB300" s="57" t="str">
        <f aca="false">IF('STUDENT SCREENING'!BA300="","",IFERROR(INDEX('SCORING MASTER'!$D$113:$D$115,MATCH('STUDENT SCREENING'!BA300,'SCORING MASTER'!$C$113:$C$115,0)),""))</f>
        <v/>
      </c>
      <c r="BC300" s="57" t="str">
        <f aca="false">IF('STUDENT SCREENING'!BB300="","",IFERROR(INDEX('SCORING MASTER'!$D$117:$D$119,MATCH('STUDENT SCREENING'!BB300,'SCORING MASTER'!$C$117:$C$119,0)),""))</f>
        <v/>
      </c>
      <c r="BD300" s="57" t="str">
        <f aca="false">IF('STUDENT SCREENING'!BC300="","",IFERROR(INDEX('SCORING MASTER'!$D$121:$D$123,MATCH('STUDENT SCREENING'!BC300,'SCORING MASTER'!$C$121:$C$123,0)),""))</f>
        <v/>
      </c>
      <c r="BE300" s="57" t="str">
        <f aca="false">IF('STUDENT SCREENING'!BD300="","",IFERROR(INDEX('SCORING MASTER'!$D$125:$D$126,MATCH('STUDENT SCREENING'!BD300,'SCORING MASTER'!$C$125:$C$126,0)),""))</f>
        <v/>
      </c>
      <c r="BF300" s="57" t="str">
        <f aca="false">IF('STUDENT SCREENING'!BE300="","",IFERROR(INDEX('SCORING MASTER'!$D$128:$D$129,MATCH('STUDENT SCREENING'!BE300,'SCORING MASTER'!$C$128:$C$129,0)),""))</f>
        <v/>
      </c>
      <c r="BG300" s="57" t="str">
        <f aca="false">IF('STUDENT SCREENING'!BP300="","",IFERROR(MATCH('STUDENT SCREENING'!BP300,{"Red - High Risk","Orange - Moderate Risk","Yellow - Mild Risk","Light Green - Mild Watch","Green - Healthy"},0)-1,""))</f>
        <v/>
      </c>
      <c r="BH300" s="57" t="str">
        <f aca="false">IF('STUDENT SCREENING'!BQ300="","",IF('STUDENT SCREENING'!BQ300="Yes",1,0))</f>
        <v/>
      </c>
      <c r="BI300" s="57" t="str">
        <f aca="false">IF('STUDENT SCREENING'!BR300="","",IF('STUDENT SCREENING'!BR300="Yes",1,0))</f>
        <v/>
      </c>
    </row>
    <row r="301" customFormat="false" ht="15" hidden="false" customHeight="false" outlineLevel="0" collapsed="false">
      <c r="A301" s="58" t="str">
        <f aca="false">'STUDENT SCREENING'!A301</f>
        <v/>
      </c>
      <c r="B301" s="58" t="n">
        <f aca="false">'STUDENT SCREENING'!C301</f>
        <v>0</v>
      </c>
      <c r="C301" s="58" t="n">
        <f aca="false">'STUDENT SCREENING'!D301</f>
        <v>0</v>
      </c>
      <c r="D301" s="58" t="n">
        <f aca="false">'STUDENT SCREENING'!E301</f>
        <v>0</v>
      </c>
      <c r="E301" s="58" t="n">
        <f aca="false">'STUDENT SCREENING'!F301</f>
        <v>0</v>
      </c>
      <c r="F301" s="58" t="n">
        <f aca="false">'STUDENT SCREENING'!K301</f>
        <v>0</v>
      </c>
      <c r="G301" s="58" t="n">
        <f aca="false">'STUDENT SCREENING'!J301</f>
        <v>0</v>
      </c>
      <c r="H301" s="58" t="str">
        <f aca="false">IF('STUDENT SCREENING'!K301="","",IFERROR(MATCH('STUDENT SCREENING'!K301,Adm_Gender,0),""))</f>
        <v/>
      </c>
      <c r="I301" s="58" t="n">
        <f aca="false">'STUDENT SCREENING'!Q301</f>
        <v>0</v>
      </c>
      <c r="J301" s="58" t="n">
        <f aca="false">'STUDENT SCREENING'!R301</f>
        <v>0</v>
      </c>
      <c r="K301" s="58" t="str">
        <f aca="false">'STUDENT SCREENING'!S301</f>
        <v/>
      </c>
      <c r="L301" s="58" t="n">
        <f aca="false">'STUDENT SCREENING'!U301</f>
        <v>0</v>
      </c>
      <c r="M301" s="58" t="n">
        <f aca="false">'STUDENT SCREENING'!V301</f>
        <v>0</v>
      </c>
      <c r="N301" s="58" t="str">
        <f aca="false">'STUDENT SCREENING'!BF301</f>
        <v/>
      </c>
      <c r="O301" s="58" t="str">
        <f aca="false">'STUDENT SCREENING'!BG301</f>
        <v/>
      </c>
      <c r="P301" s="58" t="str">
        <f aca="false">'STUDENT SCREENING'!BH301</f>
        <v/>
      </c>
      <c r="Q301" s="58" t="str">
        <f aca="false">'STUDENT SCREENING'!BI301</f>
        <v/>
      </c>
      <c r="R301" s="58" t="str">
        <f aca="false">'STUDENT SCREENING'!BJ301</f>
        <v/>
      </c>
      <c r="S301" s="58" t="str">
        <f aca="false">'STUDENT SCREENING'!BK301</f>
        <v/>
      </c>
      <c r="T301" s="58" t="str">
        <f aca="false">'STUDENT SCREENING'!BL301</f>
        <v/>
      </c>
      <c r="U301" s="58" t="str">
        <f aca="false">'STUDENT SCREENING'!BM301</f>
        <v/>
      </c>
      <c r="V301" s="58" t="str">
        <f aca="false">'STUDENT SCREENING'!BN301</f>
        <v/>
      </c>
      <c r="W301" s="58" t="str">
        <f aca="false">'STUDENT SCREENING'!BO301</f>
        <v/>
      </c>
      <c r="X301" s="58" t="str">
        <f aca="false">IF('STUDENT SCREENING'!W301="","",IFERROR(INDEX('SCORING MASTER'!$D$5:$D$7,MATCH('STUDENT SCREENING'!W301,'SCORING MASTER'!$C$5:$C$7,0)),""))</f>
        <v/>
      </c>
      <c r="Y301" s="58" t="str">
        <f aca="false">IF('STUDENT SCREENING'!X301="","",IFERROR(INDEX('SCORING MASTER'!$D$9:$D$11,MATCH('STUDENT SCREENING'!X301,'SCORING MASTER'!$C$9:$C$11,0)),""))</f>
        <v/>
      </c>
      <c r="Z301" s="58" t="str">
        <f aca="false">IF('STUDENT SCREENING'!Y301="","",IFERROR(INDEX('SCORING MASTER'!$D$13:$D$15,MATCH('STUDENT SCREENING'!Y301,'SCORING MASTER'!$C$13:$C$15,0)),""))</f>
        <v/>
      </c>
      <c r="AA301" s="58" t="str">
        <f aca="false">IF('STUDENT SCREENING'!Z301="","",IFERROR(INDEX('SCORING MASTER'!$D$17:$D$19,MATCH('STUDENT SCREENING'!Z301,'SCORING MASTER'!$C$17:$C$19,0)),""))</f>
        <v/>
      </c>
      <c r="AB301" s="58" t="str">
        <f aca="false">IF('STUDENT SCREENING'!AA301="","",IFERROR(INDEX('SCORING MASTER'!$D$21:$D$23,MATCH('STUDENT SCREENING'!AA301,'SCORING MASTER'!$C$21:$C$23,0)),""))</f>
        <v/>
      </c>
      <c r="AC301" s="58" t="str">
        <f aca="false">IF('STUDENT SCREENING'!AB301="","",IFERROR(INDEX('SCORING MASTER'!$D$25:$D$27,MATCH('STUDENT SCREENING'!AB301,'SCORING MASTER'!$C$25:$C$27,0)),""))</f>
        <v/>
      </c>
      <c r="AD301" s="58" t="str">
        <f aca="false">IF('STUDENT SCREENING'!AC301="","",IFERROR(INDEX('SCORING MASTER'!$D$29:$D$31,MATCH('STUDENT SCREENING'!AC301,'SCORING MASTER'!$C$29:$C$31,0)),""))</f>
        <v/>
      </c>
      <c r="AE301" s="58" t="str">
        <f aca="false">IF('STUDENT SCREENING'!AD301="","",IFERROR(INDEX('SCORING MASTER'!$D$33:$D$35,MATCH('STUDENT SCREENING'!AD301,'SCORING MASTER'!$C$33:$C$35,0)),""))</f>
        <v/>
      </c>
      <c r="AF301" s="58" t="str">
        <f aca="false">IF('STUDENT SCREENING'!AE301="","",IFERROR(INDEX('SCORING MASTER'!$D$37:$D$39,MATCH('STUDENT SCREENING'!AE301,'SCORING MASTER'!$C$37:$C$39,0)),""))</f>
        <v/>
      </c>
      <c r="AG301" s="58" t="str">
        <f aca="false">IF('STUDENT SCREENING'!AF301="","",IFERROR(INDEX('SCORING MASTER'!$D$41:$D$43,MATCH('STUDENT SCREENING'!AF301,'SCORING MASTER'!$C$41:$C$43,0)),""))</f>
        <v/>
      </c>
      <c r="AH301" s="58" t="str">
        <f aca="false">IF('STUDENT SCREENING'!AG301="","",IFERROR(INDEX('SCORING MASTER'!$D$45:$D$47,MATCH('STUDENT SCREENING'!AG301,'SCORING MASTER'!$C$45:$C$47,0)),""))</f>
        <v/>
      </c>
      <c r="AI301" s="58" t="str">
        <f aca="false">IF('STUDENT SCREENING'!AH301="","",IFERROR(INDEX('SCORING MASTER'!$D$49:$D$52,MATCH('STUDENT SCREENING'!AH301,'SCORING MASTER'!$C$49:$C$52,0)),""))</f>
        <v/>
      </c>
      <c r="AJ301" s="58" t="str">
        <f aca="false">IF('STUDENT SCREENING'!AI301="","",IFERROR(INDEX('SCORING MASTER'!$D$54:$D$57,MATCH('STUDENT SCREENING'!AI301,'SCORING MASTER'!$C$54:$C$57,0)),""))</f>
        <v/>
      </c>
      <c r="AK301" s="58" t="str">
        <f aca="false">IF('STUDENT SCREENING'!AJ301="","",IFERROR(INDEX('SCORING MASTER'!$D$59:$D$60,MATCH('STUDENT SCREENING'!AJ301,'SCORING MASTER'!$C$59:$C$60,0)),""))</f>
        <v/>
      </c>
      <c r="AL301" s="58" t="str">
        <f aca="false">IF('STUDENT SCREENING'!AK301="","",IFERROR(INDEX('SCORING MASTER'!$D$62:$D$63,MATCH('STUDENT SCREENING'!AK301,'SCORING MASTER'!$C$62:$C$63,0)),""))</f>
        <v/>
      </c>
      <c r="AM301" s="58" t="str">
        <f aca="false">IF('STUDENT SCREENING'!AL301="","",IFERROR(INDEX('SCORING MASTER'!$D$65:$D$66,MATCH('STUDENT SCREENING'!AL301,'SCORING MASTER'!$C$65:$C$66,0)),""))</f>
        <v/>
      </c>
      <c r="AN301" s="58" t="str">
        <f aca="false">IF('STUDENT SCREENING'!AM301="","",IFERROR(INDEX('SCORING MASTER'!$D$68:$D$69,MATCH('STUDENT SCREENING'!AM301,'SCORING MASTER'!$C$68:$C$69,0)),""))</f>
        <v/>
      </c>
      <c r="AO301" s="58" t="str">
        <f aca="false">IF('STUDENT SCREENING'!AN301="","",IFERROR(INDEX('SCORING MASTER'!$D$71:$D$72,MATCH('STUDENT SCREENING'!AN301,'SCORING MASTER'!$C$71:$C$72,0)),""))</f>
        <v/>
      </c>
      <c r="AP301" s="58" t="str">
        <f aca="false">IF('STUDENT SCREENING'!AO301="","",IFERROR(INDEX('SCORING MASTER'!$D$74:$D$75,MATCH('STUDENT SCREENING'!AO301,'SCORING MASTER'!$C$74:$C$75,0)),""))</f>
        <v/>
      </c>
      <c r="AQ301" s="58" t="str">
        <f aca="false">IF('STUDENT SCREENING'!AP301="","",IFERROR(INDEX('SCORING MASTER'!$D$77:$D$78,MATCH('STUDENT SCREENING'!AP301,'SCORING MASTER'!$C$77:$C$78,0)),""))</f>
        <v/>
      </c>
      <c r="AR301" s="58" t="str">
        <f aca="false">IF('STUDENT SCREENING'!AQ301="","",IFERROR(INDEX('SCORING MASTER'!$D$80:$D$82,MATCH('STUDENT SCREENING'!AQ301,'SCORING MASTER'!$C$80:$C$82,0)),""))</f>
        <v/>
      </c>
      <c r="AS301" s="58" t="str">
        <f aca="false">IF('STUDENT SCREENING'!AR301="","",IFERROR(INDEX('SCORING MASTER'!$D$84:$D$86,MATCH('STUDENT SCREENING'!AR301,'SCORING MASTER'!$C$84:$C$86,0)),""))</f>
        <v/>
      </c>
      <c r="AT301" s="58" t="str">
        <f aca="false">IF('STUDENT SCREENING'!AS301="","",IFERROR(INDEX('SCORING MASTER'!$D$88:$D$90,MATCH('STUDENT SCREENING'!AS301,'SCORING MASTER'!$C$88:$C$90,0)),""))</f>
        <v/>
      </c>
      <c r="AU301" s="58" t="str">
        <f aca="false">IF('STUDENT SCREENING'!AT301="","",IFERROR(INDEX('SCORING MASTER'!$D$92:$D$93,MATCH('STUDENT SCREENING'!AT301,'SCORING MASTER'!$C$92:$C$93,0)),""))</f>
        <v/>
      </c>
      <c r="AV301" s="58" t="str">
        <f aca="false">IF('STUDENT SCREENING'!AU301="","",IFERROR(INDEX('SCORING MASTER'!$D$95:$D$96,MATCH('STUDENT SCREENING'!AU301,'SCORING MASTER'!$C$95:$C$96,0)),""))</f>
        <v/>
      </c>
      <c r="AW301" s="58" t="str">
        <f aca="false">IF('STUDENT SCREENING'!AV301="","",IFERROR(INDEX('SCORING MASTER'!$D$98:$D$99,MATCH('STUDENT SCREENING'!AV301,'SCORING MASTER'!$C$98:$C$99,0)),""))</f>
        <v/>
      </c>
      <c r="AX301" s="58" t="str">
        <f aca="false">IF('STUDENT SCREENING'!AW301="","",IFERROR(INDEX('SCORING MASTER'!$D$101:$D$102,MATCH('STUDENT SCREENING'!AW301,'SCORING MASTER'!$C$101:$C$102,0)),""))</f>
        <v/>
      </c>
      <c r="AY301" s="58" t="str">
        <f aca="false">IF('STUDENT SCREENING'!AX301="","",IFERROR(INDEX('SCORING MASTER'!$D$104:$D$105,MATCH('STUDENT SCREENING'!AX301,'SCORING MASTER'!$C$104:$C$105,0)),""))</f>
        <v/>
      </c>
      <c r="AZ301" s="58" t="str">
        <f aca="false">IF('STUDENT SCREENING'!AY301="","",IFERROR(INDEX('SCORING MASTER'!$D$107:$D$108,MATCH('STUDENT SCREENING'!AY301,'SCORING MASTER'!$C$107:$C$108,0)),""))</f>
        <v/>
      </c>
      <c r="BA301" s="58" t="str">
        <f aca="false">IF('STUDENT SCREENING'!AZ301="","",IFERROR(INDEX('SCORING MASTER'!$D$110:$D$111,MATCH('STUDENT SCREENING'!AZ301,'SCORING MASTER'!$C$110:$C$111,0)),""))</f>
        <v/>
      </c>
      <c r="BB301" s="58" t="str">
        <f aca="false">IF('STUDENT SCREENING'!BA301="","",IFERROR(INDEX('SCORING MASTER'!$D$113:$D$115,MATCH('STUDENT SCREENING'!BA301,'SCORING MASTER'!$C$113:$C$115,0)),""))</f>
        <v/>
      </c>
      <c r="BC301" s="58" t="str">
        <f aca="false">IF('STUDENT SCREENING'!BB301="","",IFERROR(INDEX('SCORING MASTER'!$D$117:$D$119,MATCH('STUDENT SCREENING'!BB301,'SCORING MASTER'!$C$117:$C$119,0)),""))</f>
        <v/>
      </c>
      <c r="BD301" s="58" t="str">
        <f aca="false">IF('STUDENT SCREENING'!BC301="","",IFERROR(INDEX('SCORING MASTER'!$D$121:$D$123,MATCH('STUDENT SCREENING'!BC301,'SCORING MASTER'!$C$121:$C$123,0)),""))</f>
        <v/>
      </c>
      <c r="BE301" s="58" t="str">
        <f aca="false">IF('STUDENT SCREENING'!BD301="","",IFERROR(INDEX('SCORING MASTER'!$D$125:$D$126,MATCH('STUDENT SCREENING'!BD301,'SCORING MASTER'!$C$125:$C$126,0)),""))</f>
        <v/>
      </c>
      <c r="BF301" s="58" t="str">
        <f aca="false">IF('STUDENT SCREENING'!BE301="","",IFERROR(INDEX('SCORING MASTER'!$D$128:$D$129,MATCH('STUDENT SCREENING'!BE301,'SCORING MASTER'!$C$128:$C$129,0)),""))</f>
        <v/>
      </c>
      <c r="BG301" s="58" t="str">
        <f aca="false">IF('STUDENT SCREENING'!BP301="","",IFERROR(MATCH('STUDENT SCREENING'!BP301,{"Red - High Risk","Orange - Moderate Risk","Yellow - Mild Risk","Light Green - Mild Watch","Green - Healthy"},0)-1,""))</f>
        <v/>
      </c>
      <c r="BH301" s="58" t="str">
        <f aca="false">IF('STUDENT SCREENING'!BQ301="","",IF('STUDENT SCREENING'!BQ301="Yes",1,0))</f>
        <v/>
      </c>
      <c r="BI301" s="58" t="str">
        <f aca="false">IF('STUDENT SCREENING'!BR301="","",IF('STUDENT SCREENING'!BR301="Yes",1,0))</f>
        <v/>
      </c>
    </row>
    <row r="302" customFormat="false" ht="15" hidden="false" customHeight="false" outlineLevel="0" collapsed="false">
      <c r="A302" s="57" t="str">
        <f aca="false">'STUDENT SCREENING'!A302</f>
        <v/>
      </c>
      <c r="B302" s="57" t="n">
        <f aca="false">'STUDENT SCREENING'!C302</f>
        <v>0</v>
      </c>
      <c r="C302" s="57" t="n">
        <f aca="false">'STUDENT SCREENING'!D302</f>
        <v>0</v>
      </c>
      <c r="D302" s="57" t="n">
        <f aca="false">'STUDENT SCREENING'!E302</f>
        <v>0</v>
      </c>
      <c r="E302" s="57" t="n">
        <f aca="false">'STUDENT SCREENING'!F302</f>
        <v>0</v>
      </c>
      <c r="F302" s="57" t="n">
        <f aca="false">'STUDENT SCREENING'!K302</f>
        <v>0</v>
      </c>
      <c r="G302" s="57" t="n">
        <f aca="false">'STUDENT SCREENING'!J302</f>
        <v>0</v>
      </c>
      <c r="H302" s="57" t="str">
        <f aca="false">IF('STUDENT SCREENING'!K302="","",IFERROR(MATCH('STUDENT SCREENING'!K302,Adm_Gender,0),""))</f>
        <v/>
      </c>
      <c r="I302" s="57" t="n">
        <f aca="false">'STUDENT SCREENING'!Q302</f>
        <v>0</v>
      </c>
      <c r="J302" s="57" t="n">
        <f aca="false">'STUDENT SCREENING'!R302</f>
        <v>0</v>
      </c>
      <c r="K302" s="57" t="str">
        <f aca="false">'STUDENT SCREENING'!S302</f>
        <v/>
      </c>
      <c r="L302" s="57" t="n">
        <f aca="false">'STUDENT SCREENING'!U302</f>
        <v>0</v>
      </c>
      <c r="M302" s="57" t="n">
        <f aca="false">'STUDENT SCREENING'!V302</f>
        <v>0</v>
      </c>
      <c r="N302" s="57" t="str">
        <f aca="false">'STUDENT SCREENING'!BF302</f>
        <v/>
      </c>
      <c r="O302" s="57" t="str">
        <f aca="false">'STUDENT SCREENING'!BG302</f>
        <v/>
      </c>
      <c r="P302" s="57" t="str">
        <f aca="false">'STUDENT SCREENING'!BH302</f>
        <v/>
      </c>
      <c r="Q302" s="57" t="str">
        <f aca="false">'STUDENT SCREENING'!BI302</f>
        <v/>
      </c>
      <c r="R302" s="57" t="str">
        <f aca="false">'STUDENT SCREENING'!BJ302</f>
        <v/>
      </c>
      <c r="S302" s="57" t="str">
        <f aca="false">'STUDENT SCREENING'!BK302</f>
        <v/>
      </c>
      <c r="T302" s="57" t="str">
        <f aca="false">'STUDENT SCREENING'!BL302</f>
        <v/>
      </c>
      <c r="U302" s="57" t="str">
        <f aca="false">'STUDENT SCREENING'!BM302</f>
        <v/>
      </c>
      <c r="V302" s="57" t="str">
        <f aca="false">'STUDENT SCREENING'!BN302</f>
        <v/>
      </c>
      <c r="W302" s="57" t="str">
        <f aca="false">'STUDENT SCREENING'!BO302</f>
        <v/>
      </c>
      <c r="X302" s="57" t="str">
        <f aca="false">IF('STUDENT SCREENING'!W302="","",IFERROR(INDEX('SCORING MASTER'!$D$5:$D$7,MATCH('STUDENT SCREENING'!W302,'SCORING MASTER'!$C$5:$C$7,0)),""))</f>
        <v/>
      </c>
      <c r="Y302" s="57" t="str">
        <f aca="false">IF('STUDENT SCREENING'!X302="","",IFERROR(INDEX('SCORING MASTER'!$D$9:$D$11,MATCH('STUDENT SCREENING'!X302,'SCORING MASTER'!$C$9:$C$11,0)),""))</f>
        <v/>
      </c>
      <c r="Z302" s="57" t="str">
        <f aca="false">IF('STUDENT SCREENING'!Y302="","",IFERROR(INDEX('SCORING MASTER'!$D$13:$D$15,MATCH('STUDENT SCREENING'!Y302,'SCORING MASTER'!$C$13:$C$15,0)),""))</f>
        <v/>
      </c>
      <c r="AA302" s="57" t="str">
        <f aca="false">IF('STUDENT SCREENING'!Z302="","",IFERROR(INDEX('SCORING MASTER'!$D$17:$D$19,MATCH('STUDENT SCREENING'!Z302,'SCORING MASTER'!$C$17:$C$19,0)),""))</f>
        <v/>
      </c>
      <c r="AB302" s="57" t="str">
        <f aca="false">IF('STUDENT SCREENING'!AA302="","",IFERROR(INDEX('SCORING MASTER'!$D$21:$D$23,MATCH('STUDENT SCREENING'!AA302,'SCORING MASTER'!$C$21:$C$23,0)),""))</f>
        <v/>
      </c>
      <c r="AC302" s="57" t="str">
        <f aca="false">IF('STUDENT SCREENING'!AB302="","",IFERROR(INDEX('SCORING MASTER'!$D$25:$D$27,MATCH('STUDENT SCREENING'!AB302,'SCORING MASTER'!$C$25:$C$27,0)),""))</f>
        <v/>
      </c>
      <c r="AD302" s="57" t="str">
        <f aca="false">IF('STUDENT SCREENING'!AC302="","",IFERROR(INDEX('SCORING MASTER'!$D$29:$D$31,MATCH('STUDENT SCREENING'!AC302,'SCORING MASTER'!$C$29:$C$31,0)),""))</f>
        <v/>
      </c>
      <c r="AE302" s="57" t="str">
        <f aca="false">IF('STUDENT SCREENING'!AD302="","",IFERROR(INDEX('SCORING MASTER'!$D$33:$D$35,MATCH('STUDENT SCREENING'!AD302,'SCORING MASTER'!$C$33:$C$35,0)),""))</f>
        <v/>
      </c>
      <c r="AF302" s="57" t="str">
        <f aca="false">IF('STUDENT SCREENING'!AE302="","",IFERROR(INDEX('SCORING MASTER'!$D$37:$D$39,MATCH('STUDENT SCREENING'!AE302,'SCORING MASTER'!$C$37:$C$39,0)),""))</f>
        <v/>
      </c>
      <c r="AG302" s="57" t="str">
        <f aca="false">IF('STUDENT SCREENING'!AF302="","",IFERROR(INDEX('SCORING MASTER'!$D$41:$D$43,MATCH('STUDENT SCREENING'!AF302,'SCORING MASTER'!$C$41:$C$43,0)),""))</f>
        <v/>
      </c>
      <c r="AH302" s="57" t="str">
        <f aca="false">IF('STUDENT SCREENING'!AG302="","",IFERROR(INDEX('SCORING MASTER'!$D$45:$D$47,MATCH('STUDENT SCREENING'!AG302,'SCORING MASTER'!$C$45:$C$47,0)),""))</f>
        <v/>
      </c>
      <c r="AI302" s="57" t="str">
        <f aca="false">IF('STUDENT SCREENING'!AH302="","",IFERROR(INDEX('SCORING MASTER'!$D$49:$D$52,MATCH('STUDENT SCREENING'!AH302,'SCORING MASTER'!$C$49:$C$52,0)),""))</f>
        <v/>
      </c>
      <c r="AJ302" s="57" t="str">
        <f aca="false">IF('STUDENT SCREENING'!AI302="","",IFERROR(INDEX('SCORING MASTER'!$D$54:$D$57,MATCH('STUDENT SCREENING'!AI302,'SCORING MASTER'!$C$54:$C$57,0)),""))</f>
        <v/>
      </c>
      <c r="AK302" s="57" t="str">
        <f aca="false">IF('STUDENT SCREENING'!AJ302="","",IFERROR(INDEX('SCORING MASTER'!$D$59:$D$60,MATCH('STUDENT SCREENING'!AJ302,'SCORING MASTER'!$C$59:$C$60,0)),""))</f>
        <v/>
      </c>
      <c r="AL302" s="57" t="str">
        <f aca="false">IF('STUDENT SCREENING'!AK302="","",IFERROR(INDEX('SCORING MASTER'!$D$62:$D$63,MATCH('STUDENT SCREENING'!AK302,'SCORING MASTER'!$C$62:$C$63,0)),""))</f>
        <v/>
      </c>
      <c r="AM302" s="57" t="str">
        <f aca="false">IF('STUDENT SCREENING'!AL302="","",IFERROR(INDEX('SCORING MASTER'!$D$65:$D$66,MATCH('STUDENT SCREENING'!AL302,'SCORING MASTER'!$C$65:$C$66,0)),""))</f>
        <v/>
      </c>
      <c r="AN302" s="57" t="str">
        <f aca="false">IF('STUDENT SCREENING'!AM302="","",IFERROR(INDEX('SCORING MASTER'!$D$68:$D$69,MATCH('STUDENT SCREENING'!AM302,'SCORING MASTER'!$C$68:$C$69,0)),""))</f>
        <v/>
      </c>
      <c r="AO302" s="57" t="str">
        <f aca="false">IF('STUDENT SCREENING'!AN302="","",IFERROR(INDEX('SCORING MASTER'!$D$71:$D$72,MATCH('STUDENT SCREENING'!AN302,'SCORING MASTER'!$C$71:$C$72,0)),""))</f>
        <v/>
      </c>
      <c r="AP302" s="57" t="str">
        <f aca="false">IF('STUDENT SCREENING'!AO302="","",IFERROR(INDEX('SCORING MASTER'!$D$74:$D$75,MATCH('STUDENT SCREENING'!AO302,'SCORING MASTER'!$C$74:$C$75,0)),""))</f>
        <v/>
      </c>
      <c r="AQ302" s="57" t="str">
        <f aca="false">IF('STUDENT SCREENING'!AP302="","",IFERROR(INDEX('SCORING MASTER'!$D$77:$D$78,MATCH('STUDENT SCREENING'!AP302,'SCORING MASTER'!$C$77:$C$78,0)),""))</f>
        <v/>
      </c>
      <c r="AR302" s="57" t="str">
        <f aca="false">IF('STUDENT SCREENING'!AQ302="","",IFERROR(INDEX('SCORING MASTER'!$D$80:$D$82,MATCH('STUDENT SCREENING'!AQ302,'SCORING MASTER'!$C$80:$C$82,0)),""))</f>
        <v/>
      </c>
      <c r="AS302" s="57" t="str">
        <f aca="false">IF('STUDENT SCREENING'!AR302="","",IFERROR(INDEX('SCORING MASTER'!$D$84:$D$86,MATCH('STUDENT SCREENING'!AR302,'SCORING MASTER'!$C$84:$C$86,0)),""))</f>
        <v/>
      </c>
      <c r="AT302" s="57" t="str">
        <f aca="false">IF('STUDENT SCREENING'!AS302="","",IFERROR(INDEX('SCORING MASTER'!$D$88:$D$90,MATCH('STUDENT SCREENING'!AS302,'SCORING MASTER'!$C$88:$C$90,0)),""))</f>
        <v/>
      </c>
      <c r="AU302" s="57" t="str">
        <f aca="false">IF('STUDENT SCREENING'!AT302="","",IFERROR(INDEX('SCORING MASTER'!$D$92:$D$93,MATCH('STUDENT SCREENING'!AT302,'SCORING MASTER'!$C$92:$C$93,0)),""))</f>
        <v/>
      </c>
      <c r="AV302" s="57" t="str">
        <f aca="false">IF('STUDENT SCREENING'!AU302="","",IFERROR(INDEX('SCORING MASTER'!$D$95:$D$96,MATCH('STUDENT SCREENING'!AU302,'SCORING MASTER'!$C$95:$C$96,0)),""))</f>
        <v/>
      </c>
      <c r="AW302" s="57" t="str">
        <f aca="false">IF('STUDENT SCREENING'!AV302="","",IFERROR(INDEX('SCORING MASTER'!$D$98:$D$99,MATCH('STUDENT SCREENING'!AV302,'SCORING MASTER'!$C$98:$C$99,0)),""))</f>
        <v/>
      </c>
      <c r="AX302" s="57" t="str">
        <f aca="false">IF('STUDENT SCREENING'!AW302="","",IFERROR(INDEX('SCORING MASTER'!$D$101:$D$102,MATCH('STUDENT SCREENING'!AW302,'SCORING MASTER'!$C$101:$C$102,0)),""))</f>
        <v/>
      </c>
      <c r="AY302" s="57" t="str">
        <f aca="false">IF('STUDENT SCREENING'!AX302="","",IFERROR(INDEX('SCORING MASTER'!$D$104:$D$105,MATCH('STUDENT SCREENING'!AX302,'SCORING MASTER'!$C$104:$C$105,0)),""))</f>
        <v/>
      </c>
      <c r="AZ302" s="57" t="str">
        <f aca="false">IF('STUDENT SCREENING'!AY302="","",IFERROR(INDEX('SCORING MASTER'!$D$107:$D$108,MATCH('STUDENT SCREENING'!AY302,'SCORING MASTER'!$C$107:$C$108,0)),""))</f>
        <v/>
      </c>
      <c r="BA302" s="57" t="str">
        <f aca="false">IF('STUDENT SCREENING'!AZ302="","",IFERROR(INDEX('SCORING MASTER'!$D$110:$D$111,MATCH('STUDENT SCREENING'!AZ302,'SCORING MASTER'!$C$110:$C$111,0)),""))</f>
        <v/>
      </c>
      <c r="BB302" s="57" t="str">
        <f aca="false">IF('STUDENT SCREENING'!BA302="","",IFERROR(INDEX('SCORING MASTER'!$D$113:$D$115,MATCH('STUDENT SCREENING'!BA302,'SCORING MASTER'!$C$113:$C$115,0)),""))</f>
        <v/>
      </c>
      <c r="BC302" s="57" t="str">
        <f aca="false">IF('STUDENT SCREENING'!BB302="","",IFERROR(INDEX('SCORING MASTER'!$D$117:$D$119,MATCH('STUDENT SCREENING'!BB302,'SCORING MASTER'!$C$117:$C$119,0)),""))</f>
        <v/>
      </c>
      <c r="BD302" s="57" t="str">
        <f aca="false">IF('STUDENT SCREENING'!BC302="","",IFERROR(INDEX('SCORING MASTER'!$D$121:$D$123,MATCH('STUDENT SCREENING'!BC302,'SCORING MASTER'!$C$121:$C$123,0)),""))</f>
        <v/>
      </c>
      <c r="BE302" s="57" t="str">
        <f aca="false">IF('STUDENT SCREENING'!BD302="","",IFERROR(INDEX('SCORING MASTER'!$D$125:$D$126,MATCH('STUDENT SCREENING'!BD302,'SCORING MASTER'!$C$125:$C$126,0)),""))</f>
        <v/>
      </c>
      <c r="BF302" s="57" t="str">
        <f aca="false">IF('STUDENT SCREENING'!BE302="","",IFERROR(INDEX('SCORING MASTER'!$D$128:$D$129,MATCH('STUDENT SCREENING'!BE302,'SCORING MASTER'!$C$128:$C$129,0)),""))</f>
        <v/>
      </c>
      <c r="BG302" s="57" t="str">
        <f aca="false">IF('STUDENT SCREENING'!BP302="","",IFERROR(MATCH('STUDENT SCREENING'!BP302,{"Red - High Risk","Orange - Moderate Risk","Yellow - Mild Risk","Light Green - Mild Watch","Green - Healthy"},0)-1,""))</f>
        <v/>
      </c>
      <c r="BH302" s="57" t="str">
        <f aca="false">IF('STUDENT SCREENING'!BQ302="","",IF('STUDENT SCREENING'!BQ302="Yes",1,0))</f>
        <v/>
      </c>
      <c r="BI302" s="57" t="str">
        <f aca="false">IF('STUDENT SCREENING'!BR302="","",IF('STUDENT SCREENING'!BR302="Yes",1,0))</f>
        <v/>
      </c>
    </row>
    <row r="303" customFormat="false" ht="15" hidden="false" customHeight="false" outlineLevel="0" collapsed="false">
      <c r="A303" s="58" t="str">
        <f aca="false">'STUDENT SCREENING'!A303</f>
        <v/>
      </c>
      <c r="B303" s="58" t="n">
        <f aca="false">'STUDENT SCREENING'!C303</f>
        <v>0</v>
      </c>
      <c r="C303" s="58" t="n">
        <f aca="false">'STUDENT SCREENING'!D303</f>
        <v>0</v>
      </c>
      <c r="D303" s="58" t="n">
        <f aca="false">'STUDENT SCREENING'!E303</f>
        <v>0</v>
      </c>
      <c r="E303" s="58" t="n">
        <f aca="false">'STUDENT SCREENING'!F303</f>
        <v>0</v>
      </c>
      <c r="F303" s="58" t="n">
        <f aca="false">'STUDENT SCREENING'!K303</f>
        <v>0</v>
      </c>
      <c r="G303" s="58" t="n">
        <f aca="false">'STUDENT SCREENING'!J303</f>
        <v>0</v>
      </c>
      <c r="H303" s="58" t="str">
        <f aca="false">IF('STUDENT SCREENING'!K303="","",IFERROR(MATCH('STUDENT SCREENING'!K303,Adm_Gender,0),""))</f>
        <v/>
      </c>
      <c r="I303" s="58" t="n">
        <f aca="false">'STUDENT SCREENING'!Q303</f>
        <v>0</v>
      </c>
      <c r="J303" s="58" t="n">
        <f aca="false">'STUDENT SCREENING'!R303</f>
        <v>0</v>
      </c>
      <c r="K303" s="58" t="str">
        <f aca="false">'STUDENT SCREENING'!S303</f>
        <v/>
      </c>
      <c r="L303" s="58" t="n">
        <f aca="false">'STUDENT SCREENING'!U303</f>
        <v>0</v>
      </c>
      <c r="M303" s="58" t="n">
        <f aca="false">'STUDENT SCREENING'!V303</f>
        <v>0</v>
      </c>
      <c r="N303" s="58" t="str">
        <f aca="false">'STUDENT SCREENING'!BF303</f>
        <v/>
      </c>
      <c r="O303" s="58" t="str">
        <f aca="false">'STUDENT SCREENING'!BG303</f>
        <v/>
      </c>
      <c r="P303" s="58" t="str">
        <f aca="false">'STUDENT SCREENING'!BH303</f>
        <v/>
      </c>
      <c r="Q303" s="58" t="str">
        <f aca="false">'STUDENT SCREENING'!BI303</f>
        <v/>
      </c>
      <c r="R303" s="58" t="str">
        <f aca="false">'STUDENT SCREENING'!BJ303</f>
        <v/>
      </c>
      <c r="S303" s="58" t="str">
        <f aca="false">'STUDENT SCREENING'!BK303</f>
        <v/>
      </c>
      <c r="T303" s="58" t="str">
        <f aca="false">'STUDENT SCREENING'!BL303</f>
        <v/>
      </c>
      <c r="U303" s="58" t="str">
        <f aca="false">'STUDENT SCREENING'!BM303</f>
        <v/>
      </c>
      <c r="V303" s="58" t="str">
        <f aca="false">'STUDENT SCREENING'!BN303</f>
        <v/>
      </c>
      <c r="W303" s="58" t="str">
        <f aca="false">'STUDENT SCREENING'!BO303</f>
        <v/>
      </c>
      <c r="X303" s="58" t="str">
        <f aca="false">IF('STUDENT SCREENING'!W303="","",IFERROR(INDEX('SCORING MASTER'!$D$5:$D$7,MATCH('STUDENT SCREENING'!W303,'SCORING MASTER'!$C$5:$C$7,0)),""))</f>
        <v/>
      </c>
      <c r="Y303" s="58" t="str">
        <f aca="false">IF('STUDENT SCREENING'!X303="","",IFERROR(INDEX('SCORING MASTER'!$D$9:$D$11,MATCH('STUDENT SCREENING'!X303,'SCORING MASTER'!$C$9:$C$11,0)),""))</f>
        <v/>
      </c>
      <c r="Z303" s="58" t="str">
        <f aca="false">IF('STUDENT SCREENING'!Y303="","",IFERROR(INDEX('SCORING MASTER'!$D$13:$D$15,MATCH('STUDENT SCREENING'!Y303,'SCORING MASTER'!$C$13:$C$15,0)),""))</f>
        <v/>
      </c>
      <c r="AA303" s="58" t="str">
        <f aca="false">IF('STUDENT SCREENING'!Z303="","",IFERROR(INDEX('SCORING MASTER'!$D$17:$D$19,MATCH('STUDENT SCREENING'!Z303,'SCORING MASTER'!$C$17:$C$19,0)),""))</f>
        <v/>
      </c>
      <c r="AB303" s="58" t="str">
        <f aca="false">IF('STUDENT SCREENING'!AA303="","",IFERROR(INDEX('SCORING MASTER'!$D$21:$D$23,MATCH('STUDENT SCREENING'!AA303,'SCORING MASTER'!$C$21:$C$23,0)),""))</f>
        <v/>
      </c>
      <c r="AC303" s="58" t="str">
        <f aca="false">IF('STUDENT SCREENING'!AB303="","",IFERROR(INDEX('SCORING MASTER'!$D$25:$D$27,MATCH('STUDENT SCREENING'!AB303,'SCORING MASTER'!$C$25:$C$27,0)),""))</f>
        <v/>
      </c>
      <c r="AD303" s="58" t="str">
        <f aca="false">IF('STUDENT SCREENING'!AC303="","",IFERROR(INDEX('SCORING MASTER'!$D$29:$D$31,MATCH('STUDENT SCREENING'!AC303,'SCORING MASTER'!$C$29:$C$31,0)),""))</f>
        <v/>
      </c>
      <c r="AE303" s="58" t="str">
        <f aca="false">IF('STUDENT SCREENING'!AD303="","",IFERROR(INDEX('SCORING MASTER'!$D$33:$D$35,MATCH('STUDENT SCREENING'!AD303,'SCORING MASTER'!$C$33:$C$35,0)),""))</f>
        <v/>
      </c>
      <c r="AF303" s="58" t="str">
        <f aca="false">IF('STUDENT SCREENING'!AE303="","",IFERROR(INDEX('SCORING MASTER'!$D$37:$D$39,MATCH('STUDENT SCREENING'!AE303,'SCORING MASTER'!$C$37:$C$39,0)),""))</f>
        <v/>
      </c>
      <c r="AG303" s="58" t="str">
        <f aca="false">IF('STUDENT SCREENING'!AF303="","",IFERROR(INDEX('SCORING MASTER'!$D$41:$D$43,MATCH('STUDENT SCREENING'!AF303,'SCORING MASTER'!$C$41:$C$43,0)),""))</f>
        <v/>
      </c>
      <c r="AH303" s="58" t="str">
        <f aca="false">IF('STUDENT SCREENING'!AG303="","",IFERROR(INDEX('SCORING MASTER'!$D$45:$D$47,MATCH('STUDENT SCREENING'!AG303,'SCORING MASTER'!$C$45:$C$47,0)),""))</f>
        <v/>
      </c>
      <c r="AI303" s="58" t="str">
        <f aca="false">IF('STUDENT SCREENING'!AH303="","",IFERROR(INDEX('SCORING MASTER'!$D$49:$D$52,MATCH('STUDENT SCREENING'!AH303,'SCORING MASTER'!$C$49:$C$52,0)),""))</f>
        <v/>
      </c>
      <c r="AJ303" s="58" t="str">
        <f aca="false">IF('STUDENT SCREENING'!AI303="","",IFERROR(INDEX('SCORING MASTER'!$D$54:$D$57,MATCH('STUDENT SCREENING'!AI303,'SCORING MASTER'!$C$54:$C$57,0)),""))</f>
        <v/>
      </c>
      <c r="AK303" s="58" t="str">
        <f aca="false">IF('STUDENT SCREENING'!AJ303="","",IFERROR(INDEX('SCORING MASTER'!$D$59:$D$60,MATCH('STUDENT SCREENING'!AJ303,'SCORING MASTER'!$C$59:$C$60,0)),""))</f>
        <v/>
      </c>
      <c r="AL303" s="58" t="str">
        <f aca="false">IF('STUDENT SCREENING'!AK303="","",IFERROR(INDEX('SCORING MASTER'!$D$62:$D$63,MATCH('STUDENT SCREENING'!AK303,'SCORING MASTER'!$C$62:$C$63,0)),""))</f>
        <v/>
      </c>
      <c r="AM303" s="58" t="str">
        <f aca="false">IF('STUDENT SCREENING'!AL303="","",IFERROR(INDEX('SCORING MASTER'!$D$65:$D$66,MATCH('STUDENT SCREENING'!AL303,'SCORING MASTER'!$C$65:$C$66,0)),""))</f>
        <v/>
      </c>
      <c r="AN303" s="58" t="str">
        <f aca="false">IF('STUDENT SCREENING'!AM303="","",IFERROR(INDEX('SCORING MASTER'!$D$68:$D$69,MATCH('STUDENT SCREENING'!AM303,'SCORING MASTER'!$C$68:$C$69,0)),""))</f>
        <v/>
      </c>
      <c r="AO303" s="58" t="str">
        <f aca="false">IF('STUDENT SCREENING'!AN303="","",IFERROR(INDEX('SCORING MASTER'!$D$71:$D$72,MATCH('STUDENT SCREENING'!AN303,'SCORING MASTER'!$C$71:$C$72,0)),""))</f>
        <v/>
      </c>
      <c r="AP303" s="58" t="str">
        <f aca="false">IF('STUDENT SCREENING'!AO303="","",IFERROR(INDEX('SCORING MASTER'!$D$74:$D$75,MATCH('STUDENT SCREENING'!AO303,'SCORING MASTER'!$C$74:$C$75,0)),""))</f>
        <v/>
      </c>
      <c r="AQ303" s="58" t="str">
        <f aca="false">IF('STUDENT SCREENING'!AP303="","",IFERROR(INDEX('SCORING MASTER'!$D$77:$D$78,MATCH('STUDENT SCREENING'!AP303,'SCORING MASTER'!$C$77:$C$78,0)),""))</f>
        <v/>
      </c>
      <c r="AR303" s="58" t="str">
        <f aca="false">IF('STUDENT SCREENING'!AQ303="","",IFERROR(INDEX('SCORING MASTER'!$D$80:$D$82,MATCH('STUDENT SCREENING'!AQ303,'SCORING MASTER'!$C$80:$C$82,0)),""))</f>
        <v/>
      </c>
      <c r="AS303" s="58" t="str">
        <f aca="false">IF('STUDENT SCREENING'!AR303="","",IFERROR(INDEX('SCORING MASTER'!$D$84:$D$86,MATCH('STUDENT SCREENING'!AR303,'SCORING MASTER'!$C$84:$C$86,0)),""))</f>
        <v/>
      </c>
      <c r="AT303" s="58" t="str">
        <f aca="false">IF('STUDENT SCREENING'!AS303="","",IFERROR(INDEX('SCORING MASTER'!$D$88:$D$90,MATCH('STUDENT SCREENING'!AS303,'SCORING MASTER'!$C$88:$C$90,0)),""))</f>
        <v/>
      </c>
      <c r="AU303" s="58" t="str">
        <f aca="false">IF('STUDENT SCREENING'!AT303="","",IFERROR(INDEX('SCORING MASTER'!$D$92:$D$93,MATCH('STUDENT SCREENING'!AT303,'SCORING MASTER'!$C$92:$C$93,0)),""))</f>
        <v/>
      </c>
      <c r="AV303" s="58" t="str">
        <f aca="false">IF('STUDENT SCREENING'!AU303="","",IFERROR(INDEX('SCORING MASTER'!$D$95:$D$96,MATCH('STUDENT SCREENING'!AU303,'SCORING MASTER'!$C$95:$C$96,0)),""))</f>
        <v/>
      </c>
      <c r="AW303" s="58" t="str">
        <f aca="false">IF('STUDENT SCREENING'!AV303="","",IFERROR(INDEX('SCORING MASTER'!$D$98:$D$99,MATCH('STUDENT SCREENING'!AV303,'SCORING MASTER'!$C$98:$C$99,0)),""))</f>
        <v/>
      </c>
      <c r="AX303" s="58" t="str">
        <f aca="false">IF('STUDENT SCREENING'!AW303="","",IFERROR(INDEX('SCORING MASTER'!$D$101:$D$102,MATCH('STUDENT SCREENING'!AW303,'SCORING MASTER'!$C$101:$C$102,0)),""))</f>
        <v/>
      </c>
      <c r="AY303" s="58" t="str">
        <f aca="false">IF('STUDENT SCREENING'!AX303="","",IFERROR(INDEX('SCORING MASTER'!$D$104:$D$105,MATCH('STUDENT SCREENING'!AX303,'SCORING MASTER'!$C$104:$C$105,0)),""))</f>
        <v/>
      </c>
      <c r="AZ303" s="58" t="str">
        <f aca="false">IF('STUDENT SCREENING'!AY303="","",IFERROR(INDEX('SCORING MASTER'!$D$107:$D$108,MATCH('STUDENT SCREENING'!AY303,'SCORING MASTER'!$C$107:$C$108,0)),""))</f>
        <v/>
      </c>
      <c r="BA303" s="58" t="str">
        <f aca="false">IF('STUDENT SCREENING'!AZ303="","",IFERROR(INDEX('SCORING MASTER'!$D$110:$D$111,MATCH('STUDENT SCREENING'!AZ303,'SCORING MASTER'!$C$110:$C$111,0)),""))</f>
        <v/>
      </c>
      <c r="BB303" s="58" t="str">
        <f aca="false">IF('STUDENT SCREENING'!BA303="","",IFERROR(INDEX('SCORING MASTER'!$D$113:$D$115,MATCH('STUDENT SCREENING'!BA303,'SCORING MASTER'!$C$113:$C$115,0)),""))</f>
        <v/>
      </c>
      <c r="BC303" s="58" t="str">
        <f aca="false">IF('STUDENT SCREENING'!BB303="","",IFERROR(INDEX('SCORING MASTER'!$D$117:$D$119,MATCH('STUDENT SCREENING'!BB303,'SCORING MASTER'!$C$117:$C$119,0)),""))</f>
        <v/>
      </c>
      <c r="BD303" s="58" t="str">
        <f aca="false">IF('STUDENT SCREENING'!BC303="","",IFERROR(INDEX('SCORING MASTER'!$D$121:$D$123,MATCH('STUDENT SCREENING'!BC303,'SCORING MASTER'!$C$121:$C$123,0)),""))</f>
        <v/>
      </c>
      <c r="BE303" s="58" t="str">
        <f aca="false">IF('STUDENT SCREENING'!BD303="","",IFERROR(INDEX('SCORING MASTER'!$D$125:$D$126,MATCH('STUDENT SCREENING'!BD303,'SCORING MASTER'!$C$125:$C$126,0)),""))</f>
        <v/>
      </c>
      <c r="BF303" s="58" t="str">
        <f aca="false">IF('STUDENT SCREENING'!BE303="","",IFERROR(INDEX('SCORING MASTER'!$D$128:$D$129,MATCH('STUDENT SCREENING'!BE303,'SCORING MASTER'!$C$128:$C$129,0)),""))</f>
        <v/>
      </c>
      <c r="BG303" s="58" t="str">
        <f aca="false">IF('STUDENT SCREENING'!BP303="","",IFERROR(MATCH('STUDENT SCREENING'!BP303,{"Red - High Risk","Orange - Moderate Risk","Yellow - Mild Risk","Light Green - Mild Watch","Green - Healthy"},0)-1,""))</f>
        <v/>
      </c>
      <c r="BH303" s="58" t="str">
        <f aca="false">IF('STUDENT SCREENING'!BQ303="","",IF('STUDENT SCREENING'!BQ303="Yes",1,0))</f>
        <v/>
      </c>
      <c r="BI303" s="58" t="str">
        <f aca="false">IF('STUDENT SCREENING'!BR303="","",IF('STUDENT SCREENING'!BR303="Yes",1,0))</f>
        <v/>
      </c>
    </row>
  </sheetData>
  <mergeCells count="1">
    <mergeCell ref="A1:B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8"/>
    <col collapsed="false" customWidth="true" hidden="false" outlineLevel="0" max="3" min="3" style="0" width="22"/>
    <col collapsed="false" customWidth="true" hidden="false" outlineLevel="0" max="4" min="4" style="0" width="10"/>
    <col collapsed="false" customWidth="true" hidden="false" outlineLevel="0" max="5" min="5" style="0" width="3"/>
  </cols>
  <sheetData>
    <row r="1" customFormat="false" ht="33.75" hidden="false" customHeight="true" outlineLevel="0" collapsed="false">
      <c r="A1" s="49" t="s">
        <v>282</v>
      </c>
      <c r="B1" s="49"/>
      <c r="C1" s="49"/>
      <c r="D1" s="49"/>
    </row>
    <row r="2" customFormat="false" ht="27.75" hidden="false" customHeight="true" outlineLevel="0" collapsed="false">
      <c r="A2" s="59" t="s">
        <v>283</v>
      </c>
      <c r="B2" s="59"/>
      <c r="C2" s="59"/>
      <c r="D2" s="59"/>
    </row>
    <row r="4" customFormat="false" ht="15" hidden="false" customHeight="false" outlineLevel="0" collapsed="false">
      <c r="A4" s="54" t="s">
        <v>284</v>
      </c>
      <c r="B4" s="54" t="s">
        <v>285</v>
      </c>
      <c r="C4" s="54" t="s">
        <v>286</v>
      </c>
      <c r="D4" s="54" t="s">
        <v>287</v>
      </c>
    </row>
    <row r="5" customFormat="false" ht="15" hidden="false" customHeight="false" outlineLevel="0" collapsed="false">
      <c r="A5" s="37" t="s">
        <v>288</v>
      </c>
      <c r="B5" s="28" t="s">
        <v>60</v>
      </c>
      <c r="C5" s="28" t="s">
        <v>118</v>
      </c>
      <c r="D5" s="60" t="n">
        <v>5</v>
      </c>
    </row>
    <row r="6" customFormat="false" ht="15" hidden="false" customHeight="false" outlineLevel="0" collapsed="false">
      <c r="A6" s="37" t="s">
        <v>288</v>
      </c>
      <c r="B6" s="28" t="s">
        <v>60</v>
      </c>
      <c r="C6" s="28" t="s">
        <v>152</v>
      </c>
      <c r="D6" s="60" t="n">
        <v>3</v>
      </c>
    </row>
    <row r="7" customFormat="false" ht="15" hidden="false" customHeight="false" outlineLevel="0" collapsed="false">
      <c r="A7" s="37" t="s">
        <v>288</v>
      </c>
      <c r="B7" s="28" t="s">
        <v>60</v>
      </c>
      <c r="C7" s="28" t="s">
        <v>120</v>
      </c>
      <c r="D7" s="60" t="n">
        <v>0</v>
      </c>
    </row>
    <row r="9" customFormat="false" ht="15" hidden="false" customHeight="false" outlineLevel="0" collapsed="false">
      <c r="A9" s="37" t="s">
        <v>288</v>
      </c>
      <c r="B9" s="28" t="s">
        <v>61</v>
      </c>
      <c r="C9" s="28" t="s">
        <v>119</v>
      </c>
      <c r="D9" s="60" t="n">
        <v>5</v>
      </c>
    </row>
    <row r="10" customFormat="false" ht="15" hidden="false" customHeight="false" outlineLevel="0" collapsed="false">
      <c r="A10" s="37" t="s">
        <v>288</v>
      </c>
      <c r="B10" s="28" t="s">
        <v>61</v>
      </c>
      <c r="C10" s="28" t="s">
        <v>153</v>
      </c>
      <c r="D10" s="60" t="n">
        <v>3</v>
      </c>
    </row>
    <row r="11" customFormat="false" ht="15" hidden="false" customHeight="false" outlineLevel="0" collapsed="false">
      <c r="A11" s="37" t="s">
        <v>288</v>
      </c>
      <c r="B11" s="28" t="s">
        <v>61</v>
      </c>
      <c r="C11" s="28" t="s">
        <v>137</v>
      </c>
      <c r="D11" s="60" t="n">
        <v>0</v>
      </c>
    </row>
    <row r="13" customFormat="false" ht="15" hidden="false" customHeight="false" outlineLevel="0" collapsed="false">
      <c r="A13" s="37" t="s">
        <v>288</v>
      </c>
      <c r="B13" s="28" t="s">
        <v>62</v>
      </c>
      <c r="C13" s="28" t="s">
        <v>119</v>
      </c>
      <c r="D13" s="60" t="n">
        <v>5</v>
      </c>
    </row>
    <row r="14" customFormat="false" ht="15" hidden="false" customHeight="false" outlineLevel="0" collapsed="false">
      <c r="A14" s="37" t="s">
        <v>288</v>
      </c>
      <c r="B14" s="28" t="s">
        <v>62</v>
      </c>
      <c r="C14" s="28" t="s">
        <v>152</v>
      </c>
      <c r="D14" s="60" t="n">
        <v>3</v>
      </c>
    </row>
    <row r="15" customFormat="false" ht="15" hidden="false" customHeight="false" outlineLevel="0" collapsed="false">
      <c r="A15" s="37" t="s">
        <v>288</v>
      </c>
      <c r="B15" s="28" t="s">
        <v>62</v>
      </c>
      <c r="C15" s="28" t="s">
        <v>137</v>
      </c>
      <c r="D15" s="60" t="n">
        <v>0</v>
      </c>
    </row>
    <row r="17" customFormat="false" ht="15" hidden="false" customHeight="false" outlineLevel="0" collapsed="false">
      <c r="A17" s="37" t="s">
        <v>288</v>
      </c>
      <c r="B17" s="28" t="s">
        <v>63</v>
      </c>
      <c r="C17" s="28" t="s">
        <v>119</v>
      </c>
      <c r="D17" s="60" t="n">
        <v>5</v>
      </c>
    </row>
    <row r="18" customFormat="false" ht="15" hidden="false" customHeight="false" outlineLevel="0" collapsed="false">
      <c r="A18" s="37" t="s">
        <v>288</v>
      </c>
      <c r="B18" s="28" t="s">
        <v>63</v>
      </c>
      <c r="C18" s="28" t="s">
        <v>153</v>
      </c>
      <c r="D18" s="60" t="n">
        <v>3</v>
      </c>
    </row>
    <row r="19" customFormat="false" ht="15" hidden="false" customHeight="false" outlineLevel="0" collapsed="false">
      <c r="A19" s="37" t="s">
        <v>288</v>
      </c>
      <c r="B19" s="28" t="s">
        <v>63</v>
      </c>
      <c r="C19" s="28" t="s">
        <v>137</v>
      </c>
      <c r="D19" s="60" t="n">
        <v>0</v>
      </c>
    </row>
    <row r="21" customFormat="false" ht="15" hidden="false" customHeight="false" outlineLevel="0" collapsed="false">
      <c r="A21" s="37" t="s">
        <v>288</v>
      </c>
      <c r="B21" s="28" t="s">
        <v>64</v>
      </c>
      <c r="C21" s="28" t="s">
        <v>120</v>
      </c>
      <c r="D21" s="60" t="n">
        <v>5</v>
      </c>
    </row>
    <row r="22" customFormat="false" ht="15" hidden="false" customHeight="false" outlineLevel="0" collapsed="false">
      <c r="A22" s="37" t="s">
        <v>288</v>
      </c>
      <c r="B22" s="28" t="s">
        <v>64</v>
      </c>
      <c r="C22" s="28" t="s">
        <v>154</v>
      </c>
      <c r="D22" s="60" t="n">
        <v>3</v>
      </c>
    </row>
    <row r="23" customFormat="false" ht="15" hidden="false" customHeight="false" outlineLevel="0" collapsed="false">
      <c r="A23" s="37" t="s">
        <v>288</v>
      </c>
      <c r="B23" s="28" t="s">
        <v>64</v>
      </c>
      <c r="C23" s="28" t="s">
        <v>119</v>
      </c>
      <c r="D23" s="60" t="n">
        <v>0</v>
      </c>
    </row>
    <row r="25" customFormat="false" ht="15" hidden="false" customHeight="false" outlineLevel="0" collapsed="false">
      <c r="A25" s="37" t="s">
        <v>288</v>
      </c>
      <c r="B25" s="28" t="s">
        <v>65</v>
      </c>
      <c r="C25" s="28" t="s">
        <v>120</v>
      </c>
      <c r="D25" s="60" t="n">
        <v>5</v>
      </c>
    </row>
    <row r="26" customFormat="false" ht="15" hidden="false" customHeight="false" outlineLevel="0" collapsed="false">
      <c r="A26" s="37" t="s">
        <v>288</v>
      </c>
      <c r="B26" s="28" t="s">
        <v>65</v>
      </c>
      <c r="C26" s="28" t="s">
        <v>154</v>
      </c>
      <c r="D26" s="60" t="n">
        <v>3</v>
      </c>
    </row>
    <row r="27" customFormat="false" ht="15" hidden="false" customHeight="false" outlineLevel="0" collapsed="false">
      <c r="A27" s="37" t="s">
        <v>288</v>
      </c>
      <c r="B27" s="28" t="s">
        <v>65</v>
      </c>
      <c r="C27" s="28" t="s">
        <v>119</v>
      </c>
      <c r="D27" s="60" t="n">
        <v>0</v>
      </c>
    </row>
    <row r="29" customFormat="false" ht="15" hidden="false" customHeight="false" outlineLevel="0" collapsed="false">
      <c r="A29" s="37" t="s">
        <v>288</v>
      </c>
      <c r="B29" s="28" t="s">
        <v>66</v>
      </c>
      <c r="C29" s="28" t="s">
        <v>121</v>
      </c>
      <c r="D29" s="60" t="n">
        <v>5</v>
      </c>
    </row>
    <row r="30" customFormat="false" ht="15" hidden="false" customHeight="false" outlineLevel="0" collapsed="false">
      <c r="A30" s="37" t="s">
        <v>288</v>
      </c>
      <c r="B30" s="28" t="s">
        <v>66</v>
      </c>
      <c r="C30" s="28" t="s">
        <v>155</v>
      </c>
      <c r="D30" s="60" t="n">
        <v>3</v>
      </c>
    </row>
    <row r="31" customFormat="false" ht="15" hidden="false" customHeight="false" outlineLevel="0" collapsed="false">
      <c r="A31" s="37" t="s">
        <v>288</v>
      </c>
      <c r="B31" s="28" t="s">
        <v>66</v>
      </c>
      <c r="C31" s="28" t="s">
        <v>138</v>
      </c>
      <c r="D31" s="60" t="n">
        <v>0</v>
      </c>
    </row>
    <row r="33" customFormat="false" ht="15" hidden="false" customHeight="false" outlineLevel="0" collapsed="false">
      <c r="A33" s="37" t="s">
        <v>289</v>
      </c>
      <c r="B33" s="28" t="s">
        <v>67</v>
      </c>
      <c r="C33" s="28" t="s">
        <v>119</v>
      </c>
      <c r="D33" s="60" t="n">
        <v>5</v>
      </c>
    </row>
    <row r="34" customFormat="false" ht="15" hidden="false" customHeight="false" outlineLevel="0" collapsed="false">
      <c r="A34" s="37" t="s">
        <v>289</v>
      </c>
      <c r="B34" s="28" t="s">
        <v>67</v>
      </c>
      <c r="C34" s="28" t="s">
        <v>153</v>
      </c>
      <c r="D34" s="60" t="n">
        <v>3</v>
      </c>
    </row>
    <row r="35" customFormat="false" ht="15" hidden="false" customHeight="false" outlineLevel="0" collapsed="false">
      <c r="A35" s="37" t="s">
        <v>289</v>
      </c>
      <c r="B35" s="28" t="s">
        <v>67</v>
      </c>
      <c r="C35" s="28" t="s">
        <v>137</v>
      </c>
      <c r="D35" s="60" t="n">
        <v>0</v>
      </c>
    </row>
    <row r="37" customFormat="false" ht="15" hidden="false" customHeight="false" outlineLevel="0" collapsed="false">
      <c r="A37" s="37" t="s">
        <v>289</v>
      </c>
      <c r="B37" s="28" t="s">
        <v>68</v>
      </c>
      <c r="C37" s="28" t="s">
        <v>122</v>
      </c>
      <c r="D37" s="60" t="n">
        <v>5</v>
      </c>
    </row>
    <row r="38" customFormat="false" ht="15" hidden="false" customHeight="false" outlineLevel="0" collapsed="false">
      <c r="A38" s="37" t="s">
        <v>289</v>
      </c>
      <c r="B38" s="28" t="s">
        <v>68</v>
      </c>
      <c r="C38" s="28" t="s">
        <v>164</v>
      </c>
      <c r="D38" s="60" t="n">
        <v>3</v>
      </c>
    </row>
    <row r="39" customFormat="false" ht="15" hidden="false" customHeight="false" outlineLevel="0" collapsed="false">
      <c r="A39" s="37" t="s">
        <v>289</v>
      </c>
      <c r="B39" s="28" t="s">
        <v>68</v>
      </c>
      <c r="C39" s="28" t="s">
        <v>139</v>
      </c>
      <c r="D39" s="60" t="n">
        <v>0</v>
      </c>
    </row>
    <row r="41" customFormat="false" ht="15" hidden="false" customHeight="false" outlineLevel="0" collapsed="false">
      <c r="A41" s="37" t="s">
        <v>289</v>
      </c>
      <c r="B41" s="28" t="s">
        <v>69</v>
      </c>
      <c r="C41" s="28" t="s">
        <v>119</v>
      </c>
      <c r="D41" s="60" t="n">
        <v>5</v>
      </c>
    </row>
    <row r="42" customFormat="false" ht="15" hidden="false" customHeight="false" outlineLevel="0" collapsed="false">
      <c r="A42" s="37" t="s">
        <v>289</v>
      </c>
      <c r="B42" s="28" t="s">
        <v>69</v>
      </c>
      <c r="C42" s="28" t="s">
        <v>153</v>
      </c>
      <c r="D42" s="60" t="n">
        <v>3</v>
      </c>
    </row>
    <row r="43" customFormat="false" ht="15" hidden="false" customHeight="false" outlineLevel="0" collapsed="false">
      <c r="A43" s="37" t="s">
        <v>289</v>
      </c>
      <c r="B43" s="28" t="s">
        <v>69</v>
      </c>
      <c r="C43" s="28" t="s">
        <v>137</v>
      </c>
      <c r="D43" s="60" t="n">
        <v>0</v>
      </c>
    </row>
    <row r="45" customFormat="false" ht="15" hidden="false" customHeight="false" outlineLevel="0" collapsed="false">
      <c r="A45" s="37" t="s">
        <v>289</v>
      </c>
      <c r="B45" s="28" t="s">
        <v>70</v>
      </c>
      <c r="C45" s="28" t="s">
        <v>123</v>
      </c>
      <c r="D45" s="60" t="n">
        <v>5</v>
      </c>
    </row>
    <row r="46" customFormat="false" ht="15" hidden="false" customHeight="false" outlineLevel="0" collapsed="false">
      <c r="A46" s="37" t="s">
        <v>289</v>
      </c>
      <c r="B46" s="28" t="s">
        <v>70</v>
      </c>
      <c r="C46" s="28" t="s">
        <v>165</v>
      </c>
      <c r="D46" s="60" t="n">
        <v>3</v>
      </c>
    </row>
    <row r="47" customFormat="false" ht="15" hidden="false" customHeight="false" outlineLevel="0" collapsed="false">
      <c r="A47" s="37" t="s">
        <v>289</v>
      </c>
      <c r="B47" s="28" t="s">
        <v>70</v>
      </c>
      <c r="C47" s="28" t="s">
        <v>140</v>
      </c>
      <c r="D47" s="60" t="n">
        <v>0</v>
      </c>
    </row>
    <row r="49" customFormat="false" ht="15" hidden="false" customHeight="false" outlineLevel="0" collapsed="false">
      <c r="A49" s="37" t="s">
        <v>289</v>
      </c>
      <c r="B49" s="28" t="s">
        <v>71</v>
      </c>
      <c r="C49" s="28" t="s">
        <v>120</v>
      </c>
      <c r="D49" s="60" t="n">
        <v>5</v>
      </c>
    </row>
    <row r="50" customFormat="false" ht="15" hidden="false" customHeight="false" outlineLevel="0" collapsed="false">
      <c r="A50" s="37" t="s">
        <v>289</v>
      </c>
      <c r="B50" s="28" t="s">
        <v>71</v>
      </c>
      <c r="C50" s="28" t="s">
        <v>156</v>
      </c>
      <c r="D50" s="60" t="n">
        <v>2</v>
      </c>
    </row>
    <row r="51" customFormat="false" ht="15" hidden="false" customHeight="false" outlineLevel="0" collapsed="false">
      <c r="A51" s="37" t="s">
        <v>289</v>
      </c>
      <c r="B51" s="28" t="s">
        <v>71</v>
      </c>
      <c r="C51" s="28" t="s">
        <v>290</v>
      </c>
      <c r="D51" s="60" t="n">
        <v>0</v>
      </c>
    </row>
    <row r="52" customFormat="false" ht="15" hidden="false" customHeight="false" outlineLevel="0" collapsed="false">
      <c r="A52" s="37" t="s">
        <v>289</v>
      </c>
      <c r="B52" s="28" t="s">
        <v>71</v>
      </c>
      <c r="C52" s="28" t="s">
        <v>124</v>
      </c>
      <c r="D52" s="60" t="n">
        <v>5</v>
      </c>
    </row>
    <row r="54" customFormat="false" ht="15" hidden="false" customHeight="false" outlineLevel="0" collapsed="false">
      <c r="A54" s="37" t="s">
        <v>289</v>
      </c>
      <c r="B54" s="28" t="s">
        <v>72</v>
      </c>
      <c r="C54" s="28" t="s">
        <v>120</v>
      </c>
      <c r="D54" s="60" t="n">
        <v>5</v>
      </c>
    </row>
    <row r="55" customFormat="false" ht="15" hidden="false" customHeight="false" outlineLevel="0" collapsed="false">
      <c r="A55" s="37" t="s">
        <v>289</v>
      </c>
      <c r="B55" s="28" t="s">
        <v>72</v>
      </c>
      <c r="C55" s="28" t="s">
        <v>156</v>
      </c>
      <c r="D55" s="60" t="n">
        <v>2</v>
      </c>
    </row>
    <row r="56" customFormat="false" ht="15" hidden="false" customHeight="false" outlineLevel="0" collapsed="false">
      <c r="A56" s="37" t="s">
        <v>289</v>
      </c>
      <c r="B56" s="28" t="s">
        <v>72</v>
      </c>
      <c r="C56" s="28" t="s">
        <v>290</v>
      </c>
      <c r="D56" s="60" t="n">
        <v>0</v>
      </c>
    </row>
    <row r="57" customFormat="false" ht="15" hidden="false" customHeight="false" outlineLevel="0" collapsed="false">
      <c r="A57" s="37" t="s">
        <v>289</v>
      </c>
      <c r="B57" s="28" t="s">
        <v>72</v>
      </c>
      <c r="C57" s="28" t="s">
        <v>124</v>
      </c>
      <c r="D57" s="60" t="n">
        <v>5</v>
      </c>
    </row>
    <row r="59" customFormat="false" ht="15" hidden="false" customHeight="false" outlineLevel="0" collapsed="false">
      <c r="A59" s="37" t="s">
        <v>291</v>
      </c>
      <c r="B59" s="28" t="s">
        <v>73</v>
      </c>
      <c r="C59" s="28" t="s">
        <v>125</v>
      </c>
      <c r="D59" s="60" t="n">
        <v>5</v>
      </c>
    </row>
    <row r="60" customFormat="false" ht="15" hidden="false" customHeight="false" outlineLevel="0" collapsed="false">
      <c r="A60" s="37" t="s">
        <v>291</v>
      </c>
      <c r="B60" s="28" t="s">
        <v>73</v>
      </c>
      <c r="C60" s="28" t="s">
        <v>129</v>
      </c>
      <c r="D60" s="60" t="n">
        <v>0</v>
      </c>
    </row>
    <row r="62" customFormat="false" ht="15" hidden="false" customHeight="false" outlineLevel="0" collapsed="false">
      <c r="A62" s="37" t="s">
        <v>291</v>
      </c>
      <c r="B62" s="28" t="s">
        <v>74</v>
      </c>
      <c r="C62" s="28" t="s">
        <v>125</v>
      </c>
      <c r="D62" s="60" t="n">
        <v>5</v>
      </c>
    </row>
    <row r="63" customFormat="false" ht="15" hidden="false" customHeight="false" outlineLevel="0" collapsed="false">
      <c r="A63" s="37" t="s">
        <v>291</v>
      </c>
      <c r="B63" s="28" t="s">
        <v>74</v>
      </c>
      <c r="C63" s="28" t="s">
        <v>129</v>
      </c>
      <c r="D63" s="60" t="n">
        <v>0</v>
      </c>
    </row>
    <row r="65" customFormat="false" ht="15" hidden="false" customHeight="false" outlineLevel="0" collapsed="false">
      <c r="A65" s="37" t="s">
        <v>291</v>
      </c>
      <c r="B65" s="28" t="s">
        <v>75</v>
      </c>
      <c r="C65" s="28" t="s">
        <v>125</v>
      </c>
      <c r="D65" s="60" t="n">
        <v>5</v>
      </c>
    </row>
    <row r="66" customFormat="false" ht="15" hidden="false" customHeight="false" outlineLevel="0" collapsed="false">
      <c r="A66" s="37" t="s">
        <v>291</v>
      </c>
      <c r="B66" s="28" t="s">
        <v>75</v>
      </c>
      <c r="C66" s="28" t="s">
        <v>129</v>
      </c>
      <c r="D66" s="60" t="n">
        <v>0</v>
      </c>
    </row>
    <row r="68" customFormat="false" ht="15" hidden="false" customHeight="false" outlineLevel="0" collapsed="false">
      <c r="A68" s="37" t="s">
        <v>291</v>
      </c>
      <c r="B68" s="28" t="s">
        <v>76</v>
      </c>
      <c r="C68" s="28" t="s">
        <v>125</v>
      </c>
      <c r="D68" s="60" t="n">
        <v>5</v>
      </c>
    </row>
    <row r="69" customFormat="false" ht="15" hidden="false" customHeight="false" outlineLevel="0" collapsed="false">
      <c r="A69" s="37" t="s">
        <v>291</v>
      </c>
      <c r="B69" s="28" t="s">
        <v>76</v>
      </c>
      <c r="C69" s="28" t="s">
        <v>129</v>
      </c>
      <c r="D69" s="60" t="n">
        <v>0</v>
      </c>
    </row>
    <row r="71" customFormat="false" ht="15" hidden="false" customHeight="false" outlineLevel="0" collapsed="false">
      <c r="A71" s="37" t="s">
        <v>291</v>
      </c>
      <c r="B71" s="28" t="s">
        <v>77</v>
      </c>
      <c r="C71" s="28" t="s">
        <v>125</v>
      </c>
      <c r="D71" s="60" t="n">
        <v>5</v>
      </c>
    </row>
    <row r="72" customFormat="false" ht="15" hidden="false" customHeight="false" outlineLevel="0" collapsed="false">
      <c r="A72" s="37" t="s">
        <v>291</v>
      </c>
      <c r="B72" s="28" t="s">
        <v>77</v>
      </c>
      <c r="C72" s="28" t="s">
        <v>129</v>
      </c>
      <c r="D72" s="60" t="n">
        <v>0</v>
      </c>
    </row>
    <row r="74" customFormat="false" ht="15" hidden="false" customHeight="false" outlineLevel="0" collapsed="false">
      <c r="A74" s="37" t="s">
        <v>291</v>
      </c>
      <c r="B74" s="28" t="s">
        <v>78</v>
      </c>
      <c r="C74" s="28" t="s">
        <v>125</v>
      </c>
      <c r="D74" s="60" t="n">
        <v>5</v>
      </c>
    </row>
    <row r="75" customFormat="false" ht="15" hidden="false" customHeight="false" outlineLevel="0" collapsed="false">
      <c r="A75" s="37" t="s">
        <v>291</v>
      </c>
      <c r="B75" s="28" t="s">
        <v>78</v>
      </c>
      <c r="C75" s="28" t="s">
        <v>129</v>
      </c>
      <c r="D75" s="60" t="n">
        <v>0</v>
      </c>
    </row>
    <row r="77" customFormat="false" ht="15" hidden="false" customHeight="false" outlineLevel="0" collapsed="false">
      <c r="A77" s="37" t="s">
        <v>291</v>
      </c>
      <c r="B77" s="28" t="s">
        <v>79</v>
      </c>
      <c r="C77" s="28" t="s">
        <v>125</v>
      </c>
      <c r="D77" s="60" t="n">
        <v>5</v>
      </c>
    </row>
    <row r="78" customFormat="false" ht="15" hidden="false" customHeight="false" outlineLevel="0" collapsed="false">
      <c r="A78" s="37" t="s">
        <v>291</v>
      </c>
      <c r="B78" s="28" t="s">
        <v>79</v>
      </c>
      <c r="C78" s="28" t="s">
        <v>129</v>
      </c>
      <c r="D78" s="60" t="n">
        <v>0</v>
      </c>
    </row>
    <row r="80" customFormat="false" ht="15" hidden="false" customHeight="false" outlineLevel="0" collapsed="false">
      <c r="A80" s="37" t="s">
        <v>292</v>
      </c>
      <c r="B80" s="28" t="s">
        <v>80</v>
      </c>
      <c r="C80" s="28" t="s">
        <v>126</v>
      </c>
      <c r="D80" s="60" t="n">
        <v>5</v>
      </c>
    </row>
    <row r="81" customFormat="false" ht="15" hidden="false" customHeight="false" outlineLevel="0" collapsed="false">
      <c r="A81" s="37" t="s">
        <v>292</v>
      </c>
      <c r="B81" s="28" t="s">
        <v>80</v>
      </c>
      <c r="C81" s="28" t="s">
        <v>166</v>
      </c>
      <c r="D81" s="60" t="n">
        <v>3</v>
      </c>
    </row>
    <row r="82" customFormat="false" ht="15" hidden="false" customHeight="false" outlineLevel="0" collapsed="false">
      <c r="A82" s="37" t="s">
        <v>292</v>
      </c>
      <c r="B82" s="28" t="s">
        <v>80</v>
      </c>
      <c r="C82" s="28" t="s">
        <v>141</v>
      </c>
      <c r="D82" s="60" t="n">
        <v>0</v>
      </c>
    </row>
    <row r="84" customFormat="false" ht="15" hidden="false" customHeight="false" outlineLevel="0" collapsed="false">
      <c r="A84" s="37" t="s">
        <v>292</v>
      </c>
      <c r="B84" s="28" t="s">
        <v>81</v>
      </c>
      <c r="C84" s="28" t="s">
        <v>127</v>
      </c>
      <c r="D84" s="60" t="n">
        <v>5</v>
      </c>
    </row>
    <row r="85" customFormat="false" ht="15" hidden="false" customHeight="false" outlineLevel="0" collapsed="false">
      <c r="A85" s="37" t="s">
        <v>292</v>
      </c>
      <c r="B85" s="28" t="s">
        <v>81</v>
      </c>
      <c r="C85" s="28" t="s">
        <v>157</v>
      </c>
      <c r="D85" s="60" t="n">
        <v>3</v>
      </c>
    </row>
    <row r="86" customFormat="false" ht="15" hidden="false" customHeight="false" outlineLevel="0" collapsed="false">
      <c r="A86" s="37" t="s">
        <v>292</v>
      </c>
      <c r="B86" s="28" t="s">
        <v>81</v>
      </c>
      <c r="C86" s="28" t="s">
        <v>126</v>
      </c>
      <c r="D86" s="60" t="n">
        <v>0</v>
      </c>
    </row>
    <row r="88" customFormat="false" ht="15" hidden="false" customHeight="false" outlineLevel="0" collapsed="false">
      <c r="A88" s="37" t="s">
        <v>292</v>
      </c>
      <c r="B88" s="28" t="s">
        <v>82</v>
      </c>
      <c r="C88" s="28" t="s">
        <v>128</v>
      </c>
      <c r="D88" s="60" t="n">
        <v>5</v>
      </c>
    </row>
    <row r="89" customFormat="false" ht="15" hidden="false" customHeight="false" outlineLevel="0" collapsed="false">
      <c r="A89" s="37" t="s">
        <v>292</v>
      </c>
      <c r="B89" s="28" t="s">
        <v>82</v>
      </c>
      <c r="C89" s="28" t="s">
        <v>158</v>
      </c>
      <c r="D89" s="60" t="n">
        <v>3</v>
      </c>
    </row>
    <row r="90" customFormat="false" ht="15" hidden="false" customHeight="false" outlineLevel="0" collapsed="false">
      <c r="A90" s="37" t="s">
        <v>292</v>
      </c>
      <c r="B90" s="28" t="s">
        <v>82</v>
      </c>
      <c r="C90" s="28" t="s">
        <v>142</v>
      </c>
      <c r="D90" s="60" t="n">
        <v>0</v>
      </c>
    </row>
    <row r="92" customFormat="false" ht="15" hidden="false" customHeight="false" outlineLevel="0" collapsed="false">
      <c r="A92" s="37" t="s">
        <v>292</v>
      </c>
      <c r="B92" s="28" t="s">
        <v>83</v>
      </c>
      <c r="C92" s="28" t="s">
        <v>125</v>
      </c>
      <c r="D92" s="60" t="n">
        <v>5</v>
      </c>
    </row>
    <row r="93" customFormat="false" ht="15" hidden="false" customHeight="false" outlineLevel="0" collapsed="false">
      <c r="A93" s="37" t="s">
        <v>292</v>
      </c>
      <c r="B93" s="28" t="s">
        <v>83</v>
      </c>
      <c r="C93" s="28" t="s">
        <v>129</v>
      </c>
      <c r="D93" s="60" t="n">
        <v>0</v>
      </c>
    </row>
    <row r="95" customFormat="false" ht="15" hidden="false" customHeight="false" outlineLevel="0" collapsed="false">
      <c r="A95" s="37" t="s">
        <v>293</v>
      </c>
      <c r="B95" s="28" t="s">
        <v>84</v>
      </c>
      <c r="C95" s="28" t="s">
        <v>125</v>
      </c>
      <c r="D95" s="60" t="n">
        <v>5</v>
      </c>
    </row>
    <row r="96" customFormat="false" ht="15" hidden="false" customHeight="false" outlineLevel="0" collapsed="false">
      <c r="A96" s="37" t="s">
        <v>293</v>
      </c>
      <c r="B96" s="28" t="s">
        <v>84</v>
      </c>
      <c r="C96" s="28" t="s">
        <v>129</v>
      </c>
      <c r="D96" s="60" t="n">
        <v>0</v>
      </c>
    </row>
    <row r="98" customFormat="false" ht="15" hidden="false" customHeight="false" outlineLevel="0" collapsed="false">
      <c r="A98" s="37" t="s">
        <v>293</v>
      </c>
      <c r="B98" s="28" t="s">
        <v>85</v>
      </c>
      <c r="C98" s="28" t="s">
        <v>125</v>
      </c>
      <c r="D98" s="60" t="n">
        <v>5</v>
      </c>
    </row>
    <row r="99" customFormat="false" ht="15" hidden="false" customHeight="false" outlineLevel="0" collapsed="false">
      <c r="A99" s="37" t="s">
        <v>293</v>
      </c>
      <c r="B99" s="28" t="s">
        <v>85</v>
      </c>
      <c r="C99" s="28" t="s">
        <v>129</v>
      </c>
      <c r="D99" s="60" t="n">
        <v>0</v>
      </c>
    </row>
    <row r="101" customFormat="false" ht="15" hidden="false" customHeight="false" outlineLevel="0" collapsed="false">
      <c r="A101" s="37" t="s">
        <v>293</v>
      </c>
      <c r="B101" s="28" t="s">
        <v>86</v>
      </c>
      <c r="C101" s="28" t="s">
        <v>125</v>
      </c>
      <c r="D101" s="60" t="n">
        <v>5</v>
      </c>
    </row>
    <row r="102" customFormat="false" ht="15" hidden="false" customHeight="false" outlineLevel="0" collapsed="false">
      <c r="A102" s="37" t="s">
        <v>293</v>
      </c>
      <c r="B102" s="28" t="s">
        <v>86</v>
      </c>
      <c r="C102" s="28" t="s">
        <v>129</v>
      </c>
      <c r="D102" s="60" t="n">
        <v>0</v>
      </c>
    </row>
    <row r="104" customFormat="false" ht="15" hidden="false" customHeight="false" outlineLevel="0" collapsed="false">
      <c r="A104" s="37" t="s">
        <v>293</v>
      </c>
      <c r="B104" s="28" t="s">
        <v>87</v>
      </c>
      <c r="C104" s="28" t="s">
        <v>125</v>
      </c>
      <c r="D104" s="60" t="n">
        <v>5</v>
      </c>
    </row>
    <row r="105" customFormat="false" ht="15" hidden="false" customHeight="false" outlineLevel="0" collapsed="false">
      <c r="A105" s="37" t="s">
        <v>293</v>
      </c>
      <c r="B105" s="28" t="s">
        <v>87</v>
      </c>
      <c r="C105" s="28" t="s">
        <v>129</v>
      </c>
      <c r="D105" s="60" t="n">
        <v>0</v>
      </c>
    </row>
    <row r="107" customFormat="false" ht="15" hidden="false" customHeight="false" outlineLevel="0" collapsed="false">
      <c r="A107" s="37" t="s">
        <v>293</v>
      </c>
      <c r="B107" s="28" t="s">
        <v>88</v>
      </c>
      <c r="C107" s="28" t="s">
        <v>125</v>
      </c>
      <c r="D107" s="60" t="n">
        <v>5</v>
      </c>
    </row>
    <row r="108" customFormat="false" ht="15" hidden="false" customHeight="false" outlineLevel="0" collapsed="false">
      <c r="A108" s="37" t="s">
        <v>293</v>
      </c>
      <c r="B108" s="28" t="s">
        <v>88</v>
      </c>
      <c r="C108" s="28" t="s">
        <v>129</v>
      </c>
      <c r="D108" s="60" t="n">
        <v>0</v>
      </c>
    </row>
    <row r="110" customFormat="false" ht="15" hidden="false" customHeight="false" outlineLevel="0" collapsed="false">
      <c r="A110" s="37" t="s">
        <v>293</v>
      </c>
      <c r="B110" s="28" t="s">
        <v>89</v>
      </c>
      <c r="C110" s="28" t="s">
        <v>125</v>
      </c>
      <c r="D110" s="60" t="n">
        <v>5</v>
      </c>
    </row>
    <row r="111" customFormat="false" ht="15" hidden="false" customHeight="false" outlineLevel="0" collapsed="false">
      <c r="A111" s="37" t="s">
        <v>293</v>
      </c>
      <c r="B111" s="28" t="s">
        <v>89</v>
      </c>
      <c r="C111" s="28" t="s">
        <v>129</v>
      </c>
      <c r="D111" s="60" t="n">
        <v>0</v>
      </c>
    </row>
    <row r="113" customFormat="false" ht="15" hidden="false" customHeight="false" outlineLevel="0" collapsed="false">
      <c r="A113" s="37" t="s">
        <v>294</v>
      </c>
      <c r="B113" s="28" t="s">
        <v>90</v>
      </c>
      <c r="C113" s="28" t="s">
        <v>129</v>
      </c>
      <c r="D113" s="60" t="n">
        <v>5</v>
      </c>
    </row>
    <row r="114" customFormat="false" ht="15" hidden="false" customHeight="false" outlineLevel="0" collapsed="false">
      <c r="A114" s="37" t="s">
        <v>294</v>
      </c>
      <c r="B114" s="28" t="s">
        <v>90</v>
      </c>
      <c r="C114" s="28" t="s">
        <v>143</v>
      </c>
      <c r="D114" s="60" t="n">
        <v>3</v>
      </c>
    </row>
    <row r="115" customFormat="false" ht="15" hidden="false" customHeight="false" outlineLevel="0" collapsed="false">
      <c r="A115" s="37" t="s">
        <v>294</v>
      </c>
      <c r="B115" s="28" t="s">
        <v>90</v>
      </c>
      <c r="C115" s="28" t="s">
        <v>125</v>
      </c>
      <c r="D115" s="60" t="n">
        <v>0</v>
      </c>
    </row>
    <row r="117" customFormat="false" ht="15" hidden="false" customHeight="false" outlineLevel="0" collapsed="false">
      <c r="A117" s="37" t="s">
        <v>294</v>
      </c>
      <c r="B117" s="28" t="s">
        <v>91</v>
      </c>
      <c r="C117" s="28" t="s">
        <v>129</v>
      </c>
      <c r="D117" s="60" t="n">
        <v>5</v>
      </c>
    </row>
    <row r="118" customFormat="false" ht="15" hidden="false" customHeight="false" outlineLevel="0" collapsed="false">
      <c r="A118" s="37" t="s">
        <v>294</v>
      </c>
      <c r="B118" s="28" t="s">
        <v>91</v>
      </c>
      <c r="C118" s="28" t="s">
        <v>143</v>
      </c>
      <c r="D118" s="60" t="n">
        <v>3</v>
      </c>
    </row>
    <row r="119" customFormat="false" ht="15" hidden="false" customHeight="false" outlineLevel="0" collapsed="false">
      <c r="A119" s="37" t="s">
        <v>294</v>
      </c>
      <c r="B119" s="28" t="s">
        <v>91</v>
      </c>
      <c r="C119" s="28" t="s">
        <v>125</v>
      </c>
      <c r="D119" s="60" t="n">
        <v>0</v>
      </c>
    </row>
    <row r="121" customFormat="false" ht="15" hidden="false" customHeight="false" outlineLevel="0" collapsed="false">
      <c r="A121" s="37" t="s">
        <v>294</v>
      </c>
      <c r="B121" s="28" t="s">
        <v>92</v>
      </c>
      <c r="C121" s="28" t="s">
        <v>128</v>
      </c>
      <c r="D121" s="60" t="n">
        <v>5</v>
      </c>
    </row>
    <row r="122" customFormat="false" ht="15" hidden="false" customHeight="false" outlineLevel="0" collapsed="false">
      <c r="A122" s="37" t="s">
        <v>294</v>
      </c>
      <c r="B122" s="28" t="s">
        <v>92</v>
      </c>
      <c r="C122" s="28" t="s">
        <v>158</v>
      </c>
      <c r="D122" s="60" t="n">
        <v>3</v>
      </c>
    </row>
    <row r="123" customFormat="false" ht="15" hidden="false" customHeight="false" outlineLevel="0" collapsed="false">
      <c r="A123" s="37" t="s">
        <v>294</v>
      </c>
      <c r="B123" s="28" t="s">
        <v>92</v>
      </c>
      <c r="C123" s="28" t="s">
        <v>142</v>
      </c>
      <c r="D123" s="60" t="n">
        <v>0</v>
      </c>
    </row>
    <row r="125" customFormat="false" ht="15" hidden="false" customHeight="false" outlineLevel="0" collapsed="false">
      <c r="A125" s="37" t="s">
        <v>294</v>
      </c>
      <c r="B125" s="28" t="s">
        <v>93</v>
      </c>
      <c r="C125" s="28" t="s">
        <v>129</v>
      </c>
      <c r="D125" s="60" t="n">
        <v>5</v>
      </c>
    </row>
    <row r="126" customFormat="false" ht="15" hidden="false" customHeight="false" outlineLevel="0" collapsed="false">
      <c r="A126" s="37" t="s">
        <v>294</v>
      </c>
      <c r="B126" s="28" t="s">
        <v>93</v>
      </c>
      <c r="C126" s="28" t="s">
        <v>125</v>
      </c>
      <c r="D126" s="60" t="n">
        <v>0</v>
      </c>
    </row>
    <row r="128" customFormat="false" ht="15" hidden="false" customHeight="false" outlineLevel="0" collapsed="false">
      <c r="A128" s="37" t="s">
        <v>294</v>
      </c>
      <c r="B128" s="28" t="s">
        <v>94</v>
      </c>
      <c r="C128" s="28" t="s">
        <v>129</v>
      </c>
      <c r="D128" s="60" t="n">
        <v>5</v>
      </c>
    </row>
    <row r="129" customFormat="false" ht="15" hidden="false" customHeight="false" outlineLevel="0" collapsed="false">
      <c r="A129" s="37" t="s">
        <v>294</v>
      </c>
      <c r="B129" s="28" t="s">
        <v>94</v>
      </c>
      <c r="C129" s="28" t="s">
        <v>125</v>
      </c>
      <c r="D129" s="60" t="n">
        <v>0</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24"/>
  </cols>
  <sheetData>
    <row r="1" customFormat="false" ht="33.75" hidden="false" customHeight="true" outlineLevel="0" collapsed="false">
      <c r="A1" s="49" t="s">
        <v>295</v>
      </c>
      <c r="B1" s="49"/>
      <c r="C1" s="49"/>
      <c r="D1" s="49"/>
      <c r="E1" s="49"/>
      <c r="F1" s="49"/>
      <c r="G1" s="49"/>
      <c r="H1" s="49"/>
    </row>
    <row r="2" customFormat="false" ht="30" hidden="false" customHeight="true" outlineLevel="0" collapsed="false">
      <c r="A2" s="59" t="s">
        <v>296</v>
      </c>
      <c r="B2" s="59"/>
      <c r="C2" s="59"/>
      <c r="D2" s="59"/>
      <c r="E2" s="59"/>
      <c r="F2" s="59"/>
      <c r="G2" s="59"/>
      <c r="H2" s="59"/>
    </row>
    <row r="3" customFormat="false" ht="15" hidden="false" customHeight="false" outlineLevel="0" collapsed="false">
      <c r="A3" s="61" t="s">
        <v>48</v>
      </c>
      <c r="B3" s="61" t="s">
        <v>53</v>
      </c>
      <c r="C3" s="61" t="s">
        <v>43</v>
      </c>
      <c r="D3" s="61" t="s">
        <v>42</v>
      </c>
      <c r="E3" s="61" t="s">
        <v>297</v>
      </c>
      <c r="F3" s="61" t="s">
        <v>298</v>
      </c>
      <c r="G3" s="61" t="s">
        <v>105</v>
      </c>
      <c r="H3" s="61" t="s">
        <v>186</v>
      </c>
    </row>
    <row r="4" customFormat="false" ht="15" hidden="false" customHeight="false" outlineLevel="0" collapsed="false">
      <c r="A4" s="28" t="s">
        <v>114</v>
      </c>
      <c r="B4" s="28" t="s">
        <v>151</v>
      </c>
      <c r="C4" s="28" t="s">
        <v>299</v>
      </c>
      <c r="D4" s="28" t="s">
        <v>110</v>
      </c>
      <c r="E4" s="28" t="s">
        <v>129</v>
      </c>
      <c r="F4" s="28" t="s">
        <v>129</v>
      </c>
      <c r="G4" s="28" t="s">
        <v>300</v>
      </c>
      <c r="H4" s="28" t="s">
        <v>194</v>
      </c>
    </row>
    <row r="5" customFormat="false" ht="15" hidden="false" customHeight="false" outlineLevel="0" collapsed="false">
      <c r="A5" s="28" t="s">
        <v>133</v>
      </c>
      <c r="B5" s="28" t="s">
        <v>301</v>
      </c>
      <c r="C5" s="28" t="s">
        <v>302</v>
      </c>
      <c r="D5" s="28" t="s">
        <v>169</v>
      </c>
      <c r="E5" s="28" t="s">
        <v>125</v>
      </c>
      <c r="F5" s="28" t="s">
        <v>143</v>
      </c>
      <c r="G5" s="28" t="s">
        <v>303</v>
      </c>
      <c r="H5" s="28" t="s">
        <v>201</v>
      </c>
    </row>
    <row r="6" customFormat="false" ht="15" hidden="false" customHeight="false" outlineLevel="0" collapsed="false">
      <c r="A6" s="28" t="s">
        <v>304</v>
      </c>
      <c r="B6" s="28" t="s">
        <v>117</v>
      </c>
      <c r="C6" s="28" t="s">
        <v>305</v>
      </c>
      <c r="D6" s="28" t="s">
        <v>306</v>
      </c>
      <c r="F6" s="28" t="s">
        <v>125</v>
      </c>
      <c r="G6" s="28" t="s">
        <v>307</v>
      </c>
      <c r="H6" s="28" t="s">
        <v>198</v>
      </c>
    </row>
    <row r="7" customFormat="false" ht="15" hidden="false" customHeight="false" outlineLevel="0" collapsed="false">
      <c r="B7" s="28" t="s">
        <v>174</v>
      </c>
      <c r="C7" s="28" t="s">
        <v>308</v>
      </c>
      <c r="D7" s="28" t="s">
        <v>309</v>
      </c>
      <c r="G7" s="28" t="s">
        <v>310</v>
      </c>
      <c r="H7" s="28" t="s">
        <v>311</v>
      </c>
    </row>
    <row r="8" customFormat="false" ht="15" hidden="false" customHeight="false" outlineLevel="0" collapsed="false">
      <c r="B8" s="28" t="s">
        <v>163</v>
      </c>
      <c r="C8" s="28" t="s">
        <v>312</v>
      </c>
      <c r="D8" s="28" t="s">
        <v>313</v>
      </c>
      <c r="G8" s="28" t="s">
        <v>314</v>
      </c>
      <c r="H8" s="28" t="s">
        <v>315</v>
      </c>
    </row>
    <row r="9" customFormat="false" ht="15" hidden="false" customHeight="false" outlineLevel="0" collapsed="false">
      <c r="B9" s="28" t="s">
        <v>316</v>
      </c>
      <c r="C9" s="28" t="s">
        <v>130</v>
      </c>
      <c r="D9" s="28" t="s">
        <v>317</v>
      </c>
      <c r="H9" s="28" t="s">
        <v>318</v>
      </c>
    </row>
    <row r="10" customFormat="false" ht="15" hidden="false" customHeight="false" outlineLevel="0" collapsed="false">
      <c r="B10" s="28" t="s">
        <v>136</v>
      </c>
      <c r="C10" s="28" t="s">
        <v>319</v>
      </c>
      <c r="D10" s="28" t="s">
        <v>320</v>
      </c>
    </row>
    <row r="11" customFormat="false" ht="15" hidden="false" customHeight="false" outlineLevel="0" collapsed="false">
      <c r="B11" s="28" t="s">
        <v>179</v>
      </c>
      <c r="C11" s="28" t="s">
        <v>111</v>
      </c>
      <c r="D11" s="28" t="s">
        <v>321</v>
      </c>
    </row>
    <row r="12" customFormat="false" ht="15" hidden="false" customHeight="false" outlineLevel="0" collapsed="false">
      <c r="B12" s="28" t="s">
        <v>322</v>
      </c>
      <c r="C12" s="28" t="s">
        <v>175</v>
      </c>
      <c r="D12" s="28" t="s">
        <v>323</v>
      </c>
    </row>
    <row r="13" customFormat="false" ht="15" hidden="false" customHeight="false" outlineLevel="0" collapsed="false">
      <c r="C13" s="28" t="s">
        <v>170</v>
      </c>
      <c r="D13" s="28" t="s">
        <v>324</v>
      </c>
    </row>
    <row r="14" customFormat="false" ht="15" hidden="false" customHeight="false" outlineLevel="0" collapsed="false">
      <c r="C14" s="28" t="s">
        <v>325</v>
      </c>
      <c r="D14" s="28" t="s">
        <v>326</v>
      </c>
    </row>
    <row r="15" customFormat="false" ht="15" hidden="false" customHeight="false" outlineLevel="0" collapsed="false">
      <c r="C15" s="28" t="s">
        <v>327</v>
      </c>
      <c r="D15" s="28" t="s">
        <v>304</v>
      </c>
    </row>
    <row r="16" customFormat="false" ht="15" hidden="false" customHeight="false" outlineLevel="0" collapsed="false">
      <c r="C16" s="28" t="s">
        <v>159</v>
      </c>
    </row>
    <row r="17" customFormat="false" ht="15" hidden="false" customHeight="false" outlineLevel="0" collapsed="false">
      <c r="C17" s="28" t="s">
        <v>146</v>
      </c>
    </row>
    <row r="18" customFormat="false" ht="15" hidden="false" customHeight="false" outlineLevel="0" collapsed="false">
      <c r="C18" s="28" t="s">
        <v>328</v>
      </c>
    </row>
    <row r="19" customFormat="false" ht="15" hidden="false" customHeight="false" outlineLevel="0" collapsed="false">
      <c r="C19" s="28" t="s">
        <v>329</v>
      </c>
    </row>
    <row r="20" customFormat="false" ht="15" hidden="false" customHeight="false" outlineLevel="0" collapsed="false">
      <c r="C20" s="28" t="s">
        <v>330</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0"/>
  </cols>
  <sheetData>
    <row r="1" customFormat="false" ht="33.75" hidden="false" customHeight="true" outlineLevel="0" collapsed="false">
      <c r="A1" s="49" t="s">
        <v>331</v>
      </c>
      <c r="B1" s="49"/>
    </row>
    <row r="3" customFormat="false" ht="21.75" hidden="false" customHeight="true" outlineLevel="0" collapsed="false">
      <c r="A3" s="62" t="s">
        <v>332</v>
      </c>
      <c r="B3" s="62"/>
    </row>
    <row r="4" customFormat="false" ht="15" hidden="false" customHeight="true" outlineLevel="0" collapsed="false">
      <c r="A4" s="63" t="s">
        <v>333</v>
      </c>
      <c r="B4" s="63"/>
    </row>
    <row r="5" customFormat="false" ht="30" hidden="false" customHeight="true" outlineLevel="0" collapsed="false">
      <c r="A5" s="63" t="s">
        <v>334</v>
      </c>
      <c r="B5" s="63"/>
    </row>
    <row r="6" customFormat="false" ht="30" hidden="false" customHeight="true" outlineLevel="0" collapsed="false">
      <c r="A6" s="63" t="s">
        <v>335</v>
      </c>
      <c r="B6" s="63"/>
    </row>
    <row r="7" customFormat="false" ht="30" hidden="false" customHeight="true" outlineLevel="0" collapsed="false">
      <c r="A7" s="63" t="s">
        <v>336</v>
      </c>
      <c r="B7" s="63"/>
    </row>
    <row r="8" customFormat="false" ht="30" hidden="false" customHeight="true" outlineLevel="0" collapsed="false">
      <c r="A8" s="63" t="s">
        <v>337</v>
      </c>
      <c r="B8" s="63"/>
    </row>
    <row r="9" customFormat="false" ht="30" hidden="false" customHeight="true" outlineLevel="0" collapsed="false">
      <c r="A9" s="63" t="s">
        <v>338</v>
      </c>
      <c r="B9" s="63"/>
    </row>
    <row r="10" customFormat="false" ht="30" hidden="false" customHeight="true" outlineLevel="0" collapsed="false">
      <c r="A10" s="63" t="s">
        <v>339</v>
      </c>
      <c r="B10" s="63"/>
    </row>
    <row r="11" customFormat="false" ht="15" hidden="false" customHeight="true" outlineLevel="0" collapsed="false">
      <c r="A11" s="63" t="s">
        <v>340</v>
      </c>
      <c r="B11" s="63"/>
    </row>
    <row r="13" customFormat="false" ht="21.75" hidden="false" customHeight="true" outlineLevel="0" collapsed="false">
      <c r="A13" s="62" t="s">
        <v>341</v>
      </c>
      <c r="B13" s="62"/>
    </row>
    <row r="14" customFormat="false" ht="15" hidden="false" customHeight="true" outlineLevel="0" collapsed="false">
      <c r="A14" s="63" t="s">
        <v>342</v>
      </c>
      <c r="B14" s="63"/>
    </row>
    <row r="15" customFormat="false" ht="30" hidden="false" customHeight="true" outlineLevel="0" collapsed="false">
      <c r="A15" s="63" t="s">
        <v>343</v>
      </c>
      <c r="B15" s="63"/>
    </row>
    <row r="16" customFormat="false" ht="30" hidden="false" customHeight="true" outlineLevel="0" collapsed="false">
      <c r="A16" s="63" t="s">
        <v>344</v>
      </c>
      <c r="B16" s="63"/>
    </row>
    <row r="17" customFormat="false" ht="30" hidden="false" customHeight="true" outlineLevel="0" collapsed="false">
      <c r="A17" s="63" t="s">
        <v>345</v>
      </c>
      <c r="B17" s="63"/>
    </row>
    <row r="18" customFormat="false" ht="45" hidden="false" customHeight="true" outlineLevel="0" collapsed="false">
      <c r="A18" s="63" t="s">
        <v>346</v>
      </c>
      <c r="B18" s="63"/>
    </row>
    <row r="20" customFormat="false" ht="21.75" hidden="false" customHeight="true" outlineLevel="0" collapsed="false">
      <c r="A20" s="62" t="s">
        <v>347</v>
      </c>
      <c r="B20" s="62"/>
    </row>
    <row r="21" customFormat="false" ht="15" hidden="false" customHeight="true" outlineLevel="0" collapsed="false">
      <c r="A21" s="63" t="s">
        <v>348</v>
      </c>
      <c r="B21" s="63"/>
    </row>
    <row r="22" customFormat="false" ht="30" hidden="false" customHeight="true" outlineLevel="0" collapsed="false">
      <c r="A22" s="63" t="s">
        <v>349</v>
      </c>
      <c r="B22" s="63"/>
    </row>
    <row r="24" customFormat="false" ht="21.75" hidden="false" customHeight="true" outlineLevel="0" collapsed="false">
      <c r="A24" s="62" t="s">
        <v>350</v>
      </c>
      <c r="B24" s="62"/>
    </row>
    <row r="25" customFormat="false" ht="30" hidden="false" customHeight="true" outlineLevel="0" collapsed="false">
      <c r="A25" s="63" t="s">
        <v>351</v>
      </c>
      <c r="B25" s="63"/>
    </row>
    <row r="26" customFormat="false" ht="30" hidden="false" customHeight="true" outlineLevel="0" collapsed="false">
      <c r="A26" s="63" t="s">
        <v>352</v>
      </c>
      <c r="B26" s="63"/>
    </row>
    <row r="27" customFormat="false" ht="15" hidden="false" customHeight="true" outlineLevel="0" collapsed="false">
      <c r="A27" s="63" t="s">
        <v>353</v>
      </c>
      <c r="B27" s="63"/>
    </row>
    <row r="29" customFormat="false" ht="21.75" hidden="false" customHeight="true" outlineLevel="0" collapsed="false">
      <c r="A29" s="62" t="s">
        <v>354</v>
      </c>
      <c r="B29" s="62"/>
    </row>
    <row r="30" customFormat="false" ht="15" hidden="false" customHeight="true" outlineLevel="0" collapsed="false">
      <c r="A30" s="63" t="s">
        <v>355</v>
      </c>
      <c r="B30" s="63"/>
    </row>
    <row r="31" customFormat="false" ht="15" hidden="false" customHeight="true" outlineLevel="0" collapsed="false">
      <c r="A31" s="63" t="s">
        <v>356</v>
      </c>
      <c r="B31" s="63"/>
    </row>
    <row r="32" customFormat="false" ht="30" hidden="false" customHeight="true" outlineLevel="0" collapsed="false">
      <c r="A32" s="63" t="s">
        <v>357</v>
      </c>
      <c r="B32" s="63"/>
    </row>
    <row r="33" customFormat="false" ht="30" hidden="false" customHeight="true" outlineLevel="0" collapsed="false">
      <c r="A33" s="63" t="s">
        <v>358</v>
      </c>
      <c r="B33" s="63"/>
    </row>
    <row r="34" customFormat="false" ht="15" hidden="false" customHeight="true" outlineLevel="0" collapsed="false">
      <c r="A34" s="63" t="s">
        <v>359</v>
      </c>
      <c r="B34" s="63"/>
    </row>
    <row r="36" customFormat="false" ht="21.75" hidden="false" customHeight="true" outlineLevel="0" collapsed="false">
      <c r="A36" s="62" t="s">
        <v>360</v>
      </c>
      <c r="B36" s="62"/>
    </row>
    <row r="37" customFormat="false" ht="30" hidden="false" customHeight="true" outlineLevel="0" collapsed="false">
      <c r="A37" s="63" t="s">
        <v>361</v>
      </c>
      <c r="B37" s="63"/>
    </row>
    <row r="38" customFormat="false" ht="45" hidden="false" customHeight="true" outlineLevel="0" collapsed="false">
      <c r="A38" s="63" t="s">
        <v>362</v>
      </c>
      <c r="B38" s="63"/>
    </row>
    <row r="39" customFormat="false" ht="60" hidden="false" customHeight="true" outlineLevel="0" collapsed="false">
      <c r="A39" s="63" t="s">
        <v>363</v>
      </c>
      <c r="B39" s="63"/>
    </row>
    <row r="41" customFormat="false" ht="21.75" hidden="false" customHeight="true" outlineLevel="0" collapsed="false">
      <c r="A41" s="62" t="s">
        <v>364</v>
      </c>
      <c r="B41" s="62"/>
    </row>
    <row r="42" customFormat="false" ht="30" hidden="false" customHeight="true" outlineLevel="0" collapsed="false">
      <c r="A42" s="63" t="s">
        <v>365</v>
      </c>
      <c r="B42" s="63"/>
    </row>
    <row r="43" customFormat="false" ht="30" hidden="false" customHeight="true" outlineLevel="0" collapsed="false">
      <c r="A43" s="63" t="s">
        <v>366</v>
      </c>
      <c r="B43" s="63"/>
    </row>
    <row r="44" customFormat="false" ht="15" hidden="false" customHeight="true" outlineLevel="0" collapsed="false">
      <c r="A44" s="63" t="s">
        <v>367</v>
      </c>
      <c r="B44" s="63"/>
    </row>
    <row r="45" customFormat="false" ht="30" hidden="false" customHeight="true" outlineLevel="0" collapsed="false">
      <c r="A45" s="63" t="s">
        <v>368</v>
      </c>
      <c r="B45" s="63"/>
    </row>
  </sheetData>
  <mergeCells count="38">
    <mergeCell ref="A1:B1"/>
    <mergeCell ref="A3:B3"/>
    <mergeCell ref="A4:B4"/>
    <mergeCell ref="A5:B5"/>
    <mergeCell ref="A6:B6"/>
    <mergeCell ref="A7:B7"/>
    <mergeCell ref="A8:B8"/>
    <mergeCell ref="A9:B9"/>
    <mergeCell ref="A10:B10"/>
    <mergeCell ref="A11:B11"/>
    <mergeCell ref="A13:B13"/>
    <mergeCell ref="A14:B14"/>
    <mergeCell ref="A15:B15"/>
    <mergeCell ref="A16:B16"/>
    <mergeCell ref="A17:B17"/>
    <mergeCell ref="A18:B18"/>
    <mergeCell ref="A20:B20"/>
    <mergeCell ref="A21:B21"/>
    <mergeCell ref="A22:B22"/>
    <mergeCell ref="A24:B24"/>
    <mergeCell ref="A25:B25"/>
    <mergeCell ref="A26:B26"/>
    <mergeCell ref="A27:B27"/>
    <mergeCell ref="A29:B29"/>
    <mergeCell ref="A30:B30"/>
    <mergeCell ref="A31:B31"/>
    <mergeCell ref="A32:B32"/>
    <mergeCell ref="A33:B33"/>
    <mergeCell ref="A34:B34"/>
    <mergeCell ref="A36:B36"/>
    <mergeCell ref="A37:B37"/>
    <mergeCell ref="A38:B38"/>
    <mergeCell ref="A39:B39"/>
    <mergeCell ref="A41:B41"/>
    <mergeCell ref="A42:B42"/>
    <mergeCell ref="A43:B43"/>
    <mergeCell ref="A44:B44"/>
    <mergeCell ref="A45:B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2026-07-06T17:57:33Z</dcterms:created>
  <dc:creator>openpyxl</dc:creator>
  <dc:description/>
  <dc:language>en-US</dc:language>
  <cp:lastModifiedBy/>
  <dcterms:modified xsi:type="dcterms:W3CDTF">2026-07-06T17:57:45Z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